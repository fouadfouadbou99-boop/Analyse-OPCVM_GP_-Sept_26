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ukhnif\Desktop\Dossier Applications Streamli\OPCVM_Scoring\Dossier_OPCVM_GP\Dossier Analyse OPCVM_GP\"/>
    </mc:Choice>
  </mc:AlternateContent>
  <xr:revisionPtr revIDLastSave="0" documentId="13_ncr:1_{15F4DAF6-87AD-4EFA-BB93-CD4B1BCC55A1}" xr6:coauthVersionLast="47" xr6:coauthVersionMax="47" xr10:uidLastSave="{00000000-0000-0000-0000-000000000000}"/>
  <bookViews>
    <workbookView xWindow="-120" yWindow="-120" windowWidth="29040" windowHeight="15720" activeTab="1" xr2:uid="{E00A17B7-0728-4A65-8C96-7E51656BB345}"/>
  </bookViews>
  <sheets>
    <sheet name="Data_Analysis" sheetId="1" r:id="rId1"/>
    <sheet name="Metrics" sheetId="8" r:id="rId2"/>
    <sheet name="Calcul_MaxDD" sheetId="7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8" l="1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B8" i="8"/>
  <c r="Q3" i="8"/>
  <c r="Q4" i="8" s="1"/>
  <c r="P3" i="8"/>
  <c r="P4" i="8" s="1"/>
  <c r="O3" i="8"/>
  <c r="O4" i="8" s="1"/>
  <c r="N3" i="8"/>
  <c r="M3" i="8"/>
  <c r="M4" i="8" s="1"/>
  <c r="L3" i="8"/>
  <c r="K3" i="8"/>
  <c r="J3" i="8"/>
  <c r="J4" i="8" s="1"/>
  <c r="I3" i="8"/>
  <c r="I4" i="8" s="1"/>
  <c r="H3" i="8"/>
  <c r="H4" i="8" s="1"/>
  <c r="G3" i="8"/>
  <c r="G4" i="8" s="1"/>
  <c r="F3" i="8"/>
  <c r="F4" i="8" s="1"/>
  <c r="E3" i="8"/>
  <c r="E4" i="8" s="1"/>
  <c r="D3" i="8"/>
  <c r="D4" i="8" s="1"/>
  <c r="C3" i="8"/>
  <c r="B3" i="8"/>
  <c r="B4" i="8" s="1"/>
  <c r="L4" i="8" l="1"/>
  <c r="N4" i="8"/>
  <c r="K4" i="8"/>
  <c r="C4" i="8"/>
  <c r="AQ34" i="7" l="1"/>
  <c r="AN34" i="7"/>
  <c r="AK34" i="7"/>
  <c r="AH34" i="7"/>
  <c r="AE34" i="7"/>
  <c r="AB34" i="7"/>
  <c r="Y34" i="7"/>
  <c r="V34" i="7"/>
  <c r="S34" i="7"/>
  <c r="P34" i="7"/>
  <c r="M34" i="7"/>
  <c r="J34" i="7"/>
  <c r="G34" i="7"/>
  <c r="D34" i="7"/>
  <c r="A34" i="7"/>
  <c r="AQ33" i="7"/>
  <c r="AN33" i="7"/>
  <c r="AK33" i="7"/>
  <c r="AH33" i="7"/>
  <c r="AE33" i="7"/>
  <c r="AB33" i="7"/>
  <c r="Y33" i="7"/>
  <c r="V33" i="7"/>
  <c r="S33" i="7"/>
  <c r="P33" i="7"/>
  <c r="M33" i="7"/>
  <c r="J33" i="7"/>
  <c r="G33" i="7"/>
  <c r="D33" i="7"/>
  <c r="A33" i="7"/>
  <c r="AQ32" i="7"/>
  <c r="AN32" i="7"/>
  <c r="AK32" i="7"/>
  <c r="AH32" i="7"/>
  <c r="AE32" i="7"/>
  <c r="AB32" i="7"/>
  <c r="Y32" i="7"/>
  <c r="V32" i="7"/>
  <c r="S32" i="7"/>
  <c r="P32" i="7"/>
  <c r="M32" i="7"/>
  <c r="J32" i="7"/>
  <c r="G32" i="7"/>
  <c r="D32" i="7"/>
  <c r="A32" i="7"/>
  <c r="AQ31" i="7"/>
  <c r="AN31" i="7"/>
  <c r="AK31" i="7"/>
  <c r="AH31" i="7"/>
  <c r="AE31" i="7"/>
  <c r="AB31" i="7"/>
  <c r="Y31" i="7"/>
  <c r="V31" i="7"/>
  <c r="S31" i="7"/>
  <c r="P31" i="7"/>
  <c r="M31" i="7"/>
  <c r="J31" i="7"/>
  <c r="G31" i="7"/>
  <c r="D31" i="7"/>
  <c r="A31" i="7"/>
  <c r="AQ30" i="7"/>
  <c r="AN30" i="7"/>
  <c r="AK30" i="7"/>
  <c r="AH30" i="7"/>
  <c r="AE30" i="7"/>
  <c r="AB30" i="7"/>
  <c r="Y30" i="7"/>
  <c r="V30" i="7"/>
  <c r="S30" i="7"/>
  <c r="P30" i="7"/>
  <c r="M30" i="7"/>
  <c r="J30" i="7"/>
  <c r="G30" i="7"/>
  <c r="D30" i="7"/>
  <c r="A30" i="7"/>
  <c r="AQ29" i="7"/>
  <c r="AN29" i="7"/>
  <c r="AK29" i="7"/>
  <c r="AH29" i="7"/>
  <c r="AE29" i="7"/>
  <c r="AB29" i="7"/>
  <c r="Y29" i="7"/>
  <c r="V29" i="7"/>
  <c r="S29" i="7"/>
  <c r="P29" i="7"/>
  <c r="M29" i="7"/>
  <c r="J29" i="7"/>
  <c r="G29" i="7"/>
  <c r="D29" i="7"/>
  <c r="A29" i="7"/>
  <c r="AQ28" i="7"/>
  <c r="AN28" i="7"/>
  <c r="AK28" i="7"/>
  <c r="AH28" i="7"/>
  <c r="AE28" i="7"/>
  <c r="AB28" i="7"/>
  <c r="Y28" i="7"/>
  <c r="V28" i="7"/>
  <c r="S28" i="7"/>
  <c r="P28" i="7"/>
  <c r="M28" i="7"/>
  <c r="J28" i="7"/>
  <c r="G28" i="7"/>
  <c r="D28" i="7"/>
  <c r="A28" i="7"/>
  <c r="AQ27" i="7"/>
  <c r="AN27" i="7"/>
  <c r="AK27" i="7"/>
  <c r="AH27" i="7"/>
  <c r="AE27" i="7"/>
  <c r="AB27" i="7"/>
  <c r="Y27" i="7"/>
  <c r="V27" i="7"/>
  <c r="S27" i="7"/>
  <c r="P27" i="7"/>
  <c r="M27" i="7"/>
  <c r="J27" i="7"/>
  <c r="G27" i="7"/>
  <c r="D27" i="7"/>
  <c r="A27" i="7"/>
  <c r="AQ26" i="7"/>
  <c r="AN26" i="7"/>
  <c r="AK26" i="7"/>
  <c r="AH26" i="7"/>
  <c r="AE26" i="7"/>
  <c r="AB26" i="7"/>
  <c r="Y26" i="7"/>
  <c r="V26" i="7"/>
  <c r="S26" i="7"/>
  <c r="P26" i="7"/>
  <c r="M26" i="7"/>
  <c r="J26" i="7"/>
  <c r="G26" i="7"/>
  <c r="D26" i="7"/>
  <c r="A26" i="7"/>
  <c r="AQ25" i="7"/>
  <c r="AN25" i="7"/>
  <c r="AK25" i="7"/>
  <c r="AH25" i="7"/>
  <c r="AE25" i="7"/>
  <c r="AB25" i="7"/>
  <c r="Y25" i="7"/>
  <c r="V25" i="7"/>
  <c r="S25" i="7"/>
  <c r="P25" i="7"/>
  <c r="M25" i="7"/>
  <c r="J25" i="7"/>
  <c r="G25" i="7"/>
  <c r="D25" i="7"/>
  <c r="A25" i="7"/>
  <c r="AQ24" i="7"/>
  <c r="AN24" i="7"/>
  <c r="AK24" i="7"/>
  <c r="AH24" i="7"/>
  <c r="AE24" i="7"/>
  <c r="AB24" i="7"/>
  <c r="Y24" i="7"/>
  <c r="V24" i="7"/>
  <c r="S24" i="7"/>
  <c r="P24" i="7"/>
  <c r="M24" i="7"/>
  <c r="J24" i="7"/>
  <c r="G24" i="7"/>
  <c r="D24" i="7"/>
  <c r="A24" i="7"/>
  <c r="AQ23" i="7"/>
  <c r="AN23" i="7"/>
  <c r="AK23" i="7"/>
  <c r="AH23" i="7"/>
  <c r="AE23" i="7"/>
  <c r="AB23" i="7"/>
  <c r="Y23" i="7"/>
  <c r="V23" i="7"/>
  <c r="S23" i="7"/>
  <c r="P23" i="7"/>
  <c r="M23" i="7"/>
  <c r="J23" i="7"/>
  <c r="G23" i="7"/>
  <c r="D23" i="7"/>
  <c r="A23" i="7"/>
  <c r="AQ22" i="7"/>
  <c r="AN22" i="7"/>
  <c r="AK22" i="7"/>
  <c r="AH22" i="7"/>
  <c r="AE22" i="7"/>
  <c r="AB22" i="7"/>
  <c r="Y22" i="7"/>
  <c r="V22" i="7"/>
  <c r="S22" i="7"/>
  <c r="P22" i="7"/>
  <c r="M22" i="7"/>
  <c r="J22" i="7"/>
  <c r="G22" i="7"/>
  <c r="D22" i="7"/>
  <c r="A22" i="7"/>
  <c r="AQ21" i="7"/>
  <c r="AN21" i="7"/>
  <c r="AK21" i="7"/>
  <c r="AH21" i="7"/>
  <c r="AE21" i="7"/>
  <c r="AB21" i="7"/>
  <c r="Y21" i="7"/>
  <c r="V21" i="7"/>
  <c r="S21" i="7"/>
  <c r="P21" i="7"/>
  <c r="M21" i="7"/>
  <c r="J21" i="7"/>
  <c r="G21" i="7"/>
  <c r="D21" i="7"/>
  <c r="A21" i="7"/>
  <c r="AQ20" i="7"/>
  <c r="AN20" i="7"/>
  <c r="AK20" i="7"/>
  <c r="AH20" i="7"/>
  <c r="AE20" i="7"/>
  <c r="AB20" i="7"/>
  <c r="Y20" i="7"/>
  <c r="V20" i="7"/>
  <c r="S20" i="7"/>
  <c r="P20" i="7"/>
  <c r="M20" i="7"/>
  <c r="J20" i="7"/>
  <c r="G20" i="7"/>
  <c r="D20" i="7"/>
  <c r="A20" i="7"/>
  <c r="AQ19" i="7"/>
  <c r="AN19" i="7"/>
  <c r="AK19" i="7"/>
  <c r="AH19" i="7"/>
  <c r="AE19" i="7"/>
  <c r="AB19" i="7"/>
  <c r="Y19" i="7"/>
  <c r="V19" i="7"/>
  <c r="S19" i="7"/>
  <c r="P19" i="7"/>
  <c r="M19" i="7"/>
  <c r="J19" i="7"/>
  <c r="G19" i="7"/>
  <c r="D19" i="7"/>
  <c r="A19" i="7"/>
  <c r="AQ18" i="7"/>
  <c r="AN18" i="7"/>
  <c r="AK18" i="7"/>
  <c r="AH18" i="7"/>
  <c r="AE18" i="7"/>
  <c r="AB18" i="7"/>
  <c r="Y18" i="7"/>
  <c r="V18" i="7"/>
  <c r="S18" i="7"/>
  <c r="P18" i="7"/>
  <c r="M18" i="7"/>
  <c r="J18" i="7"/>
  <c r="G18" i="7"/>
  <c r="D18" i="7"/>
  <c r="A18" i="7"/>
  <c r="AQ17" i="7"/>
  <c r="AN17" i="7"/>
  <c r="AK17" i="7"/>
  <c r="AH17" i="7"/>
  <c r="AE17" i="7"/>
  <c r="AB17" i="7"/>
  <c r="Y17" i="7"/>
  <c r="V17" i="7"/>
  <c r="S17" i="7"/>
  <c r="P17" i="7"/>
  <c r="M17" i="7"/>
  <c r="J17" i="7"/>
  <c r="G17" i="7"/>
  <c r="D17" i="7"/>
  <c r="A17" i="7"/>
  <c r="AQ16" i="7"/>
  <c r="AN16" i="7"/>
  <c r="AK16" i="7"/>
  <c r="AH16" i="7"/>
  <c r="AE16" i="7"/>
  <c r="AB16" i="7"/>
  <c r="Y16" i="7"/>
  <c r="V16" i="7"/>
  <c r="S16" i="7"/>
  <c r="P16" i="7"/>
  <c r="M16" i="7"/>
  <c r="J16" i="7"/>
  <c r="G16" i="7"/>
  <c r="D16" i="7"/>
  <c r="A16" i="7"/>
  <c r="AQ15" i="7"/>
  <c r="AN15" i="7"/>
  <c r="AK15" i="7"/>
  <c r="AH15" i="7"/>
  <c r="AE15" i="7"/>
  <c r="AB15" i="7"/>
  <c r="Y15" i="7"/>
  <c r="V15" i="7"/>
  <c r="S15" i="7"/>
  <c r="P15" i="7"/>
  <c r="M15" i="7"/>
  <c r="J15" i="7"/>
  <c r="G15" i="7"/>
  <c r="D15" i="7"/>
  <c r="A15" i="7"/>
  <c r="AQ14" i="7"/>
  <c r="AN14" i="7"/>
  <c r="AK14" i="7"/>
  <c r="AH14" i="7"/>
  <c r="AE14" i="7"/>
  <c r="AB14" i="7"/>
  <c r="Y14" i="7"/>
  <c r="V14" i="7"/>
  <c r="S14" i="7"/>
  <c r="P14" i="7"/>
  <c r="M14" i="7"/>
  <c r="J14" i="7"/>
  <c r="G14" i="7"/>
  <c r="D14" i="7"/>
  <c r="A14" i="7"/>
  <c r="AQ13" i="7"/>
  <c r="AN13" i="7"/>
  <c r="AK13" i="7"/>
  <c r="AH13" i="7"/>
  <c r="AE13" i="7"/>
  <c r="AB13" i="7"/>
  <c r="Y13" i="7"/>
  <c r="V13" i="7"/>
  <c r="S13" i="7"/>
  <c r="P13" i="7"/>
  <c r="M13" i="7"/>
  <c r="J13" i="7"/>
  <c r="G13" i="7"/>
  <c r="D13" i="7"/>
  <c r="A13" i="7"/>
  <c r="AQ12" i="7"/>
  <c r="AN12" i="7"/>
  <c r="AK12" i="7"/>
  <c r="AH12" i="7"/>
  <c r="AE12" i="7"/>
  <c r="AB12" i="7"/>
  <c r="Y12" i="7"/>
  <c r="V12" i="7"/>
  <c r="S12" i="7"/>
  <c r="P12" i="7"/>
  <c r="M12" i="7"/>
  <c r="J12" i="7"/>
  <c r="G12" i="7"/>
  <c r="D12" i="7"/>
  <c r="A12" i="7"/>
  <c r="AQ11" i="7"/>
  <c r="AN11" i="7"/>
  <c r="AK11" i="7"/>
  <c r="AH11" i="7"/>
  <c r="AE11" i="7"/>
  <c r="AB11" i="7"/>
  <c r="Y11" i="7"/>
  <c r="V11" i="7"/>
  <c r="S11" i="7"/>
  <c r="P11" i="7"/>
  <c r="M11" i="7"/>
  <c r="J11" i="7"/>
  <c r="G11" i="7"/>
  <c r="D11" i="7"/>
  <c r="A11" i="7"/>
  <c r="AQ10" i="7"/>
  <c r="AN10" i="7"/>
  <c r="AK10" i="7"/>
  <c r="AH10" i="7"/>
  <c r="AE10" i="7"/>
  <c r="AB10" i="7"/>
  <c r="Y10" i="7"/>
  <c r="V10" i="7"/>
  <c r="S10" i="7"/>
  <c r="P10" i="7"/>
  <c r="M10" i="7"/>
  <c r="J10" i="7"/>
  <c r="G10" i="7"/>
  <c r="D10" i="7"/>
  <c r="A10" i="7"/>
  <c r="AQ9" i="7"/>
  <c r="AN9" i="7"/>
  <c r="AK9" i="7"/>
  <c r="AH9" i="7"/>
  <c r="AE9" i="7"/>
  <c r="AB9" i="7"/>
  <c r="Y9" i="7"/>
  <c r="V9" i="7"/>
  <c r="S9" i="7"/>
  <c r="P9" i="7"/>
  <c r="M9" i="7"/>
  <c r="J9" i="7"/>
  <c r="G9" i="7"/>
  <c r="D9" i="7"/>
  <c r="A9" i="7"/>
  <c r="AQ8" i="7"/>
  <c r="AN8" i="7"/>
  <c r="AK8" i="7"/>
  <c r="AH8" i="7"/>
  <c r="AE8" i="7"/>
  <c r="AB8" i="7"/>
  <c r="Y8" i="7"/>
  <c r="V8" i="7"/>
  <c r="S8" i="7"/>
  <c r="P8" i="7"/>
  <c r="M8" i="7"/>
  <c r="J8" i="7"/>
  <c r="G8" i="7"/>
  <c r="D8" i="7"/>
  <c r="A8" i="7"/>
  <c r="AQ7" i="7"/>
  <c r="AN7" i="7"/>
  <c r="AK7" i="7"/>
  <c r="AH7" i="7"/>
  <c r="AE7" i="7"/>
  <c r="AB7" i="7"/>
  <c r="Y7" i="7"/>
  <c r="V7" i="7"/>
  <c r="S7" i="7"/>
  <c r="P7" i="7"/>
  <c r="M7" i="7"/>
  <c r="J7" i="7"/>
  <c r="G7" i="7"/>
  <c r="D7" i="7"/>
  <c r="A7" i="7"/>
  <c r="AQ6" i="7"/>
  <c r="AN6" i="7"/>
  <c r="AK6" i="7"/>
  <c r="AH6" i="7"/>
  <c r="AE6" i="7"/>
  <c r="AB6" i="7"/>
  <c r="Y6" i="7"/>
  <c r="V6" i="7"/>
  <c r="S6" i="7"/>
  <c r="P6" i="7"/>
  <c r="M6" i="7"/>
  <c r="J6" i="7"/>
  <c r="G6" i="7"/>
  <c r="D6" i="7"/>
  <c r="A6" i="7"/>
  <c r="AQ5" i="7"/>
  <c r="AN5" i="7"/>
  <c r="AK5" i="7"/>
  <c r="AH5" i="7"/>
  <c r="AE5" i="7"/>
  <c r="AB5" i="7"/>
  <c r="Y5" i="7"/>
  <c r="V5" i="7"/>
  <c r="S5" i="7"/>
  <c r="P5" i="7"/>
  <c r="M5" i="7"/>
  <c r="J5" i="7"/>
  <c r="G5" i="7"/>
  <c r="D5" i="7"/>
  <c r="A5" i="7"/>
  <c r="AQ4" i="7"/>
  <c r="AN4" i="7"/>
  <c r="AK4" i="7"/>
  <c r="AH4" i="7"/>
  <c r="AE4" i="7"/>
  <c r="AB4" i="7"/>
  <c r="Y4" i="7"/>
  <c r="V4" i="7"/>
  <c r="S4" i="7"/>
  <c r="P4" i="7"/>
  <c r="M4" i="7"/>
  <c r="J4" i="7"/>
  <c r="G4" i="7"/>
  <c r="D4" i="7"/>
  <c r="A4" i="7"/>
  <c r="AQ3" i="7"/>
  <c r="AN3" i="7"/>
  <c r="AK3" i="7"/>
  <c r="AH3" i="7"/>
  <c r="AE3" i="7"/>
  <c r="AB3" i="7"/>
  <c r="Y3" i="7"/>
  <c r="V3" i="7"/>
  <c r="S3" i="7"/>
  <c r="P3" i="7"/>
  <c r="M3" i="7"/>
  <c r="J3" i="7"/>
  <c r="G3" i="7"/>
  <c r="D3" i="7"/>
  <c r="A3" i="7"/>
  <c r="AR2" i="7"/>
  <c r="AQ2" i="7"/>
  <c r="AN2" i="7"/>
  <c r="AK2" i="7"/>
  <c r="AH2" i="7"/>
  <c r="AI2" i="7" s="1"/>
  <c r="AI3" i="7" s="1"/>
  <c r="AJ3" i="7" s="1"/>
  <c r="AE2" i="7"/>
  <c r="AC2" i="7"/>
  <c r="AB2" i="7"/>
  <c r="Y2" i="7"/>
  <c r="V2" i="7"/>
  <c r="S2" i="7"/>
  <c r="P2" i="7"/>
  <c r="Q2" i="7" s="1"/>
  <c r="M2" i="7"/>
  <c r="N2" i="7" s="1"/>
  <c r="J2" i="7"/>
  <c r="G2" i="7"/>
  <c r="D2" i="7"/>
  <c r="E2" i="7" s="1"/>
  <c r="E3" i="7" s="1"/>
  <c r="E4" i="7" s="1"/>
  <c r="F4" i="7" s="1"/>
  <c r="A2" i="7"/>
  <c r="B2" i="7" s="1"/>
  <c r="AP2" i="7" l="1"/>
  <c r="AS6" i="7"/>
  <c r="AO2" i="7"/>
  <c r="R2" i="7"/>
  <c r="AR3" i="7"/>
  <c r="AR4" i="7" s="1"/>
  <c r="AR5" i="7" s="1"/>
  <c r="AR6" i="7" s="1"/>
  <c r="AR7" i="7" s="1"/>
  <c r="AR8" i="7" s="1"/>
  <c r="AR9" i="7" s="1"/>
  <c r="AD2" i="7"/>
  <c r="U2" i="7"/>
  <c r="F5" i="7"/>
  <c r="H2" i="7"/>
  <c r="H3" i="7" s="1"/>
  <c r="H4" i="7" s="1"/>
  <c r="H5" i="7" s="1"/>
  <c r="H6" i="7" s="1"/>
  <c r="U9" i="7"/>
  <c r="N3" i="7"/>
  <c r="N4" i="7" s="1"/>
  <c r="N5" i="7" s="1"/>
  <c r="AG5" i="7"/>
  <c r="E5" i="7"/>
  <c r="E6" i="7" s="1"/>
  <c r="E7" i="7" s="1"/>
  <c r="E8" i="7" s="1"/>
  <c r="E9" i="7" s="1"/>
  <c r="T2" i="7"/>
  <c r="T3" i="7" s="1"/>
  <c r="T4" i="7" s="1"/>
  <c r="T5" i="7" s="1"/>
  <c r="T6" i="7" s="1"/>
  <c r="T7" i="7" s="1"/>
  <c r="T8" i="7" s="1"/>
  <c r="T9" i="7" s="1"/>
  <c r="T10" i="7" s="1"/>
  <c r="W2" i="7"/>
  <c r="W3" i="7" s="1"/>
  <c r="W4" i="7" s="1"/>
  <c r="AI4" i="7"/>
  <c r="AI5" i="7" s="1"/>
  <c r="AI6" i="7" s="1"/>
  <c r="AI7" i="7" s="1"/>
  <c r="AI8" i="7" s="1"/>
  <c r="AI9" i="7" s="1"/>
  <c r="AI10" i="7" s="1"/>
  <c r="AS5" i="7"/>
  <c r="AR10" i="7"/>
  <c r="AR11" i="7" s="1"/>
  <c r="AR12" i="7" s="1"/>
  <c r="F2" i="7"/>
  <c r="AC3" i="7"/>
  <c r="AC4" i="7" s="1"/>
  <c r="AS9" i="7"/>
  <c r="AS2" i="7"/>
  <c r="K2" i="7"/>
  <c r="K3" i="7" s="1"/>
  <c r="X3" i="7"/>
  <c r="AO3" i="7"/>
  <c r="AO4" i="7" s="1"/>
  <c r="AO5" i="7" s="1"/>
  <c r="AP4" i="7"/>
  <c r="AS7" i="7"/>
  <c r="AF2" i="7"/>
  <c r="AF3" i="7" s="1"/>
  <c r="AF4" i="7" s="1"/>
  <c r="AF5" i="7" s="1"/>
  <c r="AF6" i="7" s="1"/>
  <c r="AF7" i="7" s="1"/>
  <c r="AF8" i="7" s="1"/>
  <c r="AF9" i="7" s="1"/>
  <c r="B3" i="7"/>
  <c r="B4" i="7" s="1"/>
  <c r="B5" i="7" s="1"/>
  <c r="AS3" i="7"/>
  <c r="R7" i="7"/>
  <c r="U8" i="7"/>
  <c r="Q3" i="7"/>
  <c r="Q4" i="7" s="1"/>
  <c r="Q5" i="7" s="1"/>
  <c r="Q6" i="7" s="1"/>
  <c r="Q7" i="7" s="1"/>
  <c r="Q8" i="7" s="1"/>
  <c r="Q9" i="7" s="1"/>
  <c r="AJ2" i="7"/>
  <c r="U5" i="7"/>
  <c r="AM2" i="7"/>
  <c r="O2" i="7"/>
  <c r="Z2" i="7"/>
  <c r="Z3" i="7" s="1"/>
  <c r="C2" i="7"/>
  <c r="AS4" i="7"/>
  <c r="AS8" i="7"/>
  <c r="F3" i="7"/>
  <c r="AJ5" i="7"/>
  <c r="AL2" i="7"/>
  <c r="AL3" i="7" s="1"/>
  <c r="AD3" i="7" l="1"/>
  <c r="C3" i="7"/>
  <c r="U6" i="7"/>
  <c r="AG2" i="7"/>
  <c r="AG4" i="7"/>
  <c r="F7" i="7"/>
  <c r="AG7" i="7"/>
  <c r="R3" i="7"/>
  <c r="AO6" i="7"/>
  <c r="AP5" i="7"/>
  <c r="AR13" i="7"/>
  <c r="AS12" i="7"/>
  <c r="AS10" i="7"/>
  <c r="AI11" i="7"/>
  <c r="AJ10" i="7"/>
  <c r="AJ9" i="7"/>
  <c r="I5" i="7"/>
  <c r="Q10" i="7"/>
  <c r="R9" i="7"/>
  <c r="L3" i="7"/>
  <c r="K4" i="7"/>
  <c r="AJ7" i="7"/>
  <c r="O4" i="7"/>
  <c r="AL4" i="7"/>
  <c r="AM3" i="7"/>
  <c r="T11" i="7"/>
  <c r="U10" i="7"/>
  <c r="O3" i="7"/>
  <c r="AF10" i="7"/>
  <c r="AG9" i="7"/>
  <c r="AG6" i="7"/>
  <c r="R5" i="7"/>
  <c r="Z4" i="7"/>
  <c r="AA3" i="7"/>
  <c r="AJ6" i="7"/>
  <c r="AJ4" i="7"/>
  <c r="E10" i="7"/>
  <c r="F9" i="7"/>
  <c r="I4" i="7"/>
  <c r="H7" i="7"/>
  <c r="I6" i="7"/>
  <c r="AJ8" i="7"/>
  <c r="B6" i="7"/>
  <c r="C5" i="7"/>
  <c r="W5" i="7"/>
  <c r="X4" i="7"/>
  <c r="F8" i="7"/>
  <c r="AS11" i="7"/>
  <c r="X2" i="7"/>
  <c r="AG8" i="7"/>
  <c r="I3" i="7"/>
  <c r="I2" i="7"/>
  <c r="L2" i="7"/>
  <c r="N6" i="7"/>
  <c r="O5" i="7"/>
  <c r="R6" i="7"/>
  <c r="U4" i="7"/>
  <c r="AD4" i="7"/>
  <c r="AC5" i="7"/>
  <c r="U7" i="7"/>
  <c r="C4" i="7"/>
  <c r="AP3" i="7"/>
  <c r="AA2" i="7"/>
  <c r="F6" i="7"/>
  <c r="U3" i="7"/>
  <c r="R4" i="7"/>
  <c r="R8" i="7"/>
  <c r="AG3" i="7"/>
  <c r="B7" i="7" l="1"/>
  <c r="C6" i="7"/>
  <c r="AF11" i="7"/>
  <c r="AG10" i="7"/>
  <c r="T12" i="7"/>
  <c r="U11" i="7"/>
  <c r="AL5" i="7"/>
  <c r="AM4" i="7"/>
  <c r="Q11" i="7"/>
  <c r="R10" i="7"/>
  <c r="H8" i="7"/>
  <c r="I7" i="7"/>
  <c r="AC6" i="7"/>
  <c r="AD5" i="7"/>
  <c r="AR14" i="7"/>
  <c r="AS13" i="7"/>
  <c r="N7" i="7"/>
  <c r="O6" i="7"/>
  <c r="AI12" i="7"/>
  <c r="AJ11" i="7"/>
  <c r="E11" i="7"/>
  <c r="F10" i="7"/>
  <c r="W6" i="7"/>
  <c r="X5" i="7"/>
  <c r="Z5" i="7"/>
  <c r="AA4" i="7"/>
  <c r="K5" i="7"/>
  <c r="L4" i="7"/>
  <c r="AO7" i="7"/>
  <c r="AP6" i="7"/>
  <c r="H9" i="7" l="1"/>
  <c r="I8" i="7"/>
  <c r="E12" i="7"/>
  <c r="F11" i="7"/>
  <c r="AL6" i="7"/>
  <c r="AM5" i="7"/>
  <c r="AO8" i="7"/>
  <c r="AP7" i="7"/>
  <c r="K6" i="7"/>
  <c r="L5" i="7"/>
  <c r="AF12" i="7"/>
  <c r="AG11" i="7"/>
  <c r="T13" i="7"/>
  <c r="U12" i="7"/>
  <c r="W7" i="7"/>
  <c r="X6" i="7"/>
  <c r="Q12" i="7"/>
  <c r="R11" i="7"/>
  <c r="AI13" i="7"/>
  <c r="AJ12" i="7"/>
  <c r="N8" i="7"/>
  <c r="O7" i="7"/>
  <c r="AR15" i="7"/>
  <c r="AS14" i="7"/>
  <c r="Z6" i="7"/>
  <c r="AA5" i="7"/>
  <c r="AC7" i="7"/>
  <c r="AD6" i="7"/>
  <c r="B8" i="7"/>
  <c r="C7" i="7"/>
  <c r="AF13" i="7" l="1"/>
  <c r="AG12" i="7"/>
  <c r="N9" i="7"/>
  <c r="O8" i="7"/>
  <c r="AO9" i="7"/>
  <c r="AP8" i="7"/>
  <c r="B9" i="7"/>
  <c r="C8" i="7"/>
  <c r="AI14" i="7"/>
  <c r="AJ13" i="7"/>
  <c r="E13" i="7"/>
  <c r="F12" i="7"/>
  <c r="AR16" i="7"/>
  <c r="AS15" i="7"/>
  <c r="AL7" i="7"/>
  <c r="AM6" i="7"/>
  <c r="K7" i="7"/>
  <c r="L6" i="7"/>
  <c r="Q13" i="7"/>
  <c r="R12" i="7"/>
  <c r="AC8" i="7"/>
  <c r="AD7" i="7"/>
  <c r="W8" i="7"/>
  <c r="X7" i="7"/>
  <c r="Z7" i="7"/>
  <c r="AA6" i="7"/>
  <c r="T14" i="7"/>
  <c r="U13" i="7"/>
  <c r="H10" i="7"/>
  <c r="I9" i="7"/>
  <c r="W9" i="7" l="1"/>
  <c r="X8" i="7"/>
  <c r="AI15" i="7"/>
  <c r="AJ14" i="7"/>
  <c r="R13" i="7"/>
  <c r="Q14" i="7"/>
  <c r="B10" i="7"/>
  <c r="C9" i="7"/>
  <c r="H11" i="7"/>
  <c r="I10" i="7"/>
  <c r="AC9" i="7"/>
  <c r="AD8" i="7"/>
  <c r="N10" i="7"/>
  <c r="O9" i="7"/>
  <c r="E14" i="7"/>
  <c r="F13" i="7"/>
  <c r="K8" i="7"/>
  <c r="L7" i="7"/>
  <c r="AO10" i="7"/>
  <c r="AP9" i="7"/>
  <c r="T15" i="7"/>
  <c r="U14" i="7"/>
  <c r="AL8" i="7"/>
  <c r="AM7" i="7"/>
  <c r="Z8" i="7"/>
  <c r="AA7" i="7"/>
  <c r="AR17" i="7"/>
  <c r="AS16" i="7"/>
  <c r="AG13" i="7"/>
  <c r="AF14" i="7"/>
  <c r="H12" i="7" l="1"/>
  <c r="I11" i="7"/>
  <c r="AO11" i="7"/>
  <c r="AP10" i="7"/>
  <c r="B11" i="7"/>
  <c r="C10" i="7"/>
  <c r="K9" i="7"/>
  <c r="L8" i="7"/>
  <c r="AC10" i="7"/>
  <c r="AD9" i="7"/>
  <c r="T16" i="7"/>
  <c r="U15" i="7"/>
  <c r="Q15" i="7"/>
  <c r="R14" i="7"/>
  <c r="AI16" i="7"/>
  <c r="AJ15" i="7"/>
  <c r="AL9" i="7"/>
  <c r="AM8" i="7"/>
  <c r="AF15" i="7"/>
  <c r="AG14" i="7"/>
  <c r="AR18" i="7"/>
  <c r="AS17" i="7"/>
  <c r="E15" i="7"/>
  <c r="F14" i="7"/>
  <c r="Z9" i="7"/>
  <c r="AA8" i="7"/>
  <c r="N11" i="7"/>
  <c r="O10" i="7"/>
  <c r="W10" i="7"/>
  <c r="X9" i="7"/>
  <c r="AC11" i="7" l="1"/>
  <c r="AD10" i="7"/>
  <c r="K10" i="7"/>
  <c r="L9" i="7"/>
  <c r="F15" i="7"/>
  <c r="E16" i="7"/>
  <c r="AR19" i="7"/>
  <c r="AS18" i="7"/>
  <c r="AF16" i="7"/>
  <c r="AG15" i="7"/>
  <c r="AO12" i="7"/>
  <c r="AP11" i="7"/>
  <c r="B12" i="7"/>
  <c r="C11" i="7"/>
  <c r="T17" i="7"/>
  <c r="U16" i="7"/>
  <c r="W11" i="7"/>
  <c r="X10" i="7"/>
  <c r="AL10" i="7"/>
  <c r="AM9" i="7"/>
  <c r="N12" i="7"/>
  <c r="O11" i="7"/>
  <c r="AI17" i="7"/>
  <c r="AJ16" i="7"/>
  <c r="Z10" i="7"/>
  <c r="AA9" i="7"/>
  <c r="Q16" i="7"/>
  <c r="R15" i="7"/>
  <c r="H13" i="7"/>
  <c r="I12" i="7"/>
  <c r="AI18" i="7" l="1"/>
  <c r="AJ17" i="7"/>
  <c r="AG16" i="7"/>
  <c r="AF17" i="7"/>
  <c r="AR20" i="7"/>
  <c r="AS19" i="7"/>
  <c r="W12" i="7"/>
  <c r="X11" i="7"/>
  <c r="H14" i="7"/>
  <c r="I13" i="7"/>
  <c r="AO13" i="7"/>
  <c r="AP12" i="7"/>
  <c r="N13" i="7"/>
  <c r="O12" i="7"/>
  <c r="AL11" i="7"/>
  <c r="AM10" i="7"/>
  <c r="E17" i="7"/>
  <c r="F16" i="7"/>
  <c r="Q17" i="7"/>
  <c r="R16" i="7"/>
  <c r="T18" i="7"/>
  <c r="U17" i="7"/>
  <c r="K11" i="7"/>
  <c r="L10" i="7"/>
  <c r="Z11" i="7"/>
  <c r="AA10" i="7"/>
  <c r="B13" i="7"/>
  <c r="C12" i="7"/>
  <c r="AC12" i="7"/>
  <c r="AD11" i="7"/>
  <c r="K12" i="7" l="1"/>
  <c r="L11" i="7"/>
  <c r="W13" i="7"/>
  <c r="X12" i="7"/>
  <c r="AC13" i="7"/>
  <c r="AD12" i="7"/>
  <c r="E18" i="7"/>
  <c r="F17" i="7"/>
  <c r="AR21" i="7"/>
  <c r="AS20" i="7"/>
  <c r="AF18" i="7"/>
  <c r="AG17" i="7"/>
  <c r="AO14" i="7"/>
  <c r="AP13" i="7"/>
  <c r="H15" i="7"/>
  <c r="I14" i="7"/>
  <c r="AL12" i="7"/>
  <c r="AM11" i="7"/>
  <c r="T19" i="7"/>
  <c r="U18" i="7"/>
  <c r="Q18" i="7"/>
  <c r="R17" i="7"/>
  <c r="B14" i="7"/>
  <c r="C13" i="7"/>
  <c r="Z12" i="7"/>
  <c r="AA11" i="7"/>
  <c r="N14" i="7"/>
  <c r="O13" i="7"/>
  <c r="AI19" i="7"/>
  <c r="AJ18" i="7"/>
  <c r="B15" i="7" l="1"/>
  <c r="C14" i="7"/>
  <c r="AR22" i="7"/>
  <c r="AS21" i="7"/>
  <c r="E19" i="7"/>
  <c r="F18" i="7"/>
  <c r="AI20" i="7"/>
  <c r="AJ19" i="7"/>
  <c r="AM12" i="7"/>
  <c r="AL13" i="7"/>
  <c r="AC14" i="7"/>
  <c r="AD13" i="7"/>
  <c r="W14" i="7"/>
  <c r="X13" i="7"/>
  <c r="AF19" i="7"/>
  <c r="AG18" i="7"/>
  <c r="Q19" i="7"/>
  <c r="R18" i="7"/>
  <c r="T20" i="7"/>
  <c r="U19" i="7"/>
  <c r="N15" i="7"/>
  <c r="O14" i="7"/>
  <c r="H16" i="7"/>
  <c r="I15" i="7"/>
  <c r="AA12" i="7"/>
  <c r="Z13" i="7"/>
  <c r="AO15" i="7"/>
  <c r="AP14" i="7"/>
  <c r="K13" i="7"/>
  <c r="L12" i="7"/>
  <c r="AC15" i="7" l="1"/>
  <c r="AD14" i="7"/>
  <c r="AL14" i="7"/>
  <c r="AM13" i="7"/>
  <c r="N16" i="7"/>
  <c r="O15" i="7"/>
  <c r="T21" i="7"/>
  <c r="U20" i="7"/>
  <c r="AI21" i="7"/>
  <c r="AJ20" i="7"/>
  <c r="K14" i="7"/>
  <c r="L13" i="7"/>
  <c r="Q20" i="7"/>
  <c r="R19" i="7"/>
  <c r="E20" i="7"/>
  <c r="F19" i="7"/>
  <c r="H17" i="7"/>
  <c r="I16" i="7"/>
  <c r="AO16" i="7"/>
  <c r="AP15" i="7"/>
  <c r="AF20" i="7"/>
  <c r="AG19" i="7"/>
  <c r="AR23" i="7"/>
  <c r="AS22" i="7"/>
  <c r="Z14" i="7"/>
  <c r="AA13" i="7"/>
  <c r="W15" i="7"/>
  <c r="X14" i="7"/>
  <c r="B16" i="7"/>
  <c r="C15" i="7"/>
  <c r="AR24" i="7" l="1"/>
  <c r="AS23" i="7"/>
  <c r="L14" i="7"/>
  <c r="K15" i="7"/>
  <c r="AF21" i="7"/>
  <c r="AG20" i="7"/>
  <c r="AI22" i="7"/>
  <c r="AJ21" i="7"/>
  <c r="AO17" i="7"/>
  <c r="AP16" i="7"/>
  <c r="T22" i="7"/>
  <c r="U21" i="7"/>
  <c r="B17" i="7"/>
  <c r="C16" i="7"/>
  <c r="H18" i="7"/>
  <c r="I17" i="7"/>
  <c r="N17" i="7"/>
  <c r="O16" i="7"/>
  <c r="W16" i="7"/>
  <c r="X15" i="7"/>
  <c r="E21" i="7"/>
  <c r="F20" i="7"/>
  <c r="AL15" i="7"/>
  <c r="AM14" i="7"/>
  <c r="AA14" i="7"/>
  <c r="Z15" i="7"/>
  <c r="Q21" i="7"/>
  <c r="R20" i="7"/>
  <c r="AC16" i="7"/>
  <c r="AD15" i="7"/>
  <c r="AO18" i="7" l="1"/>
  <c r="AP17" i="7"/>
  <c r="AL16" i="7"/>
  <c r="AM15" i="7"/>
  <c r="AI23" i="7"/>
  <c r="AJ22" i="7"/>
  <c r="AF22" i="7"/>
  <c r="AG21" i="7"/>
  <c r="Z16" i="7"/>
  <c r="AA15" i="7"/>
  <c r="T23" i="7"/>
  <c r="U22" i="7"/>
  <c r="E22" i="7"/>
  <c r="F21" i="7"/>
  <c r="W17" i="7"/>
  <c r="X16" i="7"/>
  <c r="AC17" i="7"/>
  <c r="AD16" i="7"/>
  <c r="N18" i="7"/>
  <c r="O17" i="7"/>
  <c r="K16" i="7"/>
  <c r="L15" i="7"/>
  <c r="Q22" i="7"/>
  <c r="R21" i="7"/>
  <c r="H19" i="7"/>
  <c r="I18" i="7"/>
  <c r="B18" i="7"/>
  <c r="C17" i="7"/>
  <c r="AR25" i="7"/>
  <c r="AS24" i="7"/>
  <c r="K17" i="7" l="1"/>
  <c r="L16" i="7"/>
  <c r="AF23" i="7"/>
  <c r="AG22" i="7"/>
  <c r="AR26" i="7"/>
  <c r="AS25" i="7"/>
  <c r="AL17" i="7"/>
  <c r="AM16" i="7"/>
  <c r="Q23" i="7"/>
  <c r="R22" i="7"/>
  <c r="Z17" i="7"/>
  <c r="AA16" i="7"/>
  <c r="O18" i="7"/>
  <c r="N19" i="7"/>
  <c r="AI24" i="7"/>
  <c r="AJ23" i="7"/>
  <c r="T24" i="7"/>
  <c r="U23" i="7"/>
  <c r="AC18" i="7"/>
  <c r="AD17" i="7"/>
  <c r="B19" i="7"/>
  <c r="C18" i="7"/>
  <c r="X17" i="7"/>
  <c r="W18" i="7"/>
  <c r="H20" i="7"/>
  <c r="I19" i="7"/>
  <c r="E23" i="7"/>
  <c r="F22" i="7"/>
  <c r="AO19" i="7"/>
  <c r="AP18" i="7"/>
  <c r="Z18" i="7" l="1"/>
  <c r="AA17" i="7"/>
  <c r="B20" i="7"/>
  <c r="C19" i="7"/>
  <c r="AC19" i="7"/>
  <c r="AD18" i="7"/>
  <c r="W19" i="7"/>
  <c r="X18" i="7"/>
  <c r="E24" i="7"/>
  <c r="F23" i="7"/>
  <c r="AF24" i="7"/>
  <c r="AG23" i="7"/>
  <c r="Q24" i="7"/>
  <c r="R23" i="7"/>
  <c r="AR27" i="7"/>
  <c r="AS26" i="7"/>
  <c r="O19" i="7"/>
  <c r="N20" i="7"/>
  <c r="AL18" i="7"/>
  <c r="AM17" i="7"/>
  <c r="AP19" i="7"/>
  <c r="AO20" i="7"/>
  <c r="T25" i="7"/>
  <c r="U24" i="7"/>
  <c r="AI25" i="7"/>
  <c r="AJ24" i="7"/>
  <c r="H21" i="7"/>
  <c r="I20" i="7"/>
  <c r="K18" i="7"/>
  <c r="L17" i="7"/>
  <c r="AG24" i="7" l="1"/>
  <c r="AF25" i="7"/>
  <c r="W20" i="7"/>
  <c r="X19" i="7"/>
  <c r="K19" i="7"/>
  <c r="L18" i="7"/>
  <c r="T26" i="7"/>
  <c r="U25" i="7"/>
  <c r="AL19" i="7"/>
  <c r="AM18" i="7"/>
  <c r="N21" i="7"/>
  <c r="O20" i="7"/>
  <c r="B21" i="7"/>
  <c r="C20" i="7"/>
  <c r="AP20" i="7"/>
  <c r="AO21" i="7"/>
  <c r="AC20" i="7"/>
  <c r="AD19" i="7"/>
  <c r="F24" i="7"/>
  <c r="E25" i="7"/>
  <c r="H22" i="7"/>
  <c r="I21" i="7"/>
  <c r="AR28" i="7"/>
  <c r="AS27" i="7"/>
  <c r="AI26" i="7"/>
  <c r="AJ25" i="7"/>
  <c r="Q25" i="7"/>
  <c r="R24" i="7"/>
  <c r="Z19" i="7"/>
  <c r="AA18" i="7"/>
  <c r="AR29" i="7" l="1"/>
  <c r="AS28" i="7"/>
  <c r="N22" i="7"/>
  <c r="O21" i="7"/>
  <c r="H23" i="7"/>
  <c r="I22" i="7"/>
  <c r="AL20" i="7"/>
  <c r="AM19" i="7"/>
  <c r="E26" i="7"/>
  <c r="F25" i="7"/>
  <c r="T27" i="7"/>
  <c r="U26" i="7"/>
  <c r="Z20" i="7"/>
  <c r="AA19" i="7"/>
  <c r="AC21" i="7"/>
  <c r="AD20" i="7"/>
  <c r="K20" i="7"/>
  <c r="L19" i="7"/>
  <c r="AO22" i="7"/>
  <c r="AP21" i="7"/>
  <c r="Q26" i="7"/>
  <c r="R25" i="7"/>
  <c r="W21" i="7"/>
  <c r="X20" i="7"/>
  <c r="AF26" i="7"/>
  <c r="AG25" i="7"/>
  <c r="AI27" i="7"/>
  <c r="AJ26" i="7"/>
  <c r="B22" i="7"/>
  <c r="C21" i="7"/>
  <c r="T28" i="7" l="1"/>
  <c r="U27" i="7"/>
  <c r="Q27" i="7"/>
  <c r="R26" i="7"/>
  <c r="AL21" i="7"/>
  <c r="AM20" i="7"/>
  <c r="H24" i="7"/>
  <c r="I23" i="7"/>
  <c r="W22" i="7"/>
  <c r="X21" i="7"/>
  <c r="E27" i="7"/>
  <c r="F26" i="7"/>
  <c r="AO23" i="7"/>
  <c r="AP22" i="7"/>
  <c r="N23" i="7"/>
  <c r="O22" i="7"/>
  <c r="K21" i="7"/>
  <c r="L20" i="7"/>
  <c r="B23" i="7"/>
  <c r="C22" i="7"/>
  <c r="AI28" i="7"/>
  <c r="AJ27" i="7"/>
  <c r="AC22" i="7"/>
  <c r="AD21" i="7"/>
  <c r="AF27" i="7"/>
  <c r="AG26" i="7"/>
  <c r="Z21" i="7"/>
  <c r="AA20" i="7"/>
  <c r="AR30" i="7"/>
  <c r="AS29" i="7"/>
  <c r="E28" i="7" l="1"/>
  <c r="F27" i="7"/>
  <c r="AI29" i="7"/>
  <c r="AJ28" i="7"/>
  <c r="H25" i="7"/>
  <c r="I24" i="7"/>
  <c r="AC23" i="7"/>
  <c r="AD22" i="7"/>
  <c r="X22" i="7"/>
  <c r="W23" i="7"/>
  <c r="Q28" i="7"/>
  <c r="R27" i="7"/>
  <c r="B24" i="7"/>
  <c r="C23" i="7"/>
  <c r="AL22" i="7"/>
  <c r="AM21" i="7"/>
  <c r="AR31" i="7"/>
  <c r="AS30" i="7"/>
  <c r="K22" i="7"/>
  <c r="L21" i="7"/>
  <c r="Z22" i="7"/>
  <c r="AA21" i="7"/>
  <c r="N24" i="7"/>
  <c r="O23" i="7"/>
  <c r="AF28" i="7"/>
  <c r="AG27" i="7"/>
  <c r="AO24" i="7"/>
  <c r="AP23" i="7"/>
  <c r="T29" i="7"/>
  <c r="U28" i="7"/>
  <c r="Q29" i="7" l="1"/>
  <c r="R28" i="7"/>
  <c r="W24" i="7"/>
  <c r="X23" i="7"/>
  <c r="AC24" i="7"/>
  <c r="AD23" i="7"/>
  <c r="Z23" i="7"/>
  <c r="AA22" i="7"/>
  <c r="K23" i="7"/>
  <c r="L22" i="7"/>
  <c r="AI30" i="7"/>
  <c r="AJ29" i="7"/>
  <c r="N25" i="7"/>
  <c r="O24" i="7"/>
  <c r="H26" i="7"/>
  <c r="I25" i="7"/>
  <c r="T30" i="7"/>
  <c r="U29" i="7"/>
  <c r="AR32" i="7"/>
  <c r="AS31" i="7"/>
  <c r="AO25" i="7"/>
  <c r="AP24" i="7"/>
  <c r="AL23" i="7"/>
  <c r="AM22" i="7"/>
  <c r="AF29" i="7"/>
  <c r="AG28" i="7"/>
  <c r="B25" i="7"/>
  <c r="C24" i="7"/>
  <c r="E29" i="7"/>
  <c r="F28" i="7"/>
  <c r="AI31" i="7" l="1"/>
  <c r="AJ30" i="7"/>
  <c r="AO26" i="7"/>
  <c r="AP25" i="7"/>
  <c r="Z24" i="7"/>
  <c r="AA23" i="7"/>
  <c r="E30" i="7"/>
  <c r="F29" i="7"/>
  <c r="T31" i="7"/>
  <c r="U30" i="7"/>
  <c r="AC25" i="7"/>
  <c r="AD24" i="7"/>
  <c r="B26" i="7"/>
  <c r="C25" i="7"/>
  <c r="H27" i="7"/>
  <c r="I26" i="7"/>
  <c r="W25" i="7"/>
  <c r="X24" i="7"/>
  <c r="AL24" i="7"/>
  <c r="AM23" i="7"/>
  <c r="K24" i="7"/>
  <c r="L23" i="7"/>
  <c r="AR33" i="7"/>
  <c r="AS32" i="7"/>
  <c r="AF30" i="7"/>
  <c r="AG29" i="7"/>
  <c r="N26" i="7"/>
  <c r="O25" i="7"/>
  <c r="Q30" i="7"/>
  <c r="R29" i="7"/>
  <c r="AR34" i="7" l="1"/>
  <c r="AS34" i="7" s="1"/>
  <c r="AS33" i="7"/>
  <c r="AC26" i="7"/>
  <c r="AD25" i="7"/>
  <c r="K25" i="7"/>
  <c r="L24" i="7"/>
  <c r="T32" i="7"/>
  <c r="U31" i="7"/>
  <c r="AL25" i="7"/>
  <c r="AM24" i="7"/>
  <c r="E31" i="7"/>
  <c r="F30" i="7"/>
  <c r="Q31" i="7"/>
  <c r="R30" i="7"/>
  <c r="W26" i="7"/>
  <c r="X25" i="7"/>
  <c r="Z25" i="7"/>
  <c r="AA24" i="7"/>
  <c r="O26" i="7"/>
  <c r="N27" i="7"/>
  <c r="H28" i="7"/>
  <c r="I27" i="7"/>
  <c r="AO27" i="7"/>
  <c r="AP26" i="7"/>
  <c r="AF31" i="7"/>
  <c r="AG30" i="7"/>
  <c r="B27" i="7"/>
  <c r="C26" i="7"/>
  <c r="AI32" i="7"/>
  <c r="AJ31" i="7"/>
  <c r="AO28" i="7" l="1"/>
  <c r="AP27" i="7"/>
  <c r="E32" i="7"/>
  <c r="F31" i="7"/>
  <c r="I28" i="7"/>
  <c r="H29" i="7"/>
  <c r="AL26" i="7"/>
  <c r="AM25" i="7"/>
  <c r="T33" i="7"/>
  <c r="U32" i="7"/>
  <c r="AI33" i="7"/>
  <c r="AJ32" i="7"/>
  <c r="Z26" i="7"/>
  <c r="AA25" i="7"/>
  <c r="K26" i="7"/>
  <c r="L25" i="7"/>
  <c r="N28" i="7"/>
  <c r="O27" i="7"/>
  <c r="B28" i="7"/>
  <c r="C27" i="7"/>
  <c r="W27" i="7"/>
  <c r="X26" i="7"/>
  <c r="AC27" i="7"/>
  <c r="AD26" i="7"/>
  <c r="AF32" i="7"/>
  <c r="AG31" i="7"/>
  <c r="Q32" i="7"/>
  <c r="R31" i="7"/>
  <c r="AI34" i="7" l="1"/>
  <c r="AJ34" i="7" s="1"/>
  <c r="AJ33" i="7"/>
  <c r="W28" i="7"/>
  <c r="X27" i="7"/>
  <c r="H30" i="7"/>
  <c r="I29" i="7"/>
  <c r="AC28" i="7"/>
  <c r="AD27" i="7"/>
  <c r="T34" i="7"/>
  <c r="U34" i="7" s="1"/>
  <c r="U33" i="7"/>
  <c r="B29" i="7"/>
  <c r="C28" i="7"/>
  <c r="AL27" i="7"/>
  <c r="AM26" i="7"/>
  <c r="N29" i="7"/>
  <c r="O28" i="7"/>
  <c r="Q33" i="7"/>
  <c r="R32" i="7"/>
  <c r="K27" i="7"/>
  <c r="L26" i="7"/>
  <c r="E33" i="7"/>
  <c r="F32" i="7"/>
  <c r="AF33" i="7"/>
  <c r="AG32" i="7"/>
  <c r="Z27" i="7"/>
  <c r="AA26" i="7"/>
  <c r="AO29" i="7"/>
  <c r="AP28" i="7"/>
  <c r="AF34" i="7" l="1"/>
  <c r="AG34" i="7" s="1"/>
  <c r="AG33" i="7"/>
  <c r="K28" i="7"/>
  <c r="L27" i="7"/>
  <c r="H31" i="7"/>
  <c r="I30" i="7"/>
  <c r="AC29" i="7"/>
  <c r="AD28" i="7"/>
  <c r="W29" i="7"/>
  <c r="X28" i="7"/>
  <c r="B30" i="7"/>
  <c r="C29" i="7"/>
  <c r="E34" i="7"/>
  <c r="F34" i="7" s="1"/>
  <c r="F33" i="7"/>
  <c r="AO30" i="7"/>
  <c r="AP29" i="7"/>
  <c r="Q34" i="7"/>
  <c r="R34" i="7" s="1"/>
  <c r="R33" i="7"/>
  <c r="N30" i="7"/>
  <c r="O29" i="7"/>
  <c r="Z28" i="7"/>
  <c r="AA27" i="7"/>
  <c r="AL28" i="7"/>
  <c r="AM27" i="7"/>
  <c r="W30" i="7" l="1"/>
  <c r="X29" i="7"/>
  <c r="N31" i="7"/>
  <c r="O30" i="7"/>
  <c r="B31" i="7"/>
  <c r="C30" i="7"/>
  <c r="K29" i="7"/>
  <c r="L28" i="7"/>
  <c r="AL29" i="7"/>
  <c r="AM28" i="7"/>
  <c r="Z29" i="7"/>
  <c r="AA28" i="7"/>
  <c r="AC30" i="7"/>
  <c r="AD29" i="7"/>
  <c r="AO31" i="7"/>
  <c r="AP30" i="7"/>
  <c r="H32" i="7"/>
  <c r="I31" i="7"/>
  <c r="Z30" i="7" l="1"/>
  <c r="AA29" i="7"/>
  <c r="AO32" i="7"/>
  <c r="AP31" i="7"/>
  <c r="B32" i="7"/>
  <c r="C31" i="7"/>
  <c r="AL30" i="7"/>
  <c r="AM29" i="7"/>
  <c r="K30" i="7"/>
  <c r="L29" i="7"/>
  <c r="H33" i="7"/>
  <c r="I32" i="7"/>
  <c r="N32" i="7"/>
  <c r="O31" i="7"/>
  <c r="AC31" i="7"/>
  <c r="AD30" i="7"/>
  <c r="W31" i="7"/>
  <c r="X30" i="7"/>
  <c r="H34" i="7" l="1"/>
  <c r="I34" i="7" s="1"/>
  <c r="I33" i="7"/>
  <c r="K31" i="7"/>
  <c r="L30" i="7"/>
  <c r="B33" i="7"/>
  <c r="C32" i="7"/>
  <c r="AL31" i="7"/>
  <c r="AM30" i="7"/>
  <c r="W32" i="7"/>
  <c r="X31" i="7"/>
  <c r="AC32" i="7"/>
  <c r="AD31" i="7"/>
  <c r="AO33" i="7"/>
  <c r="AP32" i="7"/>
  <c r="N33" i="7"/>
  <c r="O32" i="7"/>
  <c r="Z31" i="7"/>
  <c r="AA30" i="7"/>
  <c r="B34" i="7" l="1"/>
  <c r="C34" i="7" s="1"/>
  <c r="C33" i="7"/>
  <c r="K32" i="7"/>
  <c r="L31" i="7"/>
  <c r="AC33" i="7"/>
  <c r="AD32" i="7"/>
  <c r="AL32" i="7"/>
  <c r="AM31" i="7"/>
  <c r="N34" i="7"/>
  <c r="O34" i="7" s="1"/>
  <c r="O33" i="7"/>
  <c r="W33" i="7"/>
  <c r="X32" i="7"/>
  <c r="Z32" i="7"/>
  <c r="AA31" i="7"/>
  <c r="AO34" i="7"/>
  <c r="AP34" i="7" s="1"/>
  <c r="AP33" i="7"/>
  <c r="W34" i="7" l="1"/>
  <c r="X34" i="7" s="1"/>
  <c r="X33" i="7"/>
  <c r="AL33" i="7"/>
  <c r="AM32" i="7"/>
  <c r="K33" i="7"/>
  <c r="L32" i="7"/>
  <c r="AC34" i="7"/>
  <c r="AD34" i="7" s="1"/>
  <c r="AD33" i="7"/>
  <c r="Z33" i="7"/>
  <c r="AA32" i="7"/>
  <c r="Z34" i="7" l="1"/>
  <c r="AA34" i="7" s="1"/>
  <c r="AA33" i="7"/>
  <c r="AL34" i="7"/>
  <c r="AM34" i="7" s="1"/>
  <c r="AM33" i="7"/>
  <c r="K34" i="7"/>
  <c r="L34" i="7" s="1"/>
  <c r="L33" i="7"/>
  <c r="AV6" i="1" l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5" i="1"/>
  <c r="AJ6" i="1"/>
  <c r="AJ7" i="1"/>
  <c r="AJ8" i="1"/>
  <c r="AK8" i="1" s="1"/>
  <c r="AJ9" i="1"/>
  <c r="AJ10" i="1"/>
  <c r="AJ11" i="1"/>
  <c r="AK11" i="1" s="1"/>
  <c r="AJ12" i="1"/>
  <c r="AK12" i="1" s="1"/>
  <c r="AJ13" i="1"/>
  <c r="AK13" i="1" s="1"/>
  <c r="AJ14" i="1"/>
  <c r="AK14" i="1" s="1"/>
  <c r="AJ15" i="1"/>
  <c r="AK15" i="1" s="1"/>
  <c r="AJ16" i="1"/>
  <c r="AK16" i="1" s="1"/>
  <c r="AJ17" i="1"/>
  <c r="AK17" i="1" s="1"/>
  <c r="AJ18" i="1"/>
  <c r="AJ19" i="1"/>
  <c r="AK19" i="1" s="1"/>
  <c r="AJ20" i="1"/>
  <c r="AK20" i="1" s="1"/>
  <c r="AJ21" i="1"/>
  <c r="AJ22" i="1"/>
  <c r="AK22" i="1" s="1"/>
  <c r="AJ23" i="1"/>
  <c r="AJ24" i="1"/>
  <c r="AK24" i="1" s="1"/>
  <c r="AJ25" i="1"/>
  <c r="AK25" i="1" s="1"/>
  <c r="AJ26" i="1"/>
  <c r="AK26" i="1" s="1"/>
  <c r="AJ27" i="1"/>
  <c r="AK27" i="1" s="1"/>
  <c r="AJ28" i="1"/>
  <c r="AK28" i="1" s="1"/>
  <c r="AJ29" i="1"/>
  <c r="AK29" i="1" s="1"/>
  <c r="AJ30" i="1"/>
  <c r="AJ31" i="1"/>
  <c r="AK31" i="1" s="1"/>
  <c r="AJ32" i="1"/>
  <c r="AJ33" i="1"/>
  <c r="AJ34" i="1"/>
  <c r="AK34" i="1" s="1"/>
  <c r="AJ35" i="1"/>
  <c r="AK35" i="1" s="1"/>
  <c r="AJ36" i="1"/>
  <c r="AK36" i="1" s="1"/>
  <c r="AJ37" i="1"/>
  <c r="AK37" i="1" s="1"/>
  <c r="AJ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5" i="1"/>
  <c r="X6" i="1"/>
  <c r="X7" i="1"/>
  <c r="Y7" i="1" s="1"/>
  <c r="X8" i="1"/>
  <c r="Y8" i="1" s="1"/>
  <c r="X9" i="1"/>
  <c r="X10" i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X19" i="1"/>
  <c r="X20" i="1"/>
  <c r="Y20" i="1" s="1"/>
  <c r="X21" i="1"/>
  <c r="X22" i="1"/>
  <c r="Y22" i="1" s="1"/>
  <c r="X23" i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X31" i="1"/>
  <c r="X32" i="1"/>
  <c r="Y32" i="1" s="1"/>
  <c r="X33" i="1"/>
  <c r="X34" i="1"/>
  <c r="Y34" i="1" s="1"/>
  <c r="X35" i="1"/>
  <c r="Y35" i="1" s="1"/>
  <c r="X36" i="1"/>
  <c r="Y36" i="1" s="1"/>
  <c r="X37" i="1"/>
  <c r="Y37" i="1" s="1"/>
  <c r="X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5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I37" i="1"/>
  <c r="I36" i="1"/>
  <c r="I35" i="1"/>
  <c r="I34" i="1"/>
  <c r="I33" i="1"/>
  <c r="I32" i="1"/>
  <c r="J32" i="1" s="1"/>
  <c r="I31" i="1"/>
  <c r="I30" i="1"/>
  <c r="I29" i="1"/>
  <c r="I28" i="1"/>
  <c r="I27" i="1"/>
  <c r="I26" i="1"/>
  <c r="J26" i="1" s="1"/>
  <c r="I25" i="1"/>
  <c r="I24" i="1"/>
  <c r="I23" i="1"/>
  <c r="I22" i="1"/>
  <c r="I21" i="1"/>
  <c r="I20" i="1"/>
  <c r="J20" i="1" s="1"/>
  <c r="I19" i="1"/>
  <c r="I18" i="1"/>
  <c r="I17" i="1"/>
  <c r="I16" i="1"/>
  <c r="I15" i="1"/>
  <c r="I14" i="1"/>
  <c r="J14" i="1" s="1"/>
  <c r="I13" i="1"/>
  <c r="I12" i="1"/>
  <c r="I11" i="1"/>
  <c r="I10" i="1"/>
  <c r="I9" i="1"/>
  <c r="I8" i="1"/>
  <c r="J8" i="1" s="1"/>
  <c r="I7" i="1"/>
  <c r="I6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5" i="1"/>
  <c r="D12" i="8" l="1"/>
  <c r="D5" i="8"/>
  <c r="D9" i="8"/>
  <c r="D10" i="8" s="1"/>
  <c r="L5" i="8"/>
  <c r="L9" i="8"/>
  <c r="L10" i="8" s="1"/>
  <c r="L12" i="8"/>
  <c r="AK23" i="1"/>
  <c r="P12" i="8"/>
  <c r="P9" i="8"/>
  <c r="P10" i="8" s="1"/>
  <c r="P5" i="8"/>
  <c r="AK32" i="1"/>
  <c r="B5" i="8"/>
  <c r="B9" i="8"/>
  <c r="B10" i="8" s="1"/>
  <c r="B12" i="8"/>
  <c r="F9" i="8"/>
  <c r="F10" i="8" s="1"/>
  <c r="F5" i="8"/>
  <c r="F12" i="8"/>
  <c r="J9" i="8"/>
  <c r="J10" i="8" s="1"/>
  <c r="J12" i="8"/>
  <c r="J5" i="8"/>
  <c r="N5" i="8"/>
  <c r="N9" i="8"/>
  <c r="N10" i="8" s="1"/>
  <c r="N12" i="8"/>
  <c r="Y10" i="1"/>
  <c r="AK10" i="1"/>
  <c r="C9" i="8"/>
  <c r="C10" i="8" s="1"/>
  <c r="C5" i="8"/>
  <c r="C12" i="8"/>
  <c r="G5" i="8"/>
  <c r="G9" i="8"/>
  <c r="G10" i="8" s="1"/>
  <c r="G12" i="8"/>
  <c r="K5" i="8"/>
  <c r="K12" i="8"/>
  <c r="K9" i="8"/>
  <c r="K10" i="8" s="1"/>
  <c r="O9" i="8"/>
  <c r="O10" i="8" s="1"/>
  <c r="O12" i="8"/>
  <c r="O5" i="8"/>
  <c r="D13" i="1"/>
  <c r="J24" i="1"/>
  <c r="H5" i="8"/>
  <c r="H9" i="8"/>
  <c r="H10" i="8" s="1"/>
  <c r="H12" i="8"/>
  <c r="Y23" i="1"/>
  <c r="D37" i="1"/>
  <c r="D25" i="1"/>
  <c r="J12" i="1"/>
  <c r="J36" i="1"/>
  <c r="P37" i="1"/>
  <c r="P25" i="1"/>
  <c r="P13" i="1"/>
  <c r="AB37" i="1"/>
  <c r="AB25" i="1"/>
  <c r="AB13" i="1"/>
  <c r="AN37" i="1"/>
  <c r="AN25" i="1"/>
  <c r="AN13" i="1"/>
  <c r="D36" i="1"/>
  <c r="D24" i="1"/>
  <c r="D12" i="1"/>
  <c r="P36" i="1"/>
  <c r="P24" i="1"/>
  <c r="P12" i="1"/>
  <c r="M5" i="1"/>
  <c r="E12" i="8"/>
  <c r="E5" i="8"/>
  <c r="E9" i="8"/>
  <c r="E10" i="8" s="1"/>
  <c r="Y5" i="1"/>
  <c r="I9" i="8"/>
  <c r="I10" i="8" s="1"/>
  <c r="I5" i="8"/>
  <c r="I12" i="8"/>
  <c r="AK5" i="1"/>
  <c r="M5" i="8"/>
  <c r="M9" i="8"/>
  <c r="M10" i="8" s="1"/>
  <c r="M12" i="8"/>
  <c r="Q12" i="8"/>
  <c r="Q9" i="8"/>
  <c r="Q5" i="8"/>
  <c r="G37" i="1"/>
  <c r="G25" i="1"/>
  <c r="G13" i="1"/>
  <c r="S37" i="1"/>
  <c r="S25" i="1"/>
  <c r="AE37" i="1"/>
  <c r="AQ37" i="1"/>
  <c r="AQ13" i="1"/>
  <c r="M19" i="1"/>
  <c r="D5" i="1"/>
  <c r="D26" i="1"/>
  <c r="D14" i="1"/>
  <c r="M14" i="1"/>
  <c r="M26" i="1"/>
  <c r="P5" i="1"/>
  <c r="P26" i="1"/>
  <c r="P14" i="1"/>
  <c r="AB5" i="1"/>
  <c r="AB26" i="1"/>
  <c r="AB14" i="1"/>
  <c r="AN5" i="1"/>
  <c r="AN26" i="1"/>
  <c r="AN14" i="1"/>
  <c r="J13" i="1"/>
  <c r="J25" i="1"/>
  <c r="J37" i="1"/>
  <c r="AB36" i="1"/>
  <c r="AB24" i="1"/>
  <c r="AB12" i="1"/>
  <c r="AN36" i="1"/>
  <c r="AN24" i="1"/>
  <c r="AN12" i="1"/>
  <c r="J21" i="1"/>
  <c r="V22" i="1"/>
  <c r="AH34" i="1"/>
  <c r="AT22" i="1"/>
  <c r="V21" i="1"/>
  <c r="G11" i="1"/>
  <c r="S35" i="1"/>
  <c r="S11" i="1"/>
  <c r="V32" i="1"/>
  <c r="V20" i="1"/>
  <c r="V8" i="1"/>
  <c r="AE35" i="1"/>
  <c r="AE23" i="1"/>
  <c r="AE11" i="1"/>
  <c r="AH32" i="1"/>
  <c r="AH20" i="1"/>
  <c r="AH8" i="1"/>
  <c r="AQ35" i="1"/>
  <c r="AQ23" i="1"/>
  <c r="AQ11" i="1"/>
  <c r="AT32" i="1"/>
  <c r="AT20" i="1"/>
  <c r="AT8" i="1"/>
  <c r="J29" i="1"/>
  <c r="G34" i="1"/>
  <c r="G22" i="1"/>
  <c r="G10" i="1"/>
  <c r="M15" i="1"/>
  <c r="M27" i="1"/>
  <c r="S34" i="1"/>
  <c r="S22" i="1"/>
  <c r="S10" i="1"/>
  <c r="AE34" i="1"/>
  <c r="AE22" i="1"/>
  <c r="AE10" i="1"/>
  <c r="AQ34" i="1"/>
  <c r="AQ22" i="1"/>
  <c r="AQ10" i="1"/>
  <c r="M22" i="1"/>
  <c r="J9" i="1"/>
  <c r="AH10" i="1"/>
  <c r="AT34" i="1"/>
  <c r="AT10" i="1"/>
  <c r="V9" i="1"/>
  <c r="AH9" i="1"/>
  <c r="G35" i="1"/>
  <c r="J23" i="1"/>
  <c r="D35" i="1"/>
  <c r="P23" i="1"/>
  <c r="AB23" i="1"/>
  <c r="AN35" i="1"/>
  <c r="AN23" i="1"/>
  <c r="AN11" i="1"/>
  <c r="D34" i="1"/>
  <c r="P34" i="1"/>
  <c r="P22" i="1"/>
  <c r="P10" i="1"/>
  <c r="AB34" i="1"/>
  <c r="AB22" i="1"/>
  <c r="AB10" i="1"/>
  <c r="AN34" i="1"/>
  <c r="AN22" i="1"/>
  <c r="AN10" i="1"/>
  <c r="M10" i="1"/>
  <c r="M34" i="1"/>
  <c r="J33" i="1"/>
  <c r="V34" i="1"/>
  <c r="V10" i="1"/>
  <c r="AH22" i="1"/>
  <c r="J10" i="1"/>
  <c r="V33" i="1"/>
  <c r="AH33" i="1"/>
  <c r="AH21" i="1"/>
  <c r="AT21" i="1"/>
  <c r="G23" i="1"/>
  <c r="J11" i="1"/>
  <c r="J35" i="1"/>
  <c r="S23" i="1"/>
  <c r="D23" i="1"/>
  <c r="D11" i="1"/>
  <c r="P35" i="1"/>
  <c r="P11" i="1"/>
  <c r="AB35" i="1"/>
  <c r="AB11" i="1"/>
  <c r="D22" i="1"/>
  <c r="D10" i="1"/>
  <c r="J19" i="1"/>
  <c r="V24" i="1"/>
  <c r="V12" i="1"/>
  <c r="AH36" i="1"/>
  <c r="AH24" i="1"/>
  <c r="AH12" i="1"/>
  <c r="AT36" i="1"/>
  <c r="AT24" i="1"/>
  <c r="AT12" i="1"/>
  <c r="J17" i="1"/>
  <c r="V19" i="1"/>
  <c r="AH31" i="1"/>
  <c r="AH7" i="1"/>
  <c r="AT31" i="1"/>
  <c r="D16" i="1"/>
  <c r="G21" i="1"/>
  <c r="S21" i="1"/>
  <c r="AE9" i="1"/>
  <c r="AQ21" i="1"/>
  <c r="G20" i="1"/>
  <c r="S8" i="1"/>
  <c r="AE20" i="1"/>
  <c r="AQ8" i="1"/>
  <c r="G31" i="1"/>
  <c r="S7" i="1"/>
  <c r="AE7" i="1"/>
  <c r="AQ19" i="1"/>
  <c r="D9" i="1"/>
  <c r="P9" i="1"/>
  <c r="AB21" i="1"/>
  <c r="AN33" i="1"/>
  <c r="D8" i="1"/>
  <c r="P32" i="1"/>
  <c r="AB32" i="1"/>
  <c r="AB8" i="1"/>
  <c r="AN32" i="1"/>
  <c r="AN20" i="1"/>
  <c r="AN8" i="1"/>
  <c r="V31" i="1"/>
  <c r="V7" i="1"/>
  <c r="AH19" i="1"/>
  <c r="AT19" i="1"/>
  <c r="AT7" i="1"/>
  <c r="G33" i="1"/>
  <c r="G9" i="1"/>
  <c r="M16" i="1"/>
  <c r="M28" i="1"/>
  <c r="S33" i="1"/>
  <c r="S9" i="1"/>
  <c r="AE33" i="1"/>
  <c r="AE21" i="1"/>
  <c r="AQ33" i="1"/>
  <c r="AQ9" i="1"/>
  <c r="G32" i="1"/>
  <c r="G8" i="1"/>
  <c r="S32" i="1"/>
  <c r="S20" i="1"/>
  <c r="AE32" i="1"/>
  <c r="AE8" i="1"/>
  <c r="AQ32" i="1"/>
  <c r="AQ20" i="1"/>
  <c r="G19" i="1"/>
  <c r="G7" i="1"/>
  <c r="S31" i="1"/>
  <c r="S19" i="1"/>
  <c r="AE31" i="1"/>
  <c r="AE19" i="1"/>
  <c r="AQ31" i="1"/>
  <c r="AQ7" i="1"/>
  <c r="AQ25" i="1"/>
  <c r="AE13" i="1"/>
  <c r="D33" i="1"/>
  <c r="D21" i="1"/>
  <c r="P33" i="1"/>
  <c r="P21" i="1"/>
  <c r="AB33" i="1"/>
  <c r="AB9" i="1"/>
  <c r="AN21" i="1"/>
  <c r="AN9" i="1"/>
  <c r="V36" i="1"/>
  <c r="AQ24" i="1"/>
  <c r="D32" i="1"/>
  <c r="D20" i="1"/>
  <c r="M8" i="1"/>
  <c r="M20" i="1"/>
  <c r="M32" i="1"/>
  <c r="P20" i="1"/>
  <c r="P8" i="1"/>
  <c r="AB20" i="1"/>
  <c r="S13" i="1"/>
  <c r="AE25" i="1"/>
  <c r="J5" i="1"/>
  <c r="V26" i="1"/>
  <c r="AH26" i="1"/>
  <c r="AH14" i="1"/>
  <c r="AT26" i="1"/>
  <c r="V25" i="1"/>
  <c r="AH37" i="1"/>
  <c r="AH13" i="1"/>
  <c r="AT13" i="1"/>
  <c r="G5" i="1"/>
  <c r="C7" i="8" s="1"/>
  <c r="C11" i="8" s="1"/>
  <c r="V35" i="1"/>
  <c r="V23" i="1"/>
  <c r="V11" i="1"/>
  <c r="AE5" i="1"/>
  <c r="AE26" i="1"/>
  <c r="AE14" i="1"/>
  <c r="AH35" i="1"/>
  <c r="AH23" i="1"/>
  <c r="AH11" i="1"/>
  <c r="AQ5" i="1"/>
  <c r="AQ26" i="1"/>
  <c r="AQ14" i="1"/>
  <c r="AT35" i="1"/>
  <c r="AT23" i="1"/>
  <c r="AT11" i="1"/>
  <c r="AK21" i="1"/>
  <c r="AK9" i="1"/>
  <c r="P16" i="1"/>
  <c r="M17" i="1"/>
  <c r="V14" i="1"/>
  <c r="AH5" i="1"/>
  <c r="AT5" i="1"/>
  <c r="AT14" i="1"/>
  <c r="AE24" i="1"/>
  <c r="AT37" i="1"/>
  <c r="AT25" i="1"/>
  <c r="G26" i="1"/>
  <c r="M23" i="1"/>
  <c r="S5" i="1"/>
  <c r="S14" i="1"/>
  <c r="M12" i="1"/>
  <c r="M24" i="1"/>
  <c r="M36" i="1"/>
  <c r="V5" i="1"/>
  <c r="V37" i="1"/>
  <c r="V13" i="1"/>
  <c r="AH25" i="1"/>
  <c r="G14" i="1"/>
  <c r="M11" i="1"/>
  <c r="M35" i="1"/>
  <c r="S26" i="1"/>
  <c r="D27" i="1"/>
  <c r="D15" i="1"/>
  <c r="G36" i="1"/>
  <c r="G24" i="1"/>
  <c r="G12" i="1"/>
  <c r="J22" i="1"/>
  <c r="J34" i="1"/>
  <c r="M13" i="1"/>
  <c r="M25" i="1"/>
  <c r="M37" i="1"/>
  <c r="P27" i="1"/>
  <c r="P15" i="1"/>
  <c r="S36" i="1"/>
  <c r="S24" i="1"/>
  <c r="S12" i="1"/>
  <c r="AE36" i="1"/>
  <c r="AE12" i="1"/>
  <c r="AK30" i="1"/>
  <c r="AQ36" i="1"/>
  <c r="AQ12" i="1"/>
  <c r="AT33" i="1"/>
  <c r="AT9" i="1"/>
  <c r="AN18" i="1"/>
  <c r="AB18" i="1"/>
  <c r="P18" i="1"/>
  <c r="D18" i="1"/>
  <c r="V30" i="1"/>
  <c r="V18" i="1"/>
  <c r="V6" i="1"/>
  <c r="AH30" i="1"/>
  <c r="AH18" i="1"/>
  <c r="AH6" i="1"/>
  <c r="AT30" i="1"/>
  <c r="AT18" i="1"/>
  <c r="AT6" i="1"/>
  <c r="P28" i="1"/>
  <c r="AB28" i="1"/>
  <c r="M29" i="1"/>
  <c r="V29" i="1"/>
  <c r="V17" i="1"/>
  <c r="AH29" i="1"/>
  <c r="AH17" i="1"/>
  <c r="AT29" i="1"/>
  <c r="AT17" i="1"/>
  <c r="AQ27" i="1"/>
  <c r="AE27" i="1"/>
  <c r="S27" i="1"/>
  <c r="G27" i="1"/>
  <c r="AQ15" i="1"/>
  <c r="AE15" i="1"/>
  <c r="S15" i="1"/>
  <c r="G15" i="1"/>
  <c r="AB16" i="1"/>
  <c r="AN28" i="1"/>
  <c r="J15" i="1"/>
  <c r="J27" i="1"/>
  <c r="V28" i="1"/>
  <c r="V16" i="1"/>
  <c r="AH28" i="1"/>
  <c r="AH16" i="1"/>
  <c r="AT28" i="1"/>
  <c r="AT16" i="1"/>
  <c r="D28" i="1"/>
  <c r="AB15" i="1"/>
  <c r="AN27" i="1"/>
  <c r="G30" i="1"/>
  <c r="M18" i="1"/>
  <c r="AN16" i="1"/>
  <c r="Y18" i="1"/>
  <c r="AN30" i="1"/>
  <c r="AB30" i="1"/>
  <c r="P30" i="1"/>
  <c r="D30" i="1"/>
  <c r="M30" i="1"/>
  <c r="J30" i="1"/>
  <c r="AN6" i="1"/>
  <c r="AB6" i="1"/>
  <c r="P6" i="1"/>
  <c r="D6" i="1"/>
  <c r="M6" i="1"/>
  <c r="J6" i="1"/>
  <c r="Y30" i="1"/>
  <c r="Y6" i="1"/>
  <c r="AB27" i="1"/>
  <c r="AK18" i="1"/>
  <c r="AK6" i="1"/>
  <c r="AN15" i="1"/>
  <c r="Y31" i="1"/>
  <c r="M31" i="1"/>
  <c r="J31" i="1"/>
  <c r="Y19" i="1"/>
  <c r="M7" i="1"/>
  <c r="J7" i="1"/>
  <c r="AK7" i="1"/>
  <c r="J18" i="1"/>
  <c r="G6" i="1"/>
  <c r="J28" i="1"/>
  <c r="S30" i="1"/>
  <c r="S6" i="1"/>
  <c r="V15" i="1"/>
  <c r="AE18" i="1"/>
  <c r="AH27" i="1"/>
  <c r="AQ30" i="1"/>
  <c r="AQ6" i="1"/>
  <c r="D31" i="1"/>
  <c r="D19" i="1"/>
  <c r="D7" i="1"/>
  <c r="G28" i="1"/>
  <c r="G16" i="1"/>
  <c r="P31" i="1"/>
  <c r="P19" i="1"/>
  <c r="P7" i="1"/>
  <c r="S28" i="1"/>
  <c r="S16" i="1"/>
  <c r="AB31" i="1"/>
  <c r="AB19" i="1"/>
  <c r="AB7" i="1"/>
  <c r="AE28" i="1"/>
  <c r="AE16" i="1"/>
  <c r="AN31" i="1"/>
  <c r="AN19" i="1"/>
  <c r="AN7" i="1"/>
  <c r="AQ28" i="1"/>
  <c r="AQ16" i="1"/>
  <c r="D29" i="1"/>
  <c r="D17" i="1"/>
  <c r="P29" i="1"/>
  <c r="P17" i="1"/>
  <c r="AB29" i="1"/>
  <c r="AB17" i="1"/>
  <c r="AN29" i="1"/>
  <c r="AN17" i="1"/>
  <c r="G18" i="1"/>
  <c r="J16" i="1"/>
  <c r="S18" i="1"/>
  <c r="V27" i="1"/>
  <c r="AE30" i="1"/>
  <c r="AE6" i="1"/>
  <c r="AH15" i="1"/>
  <c r="AQ18" i="1"/>
  <c r="AT27" i="1"/>
  <c r="AT15" i="1"/>
  <c r="G29" i="1"/>
  <c r="G17" i="1"/>
  <c r="S29" i="1"/>
  <c r="S17" i="1"/>
  <c r="AE29" i="1"/>
  <c r="AE17" i="1"/>
  <c r="AQ29" i="1"/>
  <c r="AQ17" i="1"/>
  <c r="M33" i="1"/>
  <c r="M21" i="1"/>
  <c r="M9" i="1"/>
  <c r="Y33" i="1"/>
  <c r="Y21" i="1"/>
  <c r="Y9" i="1"/>
  <c r="AK33" i="1"/>
  <c r="G7" i="8" l="1"/>
  <c r="G11" i="8" s="1"/>
  <c r="J7" i="8"/>
  <c r="J11" i="8" s="1"/>
  <c r="M7" i="8"/>
  <c r="M11" i="8" s="1"/>
  <c r="H7" i="8"/>
  <c r="H11" i="8" s="1"/>
  <c r="P7" i="8"/>
  <c r="P11" i="8" s="1"/>
  <c r="O7" i="8"/>
  <c r="O11" i="8" s="1"/>
  <c r="L7" i="8"/>
  <c r="L11" i="8" s="1"/>
  <c r="F7" i="8"/>
  <c r="F11" i="8" s="1"/>
  <c r="I7" i="8"/>
  <c r="I11" i="8" s="1"/>
  <c r="K7" i="8"/>
  <c r="K11" i="8" s="1"/>
  <c r="D7" i="8"/>
  <c r="D11" i="8" s="1"/>
  <c r="B7" i="8"/>
  <c r="B11" i="8" s="1"/>
  <c r="E7" i="8"/>
  <c r="E11" i="8" s="1"/>
  <c r="N7" i="8"/>
  <c r="N11" i="8" s="1"/>
</calcChain>
</file>

<file path=xl/sharedStrings.xml><?xml version="1.0" encoding="utf-8"?>
<sst xmlns="http://schemas.openxmlformats.org/spreadsheetml/2006/main" count="139" uniqueCount="49">
  <si>
    <t>AFRICAPITAL EQUITY</t>
  </si>
  <si>
    <t>FCP CAPITAL PARTICIPATIONS</t>
  </si>
  <si>
    <t>FCP Capital Trust Equity</t>
  </si>
  <si>
    <t>FCP CFG PERFORMANCE</t>
  </si>
  <si>
    <t xml:space="preserve">FCP IRGAM ACTIONS </t>
  </si>
  <si>
    <t>ALPHA DYNAMIC FUND</t>
  </si>
  <si>
    <t>HORIZON EPARGNE</t>
  </si>
  <si>
    <t>FCP KENZ ACTIONS</t>
  </si>
  <si>
    <t>FCP OPTIMA PERFORMANCE</t>
  </si>
  <si>
    <t>FCP CAM INVESTISSEMENT</t>
  </si>
  <si>
    <t>STERLING EQUITY</t>
  </si>
  <si>
    <t>CKG ISR SELECTION</t>
  </si>
  <si>
    <t>ATTIJARI VALEURS ESG</t>
  </si>
  <si>
    <t>AD MOROCCAN EQUITY FUND</t>
  </si>
  <si>
    <t>AFG DYNAMIC FUND</t>
  </si>
  <si>
    <t>MASI RB (Benchmark)</t>
  </si>
  <si>
    <t>Date</t>
  </si>
  <si>
    <t>VL</t>
  </si>
  <si>
    <t>Code</t>
  </si>
  <si>
    <t>Intitulé</t>
  </si>
  <si>
    <t>Perf</t>
  </si>
  <si>
    <t>Ecart perf / MASI</t>
  </si>
  <si>
    <t>Volatilité Annualisée</t>
  </si>
  <si>
    <t>Ratio Sharp</t>
  </si>
  <si>
    <t>Perf YTD</t>
  </si>
  <si>
    <t>Bêta</t>
  </si>
  <si>
    <t>Treynor</t>
  </si>
  <si>
    <t>Ratio d'Information</t>
  </si>
  <si>
    <t>VaR 95</t>
  </si>
  <si>
    <t>VL_B</t>
  </si>
  <si>
    <t>Peak</t>
  </si>
  <si>
    <t>DD</t>
  </si>
  <si>
    <t>VL_E</t>
  </si>
  <si>
    <t>VL_H</t>
  </si>
  <si>
    <t>VL_K</t>
  </si>
  <si>
    <t>VL_N</t>
  </si>
  <si>
    <t>VL_Q</t>
  </si>
  <si>
    <t>VL_T</t>
  </si>
  <si>
    <t>VL_W</t>
  </si>
  <si>
    <t>VL_Z</t>
  </si>
  <si>
    <t>VL_AC</t>
  </si>
  <si>
    <t>VL_AF</t>
  </si>
  <si>
    <t>VL_AI</t>
  </si>
  <si>
    <t>VL_AL</t>
  </si>
  <si>
    <t>VL_AO</t>
  </si>
  <si>
    <t>VL_AR</t>
  </si>
  <si>
    <t>Perf YTD An</t>
  </si>
  <si>
    <t>Trakig Error Annualisée</t>
  </si>
  <si>
    <t>Taux sans risque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</si>
</sst>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1" formatCode="0.0%"/>
    <numFmt numFmtId="172" formatCode="_-* #,##0.00\ _€_-;\-* #,##0.00\ _€_-;_-* &quot;-&quot;??\ _€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0" fontId="3" fillId="0" borderId="0"/>
  </cellStyleXfs>
  <cellXfs count="20">
    <xf numFmtId="0" fontId="0" fillId="0" borderId="0" xfId="0"/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72" fontId="0" fillId="0" borderId="0" xfId="0" applyNumberFormat="1" applyAlignment="1">
      <alignment horizontal="center" vertical="center" wrapText="1"/>
    </xf>
    <xf numFmtId="0" fontId="4" fillId="0" borderId="0" xfId="0" applyFont="1"/>
    <xf numFmtId="43" fontId="1" fillId="0" borderId="0" xfId="1"/>
    <xf numFmtId="10" fontId="1" fillId="0" borderId="0" xfId="2" applyNumberFormat="1" applyAlignment="1">
      <alignment horizontal="center"/>
    </xf>
    <xf numFmtId="171" fontId="1" fillId="0" borderId="0" xfId="2" applyNumberFormat="1" applyAlignment="1">
      <alignment horizontal="center"/>
    </xf>
    <xf numFmtId="0" fontId="0" fillId="0" borderId="0" xfId="0" applyAlignment="1">
      <alignment horizontal="center"/>
    </xf>
    <xf numFmtId="10" fontId="0" fillId="5" borderId="0" xfId="2" applyNumberFormat="1" applyFont="1" applyFill="1" applyAlignment="1">
      <alignment horizontal="center" vertical="center" wrapText="1"/>
    </xf>
    <xf numFmtId="14" fontId="0" fillId="4" borderId="0" xfId="0" applyNumberFormat="1" applyFill="1" applyAlignment="1">
      <alignment vertical="center" wrapText="1"/>
    </xf>
    <xf numFmtId="0" fontId="0" fillId="4" borderId="0" xfId="0" applyFill="1" applyAlignment="1">
      <alignment vertical="center" wrapText="1"/>
    </xf>
  </cellXfs>
  <cellStyles count="5">
    <cellStyle name="Milliers" xfId="1" builtinId="3"/>
    <cellStyle name="Normal" xfId="0" builtinId="0"/>
    <cellStyle name="Normal 10 2 2 2" xfId="4" xr:uid="{1FDEB8B6-5F18-406E-B56E-6423BB613FBE}"/>
    <cellStyle name="Normal 66" xfId="3" xr:uid="{32582BAB-9A1E-4F90-B6BD-2A9E56A6E45A}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ukhnif/AppData/Local/Microsoft/Windows/INetCache/Content.Outlook/WVZJF126/Graphe%20des%20fonds%20d&#233;di&#233;s%20ACT_SAM%2017.08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ukhnif/Downloads/Data_OPCVM_Fonctionn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L MANAR"/>
      <sheetName val="VL MASI RB"/>
      <sheetName val="Base ASFIM"/>
      <sheetName val="AN"/>
      <sheetName val="Nb de parts"/>
      <sheetName val="S-R Act et Div_Hebdo"/>
      <sheetName val="Suivi des OPCVM ACT 2026"/>
      <sheetName val="Suivi des OPCVM DIV"/>
      <sheetName val="Fichier Hebdo"/>
      <sheetName val="Fiche PTF S-1"/>
      <sheetName val="Fiche PTF S"/>
      <sheetName val="OPCVM"/>
      <sheetName val="TRI des Fonds Actions"/>
      <sheetName val="Recap"/>
      <sheetName val="Reporting hebdo"/>
      <sheetName val="Reporting hebdo avec ISR"/>
      <sheetName val="VL Weekly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A6" t="str">
            <v>AD MOROCCAN EQUITY FUND</v>
          </cell>
          <cell r="AC6" t="str">
            <v>AFRICAPITAL EQUITY</v>
          </cell>
          <cell r="AD6" t="str">
            <v>FCP CAPITAL PARTICIPATIONS</v>
          </cell>
          <cell r="AE6" t="str">
            <v>FCP Capital Trust Equity</v>
          </cell>
          <cell r="AF6" t="str">
            <v>FCP CFG PERFORMANCE</v>
          </cell>
          <cell r="AG6" t="str">
            <v xml:space="preserve">FCP IRGAM ACTIONS </v>
          </cell>
          <cell r="AH6" t="str">
            <v>ALPHA DYNAMIC FUND</v>
          </cell>
          <cell r="AI6" t="str">
            <v>HORIZON EPARGNE</v>
          </cell>
          <cell r="AJ6" t="str">
            <v>FCP KENZ ACTIONS</v>
          </cell>
          <cell r="AP6" t="str">
            <v>FCP CMR ASHOUM.</v>
          </cell>
          <cell r="AQ6" t="str">
            <v>FCP CMR Actions.</v>
          </cell>
          <cell r="AR6" t="str">
            <v>FCP CMR EQUITIES</v>
          </cell>
          <cell r="AV6" t="str">
            <v>MASI RB</v>
          </cell>
        </row>
        <row r="7">
          <cell r="B7">
            <v>46017</v>
          </cell>
          <cell r="AA7">
            <v>1000</v>
          </cell>
          <cell r="AC7">
            <v>1000</v>
          </cell>
          <cell r="AD7">
            <v>1000</v>
          </cell>
          <cell r="AE7">
            <v>1000</v>
          </cell>
          <cell r="AF7">
            <v>1000</v>
          </cell>
          <cell r="AG7">
            <v>1000</v>
          </cell>
          <cell r="AH7">
            <v>1000</v>
          </cell>
          <cell r="AI7">
            <v>1000</v>
          </cell>
          <cell r="AJ7">
            <v>1000</v>
          </cell>
          <cell r="AP7">
            <v>1000</v>
          </cell>
          <cell r="AQ7">
            <v>1000</v>
          </cell>
          <cell r="AR7">
            <v>1000</v>
          </cell>
          <cell r="AV7">
            <v>1000</v>
          </cell>
        </row>
        <row r="8">
          <cell r="B8">
            <v>46024</v>
          </cell>
          <cell r="AA8">
            <v>1044.6702706375461</v>
          </cell>
          <cell r="AC8">
            <v>1043.3265918314714</v>
          </cell>
          <cell r="AD8">
            <v>1024.8951791369718</v>
          </cell>
          <cell r="AE8">
            <v>1039.0402737527604</v>
          </cell>
          <cell r="AF8">
            <v>1043.3513720846847</v>
          </cell>
          <cell r="AG8">
            <v>1040.7937838043727</v>
          </cell>
          <cell r="AH8">
            <v>1038.7071733530927</v>
          </cell>
          <cell r="AI8">
            <v>1042.9588699949413</v>
          </cell>
          <cell r="AJ8">
            <v>1039.1272201777822</v>
          </cell>
          <cell r="AP8">
            <v>1038.7025333549398</v>
          </cell>
          <cell r="AQ8">
            <v>1041.6459038995338</v>
          </cell>
          <cell r="AR8">
            <v>1038.5657611291438</v>
          </cell>
          <cell r="AV8">
            <v>1039.6274932135489</v>
          </cell>
        </row>
        <row r="9">
          <cell r="B9">
            <v>46031</v>
          </cell>
          <cell r="AA9">
            <v>1054.6286112255341</v>
          </cell>
          <cell r="AC9">
            <v>1056.1230029997421</v>
          </cell>
          <cell r="AD9">
            <v>1041.7301808765139</v>
          </cell>
          <cell r="AE9">
            <v>1050.3869543015921</v>
          </cell>
          <cell r="AF9">
            <v>1054.1746228955949</v>
          </cell>
          <cell r="AG9">
            <v>1053.4775653233792</v>
          </cell>
          <cell r="AH9">
            <v>1049.9982357714971</v>
          </cell>
          <cell r="AI9">
            <v>1056.0333086890539</v>
          </cell>
          <cell r="AJ9">
            <v>1051.8391557863254</v>
          </cell>
          <cell r="AP9">
            <v>1045.9710743801654</v>
          </cell>
          <cell r="AQ9">
            <v>1059.051732097498</v>
          </cell>
          <cell r="AR9">
            <v>1058.83557037167</v>
          </cell>
          <cell r="AV9">
            <v>1053.7601006335119</v>
          </cell>
        </row>
        <row r="10">
          <cell r="B10">
            <v>46038</v>
          </cell>
          <cell r="AA10">
            <v>1034.6100109987642</v>
          </cell>
          <cell r="AC10">
            <v>1035.0637275528347</v>
          </cell>
          <cell r="AD10">
            <v>1016.314035773594</v>
          </cell>
          <cell r="AE10">
            <v>1033.032037296161</v>
          </cell>
          <cell r="AF10">
            <v>1040.67474380248</v>
          </cell>
          <cell r="AG10">
            <v>1033.5948807800717</v>
          </cell>
          <cell r="AH10">
            <v>1028.5452171765287</v>
          </cell>
          <cell r="AI10">
            <v>1036.7718588271916</v>
          </cell>
          <cell r="AJ10">
            <v>1035.867318646973</v>
          </cell>
          <cell r="AP10">
            <v>1021.9305352995192</v>
          </cell>
          <cell r="AQ10">
            <v>1043.9539676375368</v>
          </cell>
          <cell r="AR10">
            <v>1043.5515785985124</v>
          </cell>
          <cell r="AV10">
            <v>1039.2008178206445</v>
          </cell>
        </row>
        <row r="11">
          <cell r="B11">
            <v>46045</v>
          </cell>
          <cell r="AA11">
            <v>999.19314084788152</v>
          </cell>
          <cell r="AC11">
            <v>1001.2216144313384</v>
          </cell>
          <cell r="AD11">
            <v>984.61581225857128</v>
          </cell>
          <cell r="AE11">
            <v>1002.7587487482841</v>
          </cell>
          <cell r="AF11">
            <v>1009.4807674668757</v>
          </cell>
          <cell r="AG11">
            <v>998.47642264035937</v>
          </cell>
          <cell r="AH11">
            <v>994.74259906143038</v>
          </cell>
          <cell r="AI11">
            <v>1002.4514572551461</v>
          </cell>
          <cell r="AJ11">
            <v>1002.9826418645291</v>
          </cell>
          <cell r="AP11">
            <v>990.23996651002005</v>
          </cell>
          <cell r="AQ11">
            <v>1010.6433039575724</v>
          </cell>
          <cell r="AR11">
            <v>1012.247663050365</v>
          </cell>
          <cell r="AV11">
            <v>1009.0583682873344</v>
          </cell>
        </row>
        <row r="12">
          <cell r="B12">
            <v>46052</v>
          </cell>
          <cell r="AA12">
            <v>994.37321907075307</v>
          </cell>
          <cell r="AC12">
            <v>999.93213253159217</v>
          </cell>
          <cell r="AD12">
            <v>975.67241373126387</v>
          </cell>
          <cell r="AE12">
            <v>1001.8568501190373</v>
          </cell>
          <cell r="AF12">
            <v>1009.7225812369193</v>
          </cell>
          <cell r="AG12">
            <v>995.84825169497969</v>
          </cell>
          <cell r="AH12">
            <v>994.21333051056763</v>
          </cell>
          <cell r="AI12">
            <v>1003.2686096735282</v>
          </cell>
          <cell r="AJ12">
            <v>1005.9652837290585</v>
          </cell>
          <cell r="AP12">
            <v>985.12869335061862</v>
          </cell>
          <cell r="AQ12">
            <v>1012.7438863027243</v>
          </cell>
          <cell r="AR12">
            <v>1009.6792116267508</v>
          </cell>
          <cell r="AV12">
            <v>1010.3242715650272</v>
          </cell>
        </row>
        <row r="13">
          <cell r="B13">
            <v>46059</v>
          </cell>
          <cell r="AA13">
            <v>978.71165826542256</v>
          </cell>
          <cell r="AC13">
            <v>979.64315285111229</v>
          </cell>
          <cell r="AD13">
            <v>950.29303214745573</v>
          </cell>
          <cell r="AE13">
            <v>977.34642854774427</v>
          </cell>
          <cell r="AF13">
            <v>985.16597596871441</v>
          </cell>
          <cell r="AG13">
            <v>976.99398186942926</v>
          </cell>
          <cell r="AH13">
            <v>975.8653540806605</v>
          </cell>
          <cell r="AI13">
            <v>982.91762325382308</v>
          </cell>
          <cell r="AJ13">
            <v>983.17958024566883</v>
          </cell>
          <cell r="AP13">
            <v>968.31280721655048</v>
          </cell>
          <cell r="AQ13">
            <v>993.32713861533455</v>
          </cell>
          <cell r="AR13">
            <v>989.61409870261514</v>
          </cell>
          <cell r="AV13">
            <v>990.83205787912868</v>
          </cell>
        </row>
        <row r="14">
          <cell r="B14">
            <v>46066</v>
          </cell>
          <cell r="AA14">
            <v>988.42794110777515</v>
          </cell>
          <cell r="AC14">
            <v>991.42494536668789</v>
          </cell>
          <cell r="AD14">
            <v>956.71050791043319</v>
          </cell>
          <cell r="AE14">
            <v>991.1136458588926</v>
          </cell>
          <cell r="AF14">
            <v>1004.4860623545991</v>
          </cell>
          <cell r="AG14">
            <v>990.05865772834613</v>
          </cell>
          <cell r="AH14">
            <v>987.93267704033019</v>
          </cell>
          <cell r="AI14">
            <v>996.49791820693406</v>
          </cell>
          <cell r="AJ14">
            <v>998.34484381038806</v>
          </cell>
          <cell r="AP14">
            <v>978.90333819478212</v>
          </cell>
          <cell r="AQ14">
            <v>1009.2982909080108</v>
          </cell>
          <cell r="AR14">
            <v>1001.4816114473979</v>
          </cell>
          <cell r="AV14">
            <v>1005.246228461864</v>
          </cell>
        </row>
        <row r="15">
          <cell r="B15">
            <v>46073</v>
          </cell>
          <cell r="AA15">
            <v>997.00188125581258</v>
          </cell>
          <cell r="AC15">
            <v>995.8702645473918</v>
          </cell>
          <cell r="AD15">
            <v>964.98678306654358</v>
          </cell>
          <cell r="AE15">
            <v>996.98261855656438</v>
          </cell>
          <cell r="AF15">
            <v>1009.9143645717812</v>
          </cell>
          <cell r="AG15">
            <v>996.15296716690773</v>
          </cell>
          <cell r="AH15">
            <v>994.46032250097016</v>
          </cell>
          <cell r="AI15">
            <v>1002.4125452352233</v>
          </cell>
          <cell r="AJ15">
            <v>1004.6293962460721</v>
          </cell>
          <cell r="AP15">
            <v>982.98830551504352</v>
          </cell>
          <cell r="AQ15">
            <v>1017.1659431967201</v>
          </cell>
          <cell r="AR15">
            <v>1006.8280843348831</v>
          </cell>
          <cell r="AV15">
            <v>1012.1698147591003</v>
          </cell>
        </row>
        <row r="16">
          <cell r="B16">
            <v>46080</v>
          </cell>
          <cell r="AA16">
            <v>960.7441789358802</v>
          </cell>
          <cell r="AC16">
            <v>960.21269664598969</v>
          </cell>
          <cell r="AD16">
            <v>926.03000620496471</v>
          </cell>
          <cell r="AE16">
            <v>961.40404395429493</v>
          </cell>
          <cell r="AF16">
            <v>978.08666939054592</v>
          </cell>
          <cell r="AG16">
            <v>963.0151595947284</v>
          </cell>
          <cell r="AH16">
            <v>958.85819131293886</v>
          </cell>
          <cell r="AI16">
            <v>967.1193431651036</v>
          </cell>
          <cell r="AJ16">
            <v>971.50106702962466</v>
          </cell>
          <cell r="AP16">
            <v>945.18041376330143</v>
          </cell>
          <cell r="AQ16">
            <v>986.09312958543535</v>
          </cell>
          <cell r="AR16">
            <v>973.50157421216272</v>
          </cell>
          <cell r="AV16">
            <v>981.83388280262307</v>
          </cell>
        </row>
        <row r="17">
          <cell r="B17">
            <v>46087</v>
          </cell>
          <cell r="AA17">
            <v>898.12766210437371</v>
          </cell>
          <cell r="AC17">
            <v>904.73782796954106</v>
          </cell>
          <cell r="AD17">
            <v>856.22774013751336</v>
          </cell>
          <cell r="AE17">
            <v>896.74587016638691</v>
          </cell>
          <cell r="AF17">
            <v>909.77011015034134</v>
          </cell>
          <cell r="AG17">
            <v>905.99527691018511</v>
          </cell>
          <cell r="AH17">
            <v>899.68596732648803</v>
          </cell>
          <cell r="AI17">
            <v>905.40487956729828</v>
          </cell>
          <cell r="AJ17">
            <v>908.87398968257969</v>
          </cell>
          <cell r="AP17">
            <v>883.89577594123057</v>
          </cell>
          <cell r="AQ17">
            <v>929.19720288401243</v>
          </cell>
          <cell r="AR17">
            <v>923.31686015342473</v>
          </cell>
          <cell r="AV17">
            <v>925.38221215333078</v>
          </cell>
        </row>
        <row r="18">
          <cell r="B18">
            <v>46094</v>
          </cell>
          <cell r="AA18">
            <v>872.19775693155725</v>
          </cell>
          <cell r="AC18">
            <v>886.24054945502417</v>
          </cell>
          <cell r="AD18">
            <v>837.93026767428591</v>
          </cell>
          <cell r="AE18">
            <v>882.52107193304721</v>
          </cell>
          <cell r="AF18">
            <v>891.37558681531266</v>
          </cell>
          <cell r="AG18">
            <v>889.04547878418521</v>
          </cell>
          <cell r="AH18">
            <v>883.87847994072183</v>
          </cell>
          <cell r="AI18">
            <v>888.67271100042797</v>
          </cell>
          <cell r="AJ18">
            <v>892.55767841239435</v>
          </cell>
          <cell r="AP18">
            <v>866.39118457300276</v>
          </cell>
          <cell r="AQ18">
            <v>912.57678479110132</v>
          </cell>
          <cell r="AR18">
            <v>909.76303964285364</v>
          </cell>
          <cell r="AV18">
            <v>912.29928926921616</v>
          </cell>
        </row>
        <row r="19">
          <cell r="B19">
            <v>46105</v>
          </cell>
          <cell r="AA19">
            <v>897.54587418942515</v>
          </cell>
          <cell r="AC19">
            <v>908.31783692804675</v>
          </cell>
          <cell r="AD19">
            <v>860.67522927882521</v>
          </cell>
          <cell r="AE19">
            <v>902.76073823055435</v>
          </cell>
          <cell r="AF19">
            <v>910.87077972433235</v>
          </cell>
          <cell r="AG19">
            <v>910.29938295116926</v>
          </cell>
          <cell r="AH19">
            <v>906.28418192724325</v>
          </cell>
          <cell r="AI19">
            <v>909.17934549982488</v>
          </cell>
          <cell r="AJ19">
            <v>912.12548940532008</v>
          </cell>
          <cell r="AP19">
            <v>894.32088262302182</v>
          </cell>
          <cell r="AQ19">
            <v>933.23845594243221</v>
          </cell>
          <cell r="AR19">
            <v>930.79802321841089</v>
          </cell>
          <cell r="AV19">
            <v>933.55522941314553</v>
          </cell>
        </row>
        <row r="20">
          <cell r="B20">
            <v>46108</v>
          </cell>
          <cell r="AA20">
            <v>897.39299561323423</v>
          </cell>
          <cell r="AC20">
            <v>906.57703636338965</v>
          </cell>
          <cell r="AD20">
            <v>861.79696494732946</v>
          </cell>
          <cell r="AE20">
            <v>901.97157692996348</v>
          </cell>
          <cell r="AF20">
            <v>912.52178408531847</v>
          </cell>
          <cell r="AG20">
            <v>909.84230974327716</v>
          </cell>
          <cell r="AH20">
            <v>901.80304152993892</v>
          </cell>
          <cell r="AI20">
            <v>909.5684656990544</v>
          </cell>
          <cell r="AJ20">
            <v>910.88202181109375</v>
          </cell>
          <cell r="AP20">
            <v>896.43088640414851</v>
          </cell>
          <cell r="AQ20">
            <v>935.10125969642002</v>
          </cell>
          <cell r="AR20">
            <v>928.43426811318727</v>
          </cell>
          <cell r="AV20">
            <v>932.72398095092399</v>
          </cell>
        </row>
        <row r="21">
          <cell r="B21">
            <v>46115</v>
          </cell>
          <cell r="AA21">
            <v>909.1264263358828</v>
          </cell>
          <cell r="AC21">
            <v>919.73314511422097</v>
          </cell>
          <cell r="AD21">
            <v>864.55960890789015</v>
          </cell>
          <cell r="AE21">
            <v>911.29561717055833</v>
          </cell>
          <cell r="AF21">
            <v>931.8251936594761</v>
          </cell>
          <cell r="AG21">
            <v>924.31629465986123</v>
          </cell>
          <cell r="AH21">
            <v>914.25849476024132</v>
          </cell>
          <cell r="AI21">
            <v>925.52239386746555</v>
          </cell>
          <cell r="AJ21">
            <v>928.60143502881817</v>
          </cell>
          <cell r="AP21">
            <v>904.8844055528549</v>
          </cell>
          <cell r="AQ21">
            <v>955.55888992469647</v>
          </cell>
          <cell r="AR21">
            <v>945.76034934838322</v>
          </cell>
          <cell r="AV21">
            <v>948.63373934472395</v>
          </cell>
        </row>
        <row r="22">
          <cell r="B22">
            <v>46122</v>
          </cell>
          <cell r="AA22">
            <v>944.58151613081304</v>
          </cell>
          <cell r="AC22">
            <v>966.26986820137631</v>
          </cell>
          <cell r="AD22">
            <v>904.8891893733703</v>
          </cell>
          <cell r="AE22">
            <v>950.05073179789497</v>
          </cell>
          <cell r="AF22">
            <v>988.34290860273336</v>
          </cell>
          <cell r="AG22">
            <v>970.44259922297545</v>
          </cell>
          <cell r="AH22">
            <v>956.17656398856775</v>
          </cell>
          <cell r="AI22">
            <v>978.67621308222112</v>
          </cell>
          <cell r="AJ22">
            <v>981.23876258170765</v>
          </cell>
          <cell r="AP22">
            <v>943.52279479284823</v>
          </cell>
          <cell r="AQ22">
            <v>1014.1621322093903</v>
          </cell>
          <cell r="AR22">
            <v>988.74170248852238</v>
          </cell>
          <cell r="AV22">
            <v>999.14241432511892</v>
          </cell>
        </row>
        <row r="23">
          <cell r="B23">
            <v>46129</v>
          </cell>
          <cell r="AA23">
            <v>985.70160649903812</v>
          </cell>
          <cell r="AC23">
            <v>1011.829299743461</v>
          </cell>
          <cell r="AD23">
            <v>942.95467506429134</v>
          </cell>
          <cell r="AE23">
            <v>984.05761540655067</v>
          </cell>
          <cell r="AF23">
            <v>1034.4709698399859</v>
          </cell>
          <cell r="AG23">
            <v>1013.3313018968537</v>
          </cell>
          <cell r="AH23">
            <v>995.8717053032708</v>
          </cell>
          <cell r="AI23">
            <v>1025.5651970893809</v>
          </cell>
          <cell r="AJ23">
            <v>1023.1469812303607</v>
          </cell>
          <cell r="AP23">
            <v>980.59471722573323</v>
          </cell>
          <cell r="AQ23">
            <v>1060.0474672490095</v>
          </cell>
          <cell r="AR23">
            <v>1030.9432601300307</v>
          </cell>
          <cell r="AV23">
            <v>1041.9874540792114</v>
          </cell>
        </row>
        <row r="24">
          <cell r="B24">
            <v>46136</v>
          </cell>
          <cell r="AA24">
            <v>954.2298529393031</v>
          </cell>
          <cell r="AC24">
            <v>983.9764907089434</v>
          </cell>
          <cell r="AD24">
            <v>916.01418892503466</v>
          </cell>
          <cell r="AE24">
            <v>960.25014423746461</v>
          </cell>
          <cell r="AF24">
            <v>1008.0632384700695</v>
          </cell>
          <cell r="AG24">
            <v>987.54475508493931</v>
          </cell>
          <cell r="AH24">
            <v>968.70258635898517</v>
          </cell>
          <cell r="AI24">
            <v>1000.5447682789212</v>
          </cell>
          <cell r="AJ24">
            <v>997.19379610492183</v>
          </cell>
          <cell r="AP24">
            <v>948.45513963161034</v>
          </cell>
          <cell r="AQ24">
            <v>1037.5900463978949</v>
          </cell>
          <cell r="AR24">
            <v>1007.6858593833766</v>
          </cell>
          <cell r="AV24">
            <v>1019.0875167894158</v>
          </cell>
        </row>
        <row r="25">
          <cell r="B25">
            <v>46146</v>
          </cell>
          <cell r="AA25">
            <v>945.76632509629223</v>
          </cell>
          <cell r="AC25">
            <v>973.54865418810141</v>
          </cell>
          <cell r="AD25">
            <v>905.79393061199596</v>
          </cell>
          <cell r="AE25">
            <v>952.51105820561952</v>
          </cell>
          <cell r="AF25">
            <v>998.42404129178601</v>
          </cell>
          <cell r="AG25">
            <v>978.09857545516877</v>
          </cell>
          <cell r="AH25">
            <v>960.02258212483673</v>
          </cell>
          <cell r="AI25">
            <v>991.01132339779747</v>
          </cell>
          <cell r="AJ25">
            <v>990.95125270958306</v>
          </cell>
          <cell r="AP25">
            <v>941.35877491492465</v>
          </cell>
          <cell r="AQ25">
            <v>1030.4313064215105</v>
          </cell>
          <cell r="AR25">
            <v>1001.0381027575517</v>
          </cell>
          <cell r="AV25">
            <v>1012.6973151835177</v>
          </cell>
        </row>
        <row r="26">
          <cell r="B26">
            <v>46150</v>
          </cell>
          <cell r="AA26">
            <v>967.86152598298816</v>
          </cell>
          <cell r="AC26">
            <v>988.89009542166048</v>
          </cell>
          <cell r="AD26">
            <v>922.42180130483587</v>
          </cell>
          <cell r="AE26">
            <v>965.98648478377652</v>
          </cell>
          <cell r="AF26">
            <v>1015.5844805590068</v>
          </cell>
          <cell r="AG26">
            <v>992.91536527767187</v>
          </cell>
          <cell r="AH26">
            <v>972.51331992519658</v>
          </cell>
          <cell r="AI26">
            <v>1007.2376357056696</v>
          </cell>
          <cell r="AJ26">
            <v>1006.8894826166593</v>
          </cell>
          <cell r="AP26">
            <v>954.62985469669968</v>
          </cell>
          <cell r="AQ26">
            <v>1044.903677728807</v>
          </cell>
          <cell r="AR26">
            <v>1012.5985710247487</v>
          </cell>
          <cell r="AV26">
            <v>1026.4737841173251</v>
          </cell>
        </row>
        <row r="27">
          <cell r="B27">
            <v>46157</v>
          </cell>
          <cell r="AA27">
            <v>937.27307086346673</v>
          </cell>
          <cell r="AC27">
            <v>957.91877621380956</v>
          </cell>
          <cell r="AD27">
            <v>888.8791251358457</v>
          </cell>
          <cell r="AE27">
            <v>932.40402405947225</v>
          </cell>
          <cell r="AF27">
            <v>981.70553753533397</v>
          </cell>
          <cell r="AG27">
            <v>978.09857545516877</v>
          </cell>
          <cell r="AH27">
            <v>939.98094633216874</v>
          </cell>
          <cell r="AI27">
            <v>978.1314448032997</v>
          </cell>
          <cell r="AJ27">
            <v>976.65977718405009</v>
          </cell>
          <cell r="AP27">
            <v>922.60843731431976</v>
          </cell>
          <cell r="AQ27">
            <v>1016.1594653538021</v>
          </cell>
          <cell r="AR27">
            <v>984.26275209326343</v>
          </cell>
          <cell r="AV27">
            <v>997.74589815289892</v>
          </cell>
        </row>
        <row r="28">
          <cell r="B28">
            <v>46164</v>
          </cell>
          <cell r="AA28">
            <v>927.19157808910279</v>
          </cell>
          <cell r="AC28">
            <v>955.70629674371878</v>
          </cell>
          <cell r="AD28">
            <v>875.47209738566539</v>
          </cell>
          <cell r="AE28">
            <v>929.91717122147577</v>
          </cell>
          <cell r="AF28">
            <v>973.1753483369049</v>
          </cell>
          <cell r="AG28">
            <v>959.05385845966316</v>
          </cell>
          <cell r="AH28">
            <v>934.68826082354178</v>
          </cell>
          <cell r="AI28">
            <v>974.51262695046489</v>
          </cell>
          <cell r="AJ28">
            <v>970.46764463712589</v>
          </cell>
          <cell r="AP28">
            <v>916.76794684816082</v>
          </cell>
          <cell r="AQ28">
            <v>1016.6934403090075</v>
          </cell>
          <cell r="AR28">
            <v>982.49359105574558</v>
          </cell>
          <cell r="AV28">
            <v>995.06378027744472</v>
          </cell>
        </row>
        <row r="29">
          <cell r="B29">
            <v>46174</v>
          </cell>
          <cell r="AA29">
            <v>935.57442001690163</v>
          </cell>
          <cell r="AC29">
            <v>979.78228116134812</v>
          </cell>
          <cell r="AD29">
            <v>875.9993400499983</v>
          </cell>
          <cell r="AE29">
            <v>959.16256059631405</v>
          </cell>
          <cell r="AF29">
            <v>1003.0768717636562</v>
          </cell>
          <cell r="AG29">
            <v>983.88816942180233</v>
          </cell>
          <cell r="AH29">
            <v>957.90550792138595</v>
          </cell>
          <cell r="AI29">
            <v>1001.6732168566871</v>
          </cell>
          <cell r="AJ29">
            <v>1002.0164339365831</v>
          </cell>
          <cell r="AP29">
            <v>935.66682871495709</v>
          </cell>
          <cell r="AQ29">
            <v>1052.5363950799594</v>
          </cell>
          <cell r="AR29">
            <v>1005.0784181848309</v>
          </cell>
          <cell r="AV29">
            <v>1024.9937935760693</v>
          </cell>
        </row>
        <row r="30">
          <cell r="B30">
            <v>46178</v>
          </cell>
          <cell r="AA30">
            <v>927.12363205524002</v>
          </cell>
          <cell r="AC30">
            <v>963.34478031300478</v>
          </cell>
          <cell r="AD30">
            <v>864.7452198458443</v>
          </cell>
          <cell r="AE30">
            <v>939.36058039829425</v>
          </cell>
          <cell r="AF30">
            <v>978.67869620685917</v>
          </cell>
          <cell r="AG30">
            <v>965.03389959625201</v>
          </cell>
          <cell r="AH30">
            <v>938.60484809992579</v>
          </cell>
          <cell r="AI30">
            <v>978.59838904237517</v>
          </cell>
          <cell r="AJ30">
            <v>979.78524978575399</v>
          </cell>
          <cell r="AP30">
            <v>921.12974666450611</v>
          </cell>
          <cell r="AQ30">
            <v>1028.5771389488493</v>
          </cell>
          <cell r="AR30">
            <v>987.84981138696367</v>
          </cell>
          <cell r="AV30">
            <v>1003.902142362689</v>
          </cell>
        </row>
        <row r="31">
          <cell r="B31">
            <v>46185</v>
          </cell>
          <cell r="AA31">
            <v>912.29441016472674</v>
          </cell>
          <cell r="AC31">
            <v>937.95895375510702</v>
          </cell>
          <cell r="AD31">
            <v>860.13005319053536</v>
          </cell>
          <cell r="AE31">
            <v>912.42299045711661</v>
          </cell>
          <cell r="AF31">
            <v>947.54308871229989</v>
          </cell>
          <cell r="AG31">
            <v>939.62824712424765</v>
          </cell>
          <cell r="AH31">
            <v>915.91686955294438</v>
          </cell>
          <cell r="AI31">
            <v>948.55830966185454</v>
          </cell>
          <cell r="AJ31">
            <v>950.67298482633453</v>
          </cell>
          <cell r="AP31">
            <v>900.50234970021074</v>
          </cell>
          <cell r="AQ31">
            <v>997.03501717180609</v>
          </cell>
          <cell r="AR31">
            <v>964.49006248111425</v>
          </cell>
          <cell r="AV31">
            <v>976.80926369188944</v>
          </cell>
        </row>
        <row r="32">
          <cell r="B32">
            <v>46192</v>
          </cell>
          <cell r="AA32">
            <v>935.64661267788063</v>
          </cell>
          <cell r="AC32">
            <v>963.18529176224661</v>
          </cell>
          <cell r="AD32">
            <v>885.90217675899987</v>
          </cell>
          <cell r="AE32">
            <v>939.33405396802243</v>
          </cell>
          <cell r="AF32">
            <v>972.53329108541016</v>
          </cell>
          <cell r="AG32">
            <v>963.4722328026204</v>
          </cell>
          <cell r="AH32">
            <v>937.68744927843056</v>
          </cell>
          <cell r="AI32">
            <v>971.51640141639734</v>
          </cell>
          <cell r="AJ32">
            <v>975.50032767051459</v>
          </cell>
          <cell r="AP32">
            <v>926.85882893102143</v>
          </cell>
          <cell r="AQ32">
            <v>1025.108408150094</v>
          </cell>
          <cell r="AR32">
            <v>988.54675361386467</v>
          </cell>
          <cell r="AV32">
            <v>1000.4926785743546</v>
          </cell>
        </row>
        <row r="33">
          <cell r="B33">
            <v>46199</v>
          </cell>
          <cell r="AA33">
            <v>930.16421707059169</v>
          </cell>
          <cell r="AC33">
            <v>947.90493125025455</v>
          </cell>
          <cell r="AD33">
            <v>879.81736601042292</v>
          </cell>
          <cell r="AE33">
            <v>920.69923670196886</v>
          </cell>
          <cell r="AF33">
            <v>953.10480542329913</v>
          </cell>
          <cell r="AG33">
            <v>947.16995505446778</v>
          </cell>
          <cell r="AH33">
            <v>923.64419039553991</v>
          </cell>
          <cell r="AI33">
            <v>952.64407175376459</v>
          </cell>
          <cell r="AJ33">
            <v>958.35223740148888</v>
          </cell>
          <cell r="AP33">
            <v>917.65246043320906</v>
          </cell>
          <cell r="AQ33">
            <v>1004.0128165223437</v>
          </cell>
          <cell r="AR33">
            <v>973.2578881188407</v>
          </cell>
          <cell r="AV33">
            <v>982.87800337115323</v>
          </cell>
        </row>
        <row r="34">
          <cell r="B34">
            <v>46206</v>
          </cell>
          <cell r="AA34">
            <v>944.93398618147523</v>
          </cell>
          <cell r="AC34">
            <v>972.29310602255919</v>
          </cell>
          <cell r="AD34">
            <v>885.17676975994311</v>
          </cell>
          <cell r="AE34">
            <v>941.77448555304295</v>
          </cell>
          <cell r="AF34">
            <v>978.26177591368094</v>
          </cell>
          <cell r="AG34">
            <v>971.47101394073275</v>
          </cell>
          <cell r="AH34">
            <v>945.23834727073836</v>
          </cell>
          <cell r="AI34">
            <v>978.05362076345386</v>
          </cell>
          <cell r="AJ34">
            <v>983.01994589235596</v>
          </cell>
          <cell r="AP34">
            <v>930.63995570680072</v>
          </cell>
          <cell r="AQ34">
            <v>1033.678442879881</v>
          </cell>
          <cell r="AR34">
            <v>995.97430573832003</v>
          </cell>
          <cell r="AV34">
            <v>1009.0498506293537</v>
          </cell>
        </row>
        <row r="35">
          <cell r="B35">
            <v>46213</v>
          </cell>
          <cell r="AA35">
            <v>928.40611344439674</v>
          </cell>
          <cell r="AC35">
            <v>952.10253417127035</v>
          </cell>
          <cell r="AD35">
            <v>867.58228751582624</v>
          </cell>
          <cell r="AE35">
            <v>924.46598980058752</v>
          </cell>
          <cell r="AF35">
            <v>957.69092864826098</v>
          </cell>
          <cell r="AG35">
            <v>951.77877656738008</v>
          </cell>
          <cell r="AH35">
            <v>927.41963939169386</v>
          </cell>
          <cell r="AI35">
            <v>957.62481030390279</v>
          </cell>
          <cell r="AJ35">
            <v>963.77140360605597</v>
          </cell>
          <cell r="AP35">
            <v>912.50405120725975</v>
          </cell>
          <cell r="AQ35">
            <v>1012.4302769486908</v>
          </cell>
          <cell r="AR35">
            <v>978.96501642444264</v>
          </cell>
          <cell r="AV35">
            <v>990.10715879104555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_Analysis"/>
      <sheetName val="Calcul_MaxDD"/>
    </sheetNames>
    <sheetDataSet>
      <sheetData sheetId="0">
        <row r="5">
          <cell r="B5">
            <v>2460</v>
          </cell>
          <cell r="E5">
            <v>8856.09</v>
          </cell>
          <cell r="H5">
            <v>3074.6</v>
          </cell>
          <cell r="K5">
            <v>11430</v>
          </cell>
          <cell r="N5">
            <v>1566.8</v>
          </cell>
          <cell r="Q5">
            <v>1251.26</v>
          </cell>
          <cell r="T5">
            <v>273.25</v>
          </cell>
          <cell r="W5">
            <v>294.38</v>
          </cell>
          <cell r="Z5">
            <v>268.02999999999997</v>
          </cell>
          <cell r="AC5">
            <v>1236.79</v>
          </cell>
          <cell r="AF5">
            <v>1011.42</v>
          </cell>
          <cell r="AI5">
            <v>5280.46</v>
          </cell>
          <cell r="AL5">
            <v>969.79</v>
          </cell>
          <cell r="AO5">
            <v>984.12</v>
          </cell>
          <cell r="AR5">
            <v>183.42</v>
          </cell>
        </row>
        <row r="6">
          <cell r="B6">
            <v>2483.4499999999998</v>
          </cell>
          <cell r="E6">
            <v>8971.5499999999993</v>
          </cell>
          <cell r="H6">
            <v>3112.31</v>
          </cell>
          <cell r="K6">
            <v>11617.75</v>
          </cell>
          <cell r="N6">
            <v>1583.91</v>
          </cell>
          <cell r="Q6">
            <v>1264.24</v>
          </cell>
          <cell r="T6">
            <v>276.58</v>
          </cell>
          <cell r="W6">
            <v>297.58</v>
          </cell>
          <cell r="Z6">
            <v>271.39</v>
          </cell>
          <cell r="AC6">
            <v>1251.92</v>
          </cell>
          <cell r="AF6">
            <v>1026.3399999999999</v>
          </cell>
          <cell r="AI6">
            <v>5387.19</v>
          </cell>
          <cell r="AL6">
            <v>984.93</v>
          </cell>
          <cell r="AO6">
            <v>995.46</v>
          </cell>
          <cell r="AR6">
            <v>186.47</v>
          </cell>
        </row>
        <row r="7">
          <cell r="B7">
            <v>2436.31</v>
          </cell>
          <cell r="E7">
            <v>8798.35</v>
          </cell>
          <cell r="H7">
            <v>3050.25</v>
          </cell>
          <cell r="K7">
            <v>11334.3</v>
          </cell>
          <cell r="N7">
            <v>1557.74</v>
          </cell>
          <cell r="Q7">
            <v>1248.05</v>
          </cell>
          <cell r="T7">
            <v>271.36</v>
          </cell>
          <cell r="W7">
            <v>291.5</v>
          </cell>
          <cell r="Z7">
            <v>266.44</v>
          </cell>
          <cell r="AC7">
            <v>1232.9100000000001</v>
          </cell>
          <cell r="AF7">
            <v>1008.99</v>
          </cell>
          <cell r="AI7">
            <v>5287.34</v>
          </cell>
          <cell r="AL7">
            <v>974.27</v>
          </cell>
          <cell r="AO7">
            <v>979.99</v>
          </cell>
          <cell r="AR7">
            <v>184.23</v>
          </cell>
        </row>
        <row r="8">
          <cell r="B8">
            <v>2352.91</v>
          </cell>
          <cell r="E8">
            <v>8501.0400000000009</v>
          </cell>
          <cell r="H8">
            <v>2950.52</v>
          </cell>
          <cell r="K8">
            <v>10980.79</v>
          </cell>
          <cell r="N8">
            <v>1512.09</v>
          </cell>
          <cell r="Q8">
            <v>1210.6400000000001</v>
          </cell>
          <cell r="T8">
            <v>262.14</v>
          </cell>
          <cell r="W8">
            <v>281.92</v>
          </cell>
          <cell r="Z8">
            <v>257.62</v>
          </cell>
          <cell r="AC8">
            <v>1193.77</v>
          </cell>
          <cell r="AF8">
            <v>976.17</v>
          </cell>
          <cell r="AI8">
            <v>5132.82</v>
          </cell>
          <cell r="AL8">
            <v>948.48</v>
          </cell>
          <cell r="AO8">
            <v>947.69</v>
          </cell>
          <cell r="AR8">
            <v>177.86</v>
          </cell>
        </row>
        <row r="9">
          <cell r="B9">
            <v>2341.56</v>
          </cell>
          <cell r="E9">
            <v>8492.08</v>
          </cell>
          <cell r="H9">
            <v>2946.72</v>
          </cell>
          <cell r="K9">
            <v>10881.05</v>
          </cell>
          <cell r="N9">
            <v>1510.73</v>
          </cell>
          <cell r="Q9">
            <v>1210.93</v>
          </cell>
          <cell r="T9">
            <v>261.45</v>
          </cell>
          <cell r="W9">
            <v>281.77</v>
          </cell>
          <cell r="Z9">
            <v>257.83</v>
          </cell>
          <cell r="AC9">
            <v>1197.32</v>
          </cell>
          <cell r="AF9">
            <v>975.43</v>
          </cell>
          <cell r="AI9">
            <v>5109.8599999999997</v>
          </cell>
          <cell r="AL9">
            <v>952.1</v>
          </cell>
          <cell r="AO9">
            <v>947.13</v>
          </cell>
          <cell r="AR9">
            <v>178.42</v>
          </cell>
        </row>
        <row r="10">
          <cell r="B10">
            <v>2304.6799999999998</v>
          </cell>
          <cell r="E10">
            <v>8312.24</v>
          </cell>
          <cell r="H10">
            <v>2886.93</v>
          </cell>
          <cell r="K10">
            <v>10598.01</v>
          </cell>
          <cell r="N10">
            <v>1473.77</v>
          </cell>
          <cell r="Q10">
            <v>1181.48</v>
          </cell>
          <cell r="T10">
            <v>256.5</v>
          </cell>
          <cell r="W10">
            <v>276.57</v>
          </cell>
          <cell r="Z10">
            <v>252.6</v>
          </cell>
          <cell r="AC10">
            <v>1170.2</v>
          </cell>
          <cell r="AF10">
            <v>952.99</v>
          </cell>
          <cell r="AI10">
            <v>5077.26</v>
          </cell>
          <cell r="AL10">
            <v>932.1</v>
          </cell>
          <cell r="AO10">
            <v>933.13</v>
          </cell>
          <cell r="AR10">
            <v>175.72</v>
          </cell>
        </row>
        <row r="11">
          <cell r="B11">
            <v>2327.56</v>
          </cell>
          <cell r="E11">
            <v>8436.74</v>
          </cell>
          <cell r="H11">
            <v>2921.65</v>
          </cell>
          <cell r="K11">
            <v>10669.58</v>
          </cell>
          <cell r="N11">
            <v>1494.53</v>
          </cell>
          <cell r="Q11">
            <v>1204.6500000000001</v>
          </cell>
          <cell r="T11">
            <v>259.93</v>
          </cell>
          <cell r="W11">
            <v>279.99</v>
          </cell>
          <cell r="Z11">
            <v>256.08999999999997</v>
          </cell>
          <cell r="AC11">
            <v>1188.25</v>
          </cell>
          <cell r="AF11">
            <v>966.41</v>
          </cell>
          <cell r="AI11">
            <v>5129.03</v>
          </cell>
          <cell r="AL11">
            <v>944.64</v>
          </cell>
          <cell r="AO11">
            <v>943.57</v>
          </cell>
          <cell r="AR11">
            <v>178.29</v>
          </cell>
        </row>
        <row r="12">
          <cell r="B12">
            <v>2347.75</v>
          </cell>
          <cell r="E12">
            <v>8479.4599999999991</v>
          </cell>
          <cell r="H12">
            <v>2934.75</v>
          </cell>
          <cell r="K12">
            <v>10761.88</v>
          </cell>
          <cell r="N12">
            <v>1503.38</v>
          </cell>
          <cell r="Q12">
            <v>1211.1600000000001</v>
          </cell>
          <cell r="T12">
            <v>261.52999999999997</v>
          </cell>
          <cell r="W12">
            <v>281.83999999999997</v>
          </cell>
          <cell r="Z12">
            <v>257.61</v>
          </cell>
          <cell r="AC12">
            <v>1195.73</v>
          </cell>
          <cell r="AF12">
            <v>974.31</v>
          </cell>
          <cell r="AI12">
            <v>5164.29</v>
          </cell>
          <cell r="AL12">
            <v>948.39</v>
          </cell>
          <cell r="AO12">
            <v>947.15</v>
          </cell>
          <cell r="AR12">
            <v>179.64</v>
          </cell>
        </row>
        <row r="13">
          <cell r="B13">
            <v>2262.37</v>
          </cell>
          <cell r="E13">
            <v>8208.8700000000008</v>
          </cell>
          <cell r="H13">
            <v>2829.67</v>
          </cell>
          <cell r="K13">
            <v>10327.42</v>
          </cell>
          <cell r="N13">
            <v>1449.73</v>
          </cell>
          <cell r="Q13">
            <v>1172.99</v>
          </cell>
          <cell r="T13">
            <v>252.83</v>
          </cell>
          <cell r="W13">
            <v>271.75</v>
          </cell>
          <cell r="Z13">
            <v>248.54</v>
          </cell>
          <cell r="AC13">
            <v>1156.3</v>
          </cell>
          <cell r="AF13">
            <v>943.06</v>
          </cell>
          <cell r="AI13">
            <v>4951.62</v>
          </cell>
          <cell r="AL13">
            <v>918.25</v>
          </cell>
          <cell r="AO13">
            <v>914.11</v>
          </cell>
          <cell r="AR13">
            <v>174.33</v>
          </cell>
        </row>
        <row r="14">
          <cell r="B14">
            <v>2114.92</v>
          </cell>
          <cell r="E14">
            <v>7665.33</v>
          </cell>
          <cell r="H14">
            <v>2666.19</v>
          </cell>
          <cell r="K14">
            <v>9548.9599999999991</v>
          </cell>
          <cell r="N14">
            <v>1352.23</v>
          </cell>
          <cell r="Q14">
            <v>1091.06</v>
          </cell>
          <cell r="T14">
            <v>237.86</v>
          </cell>
          <cell r="W14">
            <v>254.98</v>
          </cell>
          <cell r="Z14">
            <v>232.68</v>
          </cell>
          <cell r="AC14">
            <v>1081.76</v>
          </cell>
          <cell r="AF14">
            <v>882.03</v>
          </cell>
          <cell r="AI14">
            <v>4635.76</v>
          </cell>
          <cell r="AL14">
            <v>871.25</v>
          </cell>
          <cell r="AO14">
            <v>870.29</v>
          </cell>
          <cell r="AR14">
            <v>164.83</v>
          </cell>
        </row>
        <row r="15">
          <cell r="B15">
            <v>2053.86</v>
          </cell>
          <cell r="E15">
            <v>7535.75</v>
          </cell>
          <cell r="H15">
            <v>2611.6799999999998</v>
          </cell>
          <cell r="K15">
            <v>9344.9</v>
          </cell>
          <cell r="N15">
            <v>1330.78</v>
          </cell>
          <cell r="Q15">
            <v>1069</v>
          </cell>
          <cell r="T15">
            <v>233.41</v>
          </cell>
          <cell r="W15">
            <v>250.5</v>
          </cell>
          <cell r="Z15">
            <v>228.38</v>
          </cell>
          <cell r="AC15">
            <v>1062.3399999999999</v>
          </cell>
          <cell r="AF15">
            <v>867.17</v>
          </cell>
          <cell r="AI15">
            <v>4502.45</v>
          </cell>
          <cell r="AL15">
            <v>858.88</v>
          </cell>
          <cell r="AO15">
            <v>858.67</v>
          </cell>
          <cell r="AR15">
            <v>162.77000000000001</v>
          </cell>
        </row>
        <row r="16">
          <cell r="B16">
            <v>2113.5500000000002</v>
          </cell>
          <cell r="E16">
            <v>7740.9</v>
          </cell>
          <cell r="H16">
            <v>2676.74</v>
          </cell>
          <cell r="K16">
            <v>9598.56</v>
          </cell>
          <cell r="N16">
            <v>1361.3</v>
          </cell>
          <cell r="Q16">
            <v>1092.3800000000001</v>
          </cell>
          <cell r="T16">
            <v>238.99</v>
          </cell>
          <cell r="W16">
            <v>256.85000000000002</v>
          </cell>
          <cell r="Z16">
            <v>233.65</v>
          </cell>
          <cell r="AC16">
            <v>1085.6300000000001</v>
          </cell>
          <cell r="AF16">
            <v>887.15</v>
          </cell>
          <cell r="AI16">
            <v>4631.12</v>
          </cell>
          <cell r="AL16">
            <v>877.03</v>
          </cell>
          <cell r="AO16">
            <v>878.98</v>
          </cell>
          <cell r="AR16">
            <v>166.38</v>
          </cell>
        </row>
        <row r="17">
          <cell r="B17">
            <v>2113.19</v>
          </cell>
          <cell r="E17">
            <v>7774.55</v>
          </cell>
          <cell r="H17">
            <v>2671.61</v>
          </cell>
          <cell r="K17">
            <v>9611.07</v>
          </cell>
          <cell r="N17">
            <v>1360.11</v>
          </cell>
          <cell r="Q17">
            <v>1094.3599999999999</v>
          </cell>
          <cell r="T17">
            <v>238.87</v>
          </cell>
          <cell r="W17">
            <v>255.58</v>
          </cell>
          <cell r="Z17">
            <v>233.75</v>
          </cell>
          <cell r="AC17">
            <v>1084.1500000000001</v>
          </cell>
          <cell r="AF17">
            <v>887.42</v>
          </cell>
          <cell r="AI17">
            <v>4622.93</v>
          </cell>
          <cell r="AL17">
            <v>875.35</v>
          </cell>
          <cell r="AO17">
            <v>878.5</v>
          </cell>
          <cell r="AR17">
            <v>165.84</v>
          </cell>
        </row>
        <row r="18">
          <cell r="B18">
            <v>2140.8200000000002</v>
          </cell>
          <cell r="E18">
            <v>7926.18</v>
          </cell>
          <cell r="H18">
            <v>2710.38</v>
          </cell>
          <cell r="K18">
            <v>9641.8799999999992</v>
          </cell>
          <cell r="N18">
            <v>1374.17</v>
          </cell>
          <cell r="Q18">
            <v>1117.51</v>
          </cell>
          <cell r="T18">
            <v>242.67</v>
          </cell>
          <cell r="W18">
            <v>259.11</v>
          </cell>
          <cell r="Z18">
            <v>237.85</v>
          </cell>
          <cell r="AC18">
            <v>1105.24</v>
          </cell>
          <cell r="AF18">
            <v>903.71</v>
          </cell>
          <cell r="AI18">
            <v>4656.17</v>
          </cell>
          <cell r="AL18">
            <v>889.81</v>
          </cell>
          <cell r="AO18">
            <v>892.66</v>
          </cell>
          <cell r="AR18">
            <v>168.76</v>
          </cell>
        </row>
        <row r="19">
          <cell r="B19">
            <v>2224.31</v>
          </cell>
          <cell r="E19">
            <v>8378.9599999999991</v>
          </cell>
          <cell r="H19">
            <v>2847.52</v>
          </cell>
          <cell r="K19">
            <v>10091.65</v>
          </cell>
          <cell r="N19">
            <v>1432.61</v>
          </cell>
          <cell r="Q19">
            <v>1185.29</v>
          </cell>
          <cell r="T19">
            <v>254.78</v>
          </cell>
          <cell r="W19">
            <v>270.99</v>
          </cell>
          <cell r="Z19">
            <v>251.51</v>
          </cell>
          <cell r="AC19">
            <v>1167.8900000000001</v>
          </cell>
          <cell r="AF19">
            <v>955.47</v>
          </cell>
          <cell r="AI19">
            <v>4851.49</v>
          </cell>
          <cell r="AL19">
            <v>932.77</v>
          </cell>
          <cell r="AO19">
            <v>934.21</v>
          </cell>
          <cell r="AR19">
            <v>177.76</v>
          </cell>
        </row>
        <row r="20">
          <cell r="B20">
            <v>2321.14</v>
          </cell>
          <cell r="E20">
            <v>8799.6299999999992</v>
          </cell>
          <cell r="H20">
            <v>2981.78</v>
          </cell>
          <cell r="K20">
            <v>10516.17</v>
          </cell>
          <cell r="N20">
            <v>1483.89</v>
          </cell>
          <cell r="Q20">
            <v>1240.6099999999999</v>
          </cell>
          <cell r="T20">
            <v>266.04000000000002</v>
          </cell>
          <cell r="W20">
            <v>282.24</v>
          </cell>
          <cell r="Z20">
            <v>263.56</v>
          </cell>
          <cell r="AC20">
            <v>1217.77</v>
          </cell>
          <cell r="AF20">
            <v>1002.67</v>
          </cell>
          <cell r="AI20">
            <v>5078.29</v>
          </cell>
          <cell r="AL20">
            <v>970.6</v>
          </cell>
          <cell r="AO20">
            <v>969.09</v>
          </cell>
          <cell r="AR20">
            <v>186.67</v>
          </cell>
        </row>
        <row r="21">
          <cell r="B21">
            <v>2247.0300000000002</v>
          </cell>
          <cell r="E21">
            <v>8585.5</v>
          </cell>
          <cell r="H21">
            <v>2899.7</v>
          </cell>
          <cell r="K21">
            <v>10215.719999999999</v>
          </cell>
          <cell r="N21">
            <v>1447.99</v>
          </cell>
          <cell r="Q21">
            <v>1208.94</v>
          </cell>
          <cell r="T21">
            <v>259.27</v>
          </cell>
          <cell r="W21">
            <v>274.54000000000002</v>
          </cell>
          <cell r="Z21">
            <v>257.13</v>
          </cell>
          <cell r="AC21">
            <v>1186.8800000000001</v>
          </cell>
          <cell r="AF21">
            <v>979.5</v>
          </cell>
          <cell r="AI21">
            <v>4893.3999999999996</v>
          </cell>
          <cell r="AL21">
            <v>945.34</v>
          </cell>
          <cell r="AO21">
            <v>940.87</v>
          </cell>
          <cell r="AR21">
            <v>182.06</v>
          </cell>
        </row>
        <row r="22">
          <cell r="B22">
            <v>2227.1</v>
          </cell>
          <cell r="E22">
            <v>8483.86</v>
          </cell>
          <cell r="H22">
            <v>2868.97</v>
          </cell>
          <cell r="K22">
            <v>10101.74</v>
          </cell>
          <cell r="N22">
            <v>1436.32</v>
          </cell>
          <cell r="Q22">
            <v>1197.3800000000001</v>
          </cell>
          <cell r="T22">
            <v>256.79000000000002</v>
          </cell>
          <cell r="W22">
            <v>272.08</v>
          </cell>
          <cell r="Z22">
            <v>254.68</v>
          </cell>
          <cell r="AC22">
            <v>1179.45</v>
          </cell>
          <cell r="AF22">
            <v>969.03</v>
          </cell>
          <cell r="AI22">
            <v>4836.09</v>
          </cell>
          <cell r="AL22">
            <v>938.55</v>
          </cell>
          <cell r="AO22">
            <v>935.41</v>
          </cell>
          <cell r="AR22">
            <v>180.5</v>
          </cell>
        </row>
        <row r="23">
          <cell r="B23">
            <v>2279.13</v>
          </cell>
          <cell r="E23">
            <v>8619.27</v>
          </cell>
          <cell r="H23">
            <v>2914.18</v>
          </cell>
          <cell r="K23">
            <v>10287.18</v>
          </cell>
          <cell r="N23">
            <v>1456.64</v>
          </cell>
          <cell r="Q23">
            <v>1217.96</v>
          </cell>
          <cell r="T23">
            <v>260.68</v>
          </cell>
          <cell r="W23">
            <v>275.62</v>
          </cell>
          <cell r="Z23">
            <v>258.85000000000002</v>
          </cell>
          <cell r="AC23">
            <v>1198.42</v>
          </cell>
          <cell r="AF23">
            <v>986.21</v>
          </cell>
          <cell r="AI23">
            <v>4914.8999999999996</v>
          </cell>
          <cell r="AL23">
            <v>950.98</v>
          </cell>
          <cell r="AO23">
            <v>944.35</v>
          </cell>
          <cell r="AR23">
            <v>183.24</v>
          </cell>
        </row>
        <row r="24">
          <cell r="B24">
            <v>2207.1</v>
          </cell>
          <cell r="E24">
            <v>8344.84</v>
          </cell>
          <cell r="H24">
            <v>2822.91</v>
          </cell>
          <cell r="K24">
            <v>9913.1</v>
          </cell>
          <cell r="N24">
            <v>1406</v>
          </cell>
          <cell r="Q24">
            <v>1177.33</v>
          </cell>
          <cell r="T24">
            <v>256.79000000000002</v>
          </cell>
          <cell r="W24">
            <v>266.39999999999998</v>
          </cell>
          <cell r="Z24">
            <v>251.37</v>
          </cell>
          <cell r="AC24">
            <v>1162.44</v>
          </cell>
          <cell r="AF24">
            <v>955.33</v>
          </cell>
          <cell r="AI24">
            <v>4746.0200000000004</v>
          </cell>
          <cell r="AL24">
            <v>926.58</v>
          </cell>
          <cell r="AO24">
            <v>918.39</v>
          </cell>
          <cell r="AR24">
            <v>178.18</v>
          </cell>
        </row>
        <row r="25">
          <cell r="B25">
            <v>2183.36</v>
          </cell>
          <cell r="E25">
            <v>8309.33</v>
          </cell>
          <cell r="H25">
            <v>2816.39</v>
          </cell>
          <cell r="K25">
            <v>9763.58</v>
          </cell>
          <cell r="N25">
            <v>1402.25</v>
          </cell>
          <cell r="Q25">
            <v>1167.0999999999999</v>
          </cell>
          <cell r="T25">
            <v>251.79</v>
          </cell>
          <cell r="W25">
            <v>264.89999999999998</v>
          </cell>
          <cell r="Z25">
            <v>250.44</v>
          </cell>
          <cell r="AC25">
            <v>1155.07</v>
          </cell>
          <cell r="AF25">
            <v>949.99</v>
          </cell>
          <cell r="AI25">
            <v>4685.25</v>
          </cell>
          <cell r="AL25">
            <v>924.48</v>
          </cell>
          <cell r="AO25">
            <v>917.2</v>
          </cell>
          <cell r="AR25">
            <v>178.04</v>
          </cell>
        </row>
        <row r="26">
          <cell r="B26">
            <v>2203.1</v>
          </cell>
          <cell r="E26">
            <v>8526.75</v>
          </cell>
          <cell r="H26">
            <v>2887.34</v>
          </cell>
          <cell r="K26">
            <v>9769.4599999999991</v>
          </cell>
          <cell r="N26">
            <v>1446.35</v>
          </cell>
          <cell r="Q26">
            <v>1202.96</v>
          </cell>
          <cell r="T26">
            <v>258.31</v>
          </cell>
          <cell r="W26">
            <v>271.48</v>
          </cell>
          <cell r="Z26">
            <v>257.42</v>
          </cell>
          <cell r="AC26">
            <v>1192.6199999999999</v>
          </cell>
          <cell r="AF26">
            <v>975.34</v>
          </cell>
          <cell r="AI26">
            <v>4700.43</v>
          </cell>
          <cell r="AL26">
            <v>943.9</v>
          </cell>
          <cell r="AO26">
            <v>941.48</v>
          </cell>
          <cell r="AR26">
            <v>183.19</v>
          </cell>
        </row>
        <row r="27">
          <cell r="B27">
            <v>2183.1999999999998</v>
          </cell>
          <cell r="E27">
            <v>8340.24</v>
          </cell>
          <cell r="H27">
            <v>2838.9</v>
          </cell>
          <cell r="K27">
            <v>9643.9500000000007</v>
          </cell>
          <cell r="N27">
            <v>1416.49</v>
          </cell>
          <cell r="Q27">
            <v>1173.7</v>
          </cell>
          <cell r="T27">
            <v>253.36</v>
          </cell>
          <cell r="W27">
            <v>266.01</v>
          </cell>
          <cell r="Z27">
            <v>251.49</v>
          </cell>
          <cell r="AC27">
            <v>1166.1600000000001</v>
          </cell>
          <cell r="AF27">
            <v>954.16</v>
          </cell>
          <cell r="AI27">
            <v>4651.8</v>
          </cell>
          <cell r="AL27">
            <v>933.57</v>
          </cell>
          <cell r="AO27">
            <v>924.89</v>
          </cell>
          <cell r="AR27">
            <v>179.93</v>
          </cell>
        </row>
        <row r="28">
          <cell r="B28">
            <v>2148.2800000000002</v>
          </cell>
          <cell r="E28">
            <v>8109.41</v>
          </cell>
          <cell r="H28">
            <v>2764.09</v>
          </cell>
          <cell r="K28">
            <v>9592.48</v>
          </cell>
          <cell r="N28">
            <v>1375.87</v>
          </cell>
          <cell r="Q28">
            <v>1136.3599999999999</v>
          </cell>
          <cell r="T28">
            <v>246.69</v>
          </cell>
          <cell r="W28">
            <v>259.58</v>
          </cell>
          <cell r="Z28">
            <v>243.77</v>
          </cell>
          <cell r="AC28">
            <v>1131.51</v>
          </cell>
          <cell r="AF28">
            <v>926.09</v>
          </cell>
          <cell r="AI28">
            <v>4607.28</v>
          </cell>
          <cell r="AL28">
            <v>913.24</v>
          </cell>
          <cell r="AO28">
            <v>902.63</v>
          </cell>
          <cell r="AR28">
            <v>175.17</v>
          </cell>
        </row>
        <row r="29">
          <cell r="B29">
            <v>2203.27</v>
          </cell>
          <cell r="E29">
            <v>8337.65</v>
          </cell>
          <cell r="H29">
            <v>2838.43</v>
          </cell>
          <cell r="K29">
            <v>9879.9</v>
          </cell>
          <cell r="N29">
            <v>1416.45</v>
          </cell>
          <cell r="Q29">
            <v>1166.33</v>
          </cell>
          <cell r="T29">
            <v>252.95</v>
          </cell>
          <cell r="W29">
            <v>265.75</v>
          </cell>
          <cell r="Z29">
            <v>249.67</v>
          </cell>
          <cell r="AC29">
            <v>1161.06</v>
          </cell>
          <cell r="AF29">
            <v>952.66</v>
          </cell>
          <cell r="AI29">
            <v>4732.8599999999997</v>
          </cell>
          <cell r="AL29">
            <v>935.43</v>
          </cell>
          <cell r="AO29">
            <v>923.1</v>
          </cell>
          <cell r="AR29">
            <v>179.25</v>
          </cell>
        </row>
        <row r="30">
          <cell r="B30">
            <v>2190.36</v>
          </cell>
          <cell r="E30">
            <v>8176.86</v>
          </cell>
          <cell r="H30">
            <v>2793.4</v>
          </cell>
          <cell r="K30">
            <v>9812.0400000000009</v>
          </cell>
          <cell r="N30">
            <v>1388.35</v>
          </cell>
          <cell r="Q30">
            <v>1143.03</v>
          </cell>
          <cell r="T30">
            <v>248.67</v>
          </cell>
          <cell r="W30">
            <v>261.77</v>
          </cell>
          <cell r="Z30">
            <v>244.82</v>
          </cell>
          <cell r="AC30">
            <v>1140.6500000000001</v>
          </cell>
          <cell r="AF30">
            <v>935.77</v>
          </cell>
          <cell r="AI30">
            <v>4695</v>
          </cell>
          <cell r="AL30">
            <v>920.81</v>
          </cell>
          <cell r="AO30">
            <v>909.54</v>
          </cell>
          <cell r="AR30">
            <v>176.15</v>
          </cell>
        </row>
        <row r="31">
          <cell r="B31">
            <v>2225.14</v>
          </cell>
          <cell r="E31">
            <v>8385.7999999999993</v>
          </cell>
          <cell r="H31">
            <v>2865.27</v>
          </cell>
          <cell r="K31">
            <v>9871.81</v>
          </cell>
          <cell r="N31">
            <v>1420.13</v>
          </cell>
          <cell r="Q31">
            <v>1173.2</v>
          </cell>
          <cell r="T31">
            <v>255.05</v>
          </cell>
          <cell r="W31">
            <v>267.89</v>
          </cell>
          <cell r="Z31">
            <v>251.35</v>
          </cell>
          <cell r="AC31">
            <v>1170.01</v>
          </cell>
          <cell r="AF31">
            <v>958.81</v>
          </cell>
          <cell r="AI31">
            <v>4774.2299999999996</v>
          </cell>
          <cell r="AL31">
            <v>942.3</v>
          </cell>
          <cell r="AO31">
            <v>931.38</v>
          </cell>
          <cell r="AR31">
            <v>181.07</v>
          </cell>
        </row>
        <row r="32">
          <cell r="B32">
            <v>2186.2199999999998</v>
          </cell>
          <cell r="E32">
            <v>8220.91</v>
          </cell>
          <cell r="H32">
            <v>2805.77</v>
          </cell>
          <cell r="K32">
            <v>9675.59</v>
          </cell>
          <cell r="N32">
            <v>1394.03</v>
          </cell>
          <cell r="Q32">
            <v>1148.53</v>
          </cell>
          <cell r="T32">
            <v>249.88</v>
          </cell>
          <cell r="W32">
            <v>262.83999999999997</v>
          </cell>
          <cell r="Z32">
            <v>246.1</v>
          </cell>
          <cell r="AC32">
            <v>1147.0999999999999</v>
          </cell>
          <cell r="AF32">
            <v>938.68</v>
          </cell>
          <cell r="AI32">
            <v>4693.1000000000004</v>
          </cell>
          <cell r="AL32">
            <v>928.45</v>
          </cell>
          <cell r="AO32">
            <v>913.85</v>
          </cell>
          <cell r="AR32">
            <v>178.04</v>
          </cell>
        </row>
        <row r="33">
          <cell r="B33">
            <v>2152.04</v>
          </cell>
          <cell r="E33">
            <v>8046.51</v>
          </cell>
          <cell r="H33">
            <v>2754.23</v>
          </cell>
          <cell r="K33">
            <v>9488.4</v>
          </cell>
          <cell r="N33">
            <v>1363.66</v>
          </cell>
          <cell r="Q33">
            <v>1121.94</v>
          </cell>
          <cell r="T33">
            <v>244.86</v>
          </cell>
          <cell r="W33">
            <v>258.10000000000002</v>
          </cell>
          <cell r="Z33">
            <v>240.99</v>
          </cell>
          <cell r="AC33">
            <v>1126.6099999999999</v>
          </cell>
          <cell r="AF33">
            <v>920.18</v>
          </cell>
          <cell r="AI33">
            <v>4594.6000000000004</v>
          </cell>
          <cell r="AL33">
            <v>913.79</v>
          </cell>
          <cell r="AO33">
            <v>899.37</v>
          </cell>
          <cell r="AR33">
            <v>175.28</v>
          </cell>
        </row>
        <row r="34">
          <cell r="B34">
            <v>2171.1</v>
          </cell>
          <cell r="E34">
            <v>8138.16</v>
          </cell>
          <cell r="H34">
            <v>2782.76</v>
          </cell>
          <cell r="K34">
            <v>9535.24</v>
          </cell>
          <cell r="N34">
            <v>1379.48</v>
          </cell>
          <cell r="Q34">
            <v>1133.79</v>
          </cell>
          <cell r="T34">
            <v>247.44</v>
          </cell>
          <cell r="W34">
            <v>261.36</v>
          </cell>
          <cell r="Z34">
            <v>243.65</v>
          </cell>
          <cell r="AC34">
            <v>1137.08</v>
          </cell>
          <cell r="AF34">
            <v>930.31</v>
          </cell>
          <cell r="AI34">
            <v>4640.21</v>
          </cell>
          <cell r="AL34">
            <v>926.86</v>
          </cell>
          <cell r="AO34">
            <v>911.24</v>
          </cell>
          <cell r="AR34">
            <v>177.54</v>
          </cell>
        </row>
        <row r="35">
          <cell r="B35">
            <v>2179.9</v>
          </cell>
          <cell r="E35">
            <v>8163.32</v>
          </cell>
          <cell r="H35">
            <v>2800.7</v>
          </cell>
          <cell r="K35">
            <v>9582.11</v>
          </cell>
          <cell r="N35">
            <v>1386.11</v>
          </cell>
          <cell r="Q35">
            <v>1137.6300000000001</v>
          </cell>
          <cell r="T35">
            <v>248.64</v>
          </cell>
          <cell r="W35">
            <v>262.10000000000002</v>
          </cell>
          <cell r="Z35">
            <v>245.07</v>
          </cell>
          <cell r="AC35">
            <v>1144.6300000000001</v>
          </cell>
          <cell r="AF35">
            <v>934.4</v>
          </cell>
          <cell r="AI35">
            <v>4651.83</v>
          </cell>
          <cell r="AL35">
            <v>929.7</v>
          </cell>
          <cell r="AO35">
            <v>911.52</v>
          </cell>
          <cell r="AR35">
            <v>177.84</v>
          </cell>
        </row>
        <row r="36">
          <cell r="B36">
            <v>2265.42</v>
          </cell>
          <cell r="E36">
            <v>8667.56</v>
          </cell>
          <cell r="H36">
            <v>2969.53</v>
          </cell>
          <cell r="K36">
            <v>10063.81</v>
          </cell>
          <cell r="N36">
            <v>1465.25</v>
          </cell>
          <cell r="Q36">
            <v>1204.26</v>
          </cell>
          <cell r="T36">
            <v>262.91000000000003</v>
          </cell>
          <cell r="W36">
            <v>275.66000000000003</v>
          </cell>
          <cell r="Z36">
            <v>259.35000000000002</v>
          </cell>
          <cell r="AC36">
            <v>1206.57</v>
          </cell>
          <cell r="AF36">
            <v>990.37</v>
          </cell>
          <cell r="AI36">
            <v>4888.87</v>
          </cell>
          <cell r="AL36">
            <v>971.58</v>
          </cell>
          <cell r="AO36">
            <v>958.25</v>
          </cell>
          <cell r="AR36">
            <v>187.42</v>
          </cell>
        </row>
        <row r="37">
          <cell r="B37">
            <v>2255.4699999999998</v>
          </cell>
          <cell r="E37">
            <v>8632.2900000000009</v>
          </cell>
          <cell r="H37">
            <v>2962.24</v>
          </cell>
          <cell r="K37">
            <v>9990.7099999999991</v>
          </cell>
          <cell r="N37">
            <v>1461.35</v>
          </cell>
          <cell r="Q37">
            <v>1201</v>
          </cell>
          <cell r="T37">
            <v>262.24</v>
          </cell>
          <cell r="W37">
            <v>275.27</v>
          </cell>
          <cell r="Z37">
            <v>258.61</v>
          </cell>
          <cell r="AC37">
            <v>1203.8699999999999</v>
          </cell>
          <cell r="AF37">
            <v>988.25</v>
          </cell>
          <cell r="AI37">
            <v>4857.0200000000004</v>
          </cell>
          <cell r="AL37">
            <v>972.17</v>
          </cell>
          <cell r="AO37">
            <v>958.85</v>
          </cell>
          <cell r="AR37">
            <v>187.65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73656-449C-4976-8852-E5AF6A9EC0CC}">
  <dimension ref="A1:AV50"/>
  <sheetViews>
    <sheetView topLeftCell="Y1" workbookViewId="0">
      <selection activeCell="AI1" sqref="AI1:AK1"/>
    </sheetView>
  </sheetViews>
  <sheetFormatPr baseColWidth="10" defaultColWidth="16.5703125" defaultRowHeight="15" x14ac:dyDescent="0.25"/>
  <cols>
    <col min="1" max="16384" width="16.5703125" style="1"/>
  </cols>
  <sheetData>
    <row r="1" spans="1:48" x14ac:dyDescent="0.25">
      <c r="A1" s="1" t="s">
        <v>18</v>
      </c>
      <c r="B1" s="9">
        <v>3707</v>
      </c>
      <c r="C1" s="9"/>
      <c r="D1" s="9"/>
      <c r="E1" s="9">
        <v>3899</v>
      </c>
      <c r="F1" s="9"/>
      <c r="G1" s="9"/>
      <c r="H1" s="9">
        <v>3679</v>
      </c>
      <c r="I1" s="9"/>
      <c r="J1" s="9"/>
      <c r="K1" s="9">
        <v>3587</v>
      </c>
      <c r="L1" s="9"/>
      <c r="M1" s="9"/>
      <c r="N1" s="9">
        <v>3909</v>
      </c>
      <c r="O1" s="9"/>
      <c r="P1" s="9"/>
      <c r="Q1" s="9">
        <v>3574</v>
      </c>
      <c r="R1" s="9"/>
      <c r="S1" s="9"/>
      <c r="T1" s="9">
        <v>3692</v>
      </c>
      <c r="U1" s="9"/>
      <c r="V1" s="9"/>
      <c r="W1" s="9">
        <v>4100</v>
      </c>
      <c r="X1" s="9"/>
      <c r="Y1" s="9"/>
      <c r="Z1" s="9">
        <v>4170</v>
      </c>
      <c r="AA1" s="9"/>
      <c r="AB1" s="9"/>
      <c r="AC1" s="9">
        <v>4008</v>
      </c>
      <c r="AD1" s="9"/>
      <c r="AE1" s="9"/>
      <c r="AF1" s="9">
        <v>3972</v>
      </c>
      <c r="AG1" s="9"/>
      <c r="AH1" s="9"/>
      <c r="AI1" s="9">
        <v>3516</v>
      </c>
      <c r="AJ1" s="9"/>
      <c r="AK1" s="9"/>
      <c r="AL1" s="9">
        <v>3984</v>
      </c>
      <c r="AM1" s="9"/>
      <c r="AN1" s="9"/>
      <c r="AO1" s="9">
        <v>3913</v>
      </c>
      <c r="AP1" s="9"/>
      <c r="AQ1" s="9"/>
      <c r="AR1" s="9">
        <v>4213</v>
      </c>
      <c r="AS1" s="9"/>
      <c r="AT1" s="9"/>
    </row>
    <row r="2" spans="1:48" ht="45" customHeight="1" x14ac:dyDescent="0.25">
      <c r="A2" s="5" t="s">
        <v>19</v>
      </c>
      <c r="B2" s="6" t="s">
        <v>13</v>
      </c>
      <c r="C2" s="6"/>
      <c r="D2" s="6"/>
      <c r="E2" s="6" t="s">
        <v>14</v>
      </c>
      <c r="F2" s="6"/>
      <c r="G2" s="6"/>
      <c r="H2" s="6" t="s">
        <v>0</v>
      </c>
      <c r="I2" s="6"/>
      <c r="J2" s="6"/>
      <c r="K2" s="6" t="s">
        <v>1</v>
      </c>
      <c r="L2" s="6"/>
      <c r="M2" s="6"/>
      <c r="N2" s="6" t="s">
        <v>2</v>
      </c>
      <c r="O2" s="6"/>
      <c r="P2" s="6"/>
      <c r="Q2" s="6" t="s">
        <v>3</v>
      </c>
      <c r="R2" s="6"/>
      <c r="S2" s="6"/>
      <c r="T2" s="6" t="s">
        <v>4</v>
      </c>
      <c r="U2" s="6"/>
      <c r="V2" s="6"/>
      <c r="W2" s="6" t="s">
        <v>5</v>
      </c>
      <c r="X2" s="6"/>
      <c r="Y2" s="6"/>
      <c r="Z2" s="6" t="s">
        <v>6</v>
      </c>
      <c r="AA2" s="6"/>
      <c r="AB2" s="6"/>
      <c r="AC2" s="6" t="s">
        <v>7</v>
      </c>
      <c r="AD2" s="6"/>
      <c r="AE2" s="6"/>
      <c r="AF2" s="6" t="s">
        <v>8</v>
      </c>
      <c r="AG2" s="6"/>
      <c r="AH2" s="6"/>
      <c r="AI2" s="6" t="s">
        <v>9</v>
      </c>
      <c r="AJ2" s="6"/>
      <c r="AK2" s="6"/>
      <c r="AL2" s="6" t="s">
        <v>10</v>
      </c>
      <c r="AM2" s="6"/>
      <c r="AN2" s="6"/>
      <c r="AO2" s="6" t="s">
        <v>11</v>
      </c>
      <c r="AP2" s="6"/>
      <c r="AQ2" s="6"/>
      <c r="AR2" s="6" t="s">
        <v>12</v>
      </c>
      <c r="AS2" s="6"/>
      <c r="AT2" s="6"/>
      <c r="AU2" s="6" t="s">
        <v>15</v>
      </c>
      <c r="AV2" s="6"/>
    </row>
    <row r="3" spans="1:48" x14ac:dyDescent="0.25">
      <c r="A3" s="4" t="s">
        <v>16</v>
      </c>
      <c r="B3" s="4" t="s">
        <v>17</v>
      </c>
      <c r="C3" s="4" t="s">
        <v>20</v>
      </c>
      <c r="D3" s="4" t="s">
        <v>21</v>
      </c>
      <c r="E3" s="4" t="s">
        <v>17</v>
      </c>
      <c r="F3" s="4" t="s">
        <v>20</v>
      </c>
      <c r="G3" s="4" t="s">
        <v>21</v>
      </c>
      <c r="H3" s="4" t="s">
        <v>17</v>
      </c>
      <c r="I3" s="4" t="s">
        <v>20</v>
      </c>
      <c r="J3" s="4" t="s">
        <v>21</v>
      </c>
      <c r="K3" s="4" t="s">
        <v>17</v>
      </c>
      <c r="L3" s="4" t="s">
        <v>20</v>
      </c>
      <c r="M3" s="4" t="s">
        <v>21</v>
      </c>
      <c r="N3" s="4" t="s">
        <v>17</v>
      </c>
      <c r="O3" s="4" t="s">
        <v>20</v>
      </c>
      <c r="P3" s="4" t="s">
        <v>21</v>
      </c>
      <c r="Q3" s="4" t="s">
        <v>17</v>
      </c>
      <c r="R3" s="4" t="s">
        <v>20</v>
      </c>
      <c r="S3" s="4" t="s">
        <v>21</v>
      </c>
      <c r="T3" s="4" t="s">
        <v>17</v>
      </c>
      <c r="U3" s="4" t="s">
        <v>20</v>
      </c>
      <c r="V3" s="4" t="s">
        <v>21</v>
      </c>
      <c r="W3" s="4" t="s">
        <v>17</v>
      </c>
      <c r="X3" s="4" t="s">
        <v>20</v>
      </c>
      <c r="Y3" s="4" t="s">
        <v>21</v>
      </c>
      <c r="Z3" s="4" t="s">
        <v>17</v>
      </c>
      <c r="AA3" s="4" t="s">
        <v>20</v>
      </c>
      <c r="AB3" s="4" t="s">
        <v>21</v>
      </c>
      <c r="AC3" s="4" t="s">
        <v>17</v>
      </c>
      <c r="AD3" s="4" t="s">
        <v>20</v>
      </c>
      <c r="AE3" s="4" t="s">
        <v>21</v>
      </c>
      <c r="AF3" s="4" t="s">
        <v>17</v>
      </c>
      <c r="AG3" s="4" t="s">
        <v>20</v>
      </c>
      <c r="AH3" s="4" t="s">
        <v>21</v>
      </c>
      <c r="AI3" s="4" t="s">
        <v>17</v>
      </c>
      <c r="AJ3" s="4" t="s">
        <v>20</v>
      </c>
      <c r="AK3" s="4" t="s">
        <v>21</v>
      </c>
      <c r="AL3" s="4" t="s">
        <v>17</v>
      </c>
      <c r="AM3" s="4" t="s">
        <v>20</v>
      </c>
      <c r="AN3" s="4" t="s">
        <v>21</v>
      </c>
      <c r="AO3" s="4" t="s">
        <v>17</v>
      </c>
      <c r="AP3" s="4" t="s">
        <v>20</v>
      </c>
      <c r="AQ3" s="4" t="s">
        <v>21</v>
      </c>
      <c r="AR3" s="4" t="s">
        <v>17</v>
      </c>
      <c r="AS3" s="4" t="s">
        <v>20</v>
      </c>
      <c r="AT3" s="4" t="s">
        <v>21</v>
      </c>
      <c r="AU3" s="4" t="s">
        <v>17</v>
      </c>
      <c r="AV3" s="4" t="s">
        <v>20</v>
      </c>
    </row>
    <row r="4" spans="1:48" x14ac:dyDescent="0.25">
      <c r="A4" s="2">
        <v>46017</v>
      </c>
      <c r="B4" s="3">
        <v>2354.81</v>
      </c>
      <c r="C4" s="3"/>
      <c r="D4" s="3"/>
      <c r="E4" s="3">
        <v>8502.5300000000007</v>
      </c>
      <c r="F4" s="3"/>
      <c r="G4" s="3"/>
      <c r="H4" s="3">
        <v>2946.92</v>
      </c>
      <c r="I4" s="3"/>
      <c r="J4" s="3"/>
      <c r="K4" s="3">
        <v>11152.36</v>
      </c>
      <c r="L4" s="3"/>
      <c r="M4" s="3"/>
      <c r="N4" s="3">
        <v>1507.93</v>
      </c>
      <c r="O4" s="3"/>
      <c r="P4" s="3"/>
      <c r="Q4" s="3">
        <v>1199.27</v>
      </c>
      <c r="R4" s="3"/>
      <c r="S4" s="3"/>
      <c r="T4" s="3">
        <v>262.54000000000002</v>
      </c>
      <c r="U4" s="3"/>
      <c r="V4" s="3"/>
      <c r="W4" s="3">
        <v>283.41000000000003</v>
      </c>
      <c r="X4" s="3"/>
      <c r="Y4" s="3"/>
      <c r="Z4" s="3">
        <v>256.99</v>
      </c>
      <c r="AA4" s="3"/>
      <c r="AB4" s="3"/>
      <c r="AC4" s="3">
        <v>1190.22</v>
      </c>
      <c r="AD4" s="3"/>
      <c r="AE4" s="3"/>
      <c r="AF4" s="3">
        <v>971.45</v>
      </c>
      <c r="AG4" s="3"/>
      <c r="AH4" s="3"/>
      <c r="AI4" s="3">
        <v>5105.37</v>
      </c>
      <c r="AJ4" s="3"/>
      <c r="AK4" s="3"/>
      <c r="AL4" s="3">
        <v>929.03</v>
      </c>
      <c r="AM4" s="3"/>
      <c r="AN4" s="3"/>
      <c r="AO4" s="3">
        <v>945.48</v>
      </c>
      <c r="AP4" s="3"/>
      <c r="AQ4" s="3"/>
      <c r="AR4" s="3">
        <v>174.88</v>
      </c>
      <c r="AS4" s="3"/>
      <c r="AT4" s="3"/>
      <c r="AU4" s="3">
        <v>60568.292500000003</v>
      </c>
    </row>
    <row r="5" spans="1:48" x14ac:dyDescent="0.25">
      <c r="A5" s="2">
        <v>46024</v>
      </c>
      <c r="B5" s="3">
        <v>2460</v>
      </c>
      <c r="C5" s="7">
        <f>B5/B4-1</f>
        <v>4.4670270637546139E-2</v>
      </c>
      <c r="D5" s="7">
        <f>C5-AV5</f>
        <v>5.042777423997169E-3</v>
      </c>
      <c r="E5" s="3">
        <v>8856.09</v>
      </c>
      <c r="F5" s="7">
        <f>E5/E4-1</f>
        <v>4.1582917084679538E-2</v>
      </c>
      <c r="G5" s="7">
        <f>F5-AV5</f>
        <v>1.9554238711305683E-3</v>
      </c>
      <c r="H5" s="3">
        <v>3074.6</v>
      </c>
      <c r="I5" s="7">
        <f>H5/H4-1</f>
        <v>4.3326591831471362E-2</v>
      </c>
      <c r="J5" s="7">
        <f>I5-AV5</f>
        <v>3.6990986179223917E-3</v>
      </c>
      <c r="K5" s="3">
        <v>11430</v>
      </c>
      <c r="L5" s="7">
        <f>K5/K4-1</f>
        <v>2.4895179136971812E-2</v>
      </c>
      <c r="M5" s="7">
        <f>L5-AV5</f>
        <v>-1.4732314076577158E-2</v>
      </c>
      <c r="N5" s="3">
        <v>1566.8</v>
      </c>
      <c r="O5" s="7">
        <f>N5/N4-1</f>
        <v>3.9040273752760424E-2</v>
      </c>
      <c r="P5" s="7">
        <f>O5-AV5</f>
        <v>-5.8721946078854614E-4</v>
      </c>
      <c r="Q5" s="3">
        <v>1251.26</v>
      </c>
      <c r="R5" s="7">
        <f>Q5/Q4-1</f>
        <v>4.3351372084684758E-2</v>
      </c>
      <c r="S5" s="7">
        <f>R5-AV5</f>
        <v>3.7238788711357884E-3</v>
      </c>
      <c r="T5" s="3">
        <v>273.25</v>
      </c>
      <c r="U5" s="7">
        <f>T5/T4-1</f>
        <v>4.0793783804372596E-2</v>
      </c>
      <c r="V5" s="7">
        <f>U5-AV5</f>
        <v>1.1662905908236265E-3</v>
      </c>
      <c r="W5" s="3">
        <v>294.38</v>
      </c>
      <c r="X5" s="7">
        <f>W5/W4-1</f>
        <v>3.8707173353092594E-2</v>
      </c>
      <c r="Y5" s="7">
        <f>X5-AV5</f>
        <v>-9.2031986045637559E-4</v>
      </c>
      <c r="Z5" s="3">
        <v>268.02999999999997</v>
      </c>
      <c r="AA5" s="7">
        <f>Z5/Z4-1</f>
        <v>4.2958869994941251E-2</v>
      </c>
      <c r="AB5" s="7">
        <f>AA5-AV5</f>
        <v>3.3313767813922812E-3</v>
      </c>
      <c r="AC5" s="3">
        <v>1236.79</v>
      </c>
      <c r="AD5" s="7">
        <f>AC5/AC4-1</f>
        <v>3.912722017778214E-2</v>
      </c>
      <c r="AE5" s="7">
        <f>AD5-AV5</f>
        <v>-5.0027303576682947E-4</v>
      </c>
      <c r="AF5" s="3">
        <v>1011.42</v>
      </c>
      <c r="AG5" s="7">
        <f>AF5/AF4-1</f>
        <v>4.1144680632044794E-2</v>
      </c>
      <c r="AH5" s="7">
        <f>AG5-AV5</f>
        <v>1.5171874184958245E-3</v>
      </c>
      <c r="AI5" s="3">
        <v>5280.46</v>
      </c>
      <c r="AJ5" s="7">
        <f>AI5/AI4-1</f>
        <v>3.4295261655864273E-2</v>
      </c>
      <c r="AK5" s="7">
        <f>AJ5-AV5</f>
        <v>-5.3322315576846968E-3</v>
      </c>
      <c r="AL5" s="3">
        <v>969.79</v>
      </c>
      <c r="AM5" s="7">
        <f>AL5/AL4-1</f>
        <v>4.3873717748619478E-2</v>
      </c>
      <c r="AN5" s="7">
        <f>AM5-AV5</f>
        <v>4.2462245350705086E-3</v>
      </c>
      <c r="AO5" s="3">
        <v>984.12</v>
      </c>
      <c r="AP5" s="7">
        <f>AO5/AO4-1</f>
        <v>4.0868130473410424E-2</v>
      </c>
      <c r="AQ5" s="7">
        <f>AP5-AV5</f>
        <v>1.2406372598614546E-3</v>
      </c>
      <c r="AR5" s="3">
        <v>183.42</v>
      </c>
      <c r="AS5" s="7">
        <f>AR5/AR4-1</f>
        <v>4.8833485818847056E-2</v>
      </c>
      <c r="AT5" s="7">
        <f>AS5-AV5</f>
        <v>9.2059926052980856E-3</v>
      </c>
      <c r="AU5" s="3">
        <v>62968.462099999997</v>
      </c>
      <c r="AV5" s="7">
        <f>AU5/AU4-1</f>
        <v>3.962749321354897E-2</v>
      </c>
    </row>
    <row r="6" spans="1:48" x14ac:dyDescent="0.25">
      <c r="A6" s="2">
        <v>46031</v>
      </c>
      <c r="B6" s="3">
        <v>2483.4499999999998</v>
      </c>
      <c r="C6" s="7">
        <f>B6/B5-1</f>
        <v>9.532520325203242E-3</v>
      </c>
      <c r="D6" s="7">
        <f>C6-AV6</f>
        <v>-4.0613943338623226E-3</v>
      </c>
      <c r="E6" s="3">
        <v>8971.5499999999993</v>
      </c>
      <c r="F6" s="7">
        <f>E6/E5-1</f>
        <v>1.3037356214762763E-2</v>
      </c>
      <c r="G6" s="7">
        <f>F6-AV6</f>
        <v>-5.5655844430280155E-4</v>
      </c>
      <c r="H6" s="3">
        <v>3112.31</v>
      </c>
      <c r="I6" s="7">
        <f>H6/H5-1</f>
        <v>1.2265010082612493E-2</v>
      </c>
      <c r="J6" s="7">
        <f>I6-AV6</f>
        <v>-1.3289045764530716E-3</v>
      </c>
      <c r="K6" s="3">
        <v>11617.75</v>
      </c>
      <c r="L6" s="7">
        <f>K6/K5-1</f>
        <v>1.6426071741032278E-2</v>
      </c>
      <c r="M6" s="7">
        <f>L6-AV6</f>
        <v>2.832157081966713E-3</v>
      </c>
      <c r="N6" s="3">
        <v>1583.91</v>
      </c>
      <c r="O6" s="7">
        <f>N6/N5-1</f>
        <v>1.0920347204493419E-2</v>
      </c>
      <c r="P6" s="7">
        <f>O6-AV6</f>
        <v>-2.6735674545721455E-3</v>
      </c>
      <c r="Q6" s="3">
        <v>1264.24</v>
      </c>
      <c r="R6" s="7">
        <f>Q6/Q5-1</f>
        <v>1.0373543468183977E-2</v>
      </c>
      <c r="S6" s="7">
        <f>R6-AV6</f>
        <v>-3.220371190881588E-3</v>
      </c>
      <c r="T6" s="3">
        <v>276.58</v>
      </c>
      <c r="U6" s="7">
        <f>T6/T5-1</f>
        <v>1.2186642268984471E-2</v>
      </c>
      <c r="V6" s="7">
        <f>U6-AV6</f>
        <v>-1.4072723900810935E-3</v>
      </c>
      <c r="W6" s="3">
        <v>297.58</v>
      </c>
      <c r="X6" s="7">
        <f>W6/W5-1</f>
        <v>1.0870303689109351E-2</v>
      </c>
      <c r="Y6" s="7">
        <f>X6-AV6</f>
        <v>-2.7236109699562139E-3</v>
      </c>
      <c r="Z6" s="3">
        <v>271.39</v>
      </c>
      <c r="AA6" s="7">
        <f>Z6/Z5-1</f>
        <v>1.2535910159310548E-2</v>
      </c>
      <c r="AB6" s="7">
        <f>AA6-AV6</f>
        <v>-1.0580044997550164E-3</v>
      </c>
      <c r="AC6" s="3">
        <v>1251.92</v>
      </c>
      <c r="AD6" s="7">
        <f>AC6/AC5-1</f>
        <v>1.2233281316957667E-2</v>
      </c>
      <c r="AE6" s="7">
        <f>AD6-AV6</f>
        <v>-1.3606333421078975E-3</v>
      </c>
      <c r="AF6" s="3">
        <v>1026.3399999999999</v>
      </c>
      <c r="AG6" s="7">
        <f>AF6/AF5-1</f>
        <v>1.4751537442407647E-2</v>
      </c>
      <c r="AH6" s="7">
        <f>AG6-AV6</f>
        <v>1.1576227833420827E-3</v>
      </c>
      <c r="AI6" s="3">
        <v>5387.19</v>
      </c>
      <c r="AJ6" s="7">
        <f>AI6/AI5-1</f>
        <v>2.0212254235426386E-2</v>
      </c>
      <c r="AK6" s="7">
        <f>AJ6-AV6</f>
        <v>6.618339576360821E-3</v>
      </c>
      <c r="AL6" s="3">
        <v>984.93</v>
      </c>
      <c r="AM6" s="7">
        <f>AL6/AL5-1</f>
        <v>1.5611627259509708E-2</v>
      </c>
      <c r="AN6" s="7">
        <f>AM6-AV6</f>
        <v>2.0177126004441437E-3</v>
      </c>
      <c r="AO6" s="3">
        <v>995.46</v>
      </c>
      <c r="AP6" s="7">
        <f>AO6/AO5-1</f>
        <v>1.1522985001829023E-2</v>
      </c>
      <c r="AQ6" s="7">
        <f>AP6-AV6</f>
        <v>-2.0709296572365421E-3</v>
      </c>
      <c r="AR6" s="3">
        <v>186.47</v>
      </c>
      <c r="AS6" s="7">
        <f>AR6/AR5-1</f>
        <v>1.6628502889543206E-2</v>
      </c>
      <c r="AT6" s="7">
        <f>AS6-AV6</f>
        <v>3.0345882304776417E-3</v>
      </c>
      <c r="AU6" s="3">
        <v>63824.45</v>
      </c>
      <c r="AV6" s="7">
        <f>AU6/AU5-1</f>
        <v>1.3593914659065565E-2</v>
      </c>
    </row>
    <row r="7" spans="1:48" x14ac:dyDescent="0.25">
      <c r="A7" s="2">
        <v>46038</v>
      </c>
      <c r="B7" s="3">
        <v>2436.31</v>
      </c>
      <c r="C7" s="7">
        <f>B7/B6-1</f>
        <v>-1.8981658579798166E-2</v>
      </c>
      <c r="D7" s="7">
        <f>C7-AV7</f>
        <v>-5.1651525229501338E-3</v>
      </c>
      <c r="E7" s="3">
        <v>8798.35</v>
      </c>
      <c r="F7" s="7">
        <f>E7/E6-1</f>
        <v>-1.9305471183909018E-2</v>
      </c>
      <c r="G7" s="7">
        <f>F7-AV7</f>
        <v>-5.4889651270609852E-3</v>
      </c>
      <c r="H7" s="3">
        <v>3050.25</v>
      </c>
      <c r="I7" s="7">
        <f>H7/H6-1</f>
        <v>-1.9940173054740717E-2</v>
      </c>
      <c r="J7" s="7">
        <f>I7-AV7</f>
        <v>-6.123666997892685E-3</v>
      </c>
      <c r="K7" s="3">
        <v>11334.3</v>
      </c>
      <c r="L7" s="7">
        <f>K7/K6-1</f>
        <v>-2.4398011663187891E-2</v>
      </c>
      <c r="M7" s="7">
        <f>L7-AV7</f>
        <v>-1.0581505606339858E-2</v>
      </c>
      <c r="N7" s="3">
        <v>1557.74</v>
      </c>
      <c r="O7" s="7">
        <f>N7/N6-1</f>
        <v>-1.6522403419386267E-2</v>
      </c>
      <c r="P7" s="7">
        <f>O7-AV7</f>
        <v>-2.7058973625382343E-3</v>
      </c>
      <c r="Q7" s="3">
        <v>1248.05</v>
      </c>
      <c r="R7" s="7">
        <f>Q7/Q6-1</f>
        <v>-1.280611276339938E-2</v>
      </c>
      <c r="S7" s="7">
        <f>R7-AV7</f>
        <v>1.0103932934486526E-3</v>
      </c>
      <c r="T7" s="3">
        <v>271.36</v>
      </c>
      <c r="U7" s="7">
        <f>T7/T6-1</f>
        <v>-1.8873382023284258E-2</v>
      </c>
      <c r="V7" s="7">
        <f>U7-AV7</f>
        <v>-5.0568759664362251E-3</v>
      </c>
      <c r="W7" s="3">
        <v>291.5</v>
      </c>
      <c r="X7" s="7">
        <f>W7/W6-1</f>
        <v>-2.0431480610256014E-2</v>
      </c>
      <c r="Y7" s="7">
        <f>X7-AV7</f>
        <v>-6.6149745534079818E-3</v>
      </c>
      <c r="Z7" s="3">
        <v>266.44</v>
      </c>
      <c r="AA7" s="7">
        <f>Z7/Z6-1</f>
        <v>-1.8239434024835077E-2</v>
      </c>
      <c r="AB7" s="7">
        <f>AA7-AV7</f>
        <v>-4.4229279679870448E-3</v>
      </c>
      <c r="AC7" s="3">
        <v>1232.9100000000001</v>
      </c>
      <c r="AD7" s="7">
        <f>AC7/AC6-1</f>
        <v>-1.5184676337146152E-2</v>
      </c>
      <c r="AE7" s="7">
        <f>AD7-AV7</f>
        <v>-1.3681702802981199E-3</v>
      </c>
      <c r="AF7" s="3">
        <v>1008.99</v>
      </c>
      <c r="AG7" s="7">
        <f>AF7/AF6-1</f>
        <v>-1.6904729426895471E-2</v>
      </c>
      <c r="AH7" s="7">
        <f>AG7-AV7</f>
        <v>-3.0882233700474382E-3</v>
      </c>
      <c r="AI7" s="3">
        <v>5287.34</v>
      </c>
      <c r="AJ7" s="7">
        <f>AI7/AI6-1</f>
        <v>-1.8534709189763077E-2</v>
      </c>
      <c r="AK7" s="7">
        <f>AJ7-AV7</f>
        <v>-4.7182031329150442E-3</v>
      </c>
      <c r="AL7" s="3">
        <v>974.27</v>
      </c>
      <c r="AM7" s="7">
        <f>AL7/AL6-1</f>
        <v>-1.0823104179992438E-2</v>
      </c>
      <c r="AN7" s="7">
        <f>AM7-AV7</f>
        <v>2.9934018768555948E-3</v>
      </c>
      <c r="AO7" s="3">
        <v>979.99</v>
      </c>
      <c r="AP7" s="7">
        <f>AO7/AO6-1</f>
        <v>-1.5540554115685223E-2</v>
      </c>
      <c r="AQ7" s="7">
        <f>AP7-AV7</f>
        <v>-1.7240480588371909E-3</v>
      </c>
      <c r="AR7" s="3">
        <v>184.23</v>
      </c>
      <c r="AS7" s="7">
        <f>AR7/AR6-1</f>
        <v>-1.2012656191344506E-2</v>
      </c>
      <c r="AT7" s="7">
        <f>AS7-AV7</f>
        <v>1.8038498655035262E-3</v>
      </c>
      <c r="AU7" s="3">
        <v>62942.619100000004</v>
      </c>
      <c r="AV7" s="7">
        <f>AU7/AU6-1</f>
        <v>-1.3816506056848032E-2</v>
      </c>
    </row>
    <row r="8" spans="1:48" x14ac:dyDescent="0.25">
      <c r="A8" s="2">
        <v>46045</v>
      </c>
      <c r="B8" s="3">
        <v>2352.91</v>
      </c>
      <c r="C8" s="7">
        <f>B8/B7-1</f>
        <v>-3.4232096900640774E-2</v>
      </c>
      <c r="D8" s="7">
        <f>C8-AV8</f>
        <v>-5.2266833016377801E-3</v>
      </c>
      <c r="E8" s="3">
        <v>8501.0400000000009</v>
      </c>
      <c r="F8" s="7">
        <f>E8/E7-1</f>
        <v>-3.3791563190825546E-2</v>
      </c>
      <c r="G8" s="7">
        <f>F8-AV8</f>
        <v>-4.7861495918225527E-3</v>
      </c>
      <c r="H8" s="3">
        <v>2950.52</v>
      </c>
      <c r="I8" s="7">
        <f>H8/H7-1</f>
        <v>-3.269568068191131E-2</v>
      </c>
      <c r="J8" s="7">
        <f>I8-AV8</f>
        <v>-3.6902670829083162E-3</v>
      </c>
      <c r="K8" s="3">
        <v>10980.79</v>
      </c>
      <c r="L8" s="7">
        <f>K8/K7-1</f>
        <v>-3.1189398551299874E-2</v>
      </c>
      <c r="M8" s="7">
        <f>L8-AV8</f>
        <v>-2.1839849522968802E-3</v>
      </c>
      <c r="N8" s="3">
        <v>1512.09</v>
      </c>
      <c r="O8" s="7">
        <f>N8/N7-1</f>
        <v>-2.9305275591562152E-2</v>
      </c>
      <c r="P8" s="7">
        <f>O8-AV8</f>
        <v>-2.9986199255915835E-4</v>
      </c>
      <c r="Q8" s="3">
        <v>1210.6400000000001</v>
      </c>
      <c r="R8" s="7">
        <f>Q8/Q7-1</f>
        <v>-2.9974760626577335E-2</v>
      </c>
      <c r="S8" s="7">
        <f>R8-AV8</f>
        <v>-9.6934702757434099E-4</v>
      </c>
      <c r="T8" s="3">
        <v>262.14</v>
      </c>
      <c r="U8" s="7">
        <f>T8/T7-1</f>
        <v>-3.3977004716981285E-2</v>
      </c>
      <c r="V8" s="7">
        <f>U8-AV8</f>
        <v>-4.9715911179782912E-3</v>
      </c>
      <c r="W8" s="3">
        <v>281.92</v>
      </c>
      <c r="X8" s="7">
        <f>W8/W7-1</f>
        <v>-3.2864493996569433E-2</v>
      </c>
      <c r="Y8" s="7">
        <f>X8-AV8</f>
        <v>-3.8590803975664389E-3</v>
      </c>
      <c r="Z8" s="3">
        <v>257.62</v>
      </c>
      <c r="AA8" s="7">
        <f>Z8/Z7-1</f>
        <v>-3.3103137667016891E-2</v>
      </c>
      <c r="AB8" s="7">
        <f>AA8-AV8</f>
        <v>-4.0977240680138971E-3</v>
      </c>
      <c r="AC8" s="3">
        <v>1193.77</v>
      </c>
      <c r="AD8" s="7">
        <f>AC8/AC7-1</f>
        <v>-3.1746031746031855E-2</v>
      </c>
      <c r="AE8" s="7">
        <f>AD8-AV8</f>
        <v>-2.7406181470288615E-3</v>
      </c>
      <c r="AF8" s="3">
        <v>976.17</v>
      </c>
      <c r="AG8" s="7">
        <f>AF8/AF7-1</f>
        <v>-3.2527577082032577E-2</v>
      </c>
      <c r="AH8" s="7">
        <f>AG8-AV8</f>
        <v>-3.5221634830295834E-3</v>
      </c>
      <c r="AI8" s="3">
        <v>5132.82</v>
      </c>
      <c r="AJ8" s="7">
        <f>AI8/AI7-1</f>
        <v>-2.9224524997446766E-2</v>
      </c>
      <c r="AK8" s="7">
        <f>AJ8-AV8</f>
        <v>-2.1911139844377203E-4</v>
      </c>
      <c r="AL8" s="3">
        <v>948.48</v>
      </c>
      <c r="AM8" s="7">
        <f>AL8/AL7-1</f>
        <v>-2.6471101440052491E-2</v>
      </c>
      <c r="AN8" s="7">
        <f>AM8-AV8</f>
        <v>2.5343121589505024E-3</v>
      </c>
      <c r="AO8" s="3">
        <v>947.69</v>
      </c>
      <c r="AP8" s="7">
        <f>AO8/AO7-1</f>
        <v>-3.2959519995101938E-2</v>
      </c>
      <c r="AQ8" s="7">
        <f>AP8-AV8</f>
        <v>-3.9541063960989442E-3</v>
      </c>
      <c r="AR8" s="3">
        <v>177.86</v>
      </c>
      <c r="AS8" s="7">
        <f>AR8/AR7-1</f>
        <v>-3.4576344786408142E-2</v>
      </c>
      <c r="AT8" s="7">
        <f>AS8-AV8</f>
        <v>-5.5709311874051481E-3</v>
      </c>
      <c r="AU8" s="3">
        <v>61116.9424</v>
      </c>
      <c r="AV8" s="7">
        <f>AU8/AU7-1</f>
        <v>-2.9005413599002994E-2</v>
      </c>
    </row>
    <row r="9" spans="1:48" x14ac:dyDescent="0.25">
      <c r="A9" s="2">
        <v>46052</v>
      </c>
      <c r="B9" s="3">
        <v>2341.56</v>
      </c>
      <c r="C9" s="7">
        <f>B9/B8-1</f>
        <v>-4.8238139155343251E-3</v>
      </c>
      <c r="D9" s="7">
        <f>C9-AV9</f>
        <v>-6.0783531151262782E-3</v>
      </c>
      <c r="E9" s="3">
        <v>8492.08</v>
      </c>
      <c r="F9" s="7">
        <f>E9/E8-1</f>
        <v>-1.053988688442975E-3</v>
      </c>
      <c r="G9" s="7">
        <f>F9-AV9</f>
        <v>-2.308527888034928E-3</v>
      </c>
      <c r="H9" s="3">
        <v>2946.72</v>
      </c>
      <c r="I9" s="7">
        <f>H9/H8-1</f>
        <v>-1.2879085720484129E-3</v>
      </c>
      <c r="J9" s="7">
        <f>I9-AV9</f>
        <v>-2.5424477716403659E-3</v>
      </c>
      <c r="K9" s="3">
        <v>10881.05</v>
      </c>
      <c r="L9" s="7">
        <f>K9/K8-1</f>
        <v>-9.0831351842628472E-3</v>
      </c>
      <c r="M9" s="7">
        <f>L9-AV9</f>
        <v>-1.03376743838548E-2</v>
      </c>
      <c r="N9" s="3">
        <v>1510.73</v>
      </c>
      <c r="O9" s="7">
        <f>N9/N8-1</f>
        <v>-8.9941736272303174E-4</v>
      </c>
      <c r="P9" s="7">
        <f>O9-AV9</f>
        <v>-2.1539565623149848E-3</v>
      </c>
      <c r="Q9" s="3">
        <v>1210.93</v>
      </c>
      <c r="R9" s="7">
        <f>Q9/Q8-1</f>
        <v>2.3954272120518816E-4</v>
      </c>
      <c r="S9" s="7">
        <f>R9-AV9</f>
        <v>-1.0149964783867649E-3</v>
      </c>
      <c r="T9" s="3">
        <v>261.45</v>
      </c>
      <c r="U9" s="7">
        <f>T9/T8-1</f>
        <v>-2.6321812771801234E-3</v>
      </c>
      <c r="V9" s="7">
        <f>U9-AV9</f>
        <v>-3.8867204767720764E-3</v>
      </c>
      <c r="W9" s="3">
        <v>281.77</v>
      </c>
      <c r="X9" s="7">
        <f>W9/W8-1</f>
        <v>-5.3206583427933829E-4</v>
      </c>
      <c r="Y9" s="7">
        <f>X9-AV9</f>
        <v>-1.7866050338712913E-3</v>
      </c>
      <c r="Z9" s="3">
        <v>257.83</v>
      </c>
      <c r="AA9" s="7">
        <f>Z9/Z8-1</f>
        <v>8.1515410294219492E-4</v>
      </c>
      <c r="AB9" s="7">
        <f>AA9-AV9</f>
        <v>-4.3938509664975811E-4</v>
      </c>
      <c r="AC9" s="3">
        <v>1197.32</v>
      </c>
      <c r="AD9" s="7">
        <f>AC9/AC8-1</f>
        <v>2.9737721671678763E-3</v>
      </c>
      <c r="AE9" s="7">
        <f>AD9-AV9</f>
        <v>1.7192329675759233E-3</v>
      </c>
      <c r="AF9" s="3">
        <v>975.43</v>
      </c>
      <c r="AG9" s="7">
        <f>AF9/AF8-1</f>
        <v>-7.5806468135675154E-4</v>
      </c>
      <c r="AH9" s="7">
        <f>AG9-AV9</f>
        <v>-2.0126038809487046E-3</v>
      </c>
      <c r="AI9" s="3">
        <v>5109.8599999999997</v>
      </c>
      <c r="AJ9" s="7">
        <f>AI9/AI8-1</f>
        <v>-4.4731745901862574E-3</v>
      </c>
      <c r="AK9" s="7">
        <f>AJ9-AV9</f>
        <v>-5.7277137897782104E-3</v>
      </c>
      <c r="AL9" s="3">
        <v>952.1</v>
      </c>
      <c r="AM9" s="7">
        <f>AL9/AL8-1</f>
        <v>3.8166329284750056E-3</v>
      </c>
      <c r="AN9" s="7">
        <f>AM9-AV9</f>
        <v>2.5620937288830525E-3</v>
      </c>
      <c r="AO9" s="3">
        <v>947.13</v>
      </c>
      <c r="AP9" s="7">
        <f>AO9/AO8-1</f>
        <v>-5.9091052981463665E-4</v>
      </c>
      <c r="AQ9" s="7">
        <f>AP9-AV9</f>
        <v>-1.8454497294065897E-3</v>
      </c>
      <c r="AR9" s="3">
        <v>178.42</v>
      </c>
      <c r="AS9" s="7">
        <f>AR9/AR8-1</f>
        <v>3.1485437984930531E-3</v>
      </c>
      <c r="AT9" s="7">
        <f>AS9-AV9</f>
        <v>1.8940045989011001E-3</v>
      </c>
      <c r="AU9" s="3">
        <v>61193.616000000002</v>
      </c>
      <c r="AV9" s="7">
        <f>AU9/AU8-1</f>
        <v>1.254539199591953E-3</v>
      </c>
    </row>
    <row r="10" spans="1:48" x14ac:dyDescent="0.25">
      <c r="A10" s="2">
        <v>46059</v>
      </c>
      <c r="B10" s="3">
        <v>2304.6799999999998</v>
      </c>
      <c r="C10" s="7">
        <f>B10/B9-1</f>
        <v>-1.5750183638258308E-2</v>
      </c>
      <c r="D10" s="7">
        <f>C10-AV10</f>
        <v>3.5428435951708748E-3</v>
      </c>
      <c r="E10" s="3">
        <v>8312.24</v>
      </c>
      <c r="F10" s="7">
        <f>E10/E9-1</f>
        <v>-2.1177379393505502E-2</v>
      </c>
      <c r="G10" s="7">
        <f>F10-AV10</f>
        <v>-1.8843521600763191E-3</v>
      </c>
      <c r="H10" s="3">
        <v>2886.93</v>
      </c>
      <c r="I10" s="7">
        <f>H10/H9-1</f>
        <v>-2.0290356735624737E-2</v>
      </c>
      <c r="J10" s="7">
        <f>I10-AV10</f>
        <v>-9.9732950219555416E-4</v>
      </c>
      <c r="K10" s="3">
        <v>10598.01</v>
      </c>
      <c r="L10" s="7">
        <f>K10/K9-1</f>
        <v>-2.6012195514219627E-2</v>
      </c>
      <c r="M10" s="7">
        <f>L10-AV10</f>
        <v>-6.719168280790444E-3</v>
      </c>
      <c r="N10" s="3">
        <v>1473.77</v>
      </c>
      <c r="O10" s="7">
        <f>N10/N9-1</f>
        <v>-2.4464993744745978E-2</v>
      </c>
      <c r="P10" s="7">
        <f>O10-AV10</f>
        <v>-5.1719665113167945E-3</v>
      </c>
      <c r="Q10" s="3">
        <v>1181.48</v>
      </c>
      <c r="R10" s="7">
        <f>Q10/Q9-1</f>
        <v>-2.4320150628029724E-2</v>
      </c>
      <c r="S10" s="7">
        <f>R10-AV10</f>
        <v>-5.0271233946005411E-3</v>
      </c>
      <c r="T10" s="3">
        <v>256.5</v>
      </c>
      <c r="U10" s="7">
        <f>T10/T9-1</f>
        <v>-1.8932874354561036E-2</v>
      </c>
      <c r="V10" s="7">
        <f>U10-AV10</f>
        <v>3.601528788681474E-4</v>
      </c>
      <c r="W10" s="3">
        <v>276.57</v>
      </c>
      <c r="X10" s="7">
        <f>W10/W9-1</f>
        <v>-1.8454768073251193E-2</v>
      </c>
      <c r="Y10" s="7">
        <f>X10-AV10</f>
        <v>8.3825916017798985E-4</v>
      </c>
      <c r="Z10" s="3">
        <v>252.6</v>
      </c>
      <c r="AA10" s="7">
        <f>Z10/Z9-1</f>
        <v>-2.0284683706318085E-2</v>
      </c>
      <c r="AB10" s="7">
        <f>AA10-AV10</f>
        <v>-9.9165647288890213E-4</v>
      </c>
      <c r="AC10" s="3">
        <v>1170.2</v>
      </c>
      <c r="AD10" s="7">
        <f>AC10/AC9-1</f>
        <v>-2.2650586309424292E-2</v>
      </c>
      <c r="AE10" s="7">
        <f>AD10-AV10</f>
        <v>-3.3575590759951091E-3</v>
      </c>
      <c r="AF10" s="3">
        <v>952.99</v>
      </c>
      <c r="AG10" s="7">
        <f>AF10/AF9-1</f>
        <v>-2.3005238715233189E-2</v>
      </c>
      <c r="AH10" s="7">
        <f>AG10-AV10</f>
        <v>-3.7122114818040064E-3</v>
      </c>
      <c r="AI10" s="3">
        <v>5077.26</v>
      </c>
      <c r="AJ10" s="7">
        <f>AI10/AI9-1</f>
        <v>-6.3798225391692442E-3</v>
      </c>
      <c r="AK10" s="7">
        <f>AJ10-AV10</f>
        <v>1.2913204694259939E-2</v>
      </c>
      <c r="AL10" s="3">
        <v>932.1</v>
      </c>
      <c r="AM10" s="7">
        <f>AL10/AL9-1</f>
        <v>-2.1006196828064261E-2</v>
      </c>
      <c r="AN10" s="7">
        <f>AM10-AV10</f>
        <v>-1.7131695946350778E-3</v>
      </c>
      <c r="AO10" s="3">
        <v>933.13</v>
      </c>
      <c r="AP10" s="7">
        <f>AO10/AO9-1</f>
        <v>-1.4781497788054487E-2</v>
      </c>
      <c r="AQ10" s="7">
        <f>AP10-AV10</f>
        <v>4.5115294453746957E-3</v>
      </c>
      <c r="AR10" s="3">
        <v>175.72</v>
      </c>
      <c r="AS10" s="7">
        <f>AR10/AR9-1</f>
        <v>-1.5132832642080429E-2</v>
      </c>
      <c r="AT10" s="7">
        <f>AS10-AV10</f>
        <v>4.1601945913487537E-3</v>
      </c>
      <c r="AU10" s="3">
        <v>60013.005899999996</v>
      </c>
      <c r="AV10" s="7">
        <f>AU10/AU9-1</f>
        <v>-1.9293027233429183E-2</v>
      </c>
    </row>
    <row r="11" spans="1:48" x14ac:dyDescent="0.25">
      <c r="A11" s="2">
        <v>46066</v>
      </c>
      <c r="B11" s="3">
        <v>2327.56</v>
      </c>
      <c r="C11" s="7">
        <f>B11/B10-1</f>
        <v>9.9276255271882885E-3</v>
      </c>
      <c r="D11" s="7">
        <f>C11-AV11</f>
        <v>-4.6199160749562651E-3</v>
      </c>
      <c r="E11" s="3">
        <v>8436.74</v>
      </c>
      <c r="F11" s="7">
        <f>E11/E10-1</f>
        <v>1.49779120910849E-2</v>
      </c>
      <c r="G11" s="7">
        <f>F11-AV11</f>
        <v>4.3037048894034591E-4</v>
      </c>
      <c r="H11" s="3">
        <v>2921.65</v>
      </c>
      <c r="I11" s="7">
        <f>H11/H10-1</f>
        <v>1.202661650957948E-2</v>
      </c>
      <c r="J11" s="7">
        <f>I11-AV11</f>
        <v>-2.5209250925650739E-3</v>
      </c>
      <c r="K11" s="3">
        <v>10669.58</v>
      </c>
      <c r="L11" s="7">
        <f>K11/K10-1</f>
        <v>6.7531546016657007E-3</v>
      </c>
      <c r="M11" s="7">
        <f>L11-AV11</f>
        <v>-7.7943870004788529E-3</v>
      </c>
      <c r="N11" s="3">
        <v>1494.53</v>
      </c>
      <c r="O11" s="7">
        <f>N11/N10-1</f>
        <v>1.4086322831920794E-2</v>
      </c>
      <c r="P11" s="7">
        <f>O11-AV11</f>
        <v>-4.6121877022375912E-4</v>
      </c>
      <c r="Q11" s="3">
        <v>1204.6500000000001</v>
      </c>
      <c r="R11" s="7">
        <f>Q11/Q10-1</f>
        <v>1.9610996377424916E-2</v>
      </c>
      <c r="S11" s="7">
        <f>R11-AV11</f>
        <v>5.0634547752803627E-3</v>
      </c>
      <c r="T11" s="3">
        <v>259.93</v>
      </c>
      <c r="U11" s="7">
        <f>T11/T10-1</f>
        <v>1.3372319688109258E-2</v>
      </c>
      <c r="V11" s="7">
        <f>U11-AV11</f>
        <v>-1.175221914035296E-3</v>
      </c>
      <c r="W11" s="3">
        <v>279.99</v>
      </c>
      <c r="X11" s="7">
        <f>W11/W10-1</f>
        <v>1.2365766352099072E-2</v>
      </c>
      <c r="Y11" s="7">
        <f>X11-AV11</f>
        <v>-2.1817752500454812E-3</v>
      </c>
      <c r="Z11" s="3">
        <v>256.08999999999997</v>
      </c>
      <c r="AA11" s="7">
        <f>Z11/Z10-1</f>
        <v>1.3816310372129825E-2</v>
      </c>
      <c r="AB11" s="7">
        <f>AA11-AV11</f>
        <v>-7.3123123001472834E-4</v>
      </c>
      <c r="AC11" s="3">
        <v>1188.25</v>
      </c>
      <c r="AD11" s="7">
        <f>AC11/AC10-1</f>
        <v>1.5424713724149663E-2</v>
      </c>
      <c r="AE11" s="7">
        <f>AD11-AV11</f>
        <v>8.7717212200510986E-4</v>
      </c>
      <c r="AF11" s="3">
        <v>966.41</v>
      </c>
      <c r="AG11" s="7">
        <f>AF11/AF10-1</f>
        <v>1.4081994564475897E-2</v>
      </c>
      <c r="AH11" s="7">
        <f>AG11-AV11</f>
        <v>-4.6554703766865657E-4</v>
      </c>
      <c r="AI11" s="3">
        <v>5129.03</v>
      </c>
      <c r="AJ11" s="7">
        <f>AI11/AI10-1</f>
        <v>1.0196444538983496E-2</v>
      </c>
      <c r="AK11" s="7">
        <f>AJ11-AV11</f>
        <v>-4.3510970631610579E-3</v>
      </c>
      <c r="AL11" s="3">
        <v>944.64</v>
      </c>
      <c r="AM11" s="7">
        <f>AL11/AL10-1</f>
        <v>1.3453492114579912E-2</v>
      </c>
      <c r="AN11" s="7">
        <f>AM11-AV11</f>
        <v>-1.0940494875646412E-3</v>
      </c>
      <c r="AO11" s="3">
        <v>943.57</v>
      </c>
      <c r="AP11" s="7">
        <f>AO11/AO10-1</f>
        <v>1.1188151704478511E-2</v>
      </c>
      <c r="AQ11" s="7">
        <f>AP11-AV11</f>
        <v>-3.359389897666043E-3</v>
      </c>
      <c r="AR11" s="3">
        <v>178.29</v>
      </c>
      <c r="AS11" s="7">
        <f>AR11/AR10-1</f>
        <v>1.4625540632824841E-2</v>
      </c>
      <c r="AT11" s="7">
        <f>AS11-AV11</f>
        <v>7.7999030680286907E-5</v>
      </c>
      <c r="AU11" s="3">
        <v>60886.047599999998</v>
      </c>
      <c r="AV11" s="7">
        <f>AU11/AU10-1</f>
        <v>1.4547541602144554E-2</v>
      </c>
    </row>
    <row r="12" spans="1:48" x14ac:dyDescent="0.25">
      <c r="A12" s="2">
        <v>46073</v>
      </c>
      <c r="B12" s="3">
        <v>2347.75</v>
      </c>
      <c r="C12" s="7">
        <f>B12/B11-1</f>
        <v>8.6743198886387596E-3</v>
      </c>
      <c r="D12" s="7">
        <f>C12-AV12</f>
        <v>1.7868667441189867E-3</v>
      </c>
      <c r="E12" s="3">
        <v>8479.4599999999991</v>
      </c>
      <c r="F12" s="7">
        <f>E12/E11-1</f>
        <v>5.0635672072387727E-3</v>
      </c>
      <c r="G12" s="7">
        <f>F12-AV12</f>
        <v>-1.8238859372810001E-3</v>
      </c>
      <c r="H12" s="3">
        <v>2934.75</v>
      </c>
      <c r="I12" s="7">
        <f>H12/H11-1</f>
        <v>4.483767733985955E-3</v>
      </c>
      <c r="J12" s="7">
        <f>I12-AV12</f>
        <v>-2.4036854105338179E-3</v>
      </c>
      <c r="K12" s="3">
        <v>10761.88</v>
      </c>
      <c r="L12" s="7">
        <f>K12/K11-1</f>
        <v>8.6507622605576096E-3</v>
      </c>
      <c r="M12" s="7">
        <f>L12-AV12</f>
        <v>1.7633091160378367E-3</v>
      </c>
      <c r="N12" s="3">
        <v>1503.38</v>
      </c>
      <c r="O12" s="7">
        <f>N12/N11-1</f>
        <v>5.9215940797441302E-3</v>
      </c>
      <c r="P12" s="7">
        <f>O12-AV12</f>
        <v>-9.6585906477564265E-4</v>
      </c>
      <c r="Q12" s="3">
        <v>1211.1600000000001</v>
      </c>
      <c r="R12" s="7">
        <f>Q12/Q11-1</f>
        <v>5.4040592703274992E-3</v>
      </c>
      <c r="S12" s="7">
        <f>R12-AV12</f>
        <v>-1.4833938741922736E-3</v>
      </c>
      <c r="T12" s="3">
        <v>261.52999999999997</v>
      </c>
      <c r="U12" s="7">
        <f>T12/T11-1</f>
        <v>6.1555034047626744E-3</v>
      </c>
      <c r="V12" s="7">
        <f>U12-AV12</f>
        <v>-7.3194973975709843E-4</v>
      </c>
      <c r="W12" s="3">
        <v>281.83999999999997</v>
      </c>
      <c r="X12" s="7">
        <f>W12/W11-1</f>
        <v>6.6073788349583218E-3</v>
      </c>
      <c r="Y12" s="7">
        <f>X12-AV12</f>
        <v>-2.8007430956145107E-4</v>
      </c>
      <c r="Z12" s="3">
        <v>257.61</v>
      </c>
      <c r="AA12" s="7">
        <f>Z12/Z11-1</f>
        <v>5.9354133312508051E-3</v>
      </c>
      <c r="AB12" s="7">
        <f>AA12-AV12</f>
        <v>-9.5203981326896781E-4</v>
      </c>
      <c r="AC12" s="3">
        <v>1195.73</v>
      </c>
      <c r="AD12" s="7">
        <f>AC12/AC11-1</f>
        <v>6.2949715968863007E-3</v>
      </c>
      <c r="AE12" s="7">
        <f>AD12-AV12</f>
        <v>-5.9248154763347216E-4</v>
      </c>
      <c r="AF12" s="3">
        <v>974.31</v>
      </c>
      <c r="AG12" s="7">
        <f>AF12/AF11-1</f>
        <v>8.1745842861724594E-3</v>
      </c>
      <c r="AH12" s="7">
        <f>AG12-AV12</f>
        <v>1.2871311416526865E-3</v>
      </c>
      <c r="AI12" s="3">
        <v>5164.29</v>
      </c>
      <c r="AJ12" s="7">
        <f>AI12/AI11-1</f>
        <v>6.8745942215195921E-3</v>
      </c>
      <c r="AK12" s="7">
        <f>AJ12-AV12</f>
        <v>-1.2858923000180766E-5</v>
      </c>
      <c r="AL12" s="3">
        <v>948.39</v>
      </c>
      <c r="AM12" s="7">
        <f>AL12/AL11-1</f>
        <v>3.9697662601625439E-3</v>
      </c>
      <c r="AN12" s="7">
        <f>AM12-AV12</f>
        <v>-2.917686884357229E-3</v>
      </c>
      <c r="AO12" s="3">
        <v>947.15</v>
      </c>
      <c r="AP12" s="7">
        <f>AO12/AO11-1</f>
        <v>3.7941011265723024E-3</v>
      </c>
      <c r="AQ12" s="7">
        <f>AP12-AV12</f>
        <v>-3.0933520179474705E-3</v>
      </c>
      <c r="AR12" s="3">
        <v>179.64</v>
      </c>
      <c r="AS12" s="7">
        <f>AR12/AR11-1</f>
        <v>7.5719333669863609E-3</v>
      </c>
      <c r="AT12" s="7">
        <f>AS12-AV12</f>
        <v>6.8448022246658802E-4</v>
      </c>
      <c r="AU12" s="3">
        <v>61305.397400000002</v>
      </c>
      <c r="AV12" s="7">
        <f>AU12/AU11-1</f>
        <v>6.8874531445197729E-3</v>
      </c>
    </row>
    <row r="13" spans="1:48" x14ac:dyDescent="0.25">
      <c r="A13" s="2">
        <v>46080</v>
      </c>
      <c r="B13" s="3">
        <v>2262.37</v>
      </c>
      <c r="C13" s="7">
        <f>B13/B12-1</f>
        <v>-3.6366734107123877E-2</v>
      </c>
      <c r="D13" s="7">
        <f>C13-AV13</f>
        <v>-6.3955459585253172E-3</v>
      </c>
      <c r="E13" s="3">
        <v>8208.8700000000008</v>
      </c>
      <c r="F13" s="7">
        <f>E13/E12-1</f>
        <v>-3.1911230196262297E-2</v>
      </c>
      <c r="G13" s="7">
        <f>F13-AV13</f>
        <v>-1.940042047663737E-3</v>
      </c>
      <c r="H13" s="3">
        <v>2829.67</v>
      </c>
      <c r="I13" s="7">
        <f>H13/H12-1</f>
        <v>-3.5805434875202269E-2</v>
      </c>
      <c r="J13" s="7">
        <f>I13-AV13</f>
        <v>-5.834246726603709E-3</v>
      </c>
      <c r="K13" s="3">
        <v>10327.42</v>
      </c>
      <c r="L13" s="7">
        <f>K13/K12-1</f>
        <v>-4.0370269878497012E-2</v>
      </c>
      <c r="M13" s="7">
        <f>L13-AV13</f>
        <v>-1.0399081729898452E-2</v>
      </c>
      <c r="N13" s="3">
        <v>1449.73</v>
      </c>
      <c r="O13" s="7">
        <f>N13/N12-1</f>
        <v>-3.5686253641793897E-2</v>
      </c>
      <c r="P13" s="7">
        <f>O13-AV13</f>
        <v>-5.7150654931953371E-3</v>
      </c>
      <c r="Q13" s="3">
        <v>1172.99</v>
      </c>
      <c r="R13" s="7">
        <f>Q13/Q12-1</f>
        <v>-3.1515241586578258E-2</v>
      </c>
      <c r="S13" s="7">
        <f>R13-AV13</f>
        <v>-1.5440534379796977E-3</v>
      </c>
      <c r="T13" s="3">
        <v>252.83</v>
      </c>
      <c r="U13" s="7">
        <f>T13/T12-1</f>
        <v>-3.3265782128245158E-2</v>
      </c>
      <c r="V13" s="7">
        <f>U13-AV13</f>
        <v>-3.2945939796465984E-3</v>
      </c>
      <c r="W13" s="3">
        <v>271.75</v>
      </c>
      <c r="X13" s="7">
        <f>W13/W12-1</f>
        <v>-3.5800454158387618E-2</v>
      </c>
      <c r="Y13" s="7">
        <f>X13-AV13</f>
        <v>-5.8292660097890581E-3</v>
      </c>
      <c r="Z13" s="3">
        <v>248.54</v>
      </c>
      <c r="AA13" s="7">
        <f>Z13/Z12-1</f>
        <v>-3.5208260548891812E-2</v>
      </c>
      <c r="AB13" s="7">
        <f>AA13-AV13</f>
        <v>-5.2370724002932523E-3</v>
      </c>
      <c r="AC13" s="3">
        <v>1156.3</v>
      </c>
      <c r="AD13" s="7">
        <f>AC13/AC12-1</f>
        <v>-3.2975671765365089E-2</v>
      </c>
      <c r="AE13" s="7">
        <f>AD13-AV13</f>
        <v>-3.004483616766529E-3</v>
      </c>
      <c r="AF13" s="3">
        <v>943.06</v>
      </c>
      <c r="AG13" s="7">
        <f>AF13/AF12-1</f>
        <v>-3.2073980560601845E-2</v>
      </c>
      <c r="AH13" s="7">
        <f>AG13-AV13</f>
        <v>-2.1027924120032848E-3</v>
      </c>
      <c r="AI13" s="3">
        <v>4951.62</v>
      </c>
      <c r="AJ13" s="7">
        <f>AI13/AI12-1</f>
        <v>-4.1180878688067524E-2</v>
      </c>
      <c r="AK13" s="7">
        <f>AJ13-AV13</f>
        <v>-1.1209690539468964E-2</v>
      </c>
      <c r="AL13" s="3">
        <v>918.25</v>
      </c>
      <c r="AM13" s="7">
        <f>AL13/AL12-1</f>
        <v>-3.1780174822594098E-2</v>
      </c>
      <c r="AN13" s="7">
        <f>AM13-AV13</f>
        <v>-1.8089866739955385E-3</v>
      </c>
      <c r="AO13" s="3">
        <v>914.11</v>
      </c>
      <c r="AP13" s="7">
        <f>AO13/AO12-1</f>
        <v>-3.4883598162909757E-2</v>
      </c>
      <c r="AQ13" s="7">
        <f>AP13-AV13</f>
        <v>-4.9124100143111971E-3</v>
      </c>
      <c r="AR13" s="3">
        <v>174.33</v>
      </c>
      <c r="AS13" s="7">
        <f>AR13/AR12-1</f>
        <v>-2.9559118236472837E-2</v>
      </c>
      <c r="AT13" s="7">
        <f>AS13-AV13</f>
        <v>4.1206991212572319E-4</v>
      </c>
      <c r="AU13" s="3">
        <v>59468.001799999998</v>
      </c>
      <c r="AV13" s="7">
        <f>AU13/AU12-1</f>
        <v>-2.997118814859856E-2</v>
      </c>
    </row>
    <row r="14" spans="1:48" x14ac:dyDescent="0.25">
      <c r="A14" s="2">
        <v>46087</v>
      </c>
      <c r="B14" s="3">
        <v>2114.92</v>
      </c>
      <c r="C14" s="7">
        <f>B14/B13-1</f>
        <v>-6.5175015581005691E-2</v>
      </c>
      <c r="D14" s="7">
        <f>C14-AV14</f>
        <v>-7.6788630871110763E-3</v>
      </c>
      <c r="E14" s="3">
        <v>7665.33</v>
      </c>
      <c r="F14" s="7">
        <f>E14/E13-1</f>
        <v>-6.6213741964484818E-2</v>
      </c>
      <c r="G14" s="7">
        <f>F14-AV14</f>
        <v>-8.7175894705902035E-3</v>
      </c>
      <c r="H14" s="3">
        <v>2666.19</v>
      </c>
      <c r="I14" s="7">
        <f>H14/H13-1</f>
        <v>-5.7773521294002483E-2</v>
      </c>
      <c r="J14" s="7">
        <f>I14-AV14</f>
        <v>-2.7736880010786891E-4</v>
      </c>
      <c r="K14" s="3">
        <v>9548.9599999999991</v>
      </c>
      <c r="L14" s="7">
        <f>K14/K13-1</f>
        <v>-7.5377974363393885E-2</v>
      </c>
      <c r="M14" s="7">
        <f>L14-AV14</f>
        <v>-1.788182186949927E-2</v>
      </c>
      <c r="N14" s="3">
        <v>1352.23</v>
      </c>
      <c r="O14" s="7">
        <f>N14/N13-1</f>
        <v>-6.7253902450801206E-2</v>
      </c>
      <c r="P14" s="7">
        <f>O14-AV14</f>
        <v>-9.7577499569065917E-3</v>
      </c>
      <c r="Q14" s="3">
        <v>1091.06</v>
      </c>
      <c r="R14" s="7">
        <f>Q14/Q13-1</f>
        <v>-6.9847142771890747E-2</v>
      </c>
      <c r="S14" s="7">
        <f>R14-AV14</f>
        <v>-1.2350990277996132E-2</v>
      </c>
      <c r="T14" s="3">
        <v>237.86</v>
      </c>
      <c r="U14" s="7">
        <f>T14/T13-1</f>
        <v>-5.9209745678914683E-2</v>
      </c>
      <c r="V14" s="7">
        <f>U14-AV14</f>
        <v>-1.7135931850200681E-3</v>
      </c>
      <c r="W14" s="3">
        <v>254.98</v>
      </c>
      <c r="X14" s="7">
        <f>W14/W13-1</f>
        <v>-6.1711131554737841E-2</v>
      </c>
      <c r="Y14" s="7">
        <f>X14-AV14</f>
        <v>-4.2149790608432269E-3</v>
      </c>
      <c r="Z14" s="3">
        <v>232.68</v>
      </c>
      <c r="AA14" s="7">
        <f>Z14/Z13-1</f>
        <v>-6.3812665969260385E-2</v>
      </c>
      <c r="AB14" s="7">
        <f>AA14-AV14</f>
        <v>-6.3165134753657703E-3</v>
      </c>
      <c r="AC14" s="3">
        <v>1081.76</v>
      </c>
      <c r="AD14" s="7">
        <f>AC14/AC13-1</f>
        <v>-6.4464239384242839E-2</v>
      </c>
      <c r="AE14" s="7">
        <f>AD14-AV14</f>
        <v>-6.968086890348224E-3</v>
      </c>
      <c r="AF14" s="3">
        <v>882.03</v>
      </c>
      <c r="AG14" s="7">
        <f>AF14/AF13-1</f>
        <v>-6.4714864377664161E-2</v>
      </c>
      <c r="AH14" s="7">
        <f>AG14-AV14</f>
        <v>-7.2187118837695463E-3</v>
      </c>
      <c r="AI14" s="3">
        <v>4635.76</v>
      </c>
      <c r="AJ14" s="7">
        <f>AI14/AI13-1</f>
        <v>-6.3789224536616285E-2</v>
      </c>
      <c r="AK14" s="7">
        <f>AJ14-AV14</f>
        <v>-6.2930720427216702E-3</v>
      </c>
      <c r="AL14" s="3">
        <v>871.25</v>
      </c>
      <c r="AM14" s="7">
        <f>AL14/AL13-1</f>
        <v>-5.1184317996188389E-2</v>
      </c>
      <c r="AN14" s="7">
        <f>AM14-AV14</f>
        <v>6.3118344977062257E-3</v>
      </c>
      <c r="AO14" s="3">
        <v>870.29</v>
      </c>
      <c r="AP14" s="7">
        <f>AO14/AO13-1</f>
        <v>-4.7937337957138726E-2</v>
      </c>
      <c r="AQ14" s="7">
        <f>AP14-AV14</f>
        <v>9.5588145367558885E-3</v>
      </c>
      <c r="AR14" s="3">
        <v>164.83</v>
      </c>
      <c r="AS14" s="7">
        <f>AR14/AR13-1</f>
        <v>-5.4494349796363251E-2</v>
      </c>
      <c r="AT14" s="7">
        <f>AS14-AV14</f>
        <v>3.0018026975313639E-3</v>
      </c>
      <c r="AU14" s="3">
        <v>56048.820500000002</v>
      </c>
      <c r="AV14" s="7">
        <f>AU14/AU13-1</f>
        <v>-5.7496152493894614E-2</v>
      </c>
    </row>
    <row r="15" spans="1:48" x14ac:dyDescent="0.25">
      <c r="A15" s="2">
        <v>46094</v>
      </c>
      <c r="B15" s="3">
        <v>2053.86</v>
      </c>
      <c r="C15" s="7">
        <f>B15/B14-1</f>
        <v>-2.8871068409206946E-2</v>
      </c>
      <c r="D15" s="7">
        <f>C15-AV15</f>
        <v>-1.4733209790041113E-2</v>
      </c>
      <c r="E15" s="3">
        <v>7535.75</v>
      </c>
      <c r="F15" s="7">
        <f>E15/E14-1</f>
        <v>-1.6904686425763815E-2</v>
      </c>
      <c r="G15" s="7">
        <f>F15-AV15</f>
        <v>-2.7668278065979823E-3</v>
      </c>
      <c r="H15" s="3">
        <v>2611.6799999999998</v>
      </c>
      <c r="I15" s="7">
        <f>H15/H14-1</f>
        <v>-2.0444904526684238E-2</v>
      </c>
      <c r="J15" s="7">
        <f>I15-AV15</f>
        <v>-6.3070459075184049E-3</v>
      </c>
      <c r="K15" s="3">
        <v>9344.9</v>
      </c>
      <c r="L15" s="7">
        <f>K15/K14-1</f>
        <v>-2.1369866456661168E-2</v>
      </c>
      <c r="M15" s="7">
        <f>L15-AV15</f>
        <v>-7.2320078374953356E-3</v>
      </c>
      <c r="N15" s="3">
        <v>1330.78</v>
      </c>
      <c r="O15" s="7">
        <f>N15/N14-1</f>
        <v>-1.5862686081509869E-2</v>
      </c>
      <c r="P15" s="7">
        <f>O15-AV15</f>
        <v>-1.7248274623440363E-3</v>
      </c>
      <c r="Q15" s="3">
        <v>1069</v>
      </c>
      <c r="R15" s="7">
        <f>Q15/Q14-1</f>
        <v>-2.021886972302156E-2</v>
      </c>
      <c r="S15" s="7">
        <f>R15-AV15</f>
        <v>-6.0810111038557269E-3</v>
      </c>
      <c r="T15" s="3">
        <v>233.41</v>
      </c>
      <c r="U15" s="7">
        <f>T15/T14-1</f>
        <v>-1.8708483982174506E-2</v>
      </c>
      <c r="V15" s="7">
        <f>U15-AV15</f>
        <v>-4.5706253630086735E-3</v>
      </c>
      <c r="W15" s="3">
        <v>250.5</v>
      </c>
      <c r="X15" s="7">
        <f>W15/W14-1</f>
        <v>-1.7570005490626706E-2</v>
      </c>
      <c r="Y15" s="7">
        <f>X15-AV15</f>
        <v>-3.4321468714608727E-3</v>
      </c>
      <c r="Z15" s="3">
        <v>228.38</v>
      </c>
      <c r="AA15" s="7">
        <f>Z15/Z14-1</f>
        <v>-1.8480316314251399E-2</v>
      </c>
      <c r="AB15" s="7">
        <f>AA15-AV15</f>
        <v>-4.3424576950855664E-3</v>
      </c>
      <c r="AC15" s="3">
        <v>1062.3399999999999</v>
      </c>
      <c r="AD15" s="7">
        <f>AC15/AC14-1</f>
        <v>-1.7952226002070804E-2</v>
      </c>
      <c r="AE15" s="7">
        <f>AD15-AV15</f>
        <v>-3.8143673829049707E-3</v>
      </c>
      <c r="AF15" s="3">
        <v>867.17</v>
      </c>
      <c r="AG15" s="7">
        <f>AF15/AF14-1</f>
        <v>-1.6847499518157005E-2</v>
      </c>
      <c r="AH15" s="7">
        <f>AG15-AV15</f>
        <v>-2.7096408989911724E-3</v>
      </c>
      <c r="AI15" s="3">
        <v>4502.45</v>
      </c>
      <c r="AJ15" s="7">
        <f>AI15/AI14-1</f>
        <v>-2.8756881288073632E-2</v>
      </c>
      <c r="AK15" s="7">
        <f>AJ15-AV15</f>
        <v>-1.46190226689078E-2</v>
      </c>
      <c r="AL15" s="3">
        <v>858.88</v>
      </c>
      <c r="AM15" s="7">
        <f>AL15/AL14-1</f>
        <v>-1.4197991391678655E-2</v>
      </c>
      <c r="AN15" s="7">
        <f>AM15-AV15</f>
        <v>-6.0132772512822008E-5</v>
      </c>
      <c r="AO15" s="3">
        <v>858.67</v>
      </c>
      <c r="AP15" s="7">
        <f>AO15/AO14-1</f>
        <v>-1.3351871215341982E-2</v>
      </c>
      <c r="AQ15" s="7">
        <f>AP15-AV15</f>
        <v>7.8598740382385124E-4</v>
      </c>
      <c r="AR15" s="3">
        <v>162.77000000000001</v>
      </c>
      <c r="AS15" s="7">
        <f>AR15/AR14-1</f>
        <v>-1.2497724928714482E-2</v>
      </c>
      <c r="AT15" s="7">
        <f>AS15-AV15</f>
        <v>1.6401336904513508E-3</v>
      </c>
      <c r="AU15" s="3">
        <v>55256.410199999998</v>
      </c>
      <c r="AV15" s="7">
        <f>AU15/AU14-1</f>
        <v>-1.4137858619165833E-2</v>
      </c>
    </row>
    <row r="16" spans="1:48" x14ac:dyDescent="0.25">
      <c r="A16" s="2">
        <v>46105</v>
      </c>
      <c r="B16" s="3">
        <v>2113.5500000000002</v>
      </c>
      <c r="C16" s="7">
        <f>B16/B15-1</f>
        <v>2.906235089051834E-2</v>
      </c>
      <c r="D16" s="7">
        <f>C16-AV16</f>
        <v>5.7630450662684574E-3</v>
      </c>
      <c r="E16" s="3">
        <v>7740.9</v>
      </c>
      <c r="F16" s="7">
        <f>E16/E15-1</f>
        <v>2.7223567660816794E-2</v>
      </c>
      <c r="G16" s="7">
        <f>F16-AV16</f>
        <v>3.9242618365669113E-3</v>
      </c>
      <c r="H16" s="3">
        <v>2676.74</v>
      </c>
      <c r="I16" s="7">
        <f>H16/H15-1</f>
        <v>2.4911168290142616E-2</v>
      </c>
      <c r="J16" s="7">
        <f>I16-AV16</f>
        <v>1.6118624658927327E-3</v>
      </c>
      <c r="K16" s="3">
        <v>9598.56</v>
      </c>
      <c r="L16" s="7">
        <f>K16/K15-1</f>
        <v>2.714421770163411E-2</v>
      </c>
      <c r="M16" s="7">
        <f>L16-AV16</f>
        <v>3.8449118773842272E-3</v>
      </c>
      <c r="N16" s="3">
        <v>1361.3</v>
      </c>
      <c r="O16" s="7">
        <f>N16/N15-1</f>
        <v>2.2933918453839075E-2</v>
      </c>
      <c r="P16" s="7">
        <f>O16-AV16</f>
        <v>-3.6538737041080793E-4</v>
      </c>
      <c r="Q16" s="3">
        <v>1092.3800000000001</v>
      </c>
      <c r="R16" s="7">
        <f>Q16/Q15-1</f>
        <v>2.1870907390084238E-2</v>
      </c>
      <c r="S16" s="7">
        <f>R16-AV16</f>
        <v>-1.4283984341656453E-3</v>
      </c>
      <c r="T16" s="3">
        <v>238.99</v>
      </c>
      <c r="U16" s="7">
        <f>T16/T15-1</f>
        <v>2.3906430744184082E-2</v>
      </c>
      <c r="V16" s="7">
        <f>U16-AV16</f>
        <v>6.0712491993419881E-4</v>
      </c>
      <c r="W16" s="3">
        <v>256.85000000000002</v>
      </c>
      <c r="X16" s="7">
        <f>W16/W15-1</f>
        <v>2.5349301397205704E-2</v>
      </c>
      <c r="Y16" s="7">
        <f>X16-AV16</f>
        <v>2.0499955729558206E-3</v>
      </c>
      <c r="Z16" s="3">
        <v>233.65</v>
      </c>
      <c r="AA16" s="7">
        <f>Z16/Z15-1</f>
        <v>2.3075575794728076E-2</v>
      </c>
      <c r="AB16" s="7">
        <f>AA16-AV16</f>
        <v>-2.2373002952180698E-4</v>
      </c>
      <c r="AC16" s="3">
        <v>1085.6300000000001</v>
      </c>
      <c r="AD16" s="7">
        <f>AC16/AC15-1</f>
        <v>2.1923301391268524E-2</v>
      </c>
      <c r="AE16" s="7">
        <f>AD16-AV16</f>
        <v>-1.3760044329813592E-3</v>
      </c>
      <c r="AF16" s="3">
        <v>887.15</v>
      </c>
      <c r="AG16" s="7">
        <f>AF16/AF15-1</f>
        <v>2.3040464960734308E-2</v>
      </c>
      <c r="AH16" s="7">
        <f>AG16-AV16</f>
        <v>-2.5884086351557478E-4</v>
      </c>
      <c r="AI16" s="3">
        <v>4631.12</v>
      </c>
      <c r="AJ16" s="7">
        <f>AI16/AI15-1</f>
        <v>2.8577774322868787E-2</v>
      </c>
      <c r="AK16" s="7">
        <f>AJ16-AV16</f>
        <v>5.2784684986189045E-3</v>
      </c>
      <c r="AL16" s="3">
        <v>877.03</v>
      </c>
      <c r="AM16" s="7">
        <f>AL16/AL15-1</f>
        <v>2.1132172131147486E-2</v>
      </c>
      <c r="AN16" s="7">
        <f>AM16-AV16</f>
        <v>-2.1671336931023966E-3</v>
      </c>
      <c r="AO16" s="3">
        <v>878.98</v>
      </c>
      <c r="AP16" s="7">
        <f>AO16/AO15-1</f>
        <v>2.3652858490456286E-2</v>
      </c>
      <c r="AQ16" s="7">
        <f>AP16-AV16</f>
        <v>3.5355266620640258E-4</v>
      </c>
      <c r="AR16" s="3">
        <v>166.38</v>
      </c>
      <c r="AS16" s="7">
        <f>AR16/AR15-1</f>
        <v>2.2178534127910376E-2</v>
      </c>
      <c r="AT16" s="7">
        <f>AS16-AV16</f>
        <v>-1.1207716963395065E-3</v>
      </c>
      <c r="AU16" s="3">
        <v>56543.8462</v>
      </c>
      <c r="AV16" s="7">
        <f>AU16/AU15-1</f>
        <v>2.3299305824249883E-2</v>
      </c>
    </row>
    <row r="17" spans="1:48" x14ac:dyDescent="0.25">
      <c r="A17" s="2">
        <v>46108</v>
      </c>
      <c r="B17" s="3">
        <v>2113.19</v>
      </c>
      <c r="C17" s="7">
        <f>B17/B16-1</f>
        <v>-1.7032954034690295E-4</v>
      </c>
      <c r="D17" s="7">
        <f>C17-AV17</f>
        <v>7.200821204007557E-4</v>
      </c>
      <c r="E17" s="3">
        <v>7774.55</v>
      </c>
      <c r="F17" s="7">
        <f>E17/E16-1</f>
        <v>4.3470397498999169E-3</v>
      </c>
      <c r="G17" s="7">
        <f>F17-AV17</f>
        <v>5.2374514106475756E-3</v>
      </c>
      <c r="H17" s="3">
        <v>2671.61</v>
      </c>
      <c r="I17" s="7">
        <f>H17/H16-1</f>
        <v>-1.9165103820317775E-3</v>
      </c>
      <c r="J17" s="7">
        <f>I17-AV17</f>
        <v>-1.0260987212841188E-3</v>
      </c>
      <c r="K17" s="3">
        <v>9611.07</v>
      </c>
      <c r="L17" s="7">
        <f>K17/K16-1</f>
        <v>1.3033204980748003E-3</v>
      </c>
      <c r="M17" s="7">
        <f>L17-AV17</f>
        <v>2.193732158822459E-3</v>
      </c>
      <c r="N17" s="3">
        <v>1360.11</v>
      </c>
      <c r="O17" s="7">
        <f>N17/N16-1</f>
        <v>-8.7416440167487064E-4</v>
      </c>
      <c r="P17" s="7">
        <f>O17-AV17</f>
        <v>1.6247259072788012E-5</v>
      </c>
      <c r="Q17" s="3">
        <v>1094.3599999999999</v>
      </c>
      <c r="R17" s="7">
        <f>Q17/Q16-1</f>
        <v>1.8125560702317856E-3</v>
      </c>
      <c r="S17" s="7">
        <f>R17-AV17</f>
        <v>2.7029677309794442E-3</v>
      </c>
      <c r="T17" s="3">
        <v>238.87</v>
      </c>
      <c r="U17" s="7">
        <f>T17/T16-1</f>
        <v>-5.0211305912384319E-4</v>
      </c>
      <c r="V17" s="7">
        <f>U17-AV17</f>
        <v>3.8829860162381546E-4</v>
      </c>
      <c r="W17" s="3">
        <v>255.58</v>
      </c>
      <c r="X17" s="7">
        <f>W17/W16-1</f>
        <v>-4.9445201479463297E-3</v>
      </c>
      <c r="Y17" s="7">
        <f>X17-AV17</f>
        <v>-4.054108487198671E-3</v>
      </c>
      <c r="Z17" s="3">
        <v>233.75</v>
      </c>
      <c r="AA17" s="7">
        <f>Z17/Z16-1</f>
        <v>4.2799058420706082E-4</v>
      </c>
      <c r="AB17" s="7">
        <f>AA17-AV17</f>
        <v>1.3184022449547195E-3</v>
      </c>
      <c r="AC17" s="3">
        <v>1084.1500000000001</v>
      </c>
      <c r="AD17" s="7">
        <f>AC17/AC16-1</f>
        <v>-1.3632637270525327E-3</v>
      </c>
      <c r="AE17" s="7">
        <f>AD17-AV17</f>
        <v>-4.7285206630487409E-4</v>
      </c>
      <c r="AF17" s="3">
        <v>887.42</v>
      </c>
      <c r="AG17" s="7">
        <f>AF17/AF16-1</f>
        <v>3.0434537564105746E-4</v>
      </c>
      <c r="AH17" s="7">
        <f>AG17-AV17</f>
        <v>1.1947570363887161E-3</v>
      </c>
      <c r="AI17" s="3">
        <v>4622.93</v>
      </c>
      <c r="AJ17" s="7">
        <f>AI17/AI16-1</f>
        <v>-1.7684706939141703E-3</v>
      </c>
      <c r="AK17" s="7">
        <f>AJ17-AV17</f>
        <v>-8.7805903316651168E-4</v>
      </c>
      <c r="AL17" s="3">
        <v>875.35</v>
      </c>
      <c r="AM17" s="7">
        <f>AL17/AL16-1</f>
        <v>-1.9155559102880249E-3</v>
      </c>
      <c r="AN17" s="7">
        <f>AM17-AV17</f>
        <v>-1.0251442495403662E-3</v>
      </c>
      <c r="AO17" s="3">
        <v>878.5</v>
      </c>
      <c r="AP17" s="7">
        <f>AO17/AO16-1</f>
        <v>-5.4608751052354076E-4</v>
      </c>
      <c r="AQ17" s="7">
        <f>AP17-AV17</f>
        <v>3.4432415022411789E-4</v>
      </c>
      <c r="AR17" s="3">
        <v>165.84</v>
      </c>
      <c r="AS17" s="7">
        <f>AR17/AR16-1</f>
        <v>-3.2455824017308954E-3</v>
      </c>
      <c r="AT17" s="7">
        <f>AS17-AV17</f>
        <v>-2.3551707409832368E-3</v>
      </c>
      <c r="AU17" s="3">
        <v>56493.498899999999</v>
      </c>
      <c r="AV17" s="7">
        <f>AU17/AU16-1</f>
        <v>-8.9041166074765865E-4</v>
      </c>
    </row>
    <row r="18" spans="1:48" x14ac:dyDescent="0.25">
      <c r="A18" s="2">
        <v>46115</v>
      </c>
      <c r="B18" s="3">
        <v>2140.8200000000002</v>
      </c>
      <c r="C18" s="7">
        <f>B18/B17-1</f>
        <v>1.3075019283642408E-2</v>
      </c>
      <c r="D18" s="7">
        <f>C18-AV18</f>
        <v>-3.9822867562213649E-3</v>
      </c>
      <c r="E18" s="3">
        <v>7926.18</v>
      </c>
      <c r="F18" s="7">
        <f>E18/E17-1</f>
        <v>1.9503379616826688E-2</v>
      </c>
      <c r="G18" s="7">
        <f>F18-AV18</f>
        <v>2.4460735769629149E-3</v>
      </c>
      <c r="H18" s="3">
        <v>2710.38</v>
      </c>
      <c r="I18" s="7">
        <f>H18/H17-1</f>
        <v>1.4511848660545557E-2</v>
      </c>
      <c r="J18" s="7">
        <f>I18-AV18</f>
        <v>-2.5454573793182167E-3</v>
      </c>
      <c r="K18" s="3">
        <v>9641.8799999999992</v>
      </c>
      <c r="L18" s="7">
        <f>K18/K17-1</f>
        <v>3.2056784520348991E-3</v>
      </c>
      <c r="M18" s="7">
        <f>L18-AV18</f>
        <v>-1.3851627587828874E-2</v>
      </c>
      <c r="N18" s="3">
        <v>1374.17</v>
      </c>
      <c r="O18" s="7">
        <f>N18/N17-1</f>
        <v>1.0337399180948781E-2</v>
      </c>
      <c r="P18" s="7">
        <f>O18-AV18</f>
        <v>-6.7199068589149924E-3</v>
      </c>
      <c r="Q18" s="3">
        <v>1117.51</v>
      </c>
      <c r="R18" s="7">
        <f>Q18/Q17-1</f>
        <v>2.1153916444314635E-2</v>
      </c>
      <c r="S18" s="7">
        <f>R18-AV18</f>
        <v>4.0966104044508622E-3</v>
      </c>
      <c r="T18" s="3">
        <v>242.67</v>
      </c>
      <c r="U18" s="7">
        <f>T18/T17-1</f>
        <v>1.5908234604596672E-2</v>
      </c>
      <c r="V18" s="7">
        <f>U18-AV18</f>
        <v>-1.1490714352671016E-3</v>
      </c>
      <c r="W18" s="3">
        <v>259.11</v>
      </c>
      <c r="X18" s="7">
        <f>W18/W17-1</f>
        <v>1.3811722356992018E-2</v>
      </c>
      <c r="Y18" s="7">
        <f>X18-AV18</f>
        <v>-3.2455836828717555E-3</v>
      </c>
      <c r="Z18" s="3">
        <v>237.85</v>
      </c>
      <c r="AA18" s="7">
        <f>Z18/Z17-1</f>
        <v>1.7540106951871692E-2</v>
      </c>
      <c r="AB18" s="7">
        <f>AA18-AV18</f>
        <v>4.8280091200791908E-4</v>
      </c>
      <c r="AC18" s="3">
        <v>1105.24</v>
      </c>
      <c r="AD18" s="7">
        <f>AC18/AC17-1</f>
        <v>1.9453027717566629E-2</v>
      </c>
      <c r="AE18" s="7">
        <f>AD18-AV18</f>
        <v>2.3957216777028556E-3</v>
      </c>
      <c r="AF18" s="3">
        <v>903.71</v>
      </c>
      <c r="AG18" s="7">
        <f>AF18/AF17-1</f>
        <v>1.8356584255482256E-2</v>
      </c>
      <c r="AH18" s="7">
        <f>AG18-AV18</f>
        <v>1.2992782156184823E-3</v>
      </c>
      <c r="AI18" s="3">
        <v>4656.17</v>
      </c>
      <c r="AJ18" s="7">
        <f>AI18/AI17-1</f>
        <v>7.1902451475578388E-3</v>
      </c>
      <c r="AK18" s="7">
        <f>AJ18-AV18</f>
        <v>-9.8670608923059344E-3</v>
      </c>
      <c r="AL18" s="3">
        <v>889.81</v>
      </c>
      <c r="AM18" s="7">
        <f>AL18/AL17-1</f>
        <v>1.6519106643057002E-2</v>
      </c>
      <c r="AN18" s="7">
        <f>AM18-AV18</f>
        <v>-5.3819939680677109E-4</v>
      </c>
      <c r="AO18" s="3">
        <v>892.66</v>
      </c>
      <c r="AP18" s="7">
        <f>AO18/AO17-1</f>
        <v>1.6118383608423326E-2</v>
      </c>
      <c r="AQ18" s="7">
        <f>AP18-AV18</f>
        <v>-9.3892243144044762E-4</v>
      </c>
      <c r="AR18" s="3">
        <v>168.76</v>
      </c>
      <c r="AS18" s="7">
        <f>AR18/AR17-1</f>
        <v>1.7607332368547945E-2</v>
      </c>
      <c r="AT18" s="7">
        <f>AS18-AV18</f>
        <v>5.5002632868417223E-4</v>
      </c>
      <c r="AU18" s="3">
        <v>57457.125800000002</v>
      </c>
      <c r="AV18" s="7">
        <f>AU18/AU17-1</f>
        <v>1.7057306039863773E-2</v>
      </c>
    </row>
    <row r="19" spans="1:48" x14ac:dyDescent="0.25">
      <c r="A19" s="2">
        <v>46122</v>
      </c>
      <c r="B19" s="3">
        <v>2224.31</v>
      </c>
      <c r="C19" s="7">
        <f>B19/B18-1</f>
        <v>3.8999075120748072E-2</v>
      </c>
      <c r="D19" s="7">
        <f>C19-AV19</f>
        <v>-1.4244524474691378E-2</v>
      </c>
      <c r="E19" s="3">
        <v>8378.9599999999991</v>
      </c>
      <c r="F19" s="7">
        <f>E19/E18-1</f>
        <v>5.7124617407124045E-2</v>
      </c>
      <c r="G19" s="7">
        <f>F19-AV19</f>
        <v>3.881017811684595E-3</v>
      </c>
      <c r="H19" s="3">
        <v>2847.52</v>
      </c>
      <c r="I19" s="7">
        <f>H19/H18-1</f>
        <v>5.0598071119178911E-2</v>
      </c>
      <c r="J19" s="7">
        <f>I19-AV19</f>
        <v>-2.6455284762605391E-3</v>
      </c>
      <c r="K19" s="3">
        <v>10091.65</v>
      </c>
      <c r="L19" s="7">
        <f>K19/K18-1</f>
        <v>4.6647541765713729E-2</v>
      </c>
      <c r="M19" s="7">
        <f>L19-AV19</f>
        <v>-6.5960578297257211E-3</v>
      </c>
      <c r="N19" s="3">
        <v>1432.61</v>
      </c>
      <c r="O19" s="7">
        <f>N19/N18-1</f>
        <v>4.2527489320826284E-2</v>
      </c>
      <c r="P19" s="7">
        <f>O19-AV19</f>
        <v>-1.0716110274613166E-2</v>
      </c>
      <c r="Q19" s="3">
        <v>1185.29</v>
      </c>
      <c r="R19" s="7">
        <f>Q19/Q18-1</f>
        <v>6.0652701094397354E-2</v>
      </c>
      <c r="S19" s="7">
        <f>R19-AV19</f>
        <v>7.409101498957904E-3</v>
      </c>
      <c r="T19" s="3">
        <v>254.78</v>
      </c>
      <c r="U19" s="7">
        <f>T19/T18-1</f>
        <v>4.9903160670869973E-2</v>
      </c>
      <c r="V19" s="7">
        <f>U19-AV19</f>
        <v>-3.3404389245694777E-3</v>
      </c>
      <c r="W19" s="3">
        <v>270.99</v>
      </c>
      <c r="X19" s="7">
        <f>W19/W18-1</f>
        <v>4.5849253212921104E-2</v>
      </c>
      <c r="Y19" s="7">
        <f>X19-AV19</f>
        <v>-7.3943463825183464E-3</v>
      </c>
      <c r="Z19" s="3">
        <v>251.51</v>
      </c>
      <c r="AA19" s="7">
        <f>Z19/Z18-1</f>
        <v>5.7431154088711356E-2</v>
      </c>
      <c r="AB19" s="7">
        <f>AA19-AV19</f>
        <v>4.1875544932719055E-3</v>
      </c>
      <c r="AC19" s="3">
        <v>1167.8900000000001</v>
      </c>
      <c r="AD19" s="7">
        <f>AC19/AC18-1</f>
        <v>5.6684521009011668E-2</v>
      </c>
      <c r="AE19" s="7">
        <f>AD19-AV19</f>
        <v>3.4409214135722177E-3</v>
      </c>
      <c r="AF19" s="3">
        <v>955.47</v>
      </c>
      <c r="AG19" s="7">
        <f>AF19/AF18-1</f>
        <v>5.7275010788859326E-2</v>
      </c>
      <c r="AH19" s="7">
        <f>AG19-AV19</f>
        <v>4.031411193419876E-3</v>
      </c>
      <c r="AI19" s="3">
        <v>4851.49</v>
      </c>
      <c r="AJ19" s="7">
        <f>AI19/AI18-1</f>
        <v>4.1948640191401987E-2</v>
      </c>
      <c r="AK19" s="7">
        <f>AJ19-AV19</f>
        <v>-1.1294959404037463E-2</v>
      </c>
      <c r="AL19" s="3">
        <v>932.77</v>
      </c>
      <c r="AM19" s="7">
        <f>AL19/AL18-1</f>
        <v>4.8279969881210638E-2</v>
      </c>
      <c r="AN19" s="7">
        <f>AM19-AV19</f>
        <v>-4.9636297142288122E-3</v>
      </c>
      <c r="AO19" s="3">
        <v>934.21</v>
      </c>
      <c r="AP19" s="7">
        <f>AO19/AO18-1</f>
        <v>4.6546277418054061E-2</v>
      </c>
      <c r="AQ19" s="7">
        <f>AP19-AV19</f>
        <v>-6.6973221773853897E-3</v>
      </c>
      <c r="AR19" s="3">
        <v>177.76</v>
      </c>
      <c r="AS19" s="7">
        <f>AR19/AR18-1</f>
        <v>5.3330173026783667E-2</v>
      </c>
      <c r="AT19" s="7">
        <f>AS19-AV19</f>
        <v>8.65734313442168E-5</v>
      </c>
      <c r="AU19" s="3">
        <v>60516.35</v>
      </c>
      <c r="AV19" s="7">
        <f>AU19/AU18-1</f>
        <v>5.324359959543945E-2</v>
      </c>
    </row>
    <row r="20" spans="1:48" x14ac:dyDescent="0.25">
      <c r="A20" s="2">
        <v>46129</v>
      </c>
      <c r="B20" s="3">
        <v>2321.14</v>
      </c>
      <c r="C20" s="7">
        <f>B20/B19-1</f>
        <v>4.3532601121246461E-2</v>
      </c>
      <c r="D20" s="7">
        <f>C20-AV20</f>
        <v>6.507865372538113E-4</v>
      </c>
      <c r="E20" s="3">
        <v>8799.6299999999992</v>
      </c>
      <c r="F20" s="7">
        <f>E20/E19-1</f>
        <v>5.020551476555557E-2</v>
      </c>
      <c r="G20" s="7">
        <f>F20-AV20</f>
        <v>7.3237001815629199E-3</v>
      </c>
      <c r="H20" s="3">
        <v>2981.78</v>
      </c>
      <c r="I20" s="7">
        <f>H20/H19-1</f>
        <v>4.7149800528178964E-2</v>
      </c>
      <c r="J20" s="7">
        <f>I20-AV20</f>
        <v>4.2679859441863144E-3</v>
      </c>
      <c r="K20" s="3">
        <v>10516.17</v>
      </c>
      <c r="L20" s="7">
        <f>K20/K19-1</f>
        <v>4.2066460885979984E-2</v>
      </c>
      <c r="M20" s="7">
        <f>L20-AV20</f>
        <v>-8.1535369801266633E-4</v>
      </c>
      <c r="N20" s="3">
        <v>1483.89</v>
      </c>
      <c r="O20" s="7">
        <f>N20/N19-1</f>
        <v>3.5794808077564966E-2</v>
      </c>
      <c r="P20" s="7">
        <f>O20-AV20</f>
        <v>-7.0870065064276844E-3</v>
      </c>
      <c r="Q20" s="3">
        <v>1240.6099999999999</v>
      </c>
      <c r="R20" s="7">
        <f>Q20/Q19-1</f>
        <v>4.6672122434172181E-2</v>
      </c>
      <c r="S20" s="7">
        <f>R20-AV20</f>
        <v>3.7903078501795306E-3</v>
      </c>
      <c r="T20" s="3">
        <v>266.04000000000002</v>
      </c>
      <c r="U20" s="7">
        <f>T20/T19-1</f>
        <v>4.4194991757594781E-2</v>
      </c>
      <c r="V20" s="7">
        <f>U20-AV20</f>
        <v>1.3131771736021314E-3</v>
      </c>
      <c r="W20" s="3">
        <v>282.24</v>
      </c>
      <c r="X20" s="7">
        <f>W20/W19-1</f>
        <v>4.1514447027565682E-2</v>
      </c>
      <c r="Y20" s="7">
        <f>X20-AV20</f>
        <v>-1.3673675564269683E-3</v>
      </c>
      <c r="Z20" s="3">
        <v>263.56</v>
      </c>
      <c r="AA20" s="7">
        <f>Z20/Z19-1</f>
        <v>4.7910619856069481E-2</v>
      </c>
      <c r="AB20" s="7">
        <f>AA20-AV20</f>
        <v>5.0288052720768306E-3</v>
      </c>
      <c r="AC20" s="3">
        <v>1217.77</v>
      </c>
      <c r="AD20" s="7">
        <f>AC20/AC19-1</f>
        <v>4.2709501751021062E-2</v>
      </c>
      <c r="AE20" s="7">
        <f>AD20-AV20</f>
        <v>-1.7231283297158839E-4</v>
      </c>
      <c r="AF20" s="3">
        <v>1002.67</v>
      </c>
      <c r="AG20" s="7">
        <f>AF20/AF19-1</f>
        <v>4.9399771840036744E-2</v>
      </c>
      <c r="AH20" s="7">
        <f>AG20-AV20</f>
        <v>6.5179572560440935E-3</v>
      </c>
      <c r="AI20" s="3">
        <v>5078.29</v>
      </c>
      <c r="AJ20" s="7">
        <f>AI20/AI19-1</f>
        <v>4.6748524680046755E-2</v>
      </c>
      <c r="AK20" s="7">
        <f>AJ20-AV20</f>
        <v>3.8667100960541045E-3</v>
      </c>
      <c r="AL20" s="3">
        <v>970.6</v>
      </c>
      <c r="AM20" s="7">
        <f>AL20/AL19-1</f>
        <v>4.0556621675225557E-2</v>
      </c>
      <c r="AN20" s="7">
        <f>AM20-AV20</f>
        <v>-2.3251929087670931E-3</v>
      </c>
      <c r="AO20" s="3">
        <v>969.09</v>
      </c>
      <c r="AP20" s="7">
        <f>AO20/AO19-1</f>
        <v>3.7336359062737579E-2</v>
      </c>
      <c r="AQ20" s="7">
        <f>AP20-AV20</f>
        <v>-5.5454555212550716E-3</v>
      </c>
      <c r="AR20" s="3">
        <v>186.67</v>
      </c>
      <c r="AS20" s="7">
        <f>AR20/AR19-1</f>
        <v>5.0123762376237613E-2</v>
      </c>
      <c r="AT20" s="7">
        <f>AS20-AV20</f>
        <v>7.2419477922449627E-3</v>
      </c>
      <c r="AU20" s="3">
        <v>63111.400900000001</v>
      </c>
      <c r="AV20" s="7">
        <f>AU20/AU19-1</f>
        <v>4.288181458399265E-2</v>
      </c>
    </row>
    <row r="21" spans="1:48" x14ac:dyDescent="0.25">
      <c r="A21" s="2">
        <v>46136</v>
      </c>
      <c r="B21" s="3">
        <v>2247.0300000000002</v>
      </c>
      <c r="C21" s="7">
        <f>B21/B20-1</f>
        <v>-3.192827662269393E-2</v>
      </c>
      <c r="D21" s="7">
        <f>C21-AV21</f>
        <v>-9.9511048245632949E-3</v>
      </c>
      <c r="E21" s="3">
        <v>8585.5</v>
      </c>
      <c r="F21" s="7">
        <f>E21/E20-1</f>
        <v>-2.43339776786069E-2</v>
      </c>
      <c r="G21" s="7">
        <f>F21-AV21</f>
        <v>-2.3568058804762648E-3</v>
      </c>
      <c r="H21" s="3">
        <v>2899.7</v>
      </c>
      <c r="I21" s="7">
        <f>H21/H20-1</f>
        <v>-2.7527181750498175E-2</v>
      </c>
      <c r="J21" s="7">
        <f>I21-AV21</f>
        <v>-5.5500099523675406E-3</v>
      </c>
      <c r="K21" s="3">
        <v>10215.719999999999</v>
      </c>
      <c r="L21" s="7">
        <f>K21/K20-1</f>
        <v>-2.8570287471579525E-2</v>
      </c>
      <c r="M21" s="7">
        <f>L21-AV21</f>
        <v>-6.5931156734488905E-3</v>
      </c>
      <c r="N21" s="3">
        <v>1447.99</v>
      </c>
      <c r="O21" s="7">
        <f>N21/N20-1</f>
        <v>-2.4193167957193618E-2</v>
      </c>
      <c r="P21" s="7">
        <f>O21-AV21</f>
        <v>-2.2159961590629829E-3</v>
      </c>
      <c r="Q21" s="3">
        <v>1208.94</v>
      </c>
      <c r="R21" s="7">
        <f>Q21/Q20-1</f>
        <v>-2.5527764567430444E-2</v>
      </c>
      <c r="S21" s="7">
        <f>R21-AV21</f>
        <v>-3.5505927692998096E-3</v>
      </c>
      <c r="T21" s="3">
        <v>259.27</v>
      </c>
      <c r="U21" s="7">
        <f>T21/T20-1</f>
        <v>-2.5447301157720759E-2</v>
      </c>
      <c r="V21" s="7">
        <f>U21-AV21</f>
        <v>-3.4701293595901239E-3</v>
      </c>
      <c r="W21" s="3">
        <v>274.54000000000002</v>
      </c>
      <c r="X21" s="7">
        <f>W21/W20-1</f>
        <v>-2.7281746031746046E-2</v>
      </c>
      <c r="Y21" s="7">
        <f>X21-AV21</f>
        <v>-5.3045742336154111E-3</v>
      </c>
      <c r="Z21" s="3">
        <v>257.13</v>
      </c>
      <c r="AA21" s="7">
        <f>Z21/Z20-1</f>
        <v>-2.4396721809075705E-2</v>
      </c>
      <c r="AB21" s="7">
        <f>AA21-AV21</f>
        <v>-2.4195500109450707E-3</v>
      </c>
      <c r="AC21" s="3">
        <v>1186.8800000000001</v>
      </c>
      <c r="AD21" s="7">
        <f>AC21/AC20-1</f>
        <v>-2.5366037921774942E-2</v>
      </c>
      <c r="AE21" s="7">
        <f>AD21-AV21</f>
        <v>-3.3888661236443074E-3</v>
      </c>
      <c r="AF21" s="3">
        <v>979.5</v>
      </c>
      <c r="AG21" s="7">
        <f>AF21/AF20-1</f>
        <v>-2.3108300836765849E-2</v>
      </c>
      <c r="AH21" s="7">
        <f>AG21-AV21</f>
        <v>-1.1311290386352146E-3</v>
      </c>
      <c r="AI21" s="3">
        <v>4893.3999999999996</v>
      </c>
      <c r="AJ21" s="7">
        <f>AI21/AI20-1</f>
        <v>-3.6407924714815465E-2</v>
      </c>
      <c r="AK21" s="7">
        <f>AJ21-AV21</f>
        <v>-1.443075291668483E-2</v>
      </c>
      <c r="AL21" s="3">
        <v>945.34</v>
      </c>
      <c r="AM21" s="7">
        <f>AL21/AL20-1</f>
        <v>-2.6025139089223104E-2</v>
      </c>
      <c r="AN21" s="7">
        <f>AM21-AV21</f>
        <v>-4.0479672910924691E-3</v>
      </c>
      <c r="AO21" s="3">
        <v>940.87</v>
      </c>
      <c r="AP21" s="7">
        <f>AO21/AO20-1</f>
        <v>-2.9120102364073586E-2</v>
      </c>
      <c r="AQ21" s="7">
        <f>AP21-AV21</f>
        <v>-7.1429305659429509E-3</v>
      </c>
      <c r="AR21" s="3">
        <v>182.06</v>
      </c>
      <c r="AS21" s="7">
        <f>AR21/AR20-1</f>
        <v>-2.469598757165048E-2</v>
      </c>
      <c r="AT21" s="7">
        <f>AS21-AV21</f>
        <v>-2.7188157735198448E-3</v>
      </c>
      <c r="AU21" s="3">
        <v>61724.390800000001</v>
      </c>
      <c r="AV21" s="7">
        <f>AU21/AU20-1</f>
        <v>-2.1977171798130635E-2</v>
      </c>
    </row>
    <row r="22" spans="1:48" x14ac:dyDescent="0.25">
      <c r="A22" s="2">
        <v>46146</v>
      </c>
      <c r="B22" s="3">
        <v>2227.1</v>
      </c>
      <c r="C22" s="7">
        <f>B22/B21-1</f>
        <v>-8.8694854986360872E-3</v>
      </c>
      <c r="D22" s="7">
        <f>C22-AV22</f>
        <v>-2.5989724164721117E-3</v>
      </c>
      <c r="E22" s="3">
        <v>8483.86</v>
      </c>
      <c r="F22" s="7">
        <f>E22/E21-1</f>
        <v>-1.1838565022421421E-2</v>
      </c>
      <c r="G22" s="7">
        <f>F22-AV22</f>
        <v>-5.5680519402574458E-3</v>
      </c>
      <c r="H22" s="3">
        <v>2868.97</v>
      </c>
      <c r="I22" s="7">
        <f>H22/H21-1</f>
        <v>-1.059764803255514E-2</v>
      </c>
      <c r="J22" s="7">
        <f>I22-AV22</f>
        <v>-4.3271349503911649E-3</v>
      </c>
      <c r="K22" s="3">
        <v>10101.74</v>
      </c>
      <c r="L22" s="7">
        <f>K22/K21-1</f>
        <v>-1.1157314413472563E-2</v>
      </c>
      <c r="M22" s="7">
        <f>L22-AV22</f>
        <v>-4.8868013313085878E-3</v>
      </c>
      <c r="N22" s="3">
        <v>1436.32</v>
      </c>
      <c r="O22" s="7">
        <f>N22/N21-1</f>
        <v>-8.0594479243641937E-3</v>
      </c>
      <c r="P22" s="7">
        <f>O22-AV22</f>
        <v>-1.7889348422002183E-3</v>
      </c>
      <c r="Q22" s="3">
        <v>1197.3800000000001</v>
      </c>
      <c r="R22" s="7">
        <f>Q22/Q21-1</f>
        <v>-9.5620957202177115E-3</v>
      </c>
      <c r="S22" s="7">
        <f>R22-AV22</f>
        <v>-3.2915826380537361E-3</v>
      </c>
      <c r="T22" s="3">
        <v>256.79000000000002</v>
      </c>
      <c r="U22" s="7">
        <f>T22/T21-1</f>
        <v>-9.5653180082537759E-3</v>
      </c>
      <c r="V22" s="7">
        <f>U22-AV22</f>
        <v>-3.2948049260898005E-3</v>
      </c>
      <c r="W22" s="3">
        <v>272.08</v>
      </c>
      <c r="X22" s="7">
        <f>W22/W21-1</f>
        <v>-8.9604429227072568E-3</v>
      </c>
      <c r="Y22" s="7">
        <f>X22-AV22</f>
        <v>-2.6899298405432814E-3</v>
      </c>
      <c r="Z22" s="3">
        <v>254.68</v>
      </c>
      <c r="AA22" s="7">
        <f>Z22/Z21-1</f>
        <v>-9.5282541904873064E-3</v>
      </c>
      <c r="AB22" s="7">
        <f>AA22-AV22</f>
        <v>-3.257741108323331E-3</v>
      </c>
      <c r="AC22" s="3">
        <v>1179.45</v>
      </c>
      <c r="AD22" s="7">
        <f>AC22/AC21-1</f>
        <v>-6.2601105419251013E-3</v>
      </c>
      <c r="AE22" s="7">
        <f>AD22-AV22</f>
        <v>1.0402540238874103E-5</v>
      </c>
      <c r="AF22" s="3">
        <v>969.03</v>
      </c>
      <c r="AG22" s="7">
        <f>AF22/AF21-1</f>
        <v>-1.0689127105666163E-2</v>
      </c>
      <c r="AH22" s="7">
        <f>AG22-AV22</f>
        <v>-4.4186140235021876E-3</v>
      </c>
      <c r="AI22" s="3">
        <v>4836.09</v>
      </c>
      <c r="AJ22" s="7">
        <f>AI22/AI21-1</f>
        <v>-1.1711693301181048E-2</v>
      </c>
      <c r="AK22" s="7">
        <f>AJ22-AV22</f>
        <v>-5.4411802190170722E-3</v>
      </c>
      <c r="AL22" s="3">
        <v>938.55</v>
      </c>
      <c r="AM22" s="7">
        <f>AL22/AL21-1</f>
        <v>-7.182600968963615E-3</v>
      </c>
      <c r="AN22" s="7">
        <f>AM22-AV22</f>
        <v>-9.1208788679963959E-4</v>
      </c>
      <c r="AO22" s="3">
        <v>935.41</v>
      </c>
      <c r="AP22" s="7">
        <f>AO22/AO21-1</f>
        <v>-5.8031396473476882E-3</v>
      </c>
      <c r="AQ22" s="7">
        <f>AP22-AV22</f>
        <v>4.6737343481628724E-4</v>
      </c>
      <c r="AR22" s="3">
        <v>180.5</v>
      </c>
      <c r="AS22" s="7">
        <f>AR22/AR21-1</f>
        <v>-8.5686037570031903E-3</v>
      </c>
      <c r="AT22" s="7">
        <f>AS22-AV22</f>
        <v>-2.2980906748392149E-3</v>
      </c>
      <c r="AU22" s="3">
        <v>61337.347199999997</v>
      </c>
      <c r="AV22" s="7">
        <f>AU22/AU21-1</f>
        <v>-6.2705130821639754E-3</v>
      </c>
    </row>
    <row r="23" spans="1:48" x14ac:dyDescent="0.25">
      <c r="A23" s="2">
        <v>46150</v>
      </c>
      <c r="B23" s="3">
        <v>2279.13</v>
      </c>
      <c r="C23" s="7">
        <f>B23/B22-1</f>
        <v>2.3362219927259842E-2</v>
      </c>
      <c r="D23" s="7">
        <f>C23-AV23</f>
        <v>9.7584819423213176E-3</v>
      </c>
      <c r="E23" s="3">
        <v>8619.27</v>
      </c>
      <c r="F23" s="7">
        <f>E23/E22-1</f>
        <v>1.5960895158571686E-2</v>
      </c>
      <c r="G23" s="7">
        <f>F23-AV23</f>
        <v>2.357157173633162E-3</v>
      </c>
      <c r="H23" s="3">
        <v>2914.18</v>
      </c>
      <c r="I23" s="7">
        <f>H23/H22-1</f>
        <v>1.5758268646935969E-2</v>
      </c>
      <c r="J23" s="7">
        <f>I23-AV23</f>
        <v>2.1545306619974447E-3</v>
      </c>
      <c r="K23" s="3">
        <v>10287.18</v>
      </c>
      <c r="L23" s="7">
        <f>K23/K22-1</f>
        <v>1.8357233506306914E-2</v>
      </c>
      <c r="M23" s="7">
        <f>L23-AV23</f>
        <v>4.7534955213683894E-3</v>
      </c>
      <c r="N23" s="3">
        <v>1456.64</v>
      </c>
      <c r="O23" s="7">
        <f>N23/N22-1</f>
        <v>1.4147265233374284E-2</v>
      </c>
      <c r="P23" s="7">
        <f>O23-AV23</f>
        <v>5.4352724843576006E-4</v>
      </c>
      <c r="Q23" s="3">
        <v>1217.96</v>
      </c>
      <c r="R23" s="7">
        <f>Q23/Q22-1</f>
        <v>1.7187526098648709E-2</v>
      </c>
      <c r="S23" s="7">
        <f>R23-AV23</f>
        <v>3.5837881137101846E-3</v>
      </c>
      <c r="T23" s="3">
        <v>260.68</v>
      </c>
      <c r="U23" s="7">
        <f>T23/T22-1</f>
        <v>1.5148564975271617E-2</v>
      </c>
      <c r="V23" s="7">
        <f>U23-AV23</f>
        <v>1.5448269903330925E-3</v>
      </c>
      <c r="W23" s="3">
        <v>275.62</v>
      </c>
      <c r="X23" s="7">
        <f>W23/W22-1</f>
        <v>1.3010879153190213E-2</v>
      </c>
      <c r="Y23" s="7">
        <f>X23-AV23</f>
        <v>-5.9285883174831078E-4</v>
      </c>
      <c r="Z23" s="3">
        <v>258.85000000000002</v>
      </c>
      <c r="AA23" s="7">
        <f>Z23/Z22-1</f>
        <v>1.637348829904206E-2</v>
      </c>
      <c r="AB23" s="7">
        <f>AA23-AV23</f>
        <v>2.7697503141035362E-3</v>
      </c>
      <c r="AC23" s="3">
        <v>1198.42</v>
      </c>
      <c r="AD23" s="7">
        <f>AC23/AC22-1</f>
        <v>1.60837678579E-2</v>
      </c>
      <c r="AE23" s="7">
        <f>AD23-AV23</f>
        <v>2.4800298729614756E-3</v>
      </c>
      <c r="AF23" s="3">
        <v>986.21</v>
      </c>
      <c r="AG23" s="7">
        <f>AF23/AF22-1</f>
        <v>1.7729069275461029E-2</v>
      </c>
      <c r="AH23" s="7">
        <f>AG23-AV23</f>
        <v>4.1253312905225048E-3</v>
      </c>
      <c r="AI23" s="3">
        <v>4914.8999999999996</v>
      </c>
      <c r="AJ23" s="7">
        <f>AI23/AI22-1</f>
        <v>1.6296222775010305E-2</v>
      </c>
      <c r="AK23" s="7">
        <f>AJ23-AV23</f>
        <v>2.6924847900717808E-3</v>
      </c>
      <c r="AL23" s="3">
        <v>950.98</v>
      </c>
      <c r="AM23" s="7">
        <f>AL23/AL22-1</f>
        <v>1.3243833573064911E-2</v>
      </c>
      <c r="AN23" s="7">
        <f>AM23-AV23</f>
        <v>-3.5990441187361277E-4</v>
      </c>
      <c r="AO23" s="3">
        <v>944.35</v>
      </c>
      <c r="AP23" s="7">
        <f>AO23/AO22-1</f>
        <v>9.5573064217830961E-3</v>
      </c>
      <c r="AQ23" s="7">
        <f>AP23-AV23</f>
        <v>-4.0464315631554282E-3</v>
      </c>
      <c r="AR23" s="3">
        <v>183.24</v>
      </c>
      <c r="AS23" s="7">
        <f>AR23/AR22-1</f>
        <v>1.5180055401662118E-2</v>
      </c>
      <c r="AT23" s="7">
        <f>AS23-AV23</f>
        <v>1.5763174167235938E-3</v>
      </c>
      <c r="AU23" s="3">
        <v>62171.7644</v>
      </c>
      <c r="AV23" s="7">
        <f>AU23/AU22-1</f>
        <v>1.3603737984938524E-2</v>
      </c>
    </row>
    <row r="24" spans="1:48" x14ac:dyDescent="0.25">
      <c r="A24" s="2">
        <v>46157</v>
      </c>
      <c r="B24" s="3">
        <v>2207.1</v>
      </c>
      <c r="C24" s="7">
        <f>B24/B23-1</f>
        <v>-3.1604164747074615E-2</v>
      </c>
      <c r="D24" s="7">
        <f>C24-AV24</f>
        <v>-3.6171996546057184E-3</v>
      </c>
      <c r="E24" s="3">
        <v>8344.84</v>
      </c>
      <c r="F24" s="7">
        <f>E24/E23-1</f>
        <v>-3.1839123266819591E-2</v>
      </c>
      <c r="G24" s="7">
        <f>F24-AV24</f>
        <v>-3.852158174350695E-3</v>
      </c>
      <c r="H24" s="3">
        <v>2822.91</v>
      </c>
      <c r="I24" s="7">
        <f>H24/H23-1</f>
        <v>-3.1319273346190002E-2</v>
      </c>
      <c r="J24" s="7">
        <f>I24-AV24</f>
        <v>-3.3323082537211057E-3</v>
      </c>
      <c r="K24" s="3">
        <v>9913.1</v>
      </c>
      <c r="L24" s="7">
        <f>K24/K23-1</f>
        <v>-3.6363707060632744E-2</v>
      </c>
      <c r="M24" s="7">
        <f>L24-AV24</f>
        <v>-8.3767419681638478E-3</v>
      </c>
      <c r="N24" s="3">
        <v>1406</v>
      </c>
      <c r="O24" s="7">
        <f>N24/N23-1</f>
        <v>-3.4764938488576536E-2</v>
      </c>
      <c r="P24" s="7">
        <f>O24-AV24</f>
        <v>-6.7779733961076394E-3</v>
      </c>
      <c r="Q24" s="3">
        <v>1177.33</v>
      </c>
      <c r="R24" s="7">
        <f>Q24/Q23-1</f>
        <v>-3.3359059410818181E-2</v>
      </c>
      <c r="S24" s="7">
        <f>R24-AV24</f>
        <v>-5.3720943183492853E-3</v>
      </c>
      <c r="T24" s="3">
        <v>256.79000000000002</v>
      </c>
      <c r="U24" s="7">
        <f>T24/T23-1</f>
        <v>-1.4922510357526453E-2</v>
      </c>
      <c r="V24" s="7">
        <f>U24-AV24</f>
        <v>1.3064454734942443E-2</v>
      </c>
      <c r="W24" s="3">
        <v>266.39999999999998</v>
      </c>
      <c r="X24" s="7">
        <f>W24/W23-1</f>
        <v>-3.3451854001886772E-2</v>
      </c>
      <c r="Y24" s="7">
        <f>X24-AV24</f>
        <v>-5.4648889094178754E-3</v>
      </c>
      <c r="Z24" s="3">
        <v>251.37</v>
      </c>
      <c r="AA24" s="7">
        <f>Z24/Z23-1</f>
        <v>-2.8897044620436629E-2</v>
      </c>
      <c r="AB24" s="7">
        <f>AA24-AV24</f>
        <v>-9.1007952796773317E-4</v>
      </c>
      <c r="AC24" s="3">
        <v>1162.44</v>
      </c>
      <c r="AD24" s="7">
        <f>AC24/AC23-1</f>
        <v>-3.002286343685856E-2</v>
      </c>
      <c r="AE24" s="7">
        <f>AD24-AV24</f>
        <v>-2.0358983443896639E-3</v>
      </c>
      <c r="AF24" s="3">
        <v>955.33</v>
      </c>
      <c r="AG24" s="7">
        <f>AF24/AF23-1</f>
        <v>-3.131178957828451E-2</v>
      </c>
      <c r="AH24" s="7">
        <f>AG24-AV24</f>
        <v>-3.324824485815614E-3</v>
      </c>
      <c r="AI24" s="3">
        <v>4746.0200000000004</v>
      </c>
      <c r="AJ24" s="7">
        <f>AI24/AI23-1</f>
        <v>-3.4360821176422585E-2</v>
      </c>
      <c r="AK24" s="7">
        <f>AJ24-AV24</f>
        <v>-6.3738560839536884E-3</v>
      </c>
      <c r="AL24" s="3">
        <v>926.58</v>
      </c>
      <c r="AM24" s="7">
        <f>AL24/AL23-1</f>
        <v>-2.5657742539275219E-2</v>
      </c>
      <c r="AN24" s="7">
        <f>AM24-AV24</f>
        <v>2.3292225531936772E-3</v>
      </c>
      <c r="AO24" s="3">
        <v>918.39</v>
      </c>
      <c r="AP24" s="7">
        <f>AO24/AO23-1</f>
        <v>-2.7489807804309874E-2</v>
      </c>
      <c r="AQ24" s="7">
        <f>AP24-AV24</f>
        <v>4.9715728815902249E-4</v>
      </c>
      <c r="AR24" s="3">
        <v>178.18</v>
      </c>
      <c r="AS24" s="7">
        <f>AR24/AR23-1</f>
        <v>-2.7614058065924429E-2</v>
      </c>
      <c r="AT24" s="7">
        <f>AS24-AV24</f>
        <v>3.7290702654446672E-4</v>
      </c>
      <c r="AU24" s="3">
        <v>60431.765399999997</v>
      </c>
      <c r="AV24" s="7">
        <f>AU24/AU23-1</f>
        <v>-2.7986965092468896E-2</v>
      </c>
    </row>
    <row r="25" spans="1:48" x14ac:dyDescent="0.25">
      <c r="A25" s="2">
        <v>46164</v>
      </c>
      <c r="B25" s="3">
        <v>2183.36</v>
      </c>
      <c r="C25" s="7">
        <f>B25/B24-1</f>
        <v>-1.0756195913189104E-2</v>
      </c>
      <c r="D25" s="7">
        <f>C25-AV25</f>
        <v>-8.0680186123155417E-3</v>
      </c>
      <c r="E25" s="3">
        <v>8309.33</v>
      </c>
      <c r="F25" s="7">
        <f>E25/E24-1</f>
        <v>-4.255324248278014E-3</v>
      </c>
      <c r="G25" s="7">
        <f>F25-AV25</f>
        <v>-1.5671469474044519E-3</v>
      </c>
      <c r="H25" s="3">
        <v>2816.39</v>
      </c>
      <c r="I25" s="7">
        <f>H25/H24-1</f>
        <v>-2.3096733512580903E-3</v>
      </c>
      <c r="J25" s="7">
        <f>I25-AV25</f>
        <v>3.7850394961547185E-4</v>
      </c>
      <c r="K25" s="3">
        <v>9763.58</v>
      </c>
      <c r="L25" s="7">
        <f>K25/K24-1</f>
        <v>-1.5083071894765543E-2</v>
      </c>
      <c r="M25" s="7">
        <f>L25-AV25</f>
        <v>-1.2394894593891981E-2</v>
      </c>
      <c r="N25" s="3">
        <v>1402.25</v>
      </c>
      <c r="O25" s="7">
        <f>N25/N24-1</f>
        <v>-2.6671408250356077E-3</v>
      </c>
      <c r="P25" s="7">
        <f>O25-AV25</f>
        <v>2.1036475837954427E-5</v>
      </c>
      <c r="Q25" s="3">
        <v>1167.0999999999999</v>
      </c>
      <c r="R25" s="7">
        <f>Q25/Q24-1</f>
        <v>-8.6891525740446784E-3</v>
      </c>
      <c r="S25" s="7">
        <f>R25-AV25</f>
        <v>-6.0009752731711163E-3</v>
      </c>
      <c r="T25" s="3">
        <v>251.79</v>
      </c>
      <c r="U25" s="7">
        <f>T25/T24-1</f>
        <v>-1.9471163207290143E-2</v>
      </c>
      <c r="V25" s="7">
        <f>U25-AV25</f>
        <v>-1.6782985906416581E-2</v>
      </c>
      <c r="W25" s="3">
        <v>264.89999999999998</v>
      </c>
      <c r="X25" s="7">
        <f>W25/W24-1</f>
        <v>-5.6306306306306286E-3</v>
      </c>
      <c r="Y25" s="7">
        <f>X25-AV25</f>
        <v>-2.9424533297570665E-3</v>
      </c>
      <c r="Z25" s="3">
        <v>250.44</v>
      </c>
      <c r="AA25" s="7">
        <f>Z25/Z24-1</f>
        <v>-3.699725504236806E-3</v>
      </c>
      <c r="AB25" s="7">
        <f>AA25-AV25</f>
        <v>-1.0115482033632439E-3</v>
      </c>
      <c r="AC25" s="3">
        <v>1155.07</v>
      </c>
      <c r="AD25" s="7">
        <f>AC25/AC24-1</f>
        <v>-6.3401121778329239E-3</v>
      </c>
      <c r="AE25" s="7">
        <f>AD25-AV25</f>
        <v>-3.6519348769593618E-3</v>
      </c>
      <c r="AF25" s="3">
        <v>949.99</v>
      </c>
      <c r="AG25" s="7">
        <f>AF25/AF24-1</f>
        <v>-5.589691520207718E-3</v>
      </c>
      <c r="AH25" s="7">
        <f>AG25-AV25</f>
        <v>-2.9015142193341559E-3</v>
      </c>
      <c r="AI25" s="3">
        <v>4685.25</v>
      </c>
      <c r="AJ25" s="7">
        <f>AI25/AI24-1</f>
        <v>-1.280441296075463E-2</v>
      </c>
      <c r="AK25" s="7">
        <f>AJ25-AV25</f>
        <v>-1.0116235659881068E-2</v>
      </c>
      <c r="AL25" s="3">
        <v>924.48</v>
      </c>
      <c r="AM25" s="7">
        <f>AL25/AL24-1</f>
        <v>-2.266399015735332E-3</v>
      </c>
      <c r="AN25" s="7">
        <f>AM25-AV25</f>
        <v>4.2177828513823012E-4</v>
      </c>
      <c r="AO25" s="3">
        <v>917.2</v>
      </c>
      <c r="AP25" s="7">
        <f>AO25/AO24-1</f>
        <v>-1.2957458160476332E-3</v>
      </c>
      <c r="AQ25" s="7">
        <f>AP25-AV25</f>
        <v>1.3924314848259289E-3</v>
      </c>
      <c r="AR25" s="3">
        <v>178.04</v>
      </c>
      <c r="AS25" s="7">
        <f>AR25/AR24-1</f>
        <v>-7.8572230328888271E-4</v>
      </c>
      <c r="AT25" s="7">
        <f>AS25-AV25</f>
        <v>1.9024549975846794E-3</v>
      </c>
      <c r="AU25" s="3">
        <v>60269.314100000003</v>
      </c>
      <c r="AV25" s="7">
        <f>AU25/AU24-1</f>
        <v>-2.6881773008735621E-3</v>
      </c>
    </row>
    <row r="26" spans="1:48" x14ac:dyDescent="0.25">
      <c r="A26" s="2">
        <v>46174</v>
      </c>
      <c r="B26" s="3">
        <v>2203.1</v>
      </c>
      <c r="C26" s="7">
        <f>B26/B25-1</f>
        <v>9.041110948263098E-3</v>
      </c>
      <c r="D26" s="7">
        <f>C26-AV26</f>
        <v>-2.103737637270009E-2</v>
      </c>
      <c r="E26" s="3">
        <v>8526.75</v>
      </c>
      <c r="F26" s="7">
        <f>E26/E25-1</f>
        <v>2.6165767877795121E-2</v>
      </c>
      <c r="G26" s="7">
        <f>F26-AV26</f>
        <v>-3.9127194431680667E-3</v>
      </c>
      <c r="H26" s="3">
        <v>2887.34</v>
      </c>
      <c r="I26" s="7">
        <f>H26/H25-1</f>
        <v>2.5191823575570149E-2</v>
      </c>
      <c r="J26" s="7">
        <f>I26-AV26</f>
        <v>-4.8866637453930384E-3</v>
      </c>
      <c r="K26" s="3">
        <v>9769.4599999999991</v>
      </c>
      <c r="L26" s="7">
        <f>K26/K25-1</f>
        <v>6.022381134787036E-4</v>
      </c>
      <c r="M26" s="7">
        <f>L26-AV26</f>
        <v>-2.9476249207484484E-2</v>
      </c>
      <c r="N26" s="3">
        <v>1446.35</v>
      </c>
      <c r="O26" s="7">
        <f>N26/N25-1</f>
        <v>3.1449456231057216E-2</v>
      </c>
      <c r="P26" s="7">
        <f>O26-AV26</f>
        <v>1.3709689100940281E-3</v>
      </c>
      <c r="Q26" s="3">
        <v>1202.96</v>
      </c>
      <c r="R26" s="7">
        <f>Q26/Q25-1</f>
        <v>3.0725730442978438E-2</v>
      </c>
      <c r="S26" s="7">
        <f>R26-AV26</f>
        <v>6.472431220152508E-4</v>
      </c>
      <c r="T26" s="3">
        <v>258.31</v>
      </c>
      <c r="U26" s="7">
        <f>T26/T25-1</f>
        <v>2.5894594701934226E-2</v>
      </c>
      <c r="V26" s="7">
        <f>U26-AV26</f>
        <v>-4.1838926190289616E-3</v>
      </c>
      <c r="W26" s="3">
        <v>271.48</v>
      </c>
      <c r="X26" s="7">
        <f>W26/W25-1</f>
        <v>2.4839562098905477E-2</v>
      </c>
      <c r="Y26" s="7">
        <f>X26-AV26</f>
        <v>-5.2389252220577109E-3</v>
      </c>
      <c r="Z26" s="3">
        <v>257.42</v>
      </c>
      <c r="AA26" s="7">
        <f>Z26/Z25-1</f>
        <v>2.7870947133045831E-2</v>
      </c>
      <c r="AB26" s="7">
        <f>AA26-AV26</f>
        <v>-2.2075401879173562E-3</v>
      </c>
      <c r="AC26" s="3">
        <v>1192.6199999999999</v>
      </c>
      <c r="AD26" s="7">
        <f>AC26/AC25-1</f>
        <v>3.2508852277351119E-2</v>
      </c>
      <c r="AE26" s="7">
        <f>AD26-AV26</f>
        <v>2.4303649563879315E-3</v>
      </c>
      <c r="AF26" s="3">
        <v>975.34</v>
      </c>
      <c r="AG26" s="7">
        <f>AF26/AF25-1</f>
        <v>2.6684491415699174E-2</v>
      </c>
      <c r="AH26" s="7">
        <f>AG26-AV26</f>
        <v>-3.3939959052640134E-3</v>
      </c>
      <c r="AI26" s="3">
        <v>4700.43</v>
      </c>
      <c r="AJ26" s="7">
        <f>AI26/AI25-1</f>
        <v>3.2399551784856317E-3</v>
      </c>
      <c r="AK26" s="7">
        <f>AJ26-AV26</f>
        <v>-2.6838532142477556E-2</v>
      </c>
      <c r="AL26" s="3">
        <v>943.9</v>
      </c>
      <c r="AM26" s="7">
        <f>AL26/AL25-1</f>
        <v>2.100640359986139E-2</v>
      </c>
      <c r="AN26" s="7">
        <f>AM26-AV26</f>
        <v>-9.0720837211017979E-3</v>
      </c>
      <c r="AO26" s="3">
        <v>941.48</v>
      </c>
      <c r="AP26" s="7">
        <f>AO26/AO25-1</f>
        <v>2.6471870911469741E-2</v>
      </c>
      <c r="AQ26" s="7">
        <f>AP26-AV26</f>
        <v>-3.6066164094934461E-3</v>
      </c>
      <c r="AR26" s="3">
        <v>183.19</v>
      </c>
      <c r="AS26" s="7">
        <f>AR26/AR25-1</f>
        <v>2.8926084026061671E-2</v>
      </c>
      <c r="AT26" s="7">
        <f>AS26-AV26</f>
        <v>-1.1524032949015162E-3</v>
      </c>
      <c r="AU26" s="3">
        <v>62082.123899999999</v>
      </c>
      <c r="AV26" s="7">
        <f>AU26/AU25-1</f>
        <v>3.0078487320963188E-2</v>
      </c>
    </row>
    <row r="27" spans="1:48" x14ac:dyDescent="0.25">
      <c r="A27" s="2">
        <v>46178</v>
      </c>
      <c r="B27" s="3">
        <v>2183.1999999999998</v>
      </c>
      <c r="C27" s="7">
        <f>B27/B26-1</f>
        <v>-9.0327266125006522E-3</v>
      </c>
      <c r="D27" s="7">
        <f>C27-AV27</f>
        <v>1.1544618680288221E-2</v>
      </c>
      <c r="E27" s="3">
        <v>8340.24</v>
      </c>
      <c r="F27" s="7">
        <f>E27/E26-1</f>
        <v>-2.1873515700589374E-2</v>
      </c>
      <c r="G27" s="7">
        <f>F27-AV27</f>
        <v>-1.296170407800501E-3</v>
      </c>
      <c r="H27" s="3">
        <v>2838.9</v>
      </c>
      <c r="I27" s="7">
        <f>H27/H26-1</f>
        <v>-1.6776687193056583E-2</v>
      </c>
      <c r="J27" s="7">
        <f>I27-AV27</f>
        <v>3.8006580997322903E-3</v>
      </c>
      <c r="K27" s="3">
        <v>9643.9500000000007</v>
      </c>
      <c r="L27" s="7">
        <f>K27/K26-1</f>
        <v>-1.2847178861472242E-2</v>
      </c>
      <c r="M27" s="7">
        <f>L27-AV27</f>
        <v>7.7301664313166318E-3</v>
      </c>
      <c r="N27" s="3">
        <v>1416.49</v>
      </c>
      <c r="O27" s="7">
        <f>N27/N26-1</f>
        <v>-2.0645072077989379E-2</v>
      </c>
      <c r="P27" s="7">
        <f>O27-AV27</f>
        <v>-6.7726785200505901E-5</v>
      </c>
      <c r="Q27" s="3">
        <v>1173.7</v>
      </c>
      <c r="R27" s="7">
        <f>Q27/Q26-1</f>
        <v>-2.4323335771762933E-2</v>
      </c>
      <c r="S27" s="7">
        <f>R27-AV27</f>
        <v>-3.7459904789740595E-3</v>
      </c>
      <c r="T27" s="3">
        <v>253.36</v>
      </c>
      <c r="U27" s="7">
        <f>T27/T26-1</f>
        <v>-1.9163021176106132E-2</v>
      </c>
      <c r="V27" s="7">
        <f>U27-AV27</f>
        <v>1.4143241166827414E-3</v>
      </c>
      <c r="W27" s="3">
        <v>266.01</v>
      </c>
      <c r="X27" s="7">
        <f>W27/W26-1</f>
        <v>-2.014881390894363E-2</v>
      </c>
      <c r="Y27" s="7">
        <f>X27-AV27</f>
        <v>4.2853138384524314E-4</v>
      </c>
      <c r="Z27" s="3">
        <v>251.49</v>
      </c>
      <c r="AA27" s="7">
        <f>Z27/Z26-1</f>
        <v>-2.3036283117084944E-2</v>
      </c>
      <c r="AB27" s="7">
        <f>AA27-AV27</f>
        <v>-2.4589378242960702E-3</v>
      </c>
      <c r="AC27" s="3">
        <v>1166.1600000000001</v>
      </c>
      <c r="AD27" s="7">
        <f>AC27/AC26-1</f>
        <v>-2.2186446646878188E-2</v>
      </c>
      <c r="AE27" s="7">
        <f>AD27-AV27</f>
        <v>-1.6091013540893151E-3</v>
      </c>
      <c r="AF27" s="3">
        <v>954.16</v>
      </c>
      <c r="AG27" s="7">
        <f>AF27/AF26-1</f>
        <v>-2.1715504336949243E-2</v>
      </c>
      <c r="AH27" s="7">
        <f>AG27-AV27</f>
        <v>-1.1381590441603695E-3</v>
      </c>
      <c r="AI27" s="3">
        <v>4651.8</v>
      </c>
      <c r="AJ27" s="7">
        <f>AI27/AI26-1</f>
        <v>-1.0345861974330073E-2</v>
      </c>
      <c r="AK27" s="7">
        <f>AJ27-AV27</f>
        <v>1.0231483318458801E-2</v>
      </c>
      <c r="AL27" s="3">
        <v>933.57</v>
      </c>
      <c r="AM27" s="7">
        <f>AL27/AL26-1</f>
        <v>-1.094395592753461E-2</v>
      </c>
      <c r="AN27" s="7">
        <f>AM27-AV27</f>
        <v>9.6333893652542635E-3</v>
      </c>
      <c r="AO27" s="3">
        <v>924.89</v>
      </c>
      <c r="AP27" s="7">
        <f>AO27/AO26-1</f>
        <v>-1.76211921655266E-2</v>
      </c>
      <c r="AQ27" s="7">
        <f>AP27-AV27</f>
        <v>2.9561531272622732E-3</v>
      </c>
      <c r="AR27" s="3">
        <v>179.93</v>
      </c>
      <c r="AS27" s="7">
        <f>AR27/AR26-1</f>
        <v>-1.7795731208035348E-2</v>
      </c>
      <c r="AT27" s="7">
        <f>AS27-AV27</f>
        <v>2.7816140847535253E-3</v>
      </c>
      <c r="AU27" s="3">
        <v>60804.638599999998</v>
      </c>
      <c r="AV27" s="7">
        <f>AU27/AU26-1</f>
        <v>-2.0577345292788873E-2</v>
      </c>
    </row>
    <row r="28" spans="1:48" x14ac:dyDescent="0.25">
      <c r="A28" s="2">
        <v>46185</v>
      </c>
      <c r="B28" s="3">
        <v>2148.2800000000002</v>
      </c>
      <c r="C28" s="7">
        <f>B28/B27-1</f>
        <v>-1.5994869915719856E-2</v>
      </c>
      <c r="D28" s="7">
        <f>C28-AV28</f>
        <v>1.0992699417518459E-2</v>
      </c>
      <c r="E28" s="3">
        <v>8109.41</v>
      </c>
      <c r="F28" s="7">
        <f>E28/E27-1</f>
        <v>-2.7676661582880069E-2</v>
      </c>
      <c r="G28" s="7">
        <f>F28-AV28</f>
        <v>-6.8909224964175397E-4</v>
      </c>
      <c r="H28" s="3">
        <v>2764.09</v>
      </c>
      <c r="I28" s="7">
        <f>H28/H27-1</f>
        <v>-2.6351755961816159E-2</v>
      </c>
      <c r="J28" s="7">
        <f>I28-AV28</f>
        <v>6.3581337142215588E-4</v>
      </c>
      <c r="K28" s="3">
        <v>9592.48</v>
      </c>
      <c r="L28" s="7">
        <f>K28/K27-1</f>
        <v>-5.337024766822851E-3</v>
      </c>
      <c r="M28" s="7">
        <f>L28-AV28</f>
        <v>2.1650544566415464E-2</v>
      </c>
      <c r="N28" s="3">
        <v>1375.87</v>
      </c>
      <c r="O28" s="7">
        <f>N28/N27-1</f>
        <v>-2.8676517306864269E-2</v>
      </c>
      <c r="P28" s="7">
        <f>O28-AV28</f>
        <v>-1.6889479736259538E-3</v>
      </c>
      <c r="Q28" s="3">
        <v>1136.3599999999999</v>
      </c>
      <c r="R28" s="7">
        <f>Q28/Q27-1</f>
        <v>-3.1813921785805666E-2</v>
      </c>
      <c r="S28" s="7">
        <f>R28-AV28</f>
        <v>-4.8263524525673507E-3</v>
      </c>
      <c r="T28" s="3">
        <v>246.69</v>
      </c>
      <c r="U28" s="7">
        <f>T28/T27-1</f>
        <v>-2.6326176191979855E-2</v>
      </c>
      <c r="V28" s="7">
        <f>U28-AV28</f>
        <v>6.6139314125845949E-4</v>
      </c>
      <c r="W28" s="3">
        <v>259.58</v>
      </c>
      <c r="X28" s="7">
        <f>W28/W27-1</f>
        <v>-2.4172023608135085E-2</v>
      </c>
      <c r="Y28" s="7">
        <f>X28-AV28</f>
        <v>2.8155457251032301E-3</v>
      </c>
      <c r="Z28" s="3">
        <v>243.77</v>
      </c>
      <c r="AA28" s="7">
        <f>Z28/Z27-1</f>
        <v>-3.0697045608175322E-2</v>
      </c>
      <c r="AB28" s="7">
        <f>AA28-AV28</f>
        <v>-3.7094762749370069E-3</v>
      </c>
      <c r="AC28" s="3">
        <v>1131.51</v>
      </c>
      <c r="AD28" s="7">
        <f>AC28/AC27-1</f>
        <v>-2.9712903889689279E-2</v>
      </c>
      <c r="AE28" s="7">
        <f>AD28-AV28</f>
        <v>-2.7253345564509646E-3</v>
      </c>
      <c r="AF28" s="3">
        <v>926.09</v>
      </c>
      <c r="AG28" s="7">
        <f>AF28/AF27-1</f>
        <v>-2.9418546155780989E-2</v>
      </c>
      <c r="AH28" s="7">
        <f>AG28-AV28</f>
        <v>-2.4309768225426742E-3</v>
      </c>
      <c r="AI28" s="3">
        <v>4607.28</v>
      </c>
      <c r="AJ28" s="7">
        <f>AI28/AI27-1</f>
        <v>-9.5704888430285795E-3</v>
      </c>
      <c r="AK28" s="7">
        <f>AJ28-AV28</f>
        <v>1.7417080490209735E-2</v>
      </c>
      <c r="AL28" s="3">
        <v>913.24</v>
      </c>
      <c r="AM28" s="7">
        <f>AL28/AL27-1</f>
        <v>-2.1776620928264712E-2</v>
      </c>
      <c r="AN28" s="7">
        <f>AM28-AV28</f>
        <v>5.2109484049736032E-3</v>
      </c>
      <c r="AO28" s="3">
        <v>902.63</v>
      </c>
      <c r="AP28" s="7">
        <f>AO28/AO27-1</f>
        <v>-2.4067726972937353E-2</v>
      </c>
      <c r="AQ28" s="7">
        <f>AP28-AV28</f>
        <v>2.9198423603009616E-3</v>
      </c>
      <c r="AR28" s="3">
        <v>175.17</v>
      </c>
      <c r="AS28" s="7">
        <f>AR28/AR27-1</f>
        <v>-2.6454732395931879E-2</v>
      </c>
      <c r="AT28" s="7">
        <f>AS28-AV28</f>
        <v>5.3283693730643567E-4</v>
      </c>
      <c r="AU28" s="3">
        <v>59163.669199999997</v>
      </c>
      <c r="AV28" s="7">
        <f>AU28/AU27-1</f>
        <v>-2.6987569333238315E-2</v>
      </c>
    </row>
    <row r="29" spans="1:48" x14ac:dyDescent="0.25">
      <c r="A29" s="2">
        <v>46192</v>
      </c>
      <c r="B29" s="3">
        <v>2203.27</v>
      </c>
      <c r="C29" s="7">
        <f>B29/B28-1</f>
        <v>2.5597221963617356E-2</v>
      </c>
      <c r="D29" s="7">
        <f>C29-AV29</f>
        <v>1.3515316709673542E-3</v>
      </c>
      <c r="E29" s="3">
        <v>8337.65</v>
      </c>
      <c r="F29" s="7">
        <f>E29/E28-1</f>
        <v>2.8145080838186676E-2</v>
      </c>
      <c r="G29" s="7">
        <f>F29-AV29</f>
        <v>3.899390545536674E-3</v>
      </c>
      <c r="H29" s="3">
        <v>2838.43</v>
      </c>
      <c r="I29" s="7">
        <f>H29/H28-1</f>
        <v>2.6894927444475192E-2</v>
      </c>
      <c r="J29" s="7">
        <f>I29-AV29</f>
        <v>2.64923715182519E-3</v>
      </c>
      <c r="K29" s="3">
        <v>9879.9</v>
      </c>
      <c r="L29" s="7">
        <f>K29/K28-1</f>
        <v>2.9963054392607491E-2</v>
      </c>
      <c r="M29" s="7">
        <f>L29-AV29</f>
        <v>5.7173640999574893E-3</v>
      </c>
      <c r="N29" s="3">
        <v>1416.45</v>
      </c>
      <c r="O29" s="7">
        <f>N29/N28-1</f>
        <v>2.9494065573055783E-2</v>
      </c>
      <c r="P29" s="7">
        <f>O29-AV29</f>
        <v>5.2483752804057815E-3</v>
      </c>
      <c r="Q29" s="3">
        <v>1166.33</v>
      </c>
      <c r="R29" s="7">
        <f>Q29/Q28-1</f>
        <v>2.637368439579002E-2</v>
      </c>
      <c r="S29" s="7">
        <f>R29-AV29</f>
        <v>2.1279941031400185E-3</v>
      </c>
      <c r="T29" s="3">
        <v>252.95</v>
      </c>
      <c r="U29" s="7">
        <f>T29/T28-1</f>
        <v>2.5375977948031814E-2</v>
      </c>
      <c r="V29" s="7">
        <f>U29-AV29</f>
        <v>1.130287655381812E-3</v>
      </c>
      <c r="W29" s="3">
        <v>265.75</v>
      </c>
      <c r="X29" s="7">
        <f>W29/W28-1</f>
        <v>2.3769165575159956E-2</v>
      </c>
      <c r="Y29" s="7">
        <f>X29-AV29</f>
        <v>-4.7652471749004555E-4</v>
      </c>
      <c r="Z29" s="3">
        <v>249.67</v>
      </c>
      <c r="AA29" s="7">
        <f>Z29/Z28-1</f>
        <v>2.4203142306272296E-2</v>
      </c>
      <c r="AB29" s="7">
        <f>AA29-AV29</f>
        <v>-4.2547986377705627E-5</v>
      </c>
      <c r="AC29" s="3">
        <v>1161.06</v>
      </c>
      <c r="AD29" s="7">
        <f>AC29/AC28-1</f>
        <v>2.6115544714584882E-2</v>
      </c>
      <c r="AE29" s="7">
        <f>AD29-AV29</f>
        <v>1.8698544219348801E-3</v>
      </c>
      <c r="AF29" s="3">
        <v>952.66</v>
      </c>
      <c r="AG29" s="7">
        <f>AF29/AF28-1</f>
        <v>2.8690516040557501E-2</v>
      </c>
      <c r="AH29" s="7">
        <f>AG29-AV29</f>
        <v>4.4448257479074993E-3</v>
      </c>
      <c r="AI29" s="3">
        <v>4732.8599999999997</v>
      </c>
      <c r="AJ29" s="7">
        <f>AI29/AI28-1</f>
        <v>2.7256863051518421E-2</v>
      </c>
      <c r="AK29" s="7">
        <f>AJ29-AV29</f>
        <v>3.011172758868419E-3</v>
      </c>
      <c r="AL29" s="3">
        <v>935.43</v>
      </c>
      <c r="AM29" s="7">
        <f>AL29/AL28-1</f>
        <v>2.4298103455827613E-2</v>
      </c>
      <c r="AN29" s="7">
        <f>AM29-AV29</f>
        <v>5.2413163177611466E-5</v>
      </c>
      <c r="AO29" s="3">
        <v>923.1</v>
      </c>
      <c r="AP29" s="7">
        <f>AO29/AO28-1</f>
        <v>2.2678173781061961E-2</v>
      </c>
      <c r="AQ29" s="7">
        <f>AP29-AV29</f>
        <v>-1.5675165115880407E-3</v>
      </c>
      <c r="AR29" s="3">
        <v>179.25</v>
      </c>
      <c r="AS29" s="7">
        <f>AR29/AR28-1</f>
        <v>2.3291659530741748E-2</v>
      </c>
      <c r="AT29" s="7">
        <f>AS29-AV29</f>
        <v>-9.5403076190825331E-4</v>
      </c>
      <c r="AU29" s="3">
        <v>60598.133199999997</v>
      </c>
      <c r="AV29" s="7">
        <f>AU29/AU28-1</f>
        <v>2.4245690292650002E-2</v>
      </c>
    </row>
    <row r="30" spans="1:48" x14ac:dyDescent="0.25">
      <c r="A30" s="2">
        <v>46199</v>
      </c>
      <c r="B30" s="3">
        <v>2190.36</v>
      </c>
      <c r="C30" s="7">
        <f>B30/B29-1</f>
        <v>-5.8594725113126911E-3</v>
      </c>
      <c r="D30" s="7">
        <f>C30-AV30</f>
        <v>1.1746528592364802E-2</v>
      </c>
      <c r="E30" s="3">
        <v>8176.86</v>
      </c>
      <c r="F30" s="7">
        <f>E30/E29-1</f>
        <v>-1.9284810468177427E-2</v>
      </c>
      <c r="G30" s="7">
        <f>F30-AV30</f>
        <v>-1.6788093644999336E-3</v>
      </c>
      <c r="H30" s="3">
        <v>2793.4</v>
      </c>
      <c r="I30" s="7">
        <f>H30/H29-1</f>
        <v>-1.5864403913430913E-2</v>
      </c>
      <c r="J30" s="7">
        <f>I30-AV30</f>
        <v>1.7415971902465799E-3</v>
      </c>
      <c r="K30" s="3">
        <v>9812.0400000000009</v>
      </c>
      <c r="L30" s="7">
        <f>K30/K29-1</f>
        <v>-6.8684905717667499E-3</v>
      </c>
      <c r="M30" s="7">
        <f>L30-AV30</f>
        <v>1.0737510531910743E-2</v>
      </c>
      <c r="N30" s="3">
        <v>1388.35</v>
      </c>
      <c r="O30" s="7">
        <f>N30/N29-1</f>
        <v>-1.98383282149035E-2</v>
      </c>
      <c r="P30" s="7">
        <f>O30-AV30</f>
        <v>-2.2323271112260068E-3</v>
      </c>
      <c r="Q30" s="3">
        <v>1143.03</v>
      </c>
      <c r="R30" s="7">
        <f>Q30/Q29-1</f>
        <v>-1.9977193418672212E-2</v>
      </c>
      <c r="S30" s="7">
        <f>R30-AV30</f>
        <v>-2.3711923149947189E-3</v>
      </c>
      <c r="T30" s="3">
        <v>248.67</v>
      </c>
      <c r="U30" s="7">
        <f>T30/T29-1</f>
        <v>-1.692033998813991E-2</v>
      </c>
      <c r="V30" s="7">
        <f>U30-AV30</f>
        <v>6.8566111553758358E-4</v>
      </c>
      <c r="W30" s="3">
        <v>261.77</v>
      </c>
      <c r="X30" s="7">
        <f>W30/W29-1</f>
        <v>-1.4976481655691543E-2</v>
      </c>
      <c r="Y30" s="7">
        <f>X30-AV30</f>
        <v>2.6295194479859507E-3</v>
      </c>
      <c r="Z30" s="3">
        <v>244.82</v>
      </c>
      <c r="AA30" s="7">
        <f>Z30/Z29-1</f>
        <v>-1.9425641847238384E-2</v>
      </c>
      <c r="AB30" s="7">
        <f>AA30-AV30</f>
        <v>-1.8196407435608908E-3</v>
      </c>
      <c r="AC30" s="3">
        <v>1140.6500000000001</v>
      </c>
      <c r="AD30" s="7">
        <f>AC30/AC29-1</f>
        <v>-1.7578764232683786E-2</v>
      </c>
      <c r="AE30" s="7">
        <f>AD30-AV30</f>
        <v>2.723687099370764E-5</v>
      </c>
      <c r="AF30" s="3">
        <v>935.77</v>
      </c>
      <c r="AG30" s="7">
        <f>AF30/AF29-1</f>
        <v>-1.7729305313543109E-2</v>
      </c>
      <c r="AH30" s="7">
        <f>AG30-AV30</f>
        <v>-1.2330420986561563E-4</v>
      </c>
      <c r="AI30" s="3">
        <v>4695</v>
      </c>
      <c r="AJ30" s="7">
        <f>AI30/AI29-1</f>
        <v>-7.9993914884445294E-3</v>
      </c>
      <c r="AK30" s="7">
        <f>AJ30-AV30</f>
        <v>9.6066096152329639E-3</v>
      </c>
      <c r="AL30" s="3">
        <v>920.81</v>
      </c>
      <c r="AM30" s="7">
        <f>AL30/AL29-1</f>
        <v>-1.5629175887025171E-2</v>
      </c>
      <c r="AN30" s="7">
        <f>AM30-AV30</f>
        <v>1.9768252166523226E-3</v>
      </c>
      <c r="AO30" s="3">
        <v>909.54</v>
      </c>
      <c r="AP30" s="7">
        <f>AO30/AO29-1</f>
        <v>-1.4689632759181115E-2</v>
      </c>
      <c r="AQ30" s="7">
        <f>AP30-AV30</f>
        <v>2.9163683444963784E-3</v>
      </c>
      <c r="AR30" s="3">
        <v>176.15</v>
      </c>
      <c r="AS30" s="7">
        <f>AR30/AR29-1</f>
        <v>-1.7294281729428151E-2</v>
      </c>
      <c r="AT30" s="7">
        <f>AS30-AV30</f>
        <v>3.1171937424934182E-4</v>
      </c>
      <c r="AU30" s="3">
        <v>59531.242400000003</v>
      </c>
      <c r="AV30" s="7">
        <f>AU30/AU29-1</f>
        <v>-1.7606001103677493E-2</v>
      </c>
    </row>
    <row r="31" spans="1:48" x14ac:dyDescent="0.25">
      <c r="A31" s="2">
        <v>46206</v>
      </c>
      <c r="B31" s="3">
        <v>2225.14</v>
      </c>
      <c r="C31" s="7">
        <f>B31/B30-1</f>
        <v>1.5878668346755775E-2</v>
      </c>
      <c r="D31" s="7">
        <f>C31-AV31</f>
        <v>-1.0749099462101563E-2</v>
      </c>
      <c r="E31" s="3">
        <v>8385.7999999999993</v>
      </c>
      <c r="F31" s="7">
        <f>E31/E30-1</f>
        <v>2.5552595984277504E-2</v>
      </c>
      <c r="G31" s="7">
        <f>F31-AV31</f>
        <v>-1.0751718245798347E-3</v>
      </c>
      <c r="H31" s="3">
        <v>2865.27</v>
      </c>
      <c r="I31" s="7">
        <f>H31/H30-1</f>
        <v>2.5728502899692085E-2</v>
      </c>
      <c r="J31" s="7">
        <f>I31-AV31</f>
        <v>-8.9926490916525381E-4</v>
      </c>
      <c r="K31" s="3">
        <v>9871.81</v>
      </c>
      <c r="L31" s="7">
        <f>K31/K30-1</f>
        <v>6.0914957541957637E-3</v>
      </c>
      <c r="M31" s="7">
        <f>L31-AV31</f>
        <v>-2.0536272054661575E-2</v>
      </c>
      <c r="N31" s="3">
        <v>1420.13</v>
      </c>
      <c r="O31" s="7">
        <f>N31/N30-1</f>
        <v>2.2890481506824711E-2</v>
      </c>
      <c r="P31" s="7">
        <f>O31-AV31</f>
        <v>-3.7372863020326275E-3</v>
      </c>
      <c r="Q31" s="3">
        <v>1173.2</v>
      </c>
      <c r="R31" s="7">
        <f>Q31/Q30-1</f>
        <v>2.6394757792883805E-2</v>
      </c>
      <c r="S31" s="7">
        <f>R31-AV31</f>
        <v>-2.3301001597353377E-4</v>
      </c>
      <c r="T31" s="3">
        <v>255.05</v>
      </c>
      <c r="U31" s="7">
        <f>T31/T30-1</f>
        <v>2.5656492540314657E-2</v>
      </c>
      <c r="V31" s="7">
        <f>U31-AV31</f>
        <v>-9.7127526854268176E-4</v>
      </c>
      <c r="W31" s="3">
        <v>267.89</v>
      </c>
      <c r="X31" s="7">
        <f>W31/W30-1</f>
        <v>2.3379302441074223E-2</v>
      </c>
      <c r="Y31" s="7">
        <f>X31-AV31</f>
        <v>-3.2484653677831155E-3</v>
      </c>
      <c r="Z31" s="3">
        <v>251.35</v>
      </c>
      <c r="AA31" s="7">
        <f>Z31/Z30-1</f>
        <v>2.6672657462625704E-2</v>
      </c>
      <c r="AB31" s="7">
        <f>AA31-AV31</f>
        <v>4.4889653768365179E-5</v>
      </c>
      <c r="AC31" s="3">
        <v>1170.01</v>
      </c>
      <c r="AD31" s="7">
        <f>AC31/AC30-1</f>
        <v>2.5739709814579292E-2</v>
      </c>
      <c r="AE31" s="7">
        <f>AD31-AV31</f>
        <v>-8.8805799427804644E-4</v>
      </c>
      <c r="AF31" s="3">
        <v>958.81</v>
      </c>
      <c r="AG31" s="7">
        <f>AF31/AF30-1</f>
        <v>2.4621434754266591E-2</v>
      </c>
      <c r="AH31" s="7">
        <f>AG31-AV31</f>
        <v>-2.0063330545907476E-3</v>
      </c>
      <c r="AI31" s="3">
        <v>4774.2299999999996</v>
      </c>
      <c r="AJ31" s="7">
        <f>AI31/AI30-1</f>
        <v>1.6875399361022225E-2</v>
      </c>
      <c r="AK31" s="7">
        <f>AJ31-AV31</f>
        <v>-9.7523684478351136E-3</v>
      </c>
      <c r="AL31" s="3">
        <v>942.3</v>
      </c>
      <c r="AM31" s="7">
        <f>AL31/AL30-1</f>
        <v>2.3338147934970355E-2</v>
      </c>
      <c r="AN31" s="7">
        <f>AM31-AV31</f>
        <v>-3.2896198738869842E-3</v>
      </c>
      <c r="AO31" s="3">
        <v>931.38</v>
      </c>
      <c r="AP31" s="7">
        <f>AO31/AO30-1</f>
        <v>2.4012138003826067E-2</v>
      </c>
      <c r="AQ31" s="7">
        <f>AP31-AV31</f>
        <v>-2.6156298050312721E-3</v>
      </c>
      <c r="AR31" s="3">
        <v>181.07</v>
      </c>
      <c r="AS31" s="7">
        <f>AR31/AR30-1</f>
        <v>2.7930740845869995E-2</v>
      </c>
      <c r="AT31" s="7">
        <f>AS31-AV31</f>
        <v>1.3029730370126558E-3</v>
      </c>
      <c r="AU31" s="3">
        <v>61116.426500000001</v>
      </c>
      <c r="AV31" s="7">
        <f>AU31/AU30-1</f>
        <v>2.6627767808857339E-2</v>
      </c>
    </row>
    <row r="32" spans="1:48" x14ac:dyDescent="0.25">
      <c r="A32" s="2">
        <v>46213</v>
      </c>
      <c r="B32" s="3">
        <v>2186.2199999999998</v>
      </c>
      <c r="C32" s="7">
        <f>B32/B31-1</f>
        <v>-1.7491034272000938E-2</v>
      </c>
      <c r="D32" s="7">
        <f>C32-AV32</f>
        <v>1.281766523215766E-3</v>
      </c>
      <c r="E32" s="3">
        <v>8220.91</v>
      </c>
      <c r="F32" s="7">
        <f>E32/E31-1</f>
        <v>-1.96630017410383E-2</v>
      </c>
      <c r="G32" s="7">
        <f>F32-AV32</f>
        <v>-8.9020094582159537E-4</v>
      </c>
      <c r="H32" s="3">
        <v>2805.77</v>
      </c>
      <c r="I32" s="7">
        <f>H32/H31-1</f>
        <v>-2.0765931308393326E-2</v>
      </c>
      <c r="J32" s="7">
        <f>I32-AV32</f>
        <v>-1.9931305131766219E-3</v>
      </c>
      <c r="K32" s="3">
        <v>9675.59</v>
      </c>
      <c r="L32" s="7">
        <f>K32/K31-1</f>
        <v>-1.9876800708279352E-2</v>
      </c>
      <c r="M32" s="7">
        <f>L32-AV32</f>
        <v>-1.1039999130626477E-3</v>
      </c>
      <c r="N32" s="3">
        <v>1394.03</v>
      </c>
      <c r="O32" s="7">
        <f>N32/N31-1</f>
        <v>-1.8378599142332086E-2</v>
      </c>
      <c r="P32" s="7">
        <f>O32-AV32</f>
        <v>3.9420165288461817E-4</v>
      </c>
      <c r="Q32" s="3">
        <v>1148.53</v>
      </c>
      <c r="R32" s="7">
        <f>Q32/Q31-1</f>
        <v>-2.1027957722468571E-2</v>
      </c>
      <c r="S32" s="7">
        <f>R32-AV32</f>
        <v>-2.2551569272518668E-3</v>
      </c>
      <c r="T32" s="3">
        <v>249.88</v>
      </c>
      <c r="U32" s="7">
        <f>T32/T31-1</f>
        <v>-2.0270535189178651E-2</v>
      </c>
      <c r="V32" s="7">
        <f>U32-AV32</f>
        <v>-1.497734393961947E-3</v>
      </c>
      <c r="W32" s="3">
        <v>262.83999999999997</v>
      </c>
      <c r="X32" s="7">
        <f>W32/W31-1</f>
        <v>-1.8851020941431207E-2</v>
      </c>
      <c r="Y32" s="7">
        <f>X32-AV32</f>
        <v>-7.8220146214502684E-5</v>
      </c>
      <c r="Z32" s="3">
        <v>246.1</v>
      </c>
      <c r="AA32" s="7">
        <f>Z32/Z31-1</f>
        <v>-2.0887209071016488E-2</v>
      </c>
      <c r="AB32" s="7">
        <f>AA32-AV32</f>
        <v>-2.114408275799784E-3</v>
      </c>
      <c r="AC32" s="3">
        <v>1147.0999999999999</v>
      </c>
      <c r="AD32" s="7">
        <f>AC32/AC31-1</f>
        <v>-1.9581029221972579E-2</v>
      </c>
      <c r="AE32" s="7">
        <f>AD32-AV32</f>
        <v>-8.0822842675587481E-4</v>
      </c>
      <c r="AF32" s="3">
        <v>938.68</v>
      </c>
      <c r="AG32" s="7">
        <f>AF32/AF31-1</f>
        <v>-2.0994774772895575E-2</v>
      </c>
      <c r="AH32" s="7">
        <f>AG32-AV32</f>
        <v>-2.2219739776788705E-3</v>
      </c>
      <c r="AI32" s="3">
        <v>4693.1000000000004</v>
      </c>
      <c r="AJ32" s="7">
        <f>AI32/AI31-1</f>
        <v>-1.6993316199680253E-2</v>
      </c>
      <c r="AK32" s="7">
        <f>AJ32-AV32</f>
        <v>1.7794845955364513E-3</v>
      </c>
      <c r="AL32" s="3">
        <v>928.45</v>
      </c>
      <c r="AM32" s="7">
        <f>AL32/AL31-1</f>
        <v>-1.469807916799315E-2</v>
      </c>
      <c r="AN32" s="7">
        <f>AM32-AV32</f>
        <v>4.0747216272235542E-3</v>
      </c>
      <c r="AO32" s="3">
        <v>913.85</v>
      </c>
      <c r="AP32" s="7">
        <f>AO32/AO31-1</f>
        <v>-1.8821533638257226E-2</v>
      </c>
      <c r="AQ32" s="7">
        <f>AP32-AV32</f>
        <v>-4.8732843040522056E-5</v>
      </c>
      <c r="AR32" s="3">
        <v>178.04</v>
      </c>
      <c r="AS32" s="7">
        <f>AR32/AR31-1</f>
        <v>-1.6733859833213627E-2</v>
      </c>
      <c r="AT32" s="7">
        <f>AS32-AV32</f>
        <v>2.0389409620030774E-3</v>
      </c>
      <c r="AU32" s="3">
        <v>59969.1</v>
      </c>
      <c r="AV32" s="7">
        <f>AU32/AU31-1</f>
        <v>-1.8772800795216704E-2</v>
      </c>
    </row>
    <row r="33" spans="1:48" x14ac:dyDescent="0.25">
      <c r="A33" s="2">
        <v>46220</v>
      </c>
      <c r="B33" s="3">
        <v>2152.04</v>
      </c>
      <c r="C33" s="7">
        <f>B33/B32-1</f>
        <v>-1.5634291150936286E-2</v>
      </c>
      <c r="D33" s="7">
        <f>C33-AV33</f>
        <v>3.1900183684661076E-3</v>
      </c>
      <c r="E33" s="3">
        <v>8046.51</v>
      </c>
      <c r="F33" s="7">
        <f>E33/E32-1</f>
        <v>-2.1214196481897929E-2</v>
      </c>
      <c r="G33" s="7">
        <f>F33-AV33</f>
        <v>-2.3898869624955354E-3</v>
      </c>
      <c r="H33" s="3">
        <v>2754.23</v>
      </c>
      <c r="I33" s="7">
        <f>H33/H32-1</f>
        <v>-1.8369289000880307E-2</v>
      </c>
      <c r="J33" s="7">
        <f>I33-AV33</f>
        <v>4.550205185220868E-4</v>
      </c>
      <c r="K33" s="3">
        <v>9488.4</v>
      </c>
      <c r="L33" s="7">
        <f>K33/K32-1</f>
        <v>-1.9346623823456865E-2</v>
      </c>
      <c r="M33" s="7">
        <f>L33-AV33</f>
        <v>-5.2231430405447199E-4</v>
      </c>
      <c r="N33" s="3">
        <v>1363.66</v>
      </c>
      <c r="O33" s="7">
        <f>N33/N32-1</f>
        <v>-2.1785757838783892E-2</v>
      </c>
      <c r="P33" s="7">
        <f>O33-AV33</f>
        <v>-2.9614483193814989E-3</v>
      </c>
      <c r="Q33" s="3">
        <v>1121.94</v>
      </c>
      <c r="R33" s="7">
        <f>Q33/Q32-1</f>
        <v>-2.3151332572940997E-2</v>
      </c>
      <c r="S33" s="7">
        <f>R33-AV33</f>
        <v>-4.3270230535386034E-3</v>
      </c>
      <c r="T33" s="3">
        <v>244.86</v>
      </c>
      <c r="U33" s="7">
        <f>T33/T32-1</f>
        <v>-2.0089643028653681E-2</v>
      </c>
      <c r="V33" s="7">
        <f>U33-AV33</f>
        <v>-1.2653335092512874E-3</v>
      </c>
      <c r="W33" s="3">
        <v>258.10000000000002</v>
      </c>
      <c r="X33" s="7">
        <f>W33/W32-1</f>
        <v>-1.8033784812052756E-2</v>
      </c>
      <c r="Y33" s="7">
        <f>X33-AV33</f>
        <v>7.9052470734963798E-4</v>
      </c>
      <c r="Z33" s="3">
        <v>240.99</v>
      </c>
      <c r="AA33" s="7">
        <f>Z33/Z32-1</f>
        <v>-2.0763917106867091E-2</v>
      </c>
      <c r="AB33" s="7">
        <f>AA33-AV33</f>
        <v>-1.9396075874646979E-3</v>
      </c>
      <c r="AC33" s="3">
        <v>1126.6099999999999</v>
      </c>
      <c r="AD33" s="7">
        <f>AC33/AC32-1</f>
        <v>-1.7862435707436175E-2</v>
      </c>
      <c r="AE33" s="7">
        <f>AD33-AV33</f>
        <v>9.6187381196621846E-4</v>
      </c>
      <c r="AF33" s="3">
        <v>920.18</v>
      </c>
      <c r="AG33" s="7">
        <f>AF33/AF32-1</f>
        <v>-1.9708526867516118E-2</v>
      </c>
      <c r="AH33" s="7">
        <f>AG33-AV33</f>
        <v>-8.8421734811372499E-4</v>
      </c>
      <c r="AI33" s="3">
        <v>4594.6000000000004</v>
      </c>
      <c r="AJ33" s="7">
        <f>AI33/AI32-1</f>
        <v>-2.0988259359485228E-2</v>
      </c>
      <c r="AK33" s="7">
        <f>AJ33-AV33</f>
        <v>-2.163949840082835E-3</v>
      </c>
      <c r="AL33" s="3">
        <v>913.79</v>
      </c>
      <c r="AM33" s="7">
        <f>AL33/AL32-1</f>
        <v>-1.5789757122085302E-2</v>
      </c>
      <c r="AN33" s="7">
        <f>AM33-AV33</f>
        <v>3.0345523973170918E-3</v>
      </c>
      <c r="AO33" s="3">
        <v>899.37</v>
      </c>
      <c r="AP33" s="7">
        <f>AO33/AO32-1</f>
        <v>-1.5845051157192147E-2</v>
      </c>
      <c r="AQ33" s="7">
        <f>AP33-AV33</f>
        <v>2.9792583622102464E-3</v>
      </c>
      <c r="AR33" s="3">
        <v>175.28</v>
      </c>
      <c r="AS33" s="7">
        <f>AR33/AR32-1</f>
        <v>-1.550213435183101E-2</v>
      </c>
      <c r="AT33" s="7">
        <f>AS33-AV33</f>
        <v>3.322175167571384E-3</v>
      </c>
      <c r="AU33" s="3">
        <v>58840.223100000003</v>
      </c>
      <c r="AV33" s="7">
        <f>AU33/AU32-1</f>
        <v>-1.8824309519402393E-2</v>
      </c>
    </row>
    <row r="34" spans="1:48" x14ac:dyDescent="0.25">
      <c r="A34" s="2">
        <v>46227</v>
      </c>
      <c r="B34" s="3">
        <v>2171.1</v>
      </c>
      <c r="C34" s="7">
        <f>B34/B33-1</f>
        <v>8.8567127005074742E-3</v>
      </c>
      <c r="D34" s="7">
        <f>C34-AV34</f>
        <v>-2.0628193160188157E-3</v>
      </c>
      <c r="E34" s="3">
        <v>8138.16</v>
      </c>
      <c r="F34" s="7">
        <f>E34/E33-1</f>
        <v>1.1390031206075735E-2</v>
      </c>
      <c r="G34" s="7">
        <f>F34-AV34</f>
        <v>4.7049918954944481E-4</v>
      </c>
      <c r="H34" s="3">
        <v>2782.76</v>
      </c>
      <c r="I34" s="7">
        <f>H34/H33-1</f>
        <v>1.0358612025865632E-2</v>
      </c>
      <c r="J34" s="7">
        <f>I34-AV34</f>
        <v>-5.6091999066065767E-4</v>
      </c>
      <c r="K34" s="3">
        <v>9535.24</v>
      </c>
      <c r="L34" s="7">
        <f>K34/K33-1</f>
        <v>4.9365541081742847E-3</v>
      </c>
      <c r="M34" s="7">
        <f>L34-AV34</f>
        <v>-5.9829779083520052E-3</v>
      </c>
      <c r="N34" s="3">
        <v>1379.48</v>
      </c>
      <c r="O34" s="7">
        <f>N34/N33-1</f>
        <v>1.1601132247041068E-2</v>
      </c>
      <c r="P34" s="7">
        <f>O34-AV34</f>
        <v>6.8160023051477836E-4</v>
      </c>
      <c r="Q34" s="3">
        <v>1133.79</v>
      </c>
      <c r="R34" s="7">
        <f>Q34/Q33-1</f>
        <v>1.0562062142360551E-2</v>
      </c>
      <c r="S34" s="7">
        <f>R34-AV34</f>
        <v>-3.5746987416573894E-4</v>
      </c>
      <c r="T34" s="3">
        <v>247.44</v>
      </c>
      <c r="U34" s="7">
        <f>T34/T33-1</f>
        <v>1.0536633178142463E-2</v>
      </c>
      <c r="V34" s="7">
        <f>U34-AV34</f>
        <v>-3.8289883838382721E-4</v>
      </c>
      <c r="W34" s="3">
        <v>261.36</v>
      </c>
      <c r="X34" s="7">
        <f>W34/W33-1</f>
        <v>1.2630763270050416E-2</v>
      </c>
      <c r="Y34" s="7">
        <f>X34-AV34</f>
        <v>1.7112312535241259E-3</v>
      </c>
      <c r="Z34" s="3">
        <v>243.65</v>
      </c>
      <c r="AA34" s="7">
        <f>Z34/Z33-1</f>
        <v>1.1037802398439656E-2</v>
      </c>
      <c r="AB34" s="7">
        <f>AA34-AV34</f>
        <v>1.182703819133657E-4</v>
      </c>
      <c r="AC34" s="3">
        <v>1137.08</v>
      </c>
      <c r="AD34" s="7">
        <f>AC34/AC33-1</f>
        <v>9.2933668261421243E-3</v>
      </c>
      <c r="AE34" s="7">
        <f>AD34-AV34</f>
        <v>-1.6261651903841656E-3</v>
      </c>
      <c r="AF34" s="3">
        <v>930.31</v>
      </c>
      <c r="AG34" s="7">
        <f>AF34/AF33-1</f>
        <v>1.1008715686061432E-2</v>
      </c>
      <c r="AH34" s="7">
        <f>AG34-AV34</f>
        <v>8.9183669535142229E-5</v>
      </c>
      <c r="AI34" s="3">
        <v>4640.21</v>
      </c>
      <c r="AJ34" s="7">
        <f>AI34/AI33-1</f>
        <v>9.9268706742696722E-3</v>
      </c>
      <c r="AK34" s="7">
        <f>AJ34-AV34</f>
        <v>-9.9266134225661773E-4</v>
      </c>
      <c r="AL34" s="3">
        <v>926.86</v>
      </c>
      <c r="AM34" s="7">
        <f>AL34/AL33-1</f>
        <v>1.4303067444380035E-2</v>
      </c>
      <c r="AN34" s="7">
        <f>AM34-AV34</f>
        <v>3.3835354278537455E-3</v>
      </c>
      <c r="AO34" s="3">
        <v>911.24</v>
      </c>
      <c r="AP34" s="7">
        <f>AO34/AO33-1</f>
        <v>1.3198127578193608E-2</v>
      </c>
      <c r="AQ34" s="7">
        <f>AP34-AV34</f>
        <v>2.2785955616673181E-3</v>
      </c>
      <c r="AR34" s="3">
        <v>177.54</v>
      </c>
      <c r="AS34" s="7">
        <f>AR34/AR33-1</f>
        <v>1.2893655864901765E-2</v>
      </c>
      <c r="AT34" s="7">
        <f>AS34-AV34</f>
        <v>1.9741238483754753E-3</v>
      </c>
      <c r="AU34" s="3">
        <v>59482.730799999998</v>
      </c>
      <c r="AV34" s="7">
        <f>AU34/AU33-1</f>
        <v>1.091953201652629E-2</v>
      </c>
    </row>
    <row r="35" spans="1:48" x14ac:dyDescent="0.25">
      <c r="A35" s="2">
        <v>46234</v>
      </c>
      <c r="B35" s="3">
        <v>2179.9</v>
      </c>
      <c r="C35" s="7">
        <f>B35/B34-1</f>
        <v>4.0532448988992442E-3</v>
      </c>
      <c r="D35" s="7">
        <f>C35-AV35</f>
        <v>-1.6633857168559807E-3</v>
      </c>
      <c r="E35" s="3">
        <v>8163.32</v>
      </c>
      <c r="F35" s="7">
        <f>E35/E34-1</f>
        <v>3.0916079310310263E-3</v>
      </c>
      <c r="G35" s="7">
        <f>F35-AV35</f>
        <v>-2.6250226847241986E-3</v>
      </c>
      <c r="H35" s="3">
        <v>2800.7</v>
      </c>
      <c r="I35" s="7">
        <f>H35/H34-1</f>
        <v>6.4468369532404424E-3</v>
      </c>
      <c r="J35" s="7">
        <f>I35-AV35</f>
        <v>7.3020633748521746E-4</v>
      </c>
      <c r="K35" s="3">
        <v>9582.11</v>
      </c>
      <c r="L35" s="7">
        <f>K35/K34-1</f>
        <v>4.9154504763384566E-3</v>
      </c>
      <c r="M35" s="7">
        <f>L35-AV35</f>
        <v>-8.0118013941676836E-4</v>
      </c>
      <c r="N35" s="3">
        <v>1386.11</v>
      </c>
      <c r="O35" s="7">
        <f>N35/N34-1</f>
        <v>4.8061588424623825E-3</v>
      </c>
      <c r="P35" s="7">
        <f>O35-AV35</f>
        <v>-9.1047177329284246E-4</v>
      </c>
      <c r="Q35" s="3">
        <v>1137.6300000000001</v>
      </c>
      <c r="R35" s="7">
        <f>Q35/Q34-1</f>
        <v>3.3868705844999347E-3</v>
      </c>
      <c r="S35" s="7">
        <f>R35-AV35</f>
        <v>-2.3297600312552902E-3</v>
      </c>
      <c r="T35" s="3">
        <v>248.64</v>
      </c>
      <c r="U35" s="7">
        <f>T35/T34-1</f>
        <v>4.8496605237633439E-3</v>
      </c>
      <c r="V35" s="7">
        <f>U35-AV35</f>
        <v>-8.6697009199188102E-4</v>
      </c>
      <c r="W35" s="3">
        <v>262.10000000000002</v>
      </c>
      <c r="X35" s="7">
        <f>W35/W34-1</f>
        <v>2.8313437404345887E-3</v>
      </c>
      <c r="Y35" s="7">
        <f>X35-AV35</f>
        <v>-2.8852868753206362E-3</v>
      </c>
      <c r="Z35" s="3">
        <v>245.07</v>
      </c>
      <c r="AA35" s="7">
        <f>Z35/Z34-1</f>
        <v>5.8280320131336438E-3</v>
      </c>
      <c r="AB35" s="7">
        <f>AA35-AV35</f>
        <v>1.1140139737841892E-4</v>
      </c>
      <c r="AC35" s="3">
        <v>1144.6300000000001</v>
      </c>
      <c r="AD35" s="7">
        <f>AC35/AC34-1</f>
        <v>6.6398142610899491E-3</v>
      </c>
      <c r="AE35" s="7">
        <f>AD35-AV35</f>
        <v>9.2318364533472419E-4</v>
      </c>
      <c r="AF35" s="3">
        <v>934.4</v>
      </c>
      <c r="AG35" s="7">
        <f>AF35/AF34-1</f>
        <v>4.3963840010319277E-3</v>
      </c>
      <c r="AH35" s="7">
        <f>AG35-AV35</f>
        <v>-1.3202466147232972E-3</v>
      </c>
      <c r="AI35" s="3">
        <v>4651.83</v>
      </c>
      <c r="AJ35" s="7">
        <f>AI35/AI34-1</f>
        <v>2.5041970083250487E-3</v>
      </c>
      <c r="AK35" s="7">
        <f>AJ35-AV35</f>
        <v>-3.2124336074301763E-3</v>
      </c>
      <c r="AL35" s="3">
        <v>929.7</v>
      </c>
      <c r="AM35" s="7">
        <f>AL35/AL34-1</f>
        <v>3.0641089269145549E-3</v>
      </c>
      <c r="AN35" s="7">
        <f>AM35-AV35</f>
        <v>-2.65252168884067E-3</v>
      </c>
      <c r="AO35" s="3">
        <v>911.52</v>
      </c>
      <c r="AP35" s="7">
        <f>AO35/AO34-1</f>
        <v>3.0727360519722247E-4</v>
      </c>
      <c r="AQ35" s="7">
        <f>AP35-AV35</f>
        <v>-5.4093570105580024E-3</v>
      </c>
      <c r="AR35" s="3">
        <v>177.84</v>
      </c>
      <c r="AS35" s="7">
        <f>AR35/AR34-1</f>
        <v>1.6897600540723978E-3</v>
      </c>
      <c r="AT35" s="7">
        <f>AS35-AV35</f>
        <v>-4.0268705616828271E-3</v>
      </c>
      <c r="AU35" s="3">
        <v>59822.7716</v>
      </c>
      <c r="AV35" s="7">
        <f>AU35/AU34-1</f>
        <v>5.7166306157552249E-3</v>
      </c>
    </row>
    <row r="36" spans="1:48" x14ac:dyDescent="0.25">
      <c r="A36" s="2">
        <v>46241</v>
      </c>
      <c r="B36" s="3">
        <v>2265.42</v>
      </c>
      <c r="C36" s="7">
        <f>B36/B35-1</f>
        <v>3.9231157392541016E-2</v>
      </c>
      <c r="D36" s="7">
        <f>C36-AV36</f>
        <v>-1.8727347492244473E-2</v>
      </c>
      <c r="E36" s="3">
        <v>8667.56</v>
      </c>
      <c r="F36" s="7">
        <f>E36/E35-1</f>
        <v>6.1768986147792804E-2</v>
      </c>
      <c r="G36" s="7">
        <f>F36-AV36</f>
        <v>3.8104812630073148E-3</v>
      </c>
      <c r="H36" s="3">
        <v>2969.53</v>
      </c>
      <c r="I36" s="7">
        <f>H36/H35-1</f>
        <v>6.0281358231870641E-2</v>
      </c>
      <c r="J36" s="7">
        <f>I36-AV36</f>
        <v>2.322853347085152E-3</v>
      </c>
      <c r="K36" s="3">
        <v>10063.81</v>
      </c>
      <c r="L36" s="7">
        <f>K36/K35-1</f>
        <v>5.0270764998523232E-2</v>
      </c>
      <c r="M36" s="7">
        <f>L36-AV36</f>
        <v>-7.687739886262257E-3</v>
      </c>
      <c r="N36" s="3">
        <v>1465.25</v>
      </c>
      <c r="O36" s="7">
        <f>N36/N35-1</f>
        <v>5.7095035747523726E-2</v>
      </c>
      <c r="P36" s="7">
        <f>O36-AV36</f>
        <v>-8.6346913726176311E-4</v>
      </c>
      <c r="Q36" s="3">
        <v>1204.26</v>
      </c>
      <c r="R36" s="7">
        <f>Q36/Q35-1</f>
        <v>5.8569130560902849E-2</v>
      </c>
      <c r="S36" s="7">
        <f>R36-AV36</f>
        <v>6.1062567611736007E-4</v>
      </c>
      <c r="T36" s="3">
        <v>262.91000000000003</v>
      </c>
      <c r="U36" s="7">
        <f>T36/T35-1</f>
        <v>5.7392213642213807E-2</v>
      </c>
      <c r="V36" s="7">
        <f>U36-AV36</f>
        <v>-5.6629124257168151E-4</v>
      </c>
      <c r="W36" s="3">
        <v>275.66000000000003</v>
      </c>
      <c r="X36" s="7">
        <f>W36/W35-1</f>
        <v>5.173597863410917E-2</v>
      </c>
      <c r="Y36" s="7">
        <f>X36-AV36</f>
        <v>-6.222526250676319E-3</v>
      </c>
      <c r="Z36" s="3">
        <v>259.35000000000002</v>
      </c>
      <c r="AA36" s="7">
        <f>Z36/Z35-1</f>
        <v>5.8269065981148449E-2</v>
      </c>
      <c r="AB36" s="7">
        <f>AA36-AV36</f>
        <v>3.1056109636296014E-4</v>
      </c>
      <c r="AC36" s="3">
        <v>1206.57</v>
      </c>
      <c r="AD36" s="7">
        <f>AC36/AC35-1</f>
        <v>5.4113556345718461E-2</v>
      </c>
      <c r="AE36" s="7">
        <f>AD36-AV36</f>
        <v>-3.8449485390670279E-3</v>
      </c>
      <c r="AF36" s="3">
        <v>990.37</v>
      </c>
      <c r="AG36" s="7">
        <f>AF36/AF35-1</f>
        <v>5.9899400684931603E-2</v>
      </c>
      <c r="AH36" s="7">
        <f>AG36-AV36</f>
        <v>1.9408958001461141E-3</v>
      </c>
      <c r="AI36" s="3">
        <v>4888.87</v>
      </c>
      <c r="AJ36" s="7">
        <f>AI36/AI35-1</f>
        <v>5.0956290320153474E-2</v>
      </c>
      <c r="AK36" s="7">
        <f>AJ36-AV36</f>
        <v>-7.0022145646320144E-3</v>
      </c>
      <c r="AL36" s="3">
        <v>971.58</v>
      </c>
      <c r="AM36" s="7">
        <f>AL36/AL35-1</f>
        <v>4.5046789286866673E-2</v>
      </c>
      <c r="AN36" s="7">
        <f>AM36-AV36</f>
        <v>-1.2911715597918816E-2</v>
      </c>
      <c r="AO36" s="3">
        <v>958.25</v>
      </c>
      <c r="AP36" s="7">
        <f>AO36/AO35-1</f>
        <v>5.1266017202036274E-2</v>
      </c>
      <c r="AQ36" s="7">
        <f>AP36-AV36</f>
        <v>-6.6924876827492152E-3</v>
      </c>
      <c r="AR36" s="3">
        <v>187.42</v>
      </c>
      <c r="AS36" s="7">
        <f>AR36/AR35-1</f>
        <v>5.3868645973909057E-2</v>
      </c>
      <c r="AT36" s="7">
        <f>AS36-AV36</f>
        <v>-4.0898589108764316E-3</v>
      </c>
      <c r="AU36" s="3">
        <v>63290.01</v>
      </c>
      <c r="AV36" s="7">
        <f>AU36/AU35-1</f>
        <v>5.7958504884785489E-2</v>
      </c>
    </row>
    <row r="37" spans="1:48" x14ac:dyDescent="0.25">
      <c r="A37" s="2">
        <v>46251</v>
      </c>
      <c r="B37" s="3">
        <v>2255.4699999999998</v>
      </c>
      <c r="C37" s="7">
        <f>B37/B36-1</f>
        <v>-4.3921215492050969E-3</v>
      </c>
      <c r="D37" s="7">
        <f>C37-AV37</f>
        <v>-3.1609635828845351E-3</v>
      </c>
      <c r="E37" s="3">
        <v>8632.2900000000009</v>
      </c>
      <c r="F37" s="7">
        <f>E37/E36-1</f>
        <v>-4.0691959444179027E-3</v>
      </c>
      <c r="G37" s="7">
        <f>F37-AV37</f>
        <v>-2.8380379780973408E-3</v>
      </c>
      <c r="H37" s="3">
        <v>2962.24</v>
      </c>
      <c r="I37" s="7">
        <f>H37/H36-1</f>
        <v>-2.4549339457761166E-3</v>
      </c>
      <c r="J37" s="7">
        <f>I37-AV37</f>
        <v>-1.2237759794555547E-3</v>
      </c>
      <c r="K37" s="3">
        <v>9990.7099999999991</v>
      </c>
      <c r="L37" s="7">
        <f>K37/K36-1</f>
        <v>-7.263650645232822E-3</v>
      </c>
      <c r="M37" s="7">
        <f>L37-AV37</f>
        <v>-6.0324926789122602E-3</v>
      </c>
      <c r="N37" s="3">
        <v>1461.35</v>
      </c>
      <c r="O37" s="7">
        <f>N37/N36-1</f>
        <v>-2.661661832451867E-3</v>
      </c>
      <c r="P37" s="7">
        <f>O37-AV37</f>
        <v>-1.4305038661313052E-3</v>
      </c>
      <c r="Q37" s="3">
        <v>1201</v>
      </c>
      <c r="R37" s="7">
        <f>Q37/Q36-1</f>
        <v>-2.7070566156809361E-3</v>
      </c>
      <c r="S37" s="7">
        <f>R37-AV37</f>
        <v>-1.4758986493603743E-3</v>
      </c>
      <c r="T37" s="3">
        <v>262.24</v>
      </c>
      <c r="U37" s="7">
        <f>T37/T36-1</f>
        <v>-2.5484005933590348E-3</v>
      </c>
      <c r="V37" s="7">
        <f>U37-AV37</f>
        <v>-1.3172426270384729E-3</v>
      </c>
      <c r="W37" s="3">
        <v>275.27</v>
      </c>
      <c r="X37" s="7">
        <f>W37/W36-1</f>
        <v>-1.4147863309875719E-3</v>
      </c>
      <c r="Y37" s="7">
        <f>X37-AV37</f>
        <v>-1.8362836466701005E-4</v>
      </c>
      <c r="Z37" s="3">
        <v>258.61</v>
      </c>
      <c r="AA37" s="7">
        <f>Z37/Z36-1</f>
        <v>-2.8532870638133812E-3</v>
      </c>
      <c r="AB37" s="7">
        <f>AA37-AV37</f>
        <v>-1.6221290974928193E-3</v>
      </c>
      <c r="AC37" s="3">
        <v>1203.8699999999999</v>
      </c>
      <c r="AD37" s="7">
        <f>AC37/AC36-1</f>
        <v>-2.2377483279047983E-3</v>
      </c>
      <c r="AE37" s="7">
        <f>AD37-AV37</f>
        <v>-1.0065903615842364E-3</v>
      </c>
      <c r="AF37" s="3">
        <v>988.25</v>
      </c>
      <c r="AG37" s="7">
        <f>AF37/AF36-1</f>
        <v>-2.1406141139169721E-3</v>
      </c>
      <c r="AH37" s="7">
        <f>AG37-AV37</f>
        <v>-9.0945614759641025E-4</v>
      </c>
      <c r="AI37" s="3">
        <v>4857.0200000000004</v>
      </c>
      <c r="AJ37" s="7">
        <f>AI37/AI36-1</f>
        <v>-6.5147978980826249E-3</v>
      </c>
      <c r="AK37" s="7">
        <f>AJ37-AV37</f>
        <v>-5.283639931762063E-3</v>
      </c>
      <c r="AL37" s="3">
        <v>972.17</v>
      </c>
      <c r="AM37" s="7">
        <f>AL37/AL36-1</f>
        <v>6.072582803267057E-4</v>
      </c>
      <c r="AN37" s="7">
        <f>AM37-AV37</f>
        <v>1.8384162466472675E-3</v>
      </c>
      <c r="AO37" s="3">
        <v>958.85</v>
      </c>
      <c r="AP37" s="7">
        <f>AO37/AO36-1</f>
        <v>6.2614140360039983E-4</v>
      </c>
      <c r="AQ37" s="7">
        <f>AP37-AV37</f>
        <v>1.8572993699209617E-3</v>
      </c>
      <c r="AR37" s="3">
        <v>187.65</v>
      </c>
      <c r="AS37" s="7">
        <f>AR37/AR36-1</f>
        <v>1.2271902678477886E-3</v>
      </c>
      <c r="AT37" s="7">
        <f>AS37-AV37</f>
        <v>2.4583482341683505E-3</v>
      </c>
      <c r="AU37" s="3">
        <v>63212.09</v>
      </c>
      <c r="AV37" s="7">
        <f>AU37/AU36-1</f>
        <v>-1.2311579663205618E-3</v>
      </c>
    </row>
    <row r="50" spans="3:3" x14ac:dyDescent="0.25">
      <c r="C50" s="12"/>
    </row>
  </sheetData>
  <mergeCells count="31">
    <mergeCell ref="T1:V1"/>
    <mergeCell ref="W1:Y1"/>
    <mergeCell ref="Z1:AB1"/>
    <mergeCell ref="AC1:AE1"/>
    <mergeCell ref="AF1:AH1"/>
    <mergeCell ref="AI1:AK1"/>
    <mergeCell ref="AL1:AN1"/>
    <mergeCell ref="AO1:AQ1"/>
    <mergeCell ref="AR1:AT1"/>
    <mergeCell ref="B1:D1"/>
    <mergeCell ref="E1:G1"/>
    <mergeCell ref="H1:J1"/>
    <mergeCell ref="K1:M1"/>
    <mergeCell ref="N1:P1"/>
    <mergeCell ref="Q1:S1"/>
    <mergeCell ref="AU2:AV2"/>
    <mergeCell ref="K2:M2"/>
    <mergeCell ref="H2:J2"/>
    <mergeCell ref="E2:G2"/>
    <mergeCell ref="B2:D2"/>
    <mergeCell ref="N2:P2"/>
    <mergeCell ref="Q2:S2"/>
    <mergeCell ref="T2:V2"/>
    <mergeCell ref="W2:Y2"/>
    <mergeCell ref="Z2:AB2"/>
    <mergeCell ref="AL2:AN2"/>
    <mergeCell ref="AO2:AQ2"/>
    <mergeCell ref="AR2:AT2"/>
    <mergeCell ref="AC2:AE2"/>
    <mergeCell ref="AF2:AH2"/>
    <mergeCell ref="AI2:AK2"/>
  </mergeCells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1F0DC-9A1B-4F06-AB93-F1BC6A94CB00}">
  <dimension ref="A1:Q12"/>
  <sheetViews>
    <sheetView tabSelected="1" workbookViewId="0">
      <selection activeCell="P18" sqref="P18"/>
    </sheetView>
  </sheetViews>
  <sheetFormatPr baseColWidth="10" defaultRowHeight="15" x14ac:dyDescent="0.25"/>
  <cols>
    <col min="1" max="1" width="29.5703125" customWidth="1"/>
  </cols>
  <sheetData>
    <row r="1" spans="1:17" s="1" customFormat="1" x14ac:dyDescent="0.25">
      <c r="A1" s="1" t="s">
        <v>18</v>
      </c>
      <c r="B1" s="1">
        <v>3707</v>
      </c>
      <c r="C1" s="1">
        <v>3899</v>
      </c>
      <c r="D1" s="1">
        <v>3679</v>
      </c>
      <c r="E1" s="1">
        <v>3587</v>
      </c>
      <c r="F1" s="1">
        <v>3909</v>
      </c>
      <c r="G1" s="1">
        <v>3574</v>
      </c>
      <c r="H1" s="1">
        <v>3692</v>
      </c>
      <c r="I1" s="1">
        <v>4100</v>
      </c>
      <c r="J1" s="1">
        <v>4170</v>
      </c>
      <c r="K1" s="1">
        <v>4008</v>
      </c>
      <c r="L1" s="1">
        <v>3972</v>
      </c>
      <c r="M1" s="1">
        <v>3516</v>
      </c>
      <c r="N1" s="1">
        <v>3984</v>
      </c>
      <c r="O1" s="1">
        <v>3913</v>
      </c>
      <c r="P1" s="1">
        <v>4213</v>
      </c>
    </row>
    <row r="2" spans="1:17" s="1" customFormat="1" ht="45" customHeight="1" x14ac:dyDescent="0.25">
      <c r="A2" s="5" t="s">
        <v>19</v>
      </c>
      <c r="B2" s="8" t="s">
        <v>13</v>
      </c>
      <c r="C2" s="8" t="s">
        <v>14</v>
      </c>
      <c r="D2" s="8" t="s">
        <v>0</v>
      </c>
      <c r="E2" s="8" t="s">
        <v>1</v>
      </c>
      <c r="F2" s="8" t="s">
        <v>2</v>
      </c>
      <c r="G2" s="8" t="s">
        <v>3</v>
      </c>
      <c r="H2" s="8" t="s">
        <v>4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8" t="s">
        <v>10</v>
      </c>
      <c r="O2" s="8" t="s">
        <v>11</v>
      </c>
      <c r="P2" s="8" t="s">
        <v>12</v>
      </c>
      <c r="Q2" s="8" t="s">
        <v>15</v>
      </c>
    </row>
    <row r="3" spans="1:17" s="1" customFormat="1" x14ac:dyDescent="0.25">
      <c r="A3" s="18" t="s">
        <v>24</v>
      </c>
      <c r="B3" s="7">
        <f>+Data_Analysis!B37/Data_Analysis!B4-1</f>
        <v>-4.2185993774444763E-2</v>
      </c>
      <c r="C3" s="7">
        <f>+Data_Analysis!E37/Data_Analysis!E4-1</f>
        <v>1.5261339860018097E-2</v>
      </c>
      <c r="D3" s="7">
        <f>+Data_Analysis!H37/Data_Analysis!H4-1</f>
        <v>5.1986480800292334E-3</v>
      </c>
      <c r="E3" s="7">
        <f>+Data_Analysis!K37/Data_Analysis!K4-1</f>
        <v>-0.10416180969767841</v>
      </c>
      <c r="F3" s="7">
        <f>+Data_Analysis!N37/Data_Analysis!N4-1</f>
        <v>-3.0890028051700158E-2</v>
      </c>
      <c r="G3" s="7">
        <f>+Data_Analysis!Q37/Data_Analysis!Q4-1</f>
        <v>1.4425442143970457E-3</v>
      </c>
      <c r="H3" s="7">
        <f>+Data_Analysis!T37/Data_Analysis!T4-1</f>
        <v>-1.1426830197304172E-3</v>
      </c>
      <c r="I3" s="7">
        <f>+Data_Analysis!W37/Data_Analysis!W4-1</f>
        <v>-2.8721640026816431E-2</v>
      </c>
      <c r="J3" s="7">
        <f>+Data_Analysis!Z37/Data_Analysis!Z4-1</f>
        <v>6.3037472275186968E-3</v>
      </c>
      <c r="K3" s="7">
        <f>+Data_Analysis!AC37/Data_Analysis!AC4-1</f>
        <v>1.1468468014316668E-2</v>
      </c>
      <c r="L3" s="7">
        <f>+Data_Analysis!AF37/Data_Analysis!AF4-1</f>
        <v>1.729373616758445E-2</v>
      </c>
      <c r="M3" s="7">
        <f>+Data_Analysis!AI37/Data_Analysis!AI4-1</f>
        <v>-4.8644858257089973E-2</v>
      </c>
      <c r="N3" s="7">
        <f>+Data_Analysis!AL37/Data_Analysis!AL4-1</f>
        <v>4.643552953080099E-2</v>
      </c>
      <c r="O3" s="7">
        <f>+Data_Analysis!AO37/Data_Analysis!AO4-1</f>
        <v>1.4140965435545994E-2</v>
      </c>
      <c r="P3" s="7">
        <f>+Data_Analysis!AR37/Data_Analysis!AR4-1</f>
        <v>7.302150045745659E-2</v>
      </c>
      <c r="Q3" s="7">
        <f>+Data_Analysis!AU37/Data_Analysis!AU4-1</f>
        <v>4.3649860197065848E-2</v>
      </c>
    </row>
    <row r="4" spans="1:17" s="1" customFormat="1" x14ac:dyDescent="0.25">
      <c r="A4" s="18" t="s">
        <v>46</v>
      </c>
      <c r="B4" s="17">
        <f>+(1+B3)^(365/(Data_Analysis!$A$37-Data_Analysis!$A$4))-1</f>
        <v>-6.5021022627919201E-2</v>
      </c>
      <c r="C4" s="17">
        <f>+(1+C3)^(365/(Data_Analysis!$A$37-Data_Analysis!$A$4))-1</f>
        <v>2.3906547169859627E-2</v>
      </c>
      <c r="D4" s="17">
        <f>+(1+D3)^(365/(Data_Analysis!$A$37-Data_Analysis!$A$4))-1</f>
        <v>8.1207933980005365E-3</v>
      </c>
      <c r="E4" s="17">
        <f>+(1+E3)^(365/(Data_Analysis!$A$37-Data_Analysis!$A$4))-1</f>
        <v>-0.1576621818589341</v>
      </c>
      <c r="F4" s="17">
        <f>+(1+F3)^(365/(Data_Analysis!$A$37-Data_Analysis!$A$4))-1</f>
        <v>-4.7764634866403033E-2</v>
      </c>
      <c r="G4" s="17">
        <f>+(1+G3)^(365/(Data_Analysis!$A$37-Data_Analysis!$A$4))-1</f>
        <v>2.2510307683605291E-3</v>
      </c>
      <c r="H4" s="17">
        <f>+(1+H3)^(365/(Data_Analysis!$A$37-Data_Analysis!$A$4))-1</f>
        <v>-1.7818199808458113E-3</v>
      </c>
      <c r="I4" s="17">
        <f>+(1+I3)^(365/(Data_Analysis!$A$37-Data_Analysis!$A$4))-1</f>
        <v>-4.4439133885662008E-2</v>
      </c>
      <c r="J4" s="17">
        <f>+(1+J3)^(365/(Data_Analysis!$A$37-Data_Analysis!$A$4))-1</f>
        <v>9.8501021224273178E-3</v>
      </c>
      <c r="K4" s="17">
        <f>+(1+K3)^(365/(Data_Analysis!$A$37-Data_Analysis!$A$4))-1</f>
        <v>1.7946180066981565E-2</v>
      </c>
      <c r="L4" s="17">
        <f>+(1+L3)^(365/(Data_Analysis!$A$37-Data_Analysis!$A$4))-1</f>
        <v>2.7105523972103196E-2</v>
      </c>
      <c r="M4" s="17">
        <f>+(1+M3)^(365/(Data_Analysis!$A$37-Data_Analysis!$A$4))-1</f>
        <v>-7.4836976221930418E-2</v>
      </c>
      <c r="N4" s="17">
        <f>+(1+N3)^(365/(Data_Analysis!$A$37-Data_Analysis!$A$4))-1</f>
        <v>7.3366641872324445E-2</v>
      </c>
      <c r="O4" s="17">
        <f>+(1+O3)^(365/(Data_Analysis!$A$37-Data_Analysis!$A$4))-1</f>
        <v>2.214461789883293E-2</v>
      </c>
      <c r="P4" s="17">
        <f>+(1+P3)^(365/(Data_Analysis!$A$37-Data_Analysis!$A$4))-1</f>
        <v>0.11620486085970749</v>
      </c>
      <c r="Q4" s="17">
        <f>+(1+Q3)^(365/(Data_Analysis!$A$37-Data_Analysis!$A$4))-1</f>
        <v>6.8912968873520386E-2</v>
      </c>
    </row>
    <row r="5" spans="1:17" s="1" customFormat="1" ht="15" customHeight="1" x14ac:dyDescent="0.25">
      <c r="A5" s="19" t="s">
        <v>22</v>
      </c>
      <c r="B5" s="7">
        <f>STDEV(Data_Analysis!C5:C37)*52^0.5</f>
        <v>0.18556346975342916</v>
      </c>
      <c r="C5" s="7">
        <f>STDEV(Data_Analysis!F5:F37)*52^0.5</f>
        <v>0.21052258828305057</v>
      </c>
      <c r="D5" s="7">
        <f>STDEV(Data_Analysis!I5:I37)*52^0.5</f>
        <v>0.20005326534424539</v>
      </c>
      <c r="E5" s="7">
        <f>STDEV(Data_Analysis!L5:L37)*52^0.5</f>
        <v>0.19294098671338245</v>
      </c>
      <c r="F5" s="7">
        <f>STDEV(Data_Analysis!O5:O37)*52^0.5</f>
        <v>0.19623096584730396</v>
      </c>
      <c r="G5" s="7">
        <f>STDEV(Data_Analysis!R5:R37)*52^0.5</f>
        <v>0.21414023950324396</v>
      </c>
      <c r="H5" s="7">
        <f>STDEV(Data_Analysis!U5:U37)*52^0.5</f>
        <v>0.19446550630172402</v>
      </c>
      <c r="I5" s="7">
        <f>STDEV(Data_Analysis!X5:X37)*52^0.5</f>
        <v>0.1905240370417797</v>
      </c>
      <c r="J5" s="7">
        <f>STDEV(Data_Analysis!AA5:AA37)*52^0.5</f>
        <v>0.20672675892547593</v>
      </c>
      <c r="K5" s="7">
        <f>STDEV(Data_Analysis!AD5:AD37)*52^0.5</f>
        <v>0.20114992913184834</v>
      </c>
      <c r="L5" s="7">
        <f>STDEV(Data_Analysis!AG5:AG37)*52^0.5</f>
        <v>0.20727969326433268</v>
      </c>
      <c r="M5" s="7">
        <f>STDEV(Data_Analysis!AJ5:AJ37)*52^0.5</f>
        <v>0.18995203268915298</v>
      </c>
      <c r="N5" s="7">
        <f>STDEV(Data_Analysis!AM5:AM37)*52^0.5</f>
        <v>0.17464475377995473</v>
      </c>
      <c r="O5" s="7">
        <f>STDEV(Data_Analysis!AP5:AP37)*52^0.5</f>
        <v>0.17837947415083411</v>
      </c>
      <c r="P5" s="7">
        <f>STDEV(Data_Analysis!AS5:AS37)*52^0.5</f>
        <v>0.19424917757503932</v>
      </c>
      <c r="Q5" s="7">
        <f>STDEV(Data_Analysis!AV5:AV37)*52^0.5</f>
        <v>0.19174236820657573</v>
      </c>
    </row>
    <row r="6" spans="1:17" s="1" customFormat="1" ht="15" customHeight="1" x14ac:dyDescent="0.25">
      <c r="A6" s="19" t="s">
        <v>48</v>
      </c>
      <c r="B6" s="7">
        <v>2.2499999999999999E-2</v>
      </c>
      <c r="C6" s="7">
        <v>2.2499999999999999E-2</v>
      </c>
      <c r="D6" s="7">
        <v>2.2499999999999999E-2</v>
      </c>
      <c r="E6" s="7">
        <v>2.2499999999999999E-2</v>
      </c>
      <c r="F6" s="7">
        <v>2.2499999999999999E-2</v>
      </c>
      <c r="G6" s="7">
        <v>2.2499999999999999E-2</v>
      </c>
      <c r="H6" s="7">
        <v>2.2499999999999999E-2</v>
      </c>
      <c r="I6" s="7">
        <v>2.2499999999999999E-2</v>
      </c>
      <c r="J6" s="7">
        <v>2.2499999999999999E-2</v>
      </c>
      <c r="K6" s="7">
        <v>2.2499999999999999E-2</v>
      </c>
      <c r="L6" s="7">
        <v>2.2499999999999999E-2</v>
      </c>
      <c r="M6" s="7">
        <v>2.2499999999999999E-2</v>
      </c>
      <c r="N6" s="7">
        <v>2.2499999999999999E-2</v>
      </c>
      <c r="O6" s="7">
        <v>2.2499999999999999E-2</v>
      </c>
      <c r="P6" s="7">
        <v>2.2499999999999999E-2</v>
      </c>
      <c r="Q6" s="7">
        <v>2.2499999999999999E-2</v>
      </c>
    </row>
    <row r="7" spans="1:17" s="1" customFormat="1" x14ac:dyDescent="0.25">
      <c r="A7" s="19" t="s">
        <v>47</v>
      </c>
      <c r="B7" s="7">
        <f>STDEV(Data_Analysis!D5:D37)*52^0.5</f>
        <v>5.8750960605668832E-2</v>
      </c>
      <c r="C7" s="7">
        <f>STDEV(Data_Analysis!G5:G37)*52^0.5</f>
        <v>2.5089445769930194E-2</v>
      </c>
      <c r="D7" s="7">
        <f>STDEV(Data_Analysis!J5:J37)*52^0.5</f>
        <v>2.139916887943779E-2</v>
      </c>
      <c r="E7" s="7">
        <f>STDEV(Data_Analysis!M5:M37)*52^0.5</f>
        <v>6.9878218481464277E-2</v>
      </c>
      <c r="F7" s="7">
        <f>STDEV(Data_Analysis!P5:P37)*52^0.5</f>
        <v>2.3626236271183394E-2</v>
      </c>
      <c r="G7" s="7">
        <f>STDEV(Data_Analysis!S5:S37)*52^0.5</f>
        <v>2.8611552591717371E-2</v>
      </c>
      <c r="H7" s="7">
        <f>STDEV(Data_Analysis!V5:V37)*52^0.5</f>
        <v>3.0427631339663006E-2</v>
      </c>
      <c r="I7" s="7">
        <f>STDEV(Data_Analysis!Y5:Y37)*52^0.5</f>
        <v>2.0077908624657012E-2</v>
      </c>
      <c r="J7" s="7">
        <f>STDEV(Data_Analysis!AB5:AB37)*52^0.5</f>
        <v>1.8510933670440818E-2</v>
      </c>
      <c r="K7" s="7">
        <f>STDEV(Data_Analysis!AE5:AE37)*52^0.5</f>
        <v>1.6487894987770892E-2</v>
      </c>
      <c r="L7" s="7">
        <f>STDEV(Data_Analysis!AH5:AH37)*52^0.5</f>
        <v>2.0788897553155682E-2</v>
      </c>
      <c r="M7" s="7">
        <f>STDEV(Data_Analysis!AK5:AK37)*52^0.5</f>
        <v>6.3852552466694301E-2</v>
      </c>
      <c r="N7" s="7">
        <f>STDEV(Data_Analysis!AN5:AN37)*52^0.5</f>
        <v>3.0969007361603931E-2</v>
      </c>
      <c r="O7" s="7">
        <f>STDEV(Data_Analysis!AQ5:AQ37)*52^0.5</f>
        <v>2.6851302670181151E-2</v>
      </c>
      <c r="P7" s="7">
        <f>STDEV(Data_Analysis!AT5:AT37)*52^0.5</f>
        <v>2.1565575106144597E-2</v>
      </c>
    </row>
    <row r="8" spans="1:17" s="1" customFormat="1" x14ac:dyDescent="0.25">
      <c r="A8" s="19" t="s">
        <v>23</v>
      </c>
      <c r="B8" s="3">
        <f>+(B4-B6)/B5</f>
        <v>-0.47165006530765102</v>
      </c>
      <c r="C8" s="3">
        <f t="shared" ref="C8:Q8" si="0">+(C4-C6)/C5</f>
        <v>6.6812173521660538E-3</v>
      </c>
      <c r="D8" s="3">
        <f t="shared" si="0"/>
        <v>-7.1876890273478794E-2</v>
      </c>
      <c r="E8" s="3">
        <f t="shared" si="0"/>
        <v>-0.93376832433519419</v>
      </c>
      <c r="F8" s="3">
        <f t="shared" si="0"/>
        <v>-0.35807108507573193</v>
      </c>
      <c r="G8" s="3">
        <f t="shared" si="0"/>
        <v>-9.4559384441767771E-2</v>
      </c>
      <c r="H8" s="3">
        <f t="shared" si="0"/>
        <v>-0.12486440625193046</v>
      </c>
      <c r="I8" s="3">
        <f t="shared" si="0"/>
        <v>-0.3513421976828206</v>
      </c>
      <c r="J8" s="3">
        <f t="shared" si="0"/>
        <v>-6.1191390719441949E-2</v>
      </c>
      <c r="K8" s="3">
        <f t="shared" si="0"/>
        <v>-2.2638933817538301E-2</v>
      </c>
      <c r="L8" s="3">
        <f t="shared" si="0"/>
        <v>2.2218886469645722E-2</v>
      </c>
      <c r="M8" s="3">
        <f t="shared" si="0"/>
        <v>-0.51242924249838129</v>
      </c>
      <c r="N8" s="3">
        <f t="shared" si="0"/>
        <v>0.29125777197071917</v>
      </c>
      <c r="O8" s="3">
        <f t="shared" si="0"/>
        <v>-1.9922813589335121E-3</v>
      </c>
      <c r="P8" s="3">
        <f t="shared" si="0"/>
        <v>0.48239514848658188</v>
      </c>
      <c r="Q8" s="3">
        <f t="shared" si="0"/>
        <v>0.24205901547808603</v>
      </c>
    </row>
    <row r="9" spans="1:17" s="1" customFormat="1" x14ac:dyDescent="0.25">
      <c r="A9" s="19" t="s">
        <v>25</v>
      </c>
      <c r="B9" s="3">
        <f>+SLOPE(Data_Analysis!C5:C37,Data_Analysis!$AV$5:$AV$37)</f>
        <v>0.92135198592065093</v>
      </c>
      <c r="C9" s="3">
        <f>+SLOPE(Data_Analysis!F5:F37,Data_Analysis!$AV$5:$AV$37)</f>
        <v>1.0941808588313626</v>
      </c>
      <c r="D9" s="3">
        <f>+SLOPE(Data_Analysis!I5:I37,Data_Analysis!$AV$5:$AV$37)</f>
        <v>1.0380557384385716</v>
      </c>
      <c r="E9" s="3">
        <f>+SLOPE(Data_Analysis!L5:L37,Data_Analysis!$AV$5:$AV$37)</f>
        <v>0.93986317828548294</v>
      </c>
      <c r="F9" s="3">
        <f>+SLOPE(Data_Analysis!O5:O37,Data_Analysis!$AV$5:$AV$37)</f>
        <v>1.016092109099042</v>
      </c>
      <c r="G9" s="3">
        <f>+SLOPE(Data_Analysis!R5:R37,Data_Analysis!$AV$5:$AV$37)</f>
        <v>1.1125017668927295</v>
      </c>
      <c r="H9" s="3">
        <f>+SLOPE(Data_Analysis!U5:U37,Data_Analysis!$AV$5:$AV$37)</f>
        <v>1.0017116301103883</v>
      </c>
      <c r="I9" s="3">
        <f>+SLOPE(Data_Analysis!X5:X37,Data_Analysis!$AV$5:$AV$37)</f>
        <v>0.98818378510756344</v>
      </c>
      <c r="J9" s="3">
        <f>+SLOPE(Data_Analysis!AA5:AA37,Data_Analysis!$AV$5:$AV$37)</f>
        <v>1.0765421139869817</v>
      </c>
      <c r="K9" s="3">
        <f>+SLOPE(Data_Analysis!AD5:AD37,Data_Analysis!$AV$5:$AV$37)</f>
        <v>1.0465700380517875</v>
      </c>
      <c r="L9" s="3">
        <f>+SLOPE(Data_Analysis!AG5:AG37,Data_Analysis!$AV$5:$AV$37)</f>
        <v>1.0784378609344305</v>
      </c>
      <c r="M9" s="3">
        <f>+SLOPE(Data_Analysis!AJ5:AJ37,Data_Analysis!$AV$5:$AV$37)</f>
        <v>0.9352578278289867</v>
      </c>
      <c r="N9" s="3">
        <f>+SLOPE(Data_Analysis!AM5:AM37,Data_Analysis!$AV$5:$AV$37)</f>
        <v>0.90176256650256714</v>
      </c>
      <c r="O9" s="3">
        <f>+SLOPE(Data_Analysis!AP5:AP37,Data_Analysis!$AV$5:$AV$37)</f>
        <v>0.92293117780967604</v>
      </c>
      <c r="P9" s="3">
        <f>+SLOPE(Data_Analysis!AS5:AS37,Data_Analysis!$AV$5:$AV$37)</f>
        <v>1.0068343715178982</v>
      </c>
      <c r="Q9" s="3">
        <f>+SLOPE(Data_Analysis!AV5:AV37,Data_Analysis!$AV$5:$AV$37)</f>
        <v>1</v>
      </c>
    </row>
    <row r="10" spans="1:17" s="1" customFormat="1" x14ac:dyDescent="0.25">
      <c r="A10" s="19" t="s">
        <v>26</v>
      </c>
      <c r="B10" s="11">
        <f>(B4-2.25%)/B9</f>
        <v>-9.4991950921411175E-2</v>
      </c>
      <c r="C10" s="11">
        <f t="shared" ref="C10:P10" si="1">(C4-2.25%)/C9</f>
        <v>1.2854795973692018E-3</v>
      </c>
      <c r="D10" s="11">
        <f t="shared" si="1"/>
        <v>-1.3852056368021681E-2</v>
      </c>
      <c r="E10" s="11">
        <f t="shared" si="1"/>
        <v>-0.19168979700597433</v>
      </c>
      <c r="F10" s="11">
        <f t="shared" si="1"/>
        <v>-6.9151835977454765E-2</v>
      </c>
      <c r="G10" s="11">
        <f t="shared" si="1"/>
        <v>-1.8201291750030931E-2</v>
      </c>
      <c r="H10" s="11">
        <f t="shared" si="1"/>
        <v>-2.4240329502982771E-2</v>
      </c>
      <c r="I10" s="11">
        <f t="shared" si="1"/>
        <v>-6.7739559072380148E-2</v>
      </c>
      <c r="J10" s="11">
        <f t="shared" si="1"/>
        <v>-1.1750490494722673E-2</v>
      </c>
      <c r="K10" s="11">
        <f t="shared" si="1"/>
        <v>-4.3511850783493353E-3</v>
      </c>
      <c r="L10" s="11">
        <f t="shared" si="1"/>
        <v>4.2705510803493713E-3</v>
      </c>
      <c r="M10" s="11">
        <f t="shared" si="1"/>
        <v>-0.1040750190221649</v>
      </c>
      <c r="N10" s="11">
        <f t="shared" si="1"/>
        <v>5.6408021093188321E-2</v>
      </c>
      <c r="O10" s="11">
        <f t="shared" si="1"/>
        <v>-3.8505807335544891E-4</v>
      </c>
      <c r="P10" s="11">
        <f t="shared" si="1"/>
        <v>9.3068794143805936E-2</v>
      </c>
    </row>
    <row r="11" spans="1:17" s="1" customFormat="1" ht="15" customHeight="1" x14ac:dyDescent="0.25">
      <c r="A11" s="19" t="s">
        <v>27</v>
      </c>
      <c r="B11" s="11">
        <f>(B4-$Q$4)/B7</f>
        <v>-2.2796902403076009</v>
      </c>
      <c r="C11" s="11">
        <f t="shared" ref="C11:P11" si="2">(C4-$Q$4)/C7</f>
        <v>-1.7938388163839452</v>
      </c>
      <c r="D11" s="11">
        <f t="shared" si="2"/>
        <v>-2.8408661952256633</v>
      </c>
      <c r="E11" s="11">
        <f t="shared" si="2"/>
        <v>-3.2424288377150781</v>
      </c>
      <c r="F11" s="11">
        <f t="shared" si="2"/>
        <v>-4.9384761246222508</v>
      </c>
      <c r="G11" s="11">
        <f t="shared" si="2"/>
        <v>-2.3298958660655669</v>
      </c>
      <c r="H11" s="11">
        <f t="shared" si="2"/>
        <v>-2.3233747006200307</v>
      </c>
      <c r="I11" s="11">
        <f t="shared" si="2"/>
        <v>-5.6456130405922078</v>
      </c>
      <c r="J11" s="11">
        <f t="shared" si="2"/>
        <v>-3.1907016578751835</v>
      </c>
      <c r="K11" s="11">
        <f t="shared" si="2"/>
        <v>-3.0911640839743946</v>
      </c>
      <c r="L11" s="11">
        <f t="shared" si="2"/>
        <v>-2.0110467519751172</v>
      </c>
      <c r="M11" s="11">
        <f t="shared" si="2"/>
        <v>-2.251279542355511</v>
      </c>
      <c r="N11" s="11">
        <f t="shared" si="2"/>
        <v>0.14381064742571706</v>
      </c>
      <c r="O11" s="11">
        <f t="shared" si="2"/>
        <v>-1.7417535212034438</v>
      </c>
      <c r="P11" s="11">
        <f t="shared" si="2"/>
        <v>2.1929344222641394</v>
      </c>
    </row>
    <row r="12" spans="1:17" s="1" customFormat="1" x14ac:dyDescent="0.25">
      <c r="A12" s="19" t="s">
        <v>28</v>
      </c>
      <c r="B12" s="10">
        <f>_xlfn.PERCENTILE.EXC(Data_Analysis!C5:C37,0.05)</f>
        <v>-4.5009218549288417E-2</v>
      </c>
      <c r="C12" s="10">
        <f>_xlfn.PERCENTILE.EXC(Data_Analysis!F5:F37,0.05)</f>
        <v>-4.3518216822923325E-2</v>
      </c>
      <c r="D12" s="10">
        <f>_xlfn.PERCENTILE.EXC(Data_Analysis!I5:I37,0.05)</f>
        <v>-4.239586080084233E-2</v>
      </c>
      <c r="E12" s="10">
        <f>_xlfn.PERCENTILE.EXC(Data_Analysis!L5:L37,0.05)</f>
        <v>-5.0872581223966068E-2</v>
      </c>
      <c r="F12" s="10">
        <f>_xlfn.PERCENTILE.EXC(Data_Analysis!O5:O37,0.05)</f>
        <v>-4.5156548284496084E-2</v>
      </c>
      <c r="G12" s="10">
        <f>_xlfn.PERCENTILE.EXC(Data_Analysis!R5:R37,0.05)</f>
        <v>-4.4305484419139944E-2</v>
      </c>
      <c r="H12" s="10">
        <f>_xlfn.PERCENTILE.EXC(Data_Analysis!U5:U37,0.05)</f>
        <v>-4.1546827005561296E-2</v>
      </c>
      <c r="I12" s="10">
        <f>_xlfn.PERCENTILE.EXC(Data_Analysis!X5:X37,0.05)</f>
        <v>-4.3573657377292685E-2</v>
      </c>
      <c r="J12" s="10">
        <f>_xlfn.PERCENTILE.EXC(Data_Analysis!AA5:AA37,0.05)</f>
        <v>-4.3789582175002381E-2</v>
      </c>
      <c r="K12" s="10">
        <f>_xlfn.PERCENTILE.EXC(Data_Analysis!AD5:AD37,0.05)</f>
        <v>-4.242224205102841E-2</v>
      </c>
      <c r="L12" s="10">
        <f>_xlfn.PERCENTILE.EXC(Data_Analysis!AG5:AG37,0.05)</f>
        <v>-4.2183763270722048E-2</v>
      </c>
      <c r="M12" s="10">
        <f>_xlfn.PERCENTILE.EXC(Data_Analysis!AJ5:AJ37,0.05)</f>
        <v>-4.7963382442632152E-2</v>
      </c>
      <c r="N12" s="10">
        <f>_xlfn.PERCENTILE.EXC(Data_Analysis!AM5:AM37,0.05)</f>
        <v>-3.760141777467238E-2</v>
      </c>
      <c r="O12" s="10">
        <f>_xlfn.PERCENTILE.EXC(Data_Analysis!AP5:AP37,0.05)</f>
        <v>-3.8799720101178443E-2</v>
      </c>
      <c r="P12" s="10">
        <f>_xlfn.PERCENTILE.EXC(Data_Analysis!AS5:AS37,0.05)</f>
        <v>-4.0551746289394675E-2</v>
      </c>
      <c r="Q12" s="10">
        <f>_xlfn.PERCENTILE.EXC(Data_Analysis!AV5:AV37,0.05)</f>
        <v>-3.8228677452187373E-2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0B969-344E-4E35-8E75-4195A5A5E16C}">
  <dimension ref="A1:AS34"/>
  <sheetViews>
    <sheetView workbookViewId="0">
      <selection activeCell="C2" sqref="C2"/>
    </sheetView>
  </sheetViews>
  <sheetFormatPr baseColWidth="10" defaultColWidth="9.140625" defaultRowHeight="15" x14ac:dyDescent="0.25"/>
  <cols>
    <col min="1" max="2" width="9.42578125" style="13" bestFit="1" customWidth="1"/>
    <col min="3" max="3" width="13.140625" style="14" bestFit="1" customWidth="1"/>
    <col min="4" max="5" width="9.42578125" style="13" bestFit="1" customWidth="1"/>
    <col min="6" max="6" width="13.140625" style="14" bestFit="1" customWidth="1"/>
    <col min="7" max="8" width="9.42578125" style="13" bestFit="1" customWidth="1"/>
    <col min="9" max="9" width="13.140625" style="15" bestFit="1" customWidth="1"/>
    <col min="10" max="11" width="10.5703125" style="13" bestFit="1" customWidth="1"/>
    <col min="12" max="12" width="13.140625" style="14" bestFit="1" customWidth="1"/>
    <col min="13" max="14" width="9.42578125" style="13" bestFit="1" customWidth="1"/>
    <col min="15" max="15" width="13.140625" style="14" bestFit="1" customWidth="1"/>
    <col min="16" max="17" width="9.42578125" style="13" bestFit="1" customWidth="1"/>
    <col min="18" max="18" width="13.140625" style="14" bestFit="1" customWidth="1"/>
    <col min="19" max="20" width="8" style="13" bestFit="1" customWidth="1"/>
    <col min="21" max="21" width="13.140625" style="14" bestFit="1" customWidth="1"/>
    <col min="22" max="23" width="8" style="13" bestFit="1" customWidth="1"/>
    <col min="24" max="24" width="13.140625" style="14" bestFit="1" customWidth="1"/>
    <col min="25" max="26" width="8" style="13" bestFit="1" customWidth="1"/>
    <col min="27" max="27" width="13.140625" style="14" bestFit="1" customWidth="1"/>
    <col min="28" max="29" width="9.42578125" style="13" bestFit="1" customWidth="1"/>
    <col min="30" max="30" width="13.140625" style="14" bestFit="1" customWidth="1"/>
    <col min="31" max="32" width="9.42578125" style="13" bestFit="1" customWidth="1"/>
    <col min="33" max="33" width="13.140625" style="14" bestFit="1" customWidth="1"/>
    <col min="34" max="35" width="9.42578125" style="13" bestFit="1" customWidth="1"/>
    <col min="36" max="36" width="13.140625" style="14" bestFit="1" customWidth="1"/>
    <col min="37" max="38" width="8" style="13" bestFit="1" customWidth="1"/>
    <col min="39" max="39" width="13.140625" style="14" bestFit="1" customWidth="1"/>
    <col min="40" max="41" width="8" style="13" bestFit="1" customWidth="1"/>
    <col min="42" max="42" width="13.140625" style="14" bestFit="1" customWidth="1"/>
    <col min="43" max="44" width="8" style="13" bestFit="1" customWidth="1"/>
    <col min="45" max="45" width="13.140625" style="14" bestFit="1" customWidth="1"/>
    <col min="46" max="16384" width="9.140625" style="16"/>
  </cols>
  <sheetData>
    <row r="1" spans="1:45" x14ac:dyDescent="0.25">
      <c r="A1" s="13" t="s">
        <v>29</v>
      </c>
      <c r="B1" s="13" t="s">
        <v>30</v>
      </c>
      <c r="C1" s="14" t="s">
        <v>31</v>
      </c>
      <c r="D1" s="13" t="s">
        <v>32</v>
      </c>
      <c r="E1" s="13" t="s">
        <v>30</v>
      </c>
      <c r="F1" s="14" t="s">
        <v>31</v>
      </c>
      <c r="G1" s="13" t="s">
        <v>33</v>
      </c>
      <c r="H1" s="13" t="s">
        <v>30</v>
      </c>
      <c r="I1" s="15" t="s">
        <v>31</v>
      </c>
      <c r="J1" s="13" t="s">
        <v>34</v>
      </c>
      <c r="K1" s="13" t="s">
        <v>30</v>
      </c>
      <c r="L1" s="14" t="s">
        <v>31</v>
      </c>
      <c r="M1" s="13" t="s">
        <v>35</v>
      </c>
      <c r="N1" s="13" t="s">
        <v>30</v>
      </c>
      <c r="O1" s="14" t="s">
        <v>31</v>
      </c>
      <c r="P1" s="13" t="s">
        <v>36</v>
      </c>
      <c r="Q1" s="13" t="s">
        <v>30</v>
      </c>
      <c r="R1" s="14" t="s">
        <v>31</v>
      </c>
      <c r="S1" s="13" t="s">
        <v>37</v>
      </c>
      <c r="T1" s="13" t="s">
        <v>30</v>
      </c>
      <c r="U1" s="14" t="s">
        <v>31</v>
      </c>
      <c r="V1" s="13" t="s">
        <v>38</v>
      </c>
      <c r="W1" s="13" t="s">
        <v>30</v>
      </c>
      <c r="X1" s="14" t="s">
        <v>31</v>
      </c>
      <c r="Y1" s="13" t="s">
        <v>39</v>
      </c>
      <c r="Z1" s="13" t="s">
        <v>30</v>
      </c>
      <c r="AA1" s="14" t="s">
        <v>31</v>
      </c>
      <c r="AB1" s="13" t="s">
        <v>40</v>
      </c>
      <c r="AC1" s="13" t="s">
        <v>30</v>
      </c>
      <c r="AD1" s="14" t="s">
        <v>31</v>
      </c>
      <c r="AE1" s="13" t="s">
        <v>41</v>
      </c>
      <c r="AF1" s="13" t="s">
        <v>30</v>
      </c>
      <c r="AG1" s="14" t="s">
        <v>31</v>
      </c>
      <c r="AH1" s="13" t="s">
        <v>42</v>
      </c>
      <c r="AI1" s="13" t="s">
        <v>30</v>
      </c>
      <c r="AJ1" s="14" t="s">
        <v>31</v>
      </c>
      <c r="AK1" s="13" t="s">
        <v>43</v>
      </c>
      <c r="AL1" s="13" t="s">
        <v>30</v>
      </c>
      <c r="AM1" s="14" t="s">
        <v>31</v>
      </c>
      <c r="AN1" s="13" t="s">
        <v>44</v>
      </c>
      <c r="AO1" s="13" t="s">
        <v>30</v>
      </c>
      <c r="AP1" s="14" t="s">
        <v>31</v>
      </c>
      <c r="AQ1" s="13" t="s">
        <v>45</v>
      </c>
      <c r="AR1" s="13" t="s">
        <v>30</v>
      </c>
      <c r="AS1" s="14" t="s">
        <v>31</v>
      </c>
    </row>
    <row r="2" spans="1:45" x14ac:dyDescent="0.25">
      <c r="A2" s="13">
        <f>[2]Data_Analysis!B5</f>
        <v>2460</v>
      </c>
      <c r="B2" s="13">
        <f>A2</f>
        <v>2460</v>
      </c>
      <c r="C2" s="14">
        <f t="shared" ref="C2:C34" si="0">A2/B2-1</f>
        <v>0</v>
      </c>
      <c r="D2" s="13">
        <f>[2]Data_Analysis!E5</f>
        <v>8856.09</v>
      </c>
      <c r="E2" s="13">
        <f>D2</f>
        <v>8856.09</v>
      </c>
      <c r="F2" s="14">
        <f t="shared" ref="F2:F34" si="1">D2/E2-1</f>
        <v>0</v>
      </c>
      <c r="G2" s="13">
        <f>[2]Data_Analysis!H5</f>
        <v>3074.6</v>
      </c>
      <c r="H2" s="13">
        <f>G2</f>
        <v>3074.6</v>
      </c>
      <c r="I2" s="15">
        <f t="shared" ref="I2:I34" si="2">G2/H2-1</f>
        <v>0</v>
      </c>
      <c r="J2" s="13">
        <f>[2]Data_Analysis!K5</f>
        <v>11430</v>
      </c>
      <c r="K2" s="13">
        <f>J2</f>
        <v>11430</v>
      </c>
      <c r="L2" s="14">
        <f t="shared" ref="L2:L34" si="3">J2/K2-1</f>
        <v>0</v>
      </c>
      <c r="M2" s="13">
        <f>[2]Data_Analysis!N5</f>
        <v>1566.8</v>
      </c>
      <c r="N2" s="13">
        <f>M2</f>
        <v>1566.8</v>
      </c>
      <c r="O2" s="14">
        <f t="shared" ref="O2:O34" si="4">M2/N2-1</f>
        <v>0</v>
      </c>
      <c r="P2" s="13">
        <f>[2]Data_Analysis!Q5</f>
        <v>1251.26</v>
      </c>
      <c r="Q2" s="13">
        <f>P2</f>
        <v>1251.26</v>
      </c>
      <c r="R2" s="14">
        <f t="shared" ref="R2:R34" si="5">P2/Q2-1</f>
        <v>0</v>
      </c>
      <c r="S2" s="13">
        <f>[2]Data_Analysis!T5</f>
        <v>273.25</v>
      </c>
      <c r="T2" s="13">
        <f>S2</f>
        <v>273.25</v>
      </c>
      <c r="U2" s="14">
        <f t="shared" ref="U2:U34" si="6">S2/T2-1</f>
        <v>0</v>
      </c>
      <c r="V2" s="13">
        <f>[2]Data_Analysis!W5</f>
        <v>294.38</v>
      </c>
      <c r="W2" s="13">
        <f>V2</f>
        <v>294.38</v>
      </c>
      <c r="X2" s="14">
        <f t="shared" ref="X2:X34" si="7">V2/W2-1</f>
        <v>0</v>
      </c>
      <c r="Y2" s="13">
        <f>[2]Data_Analysis!Z5</f>
        <v>268.02999999999997</v>
      </c>
      <c r="Z2" s="13">
        <f>Y2</f>
        <v>268.02999999999997</v>
      </c>
      <c r="AA2" s="14">
        <f t="shared" ref="AA2:AA34" si="8">Y2/Z2-1</f>
        <v>0</v>
      </c>
      <c r="AB2" s="13">
        <f>[2]Data_Analysis!AC5</f>
        <v>1236.79</v>
      </c>
      <c r="AC2" s="13">
        <f>AB2</f>
        <v>1236.79</v>
      </c>
      <c r="AD2" s="14">
        <f t="shared" ref="AD2:AD34" si="9">AB2/AC2-1</f>
        <v>0</v>
      </c>
      <c r="AE2" s="13">
        <f>[2]Data_Analysis!AF5</f>
        <v>1011.42</v>
      </c>
      <c r="AF2" s="13">
        <f>AE2</f>
        <v>1011.42</v>
      </c>
      <c r="AG2" s="14">
        <f t="shared" ref="AG2:AG34" si="10">AE2/AF2-1</f>
        <v>0</v>
      </c>
      <c r="AH2" s="13">
        <f>[2]Data_Analysis!AI5</f>
        <v>5280.46</v>
      </c>
      <c r="AI2" s="13">
        <f>AH2</f>
        <v>5280.46</v>
      </c>
      <c r="AJ2" s="14">
        <f t="shared" ref="AJ2:AJ34" si="11">AH2/AI2-1</f>
        <v>0</v>
      </c>
      <c r="AK2" s="13">
        <f>[2]Data_Analysis!AL5</f>
        <v>969.79</v>
      </c>
      <c r="AL2" s="13">
        <f>AK2</f>
        <v>969.79</v>
      </c>
      <c r="AM2" s="14">
        <f t="shared" ref="AM2:AM34" si="12">AK2/AL2-1</f>
        <v>0</v>
      </c>
      <c r="AN2" s="13">
        <f>[2]Data_Analysis!AO5</f>
        <v>984.12</v>
      </c>
      <c r="AO2" s="13">
        <f>AN2</f>
        <v>984.12</v>
      </c>
      <c r="AP2" s="14">
        <f t="shared" ref="AP2:AP34" si="13">AN2/AO2-1</f>
        <v>0</v>
      </c>
      <c r="AQ2" s="13">
        <f>[2]Data_Analysis!AR5</f>
        <v>183.42</v>
      </c>
      <c r="AR2" s="13">
        <f>AQ2</f>
        <v>183.42</v>
      </c>
      <c r="AS2" s="14">
        <f t="shared" ref="AS2:AS34" si="14">AQ2/AR2-1</f>
        <v>0</v>
      </c>
    </row>
    <row r="3" spans="1:45" x14ac:dyDescent="0.25">
      <c r="A3" s="13">
        <f>[2]Data_Analysis!B6</f>
        <v>2483.4499999999998</v>
      </c>
      <c r="B3" s="13">
        <f t="shared" ref="B3:B34" si="15">MAX(B2,A3)</f>
        <v>2483.4499999999998</v>
      </c>
      <c r="C3" s="14">
        <f t="shared" si="0"/>
        <v>0</v>
      </c>
      <c r="D3" s="13">
        <f>[2]Data_Analysis!E6</f>
        <v>8971.5499999999993</v>
      </c>
      <c r="E3" s="13">
        <f t="shared" ref="E3:E34" si="16">MAX(E2,D3)</f>
        <v>8971.5499999999993</v>
      </c>
      <c r="F3" s="14">
        <f t="shared" si="1"/>
        <v>0</v>
      </c>
      <c r="G3" s="13">
        <f>[2]Data_Analysis!H6</f>
        <v>3112.31</v>
      </c>
      <c r="H3" s="13">
        <f t="shared" ref="H3:H34" si="17">MAX(H2,G3)</f>
        <v>3112.31</v>
      </c>
      <c r="I3" s="15">
        <f t="shared" si="2"/>
        <v>0</v>
      </c>
      <c r="J3" s="13">
        <f>[2]Data_Analysis!K6</f>
        <v>11617.75</v>
      </c>
      <c r="K3" s="13">
        <f t="shared" ref="K3:K34" si="18">MAX(K2,J3)</f>
        <v>11617.75</v>
      </c>
      <c r="L3" s="14">
        <f t="shared" si="3"/>
        <v>0</v>
      </c>
      <c r="M3" s="13">
        <f>[2]Data_Analysis!N6</f>
        <v>1583.91</v>
      </c>
      <c r="N3" s="13">
        <f t="shared" ref="N3:N34" si="19">MAX(N2,M3)</f>
        <v>1583.91</v>
      </c>
      <c r="O3" s="14">
        <f t="shared" si="4"/>
        <v>0</v>
      </c>
      <c r="P3" s="13">
        <f>[2]Data_Analysis!Q6</f>
        <v>1264.24</v>
      </c>
      <c r="Q3" s="13">
        <f t="shared" ref="Q3:Q34" si="20">MAX(Q2,P3)</f>
        <v>1264.24</v>
      </c>
      <c r="R3" s="14">
        <f t="shared" si="5"/>
        <v>0</v>
      </c>
      <c r="S3" s="13">
        <f>[2]Data_Analysis!T6</f>
        <v>276.58</v>
      </c>
      <c r="T3" s="13">
        <f t="shared" ref="T3:T34" si="21">MAX(T2,S3)</f>
        <v>276.58</v>
      </c>
      <c r="U3" s="14">
        <f t="shared" si="6"/>
        <v>0</v>
      </c>
      <c r="V3" s="13">
        <f>[2]Data_Analysis!W6</f>
        <v>297.58</v>
      </c>
      <c r="W3" s="13">
        <f t="shared" ref="W3:W34" si="22">MAX(W2,V3)</f>
        <v>297.58</v>
      </c>
      <c r="X3" s="14">
        <f t="shared" si="7"/>
        <v>0</v>
      </c>
      <c r="Y3" s="13">
        <f>[2]Data_Analysis!Z6</f>
        <v>271.39</v>
      </c>
      <c r="Z3" s="13">
        <f t="shared" ref="Z3:Z34" si="23">MAX(Z2,Y3)</f>
        <v>271.39</v>
      </c>
      <c r="AA3" s="14">
        <f t="shared" si="8"/>
        <v>0</v>
      </c>
      <c r="AB3" s="13">
        <f>[2]Data_Analysis!AC6</f>
        <v>1251.92</v>
      </c>
      <c r="AC3" s="13">
        <f t="shared" ref="AC3:AC34" si="24">MAX(AC2,AB3)</f>
        <v>1251.92</v>
      </c>
      <c r="AD3" s="14">
        <f t="shared" si="9"/>
        <v>0</v>
      </c>
      <c r="AE3" s="13">
        <f>[2]Data_Analysis!AF6</f>
        <v>1026.3399999999999</v>
      </c>
      <c r="AF3" s="13">
        <f t="shared" ref="AF3:AF34" si="25">MAX(AF2,AE3)</f>
        <v>1026.3399999999999</v>
      </c>
      <c r="AG3" s="14">
        <f t="shared" si="10"/>
        <v>0</v>
      </c>
      <c r="AH3" s="13">
        <f>[2]Data_Analysis!AI6</f>
        <v>5387.19</v>
      </c>
      <c r="AI3" s="13">
        <f t="shared" ref="AI3:AI34" si="26">MAX(AI2,AH3)</f>
        <v>5387.19</v>
      </c>
      <c r="AJ3" s="14">
        <f t="shared" si="11"/>
        <v>0</v>
      </c>
      <c r="AK3" s="13">
        <f>[2]Data_Analysis!AL6</f>
        <v>984.93</v>
      </c>
      <c r="AL3" s="13">
        <f t="shared" ref="AL3:AL34" si="27">MAX(AL2,AK3)</f>
        <v>984.93</v>
      </c>
      <c r="AM3" s="14">
        <f t="shared" si="12"/>
        <v>0</v>
      </c>
      <c r="AN3" s="13">
        <f>[2]Data_Analysis!AO6</f>
        <v>995.46</v>
      </c>
      <c r="AO3" s="13">
        <f t="shared" ref="AO3:AO34" si="28">MAX(AO2,AN3)</f>
        <v>995.46</v>
      </c>
      <c r="AP3" s="14">
        <f t="shared" si="13"/>
        <v>0</v>
      </c>
      <c r="AQ3" s="13">
        <f>[2]Data_Analysis!AR6</f>
        <v>186.47</v>
      </c>
      <c r="AR3" s="13">
        <f t="shared" ref="AR3:AR34" si="29">MAX(AR2,AQ3)</f>
        <v>186.47</v>
      </c>
      <c r="AS3" s="14">
        <f t="shared" si="14"/>
        <v>0</v>
      </c>
    </row>
    <row r="4" spans="1:45" x14ac:dyDescent="0.25">
      <c r="A4" s="13">
        <f>[2]Data_Analysis!B7</f>
        <v>2436.31</v>
      </c>
      <c r="B4" s="13">
        <f t="shared" si="15"/>
        <v>2483.4499999999998</v>
      </c>
      <c r="C4" s="14">
        <f t="shared" si="0"/>
        <v>-1.8981658579798166E-2</v>
      </c>
      <c r="D4" s="13">
        <f>[2]Data_Analysis!E7</f>
        <v>8798.35</v>
      </c>
      <c r="E4" s="13">
        <f t="shared" si="16"/>
        <v>8971.5499999999993</v>
      </c>
      <c r="F4" s="14">
        <f t="shared" si="1"/>
        <v>-1.9305471183909018E-2</v>
      </c>
      <c r="G4" s="13">
        <f>[2]Data_Analysis!H7</f>
        <v>3050.25</v>
      </c>
      <c r="H4" s="13">
        <f t="shared" si="17"/>
        <v>3112.31</v>
      </c>
      <c r="I4" s="15">
        <f t="shared" si="2"/>
        <v>-1.9940173054740717E-2</v>
      </c>
      <c r="J4" s="13">
        <f>[2]Data_Analysis!K7</f>
        <v>11334.3</v>
      </c>
      <c r="K4" s="13">
        <f t="shared" si="18"/>
        <v>11617.75</v>
      </c>
      <c r="L4" s="14">
        <f t="shared" si="3"/>
        <v>-2.4398011663187891E-2</v>
      </c>
      <c r="M4" s="13">
        <f>[2]Data_Analysis!N7</f>
        <v>1557.74</v>
      </c>
      <c r="N4" s="13">
        <f t="shared" si="19"/>
        <v>1583.91</v>
      </c>
      <c r="O4" s="14">
        <f t="shared" si="4"/>
        <v>-1.6522403419386267E-2</v>
      </c>
      <c r="P4" s="13">
        <f>[2]Data_Analysis!Q7</f>
        <v>1248.05</v>
      </c>
      <c r="Q4" s="13">
        <f t="shared" si="20"/>
        <v>1264.24</v>
      </c>
      <c r="R4" s="14">
        <f t="shared" si="5"/>
        <v>-1.280611276339938E-2</v>
      </c>
      <c r="S4" s="13">
        <f>[2]Data_Analysis!T7</f>
        <v>271.36</v>
      </c>
      <c r="T4" s="13">
        <f t="shared" si="21"/>
        <v>276.58</v>
      </c>
      <c r="U4" s="14">
        <f t="shared" si="6"/>
        <v>-1.8873382023284258E-2</v>
      </c>
      <c r="V4" s="13">
        <f>[2]Data_Analysis!W7</f>
        <v>291.5</v>
      </c>
      <c r="W4" s="13">
        <f t="shared" si="22"/>
        <v>297.58</v>
      </c>
      <c r="X4" s="14">
        <f t="shared" si="7"/>
        <v>-2.0431480610256014E-2</v>
      </c>
      <c r="Y4" s="13">
        <f>[2]Data_Analysis!Z7</f>
        <v>266.44</v>
      </c>
      <c r="Z4" s="13">
        <f t="shared" si="23"/>
        <v>271.39</v>
      </c>
      <c r="AA4" s="14">
        <f t="shared" si="8"/>
        <v>-1.8239434024835077E-2</v>
      </c>
      <c r="AB4" s="13">
        <f>[2]Data_Analysis!AC7</f>
        <v>1232.9100000000001</v>
      </c>
      <c r="AC4" s="13">
        <f t="shared" si="24"/>
        <v>1251.92</v>
      </c>
      <c r="AD4" s="14">
        <f t="shared" si="9"/>
        <v>-1.5184676337146152E-2</v>
      </c>
      <c r="AE4" s="13">
        <f>[2]Data_Analysis!AF7</f>
        <v>1008.99</v>
      </c>
      <c r="AF4" s="13">
        <f t="shared" si="25"/>
        <v>1026.3399999999999</v>
      </c>
      <c r="AG4" s="14">
        <f t="shared" si="10"/>
        <v>-1.6904729426895471E-2</v>
      </c>
      <c r="AH4" s="13">
        <f>[2]Data_Analysis!AI7</f>
        <v>5287.34</v>
      </c>
      <c r="AI4" s="13">
        <f t="shared" si="26"/>
        <v>5387.19</v>
      </c>
      <c r="AJ4" s="14">
        <f t="shared" si="11"/>
        <v>-1.8534709189763077E-2</v>
      </c>
      <c r="AK4" s="13">
        <f>[2]Data_Analysis!AL7</f>
        <v>974.27</v>
      </c>
      <c r="AL4" s="13">
        <f t="shared" si="27"/>
        <v>984.93</v>
      </c>
      <c r="AM4" s="14">
        <f t="shared" si="12"/>
        <v>-1.0823104179992438E-2</v>
      </c>
      <c r="AN4" s="13">
        <f>[2]Data_Analysis!AO7</f>
        <v>979.99</v>
      </c>
      <c r="AO4" s="13">
        <f t="shared" si="28"/>
        <v>995.46</v>
      </c>
      <c r="AP4" s="14">
        <f t="shared" si="13"/>
        <v>-1.5540554115685223E-2</v>
      </c>
      <c r="AQ4" s="13">
        <f>[2]Data_Analysis!AR7</f>
        <v>184.23</v>
      </c>
      <c r="AR4" s="13">
        <f t="shared" si="29"/>
        <v>186.47</v>
      </c>
      <c r="AS4" s="14">
        <f t="shared" si="14"/>
        <v>-1.2012656191344506E-2</v>
      </c>
    </row>
    <row r="5" spans="1:45" x14ac:dyDescent="0.25">
      <c r="A5" s="13">
        <f>[2]Data_Analysis!B8</f>
        <v>2352.91</v>
      </c>
      <c r="B5" s="13">
        <f t="shared" si="15"/>
        <v>2483.4499999999998</v>
      </c>
      <c r="C5" s="14">
        <f t="shared" si="0"/>
        <v>-5.2563973504600403E-2</v>
      </c>
      <c r="D5" s="13">
        <f>[2]Data_Analysis!E8</f>
        <v>8501.0400000000009</v>
      </c>
      <c r="E5" s="13">
        <f t="shared" si="16"/>
        <v>8971.5499999999993</v>
      </c>
      <c r="F5" s="14">
        <f t="shared" si="1"/>
        <v>-5.2444672325294817E-2</v>
      </c>
      <c r="G5" s="13">
        <f>[2]Data_Analysis!H8</f>
        <v>2950.52</v>
      </c>
      <c r="H5" s="13">
        <f t="shared" si="17"/>
        <v>3112.31</v>
      </c>
      <c r="I5" s="15">
        <f t="shared" si="2"/>
        <v>-5.1983896205712199E-2</v>
      </c>
      <c r="J5" s="13">
        <f>[2]Data_Analysis!K8</f>
        <v>10980.79</v>
      </c>
      <c r="K5" s="13">
        <f t="shared" si="18"/>
        <v>11617.75</v>
      </c>
      <c r="L5" s="14">
        <f t="shared" si="3"/>
        <v>-5.4826450904865376E-2</v>
      </c>
      <c r="M5" s="13">
        <f>[2]Data_Analysis!N8</f>
        <v>1512.09</v>
      </c>
      <c r="N5" s="13">
        <f t="shared" si="19"/>
        <v>1583.91</v>
      </c>
      <c r="O5" s="14">
        <f t="shared" si="4"/>
        <v>-4.5343485425308305E-2</v>
      </c>
      <c r="P5" s="13">
        <f>[2]Data_Analysis!Q8</f>
        <v>1210.6400000000001</v>
      </c>
      <c r="Q5" s="13">
        <f t="shared" si="20"/>
        <v>1264.24</v>
      </c>
      <c r="R5" s="14">
        <f t="shared" si="5"/>
        <v>-4.2397013225336844E-2</v>
      </c>
      <c r="S5" s="13">
        <f>[2]Data_Analysis!T8</f>
        <v>262.14</v>
      </c>
      <c r="T5" s="13">
        <f t="shared" si="21"/>
        <v>276.58</v>
      </c>
      <c r="U5" s="14">
        <f t="shared" si="6"/>
        <v>-5.2209125750235064E-2</v>
      </c>
      <c r="V5" s="13">
        <f>[2]Data_Analysis!W8</f>
        <v>281.92</v>
      </c>
      <c r="W5" s="13">
        <f t="shared" si="22"/>
        <v>297.58</v>
      </c>
      <c r="X5" s="14">
        <f t="shared" si="7"/>
        <v>-5.262450433496868E-2</v>
      </c>
      <c r="Y5" s="13">
        <f>[2]Data_Analysis!Z8</f>
        <v>257.62</v>
      </c>
      <c r="Z5" s="13">
        <f t="shared" si="23"/>
        <v>271.39</v>
      </c>
      <c r="AA5" s="14">
        <f t="shared" si="8"/>
        <v>-5.0738789196359435E-2</v>
      </c>
      <c r="AB5" s="13">
        <f>[2]Data_Analysis!AC8</f>
        <v>1193.77</v>
      </c>
      <c r="AC5" s="13">
        <f t="shared" si="24"/>
        <v>1251.92</v>
      </c>
      <c r="AD5" s="14">
        <f t="shared" si="9"/>
        <v>-4.6448654866125705E-2</v>
      </c>
      <c r="AE5" s="13">
        <f>[2]Data_Analysis!AF8</f>
        <v>976.17</v>
      </c>
      <c r="AF5" s="13">
        <f t="shared" si="25"/>
        <v>1026.3399999999999</v>
      </c>
      <c r="AG5" s="14">
        <f t="shared" si="10"/>
        <v>-4.8882436619443803E-2</v>
      </c>
      <c r="AH5" s="13">
        <f>[2]Data_Analysis!AI8</f>
        <v>5132.82</v>
      </c>
      <c r="AI5" s="13">
        <f t="shared" si="26"/>
        <v>5387.19</v>
      </c>
      <c r="AJ5" s="14">
        <f t="shared" si="11"/>
        <v>-4.7217566115173248E-2</v>
      </c>
      <c r="AK5" s="13">
        <f>[2]Data_Analysis!AL8</f>
        <v>948.48</v>
      </c>
      <c r="AL5" s="13">
        <f t="shared" si="27"/>
        <v>984.93</v>
      </c>
      <c r="AM5" s="14">
        <f t="shared" si="12"/>
        <v>-3.7007706131400142E-2</v>
      </c>
      <c r="AN5" s="13">
        <f>[2]Data_Analysis!AO8</f>
        <v>947.69</v>
      </c>
      <c r="AO5" s="13">
        <f t="shared" si="28"/>
        <v>995.46</v>
      </c>
      <c r="AP5" s="14">
        <f t="shared" si="13"/>
        <v>-4.7987864906676281E-2</v>
      </c>
      <c r="AQ5" s="13">
        <f>[2]Data_Analysis!AR8</f>
        <v>177.86</v>
      </c>
      <c r="AR5" s="13">
        <f t="shared" si="29"/>
        <v>186.47</v>
      </c>
      <c r="AS5" s="14">
        <f t="shared" si="14"/>
        <v>-4.617364723548012E-2</v>
      </c>
    </row>
    <row r="6" spans="1:45" x14ac:dyDescent="0.25">
      <c r="A6" s="13">
        <f>[2]Data_Analysis!B9</f>
        <v>2341.56</v>
      </c>
      <c r="B6" s="13">
        <f t="shared" si="15"/>
        <v>2483.4499999999998</v>
      </c>
      <c r="C6" s="14">
        <f t="shared" si="0"/>
        <v>-5.7134228593287539E-2</v>
      </c>
      <c r="D6" s="13">
        <f>[2]Data_Analysis!E9</f>
        <v>8492.08</v>
      </c>
      <c r="E6" s="13">
        <f t="shared" si="16"/>
        <v>8971.5499999999993</v>
      </c>
      <c r="F6" s="14">
        <f t="shared" si="1"/>
        <v>-5.34433849223378E-2</v>
      </c>
      <c r="G6" s="13">
        <f>[2]Data_Analysis!H9</f>
        <v>2946.72</v>
      </c>
      <c r="H6" s="13">
        <f t="shared" si="17"/>
        <v>3112.31</v>
      </c>
      <c r="I6" s="15">
        <f t="shared" si="2"/>
        <v>-5.3204854272228763E-2</v>
      </c>
      <c r="J6" s="13">
        <f>[2]Data_Analysis!K9</f>
        <v>10881.05</v>
      </c>
      <c r="K6" s="13">
        <f t="shared" si="18"/>
        <v>11617.75</v>
      </c>
      <c r="L6" s="14">
        <f t="shared" si="3"/>
        <v>-6.3411590023885966E-2</v>
      </c>
      <c r="M6" s="13">
        <f>[2]Data_Analysis!N9</f>
        <v>1510.73</v>
      </c>
      <c r="N6" s="13">
        <f t="shared" si="19"/>
        <v>1583.91</v>
      </c>
      <c r="O6" s="14">
        <f t="shared" si="4"/>
        <v>-4.6202120069953501E-2</v>
      </c>
      <c r="P6" s="13">
        <f>[2]Data_Analysis!Q9</f>
        <v>1210.93</v>
      </c>
      <c r="Q6" s="13">
        <f t="shared" si="20"/>
        <v>1264.24</v>
      </c>
      <c r="R6" s="14">
        <f t="shared" si="5"/>
        <v>-4.2167626400050562E-2</v>
      </c>
      <c r="S6" s="13">
        <f>[2]Data_Analysis!T9</f>
        <v>261.45</v>
      </c>
      <c r="T6" s="13">
        <f t="shared" si="21"/>
        <v>276.58</v>
      </c>
      <c r="U6" s="14">
        <f t="shared" si="6"/>
        <v>-5.4703883144117449E-2</v>
      </c>
      <c r="V6" s="13">
        <f>[2]Data_Analysis!W9</f>
        <v>281.77</v>
      </c>
      <c r="W6" s="13">
        <f t="shared" si="22"/>
        <v>297.58</v>
      </c>
      <c r="X6" s="14">
        <f t="shared" si="7"/>
        <v>-5.3128570468445435E-2</v>
      </c>
      <c r="Y6" s="13">
        <f>[2]Data_Analysis!Z9</f>
        <v>257.83</v>
      </c>
      <c r="Z6" s="13">
        <f t="shared" si="23"/>
        <v>271.39</v>
      </c>
      <c r="AA6" s="14">
        <f t="shared" si="8"/>
        <v>-4.9964995025608916E-2</v>
      </c>
      <c r="AB6" s="13">
        <f>[2]Data_Analysis!AC9</f>
        <v>1197.32</v>
      </c>
      <c r="AC6" s="13">
        <f t="shared" si="24"/>
        <v>1251.92</v>
      </c>
      <c r="AD6" s="14">
        <f t="shared" si="9"/>
        <v>-4.3613010416001075E-2</v>
      </c>
      <c r="AE6" s="13">
        <f>[2]Data_Analysis!AF9</f>
        <v>975.43</v>
      </c>
      <c r="AF6" s="13">
        <f t="shared" si="25"/>
        <v>1026.3399999999999</v>
      </c>
      <c r="AG6" s="14">
        <f t="shared" si="10"/>
        <v>-4.9603445252060729E-2</v>
      </c>
      <c r="AH6" s="13">
        <f>[2]Data_Analysis!AI9</f>
        <v>5109.8599999999997</v>
      </c>
      <c r="AI6" s="13">
        <f t="shared" si="26"/>
        <v>5387.19</v>
      </c>
      <c r="AJ6" s="14">
        <f t="shared" si="11"/>
        <v>-5.1479528288402632E-2</v>
      </c>
      <c r="AK6" s="13">
        <f>[2]Data_Analysis!AL9</f>
        <v>952.1</v>
      </c>
      <c r="AL6" s="13">
        <f t="shared" si="27"/>
        <v>984.93</v>
      </c>
      <c r="AM6" s="14">
        <f t="shared" si="12"/>
        <v>-3.3332318032753494E-2</v>
      </c>
      <c r="AN6" s="13">
        <f>[2]Data_Analysis!AO9</f>
        <v>947.13</v>
      </c>
      <c r="AO6" s="13">
        <f t="shared" si="28"/>
        <v>995.46</v>
      </c>
      <c r="AP6" s="14">
        <f t="shared" si="13"/>
        <v>-4.855041890181433E-2</v>
      </c>
      <c r="AQ6" s="13">
        <f>[2]Data_Analysis!AR9</f>
        <v>178.42</v>
      </c>
      <c r="AR6" s="13">
        <f t="shared" si="29"/>
        <v>186.47</v>
      </c>
      <c r="AS6" s="14">
        <f t="shared" si="14"/>
        <v>-4.317048318764416E-2</v>
      </c>
    </row>
    <row r="7" spans="1:45" x14ac:dyDescent="0.25">
      <c r="A7" s="13">
        <f>[2]Data_Analysis!B10</f>
        <v>2304.6799999999998</v>
      </c>
      <c r="B7" s="13">
        <f t="shared" si="15"/>
        <v>2483.4499999999998</v>
      </c>
      <c r="C7" s="14">
        <f t="shared" si="0"/>
        <v>-7.1984537639171342E-2</v>
      </c>
      <c r="D7" s="13">
        <f>[2]Data_Analysis!E10</f>
        <v>8312.24</v>
      </c>
      <c r="E7" s="13">
        <f t="shared" si="16"/>
        <v>8971.5499999999993</v>
      </c>
      <c r="F7" s="14">
        <f t="shared" si="1"/>
        <v>-7.3488973477269792E-2</v>
      </c>
      <c r="G7" s="13">
        <f>[2]Data_Analysis!H10</f>
        <v>2886.93</v>
      </c>
      <c r="H7" s="13">
        <f t="shared" si="17"/>
        <v>3112.31</v>
      </c>
      <c r="I7" s="15">
        <f t="shared" si="2"/>
        <v>-7.2415665534602991E-2</v>
      </c>
      <c r="J7" s="13">
        <f>[2]Data_Analysis!K10</f>
        <v>10598.01</v>
      </c>
      <c r="K7" s="13">
        <f t="shared" si="18"/>
        <v>11617.75</v>
      </c>
      <c r="L7" s="14">
        <f t="shared" si="3"/>
        <v>-8.7774310860536664E-2</v>
      </c>
      <c r="M7" s="13">
        <f>[2]Data_Analysis!N10</f>
        <v>1473.77</v>
      </c>
      <c r="N7" s="13">
        <f t="shared" si="19"/>
        <v>1583.91</v>
      </c>
      <c r="O7" s="14">
        <f t="shared" si="4"/>
        <v>-6.9536779236194057E-2</v>
      </c>
      <c r="P7" s="13">
        <f>[2]Data_Analysis!Q10</f>
        <v>1181.48</v>
      </c>
      <c r="Q7" s="13">
        <f t="shared" si="20"/>
        <v>1264.24</v>
      </c>
      <c r="R7" s="14">
        <f t="shared" si="5"/>
        <v>-6.5462254002404574E-2</v>
      </c>
      <c r="S7" s="13">
        <f>[2]Data_Analysis!T10</f>
        <v>256.5</v>
      </c>
      <c r="T7" s="13">
        <f t="shared" si="21"/>
        <v>276.58</v>
      </c>
      <c r="U7" s="14">
        <f t="shared" si="6"/>
        <v>-7.2601055752404275E-2</v>
      </c>
      <c r="V7" s="13">
        <f>[2]Data_Analysis!W10</f>
        <v>276.57</v>
      </c>
      <c r="W7" s="13">
        <f t="shared" si="22"/>
        <v>297.58</v>
      </c>
      <c r="X7" s="14">
        <f t="shared" si="7"/>
        <v>-7.0602863095638124E-2</v>
      </c>
      <c r="Y7" s="13">
        <f>[2]Data_Analysis!Z10</f>
        <v>252.6</v>
      </c>
      <c r="Z7" s="13">
        <f t="shared" si="23"/>
        <v>271.39</v>
      </c>
      <c r="AA7" s="14">
        <f t="shared" si="8"/>
        <v>-6.9236154611444722E-2</v>
      </c>
      <c r="AB7" s="13">
        <f>[2]Data_Analysis!AC10</f>
        <v>1170.2</v>
      </c>
      <c r="AC7" s="13">
        <f t="shared" si="24"/>
        <v>1251.92</v>
      </c>
      <c r="AD7" s="14">
        <f t="shared" si="9"/>
        <v>-6.5275736468783929E-2</v>
      </c>
      <c r="AE7" s="13">
        <f>[2]Data_Analysis!AF10</f>
        <v>952.99</v>
      </c>
      <c r="AF7" s="13">
        <f t="shared" si="25"/>
        <v>1026.3399999999999</v>
      </c>
      <c r="AG7" s="14">
        <f t="shared" si="10"/>
        <v>-7.1467544868172306E-2</v>
      </c>
      <c r="AH7" s="13">
        <f>[2]Data_Analysis!AI10</f>
        <v>5077.26</v>
      </c>
      <c r="AI7" s="13">
        <f t="shared" si="26"/>
        <v>5387.19</v>
      </c>
      <c r="AJ7" s="14">
        <f t="shared" si="11"/>
        <v>-5.7530920572691824E-2</v>
      </c>
      <c r="AK7" s="13">
        <f>[2]Data_Analysis!AL10</f>
        <v>932.1</v>
      </c>
      <c r="AL7" s="13">
        <f t="shared" si="27"/>
        <v>984.93</v>
      </c>
      <c r="AM7" s="14">
        <f t="shared" si="12"/>
        <v>-5.3638329627486159E-2</v>
      </c>
      <c r="AN7" s="13">
        <f>[2]Data_Analysis!AO10</f>
        <v>933.13</v>
      </c>
      <c r="AO7" s="13">
        <f t="shared" si="28"/>
        <v>995.46</v>
      </c>
      <c r="AP7" s="14">
        <f t="shared" si="13"/>
        <v>-6.2614268780262439E-2</v>
      </c>
      <c r="AQ7" s="13">
        <f>[2]Data_Analysis!AR10</f>
        <v>175.72</v>
      </c>
      <c r="AR7" s="13">
        <f t="shared" si="29"/>
        <v>186.47</v>
      </c>
      <c r="AS7" s="14">
        <f t="shared" si="14"/>
        <v>-5.7650024132568256E-2</v>
      </c>
    </row>
    <row r="8" spans="1:45" x14ac:dyDescent="0.25">
      <c r="A8" s="13">
        <f>[2]Data_Analysis!B11</f>
        <v>2327.56</v>
      </c>
      <c r="B8" s="13">
        <f t="shared" si="15"/>
        <v>2483.4499999999998</v>
      </c>
      <c r="C8" s="14">
        <f t="shared" si="0"/>
        <v>-6.2771547645412595E-2</v>
      </c>
      <c r="D8" s="13">
        <f>[2]Data_Analysis!E11</f>
        <v>8436.74</v>
      </c>
      <c r="E8" s="13">
        <f t="shared" si="16"/>
        <v>8971.5499999999993</v>
      </c>
      <c r="F8" s="14">
        <f t="shared" si="1"/>
        <v>-5.9611772770591376E-2</v>
      </c>
      <c r="G8" s="13">
        <f>[2]Data_Analysis!H11</f>
        <v>2921.65</v>
      </c>
      <c r="H8" s="13">
        <f t="shared" si="17"/>
        <v>3112.31</v>
      </c>
      <c r="I8" s="15">
        <f t="shared" si="2"/>
        <v>-6.1259964463694083E-2</v>
      </c>
      <c r="J8" s="13">
        <f>[2]Data_Analysis!K11</f>
        <v>10669.58</v>
      </c>
      <c r="K8" s="13">
        <f t="shared" si="18"/>
        <v>11617.75</v>
      </c>
      <c r="L8" s="14">
        <f t="shared" si="3"/>
        <v>-8.1613909750166802E-2</v>
      </c>
      <c r="M8" s="13">
        <f>[2]Data_Analysis!N11</f>
        <v>1494.53</v>
      </c>
      <c r="N8" s="13">
        <f t="shared" si="19"/>
        <v>1583.91</v>
      </c>
      <c r="O8" s="14">
        <f t="shared" si="4"/>
        <v>-5.6429973925286259E-2</v>
      </c>
      <c r="P8" s="13">
        <f>[2]Data_Analysis!Q11</f>
        <v>1204.6500000000001</v>
      </c>
      <c r="Q8" s="13">
        <f t="shared" si="20"/>
        <v>1264.24</v>
      </c>
      <c r="R8" s="14">
        <f t="shared" si="5"/>
        <v>-4.7135037651078848E-2</v>
      </c>
      <c r="S8" s="13">
        <f>[2]Data_Analysis!T11</f>
        <v>259.93</v>
      </c>
      <c r="T8" s="13">
        <f t="shared" si="21"/>
        <v>276.58</v>
      </c>
      <c r="U8" s="14">
        <f t="shared" si="6"/>
        <v>-6.0199580591510538E-2</v>
      </c>
      <c r="V8" s="13">
        <f>[2]Data_Analysis!W11</f>
        <v>279.99</v>
      </c>
      <c r="W8" s="13">
        <f t="shared" si="22"/>
        <v>297.58</v>
      </c>
      <c r="X8" s="14">
        <f t="shared" si="7"/>
        <v>-5.9110155252369068E-2</v>
      </c>
      <c r="Y8" s="13">
        <f>[2]Data_Analysis!Z11</f>
        <v>256.08999999999997</v>
      </c>
      <c r="Z8" s="13">
        <f t="shared" si="23"/>
        <v>271.39</v>
      </c>
      <c r="AA8" s="14">
        <f t="shared" si="8"/>
        <v>-5.6376432440399471E-2</v>
      </c>
      <c r="AB8" s="13">
        <f>[2]Data_Analysis!AC11</f>
        <v>1188.25</v>
      </c>
      <c r="AC8" s="13">
        <f t="shared" si="24"/>
        <v>1251.92</v>
      </c>
      <c r="AD8" s="14">
        <f t="shared" si="9"/>
        <v>-5.0857882292798307E-2</v>
      </c>
      <c r="AE8" s="13">
        <f>[2]Data_Analysis!AF11</f>
        <v>966.41</v>
      </c>
      <c r="AF8" s="13">
        <f t="shared" si="25"/>
        <v>1026.3399999999999</v>
      </c>
      <c r="AG8" s="14">
        <f t="shared" si="10"/>
        <v>-5.839195588206636E-2</v>
      </c>
      <c r="AH8" s="13">
        <f>[2]Data_Analysis!AI11</f>
        <v>5129.03</v>
      </c>
      <c r="AI8" s="13">
        <f t="shared" si="26"/>
        <v>5387.19</v>
      </c>
      <c r="AJ8" s="14">
        <f t="shared" si="11"/>
        <v>-4.7921086874604391E-2</v>
      </c>
      <c r="AK8" s="13">
        <f>[2]Data_Analysis!AL11</f>
        <v>944.64</v>
      </c>
      <c r="AL8" s="13">
        <f t="shared" si="27"/>
        <v>984.93</v>
      </c>
      <c r="AM8" s="14">
        <f t="shared" si="12"/>
        <v>-4.0906460357588825E-2</v>
      </c>
      <c r="AN8" s="13">
        <f>[2]Data_Analysis!AO11</f>
        <v>943.57</v>
      </c>
      <c r="AO8" s="13">
        <f t="shared" si="28"/>
        <v>995.46</v>
      </c>
      <c r="AP8" s="14">
        <f t="shared" si="13"/>
        <v>-5.2126655013762457E-2</v>
      </c>
      <c r="AQ8" s="13">
        <f>[2]Data_Analysis!AR11</f>
        <v>178.29</v>
      </c>
      <c r="AR8" s="13">
        <f t="shared" si="29"/>
        <v>186.47</v>
      </c>
      <c r="AS8" s="14">
        <f t="shared" si="14"/>
        <v>-4.3867646270177585E-2</v>
      </c>
    </row>
    <row r="9" spans="1:45" x14ac:dyDescent="0.25">
      <c r="A9" s="13">
        <f>[2]Data_Analysis!B12</f>
        <v>2347.75</v>
      </c>
      <c r="B9" s="13">
        <f t="shared" si="15"/>
        <v>2483.4499999999998</v>
      </c>
      <c r="C9" s="14">
        <f t="shared" si="0"/>
        <v>-5.4641728240955034E-2</v>
      </c>
      <c r="D9" s="13">
        <f>[2]Data_Analysis!E12</f>
        <v>8479.4599999999991</v>
      </c>
      <c r="E9" s="13">
        <f t="shared" si="16"/>
        <v>8971.5499999999993</v>
      </c>
      <c r="F9" s="14">
        <f t="shared" si="1"/>
        <v>-5.4850053781119179E-2</v>
      </c>
      <c r="G9" s="13">
        <f>[2]Data_Analysis!H12</f>
        <v>2934.75</v>
      </c>
      <c r="H9" s="13">
        <f t="shared" si="17"/>
        <v>3112.31</v>
      </c>
      <c r="I9" s="15">
        <f t="shared" si="2"/>
        <v>-5.7050872181755641E-2</v>
      </c>
      <c r="J9" s="13">
        <f>[2]Data_Analysis!K12</f>
        <v>10761.88</v>
      </c>
      <c r="K9" s="13">
        <f t="shared" si="18"/>
        <v>11617.75</v>
      </c>
      <c r="L9" s="14">
        <f t="shared" si="3"/>
        <v>-7.3669170020012498E-2</v>
      </c>
      <c r="M9" s="13">
        <f>[2]Data_Analysis!N12</f>
        <v>1503.38</v>
      </c>
      <c r="N9" s="13">
        <f t="shared" si="19"/>
        <v>1583.91</v>
      </c>
      <c r="O9" s="14">
        <f t="shared" si="4"/>
        <v>-5.0842535245058107E-2</v>
      </c>
      <c r="P9" s="13">
        <f>[2]Data_Analysis!Q12</f>
        <v>1211.1600000000001</v>
      </c>
      <c r="Q9" s="13">
        <f t="shared" si="20"/>
        <v>1264.24</v>
      </c>
      <c r="R9" s="14">
        <f t="shared" si="5"/>
        <v>-4.1985698917926917E-2</v>
      </c>
      <c r="S9" s="13">
        <f>[2]Data_Analysis!T12</f>
        <v>261.52999999999997</v>
      </c>
      <c r="T9" s="13">
        <f t="shared" si="21"/>
        <v>276.58</v>
      </c>
      <c r="U9" s="14">
        <f t="shared" si="6"/>
        <v>-5.441463591004414E-2</v>
      </c>
      <c r="V9" s="13">
        <f>[2]Data_Analysis!W12</f>
        <v>281.83999999999997</v>
      </c>
      <c r="W9" s="13">
        <f t="shared" si="22"/>
        <v>297.58</v>
      </c>
      <c r="X9" s="14">
        <f t="shared" si="7"/>
        <v>-5.2893339606156387E-2</v>
      </c>
      <c r="Y9" s="13">
        <f>[2]Data_Analysis!Z12</f>
        <v>257.61</v>
      </c>
      <c r="Z9" s="13">
        <f t="shared" si="23"/>
        <v>271.39</v>
      </c>
      <c r="AA9" s="14">
        <f t="shared" si="8"/>
        <v>-5.0775636537823687E-2</v>
      </c>
      <c r="AB9" s="13">
        <f>[2]Data_Analysis!AC12</f>
        <v>1195.73</v>
      </c>
      <c r="AC9" s="13">
        <f t="shared" si="24"/>
        <v>1251.92</v>
      </c>
      <c r="AD9" s="14">
        <f t="shared" si="9"/>
        <v>-4.4883059620423049E-2</v>
      </c>
      <c r="AE9" s="13">
        <f>[2]Data_Analysis!AF12</f>
        <v>974.31</v>
      </c>
      <c r="AF9" s="13">
        <f t="shared" si="25"/>
        <v>1026.3399999999999</v>
      </c>
      <c r="AG9" s="14">
        <f t="shared" si="10"/>
        <v>-5.069470156088618E-2</v>
      </c>
      <c r="AH9" s="13">
        <f>[2]Data_Analysis!AI12</f>
        <v>5164.29</v>
      </c>
      <c r="AI9" s="13">
        <f t="shared" si="26"/>
        <v>5387.19</v>
      </c>
      <c r="AJ9" s="14">
        <f t="shared" si="11"/>
        <v>-4.1375930680001893E-2</v>
      </c>
      <c r="AK9" s="13">
        <f>[2]Data_Analysis!AL12</f>
        <v>948.39</v>
      </c>
      <c r="AL9" s="13">
        <f t="shared" si="27"/>
        <v>984.93</v>
      </c>
      <c r="AM9" s="14">
        <f t="shared" si="12"/>
        <v>-3.7099083183576465E-2</v>
      </c>
      <c r="AN9" s="13">
        <f>[2]Data_Analysis!AO12</f>
        <v>947.15</v>
      </c>
      <c r="AO9" s="13">
        <f t="shared" si="28"/>
        <v>995.46</v>
      </c>
      <c r="AP9" s="14">
        <f t="shared" si="13"/>
        <v>-4.8530327687702268E-2</v>
      </c>
      <c r="AQ9" s="13">
        <f>[2]Data_Analysis!AR12</f>
        <v>179.64</v>
      </c>
      <c r="AR9" s="13">
        <f t="shared" si="29"/>
        <v>186.47</v>
      </c>
      <c r="AS9" s="14">
        <f t="shared" si="14"/>
        <v>-3.6627875797715537E-2</v>
      </c>
    </row>
    <row r="10" spans="1:45" x14ac:dyDescent="0.25">
      <c r="A10" s="13">
        <f>[2]Data_Analysis!B13</f>
        <v>2262.37</v>
      </c>
      <c r="B10" s="13">
        <f t="shared" si="15"/>
        <v>2483.4499999999998</v>
      </c>
      <c r="C10" s="14">
        <f t="shared" si="0"/>
        <v>-8.9021321145986376E-2</v>
      </c>
      <c r="D10" s="13">
        <f>[2]Data_Analysis!E13</f>
        <v>8208.8700000000008</v>
      </c>
      <c r="E10" s="13">
        <f t="shared" si="16"/>
        <v>8971.5499999999993</v>
      </c>
      <c r="F10" s="14">
        <f t="shared" si="1"/>
        <v>-8.5010951284894887E-2</v>
      </c>
      <c r="G10" s="13">
        <f>[2]Data_Analysis!H13</f>
        <v>2829.67</v>
      </c>
      <c r="H10" s="13">
        <f t="shared" si="17"/>
        <v>3112.31</v>
      </c>
      <c r="I10" s="15">
        <f t="shared" si="2"/>
        <v>-9.0813575768480592E-2</v>
      </c>
      <c r="J10" s="13">
        <f>[2]Data_Analysis!K13</f>
        <v>10327.42</v>
      </c>
      <c r="K10" s="13">
        <f t="shared" si="18"/>
        <v>11617.75</v>
      </c>
      <c r="L10" s="14">
        <f t="shared" si="3"/>
        <v>-0.11106539562307671</v>
      </c>
      <c r="M10" s="13">
        <f>[2]Data_Analysis!N13</f>
        <v>1449.73</v>
      </c>
      <c r="N10" s="13">
        <f t="shared" si="19"/>
        <v>1583.91</v>
      </c>
      <c r="O10" s="14">
        <f t="shared" si="4"/>
        <v>-8.4714409278304981E-2</v>
      </c>
      <c r="P10" s="13">
        <f>[2]Data_Analysis!Q13</f>
        <v>1172.99</v>
      </c>
      <c r="Q10" s="13">
        <f t="shared" si="20"/>
        <v>1264.24</v>
      </c>
      <c r="R10" s="14">
        <f t="shared" si="5"/>
        <v>-7.2177751059925299E-2</v>
      </c>
      <c r="S10" s="13">
        <f>[2]Data_Analysis!T13</f>
        <v>252.83</v>
      </c>
      <c r="T10" s="13">
        <f t="shared" si="21"/>
        <v>276.58</v>
      </c>
      <c r="U10" s="14">
        <f t="shared" si="6"/>
        <v>-8.5870272615518051E-2</v>
      </c>
      <c r="V10" s="13">
        <f>[2]Data_Analysis!W13</f>
        <v>271.75</v>
      </c>
      <c r="W10" s="13">
        <f t="shared" si="22"/>
        <v>297.58</v>
      </c>
      <c r="X10" s="14">
        <f t="shared" si="7"/>
        <v>-8.6800188184689819E-2</v>
      </c>
      <c r="Y10" s="13">
        <f>[2]Data_Analysis!Z13</f>
        <v>248.54</v>
      </c>
      <c r="Z10" s="13">
        <f t="shared" si="23"/>
        <v>271.39</v>
      </c>
      <c r="AA10" s="14">
        <f t="shared" si="8"/>
        <v>-8.4196175245956018E-2</v>
      </c>
      <c r="AB10" s="13">
        <f>[2]Data_Analysis!AC13</f>
        <v>1156.3</v>
      </c>
      <c r="AC10" s="13">
        <f t="shared" si="24"/>
        <v>1251.92</v>
      </c>
      <c r="AD10" s="14">
        <f t="shared" si="9"/>
        <v>-7.6378682343919868E-2</v>
      </c>
      <c r="AE10" s="13">
        <f>[2]Data_Analysis!AF13</f>
        <v>943.06</v>
      </c>
      <c r="AF10" s="13">
        <f t="shared" si="25"/>
        <v>1026.3399999999999</v>
      </c>
      <c r="AG10" s="14">
        <f t="shared" si="10"/>
        <v>-8.1142701249098725E-2</v>
      </c>
      <c r="AH10" s="13">
        <f>[2]Data_Analysis!AI13</f>
        <v>4951.62</v>
      </c>
      <c r="AI10" s="13">
        <f t="shared" si="26"/>
        <v>5387.19</v>
      </c>
      <c r="AJ10" s="14">
        <f t="shared" si="11"/>
        <v>-8.0852912186130332E-2</v>
      </c>
      <c r="AK10" s="13">
        <f>[2]Data_Analysis!AL13</f>
        <v>918.25</v>
      </c>
      <c r="AL10" s="13">
        <f t="shared" si="27"/>
        <v>984.93</v>
      </c>
      <c r="AM10" s="14">
        <f t="shared" si="12"/>
        <v>-6.7700242656838494E-2</v>
      </c>
      <c r="AN10" s="13">
        <f>[2]Data_Analysis!AO13</f>
        <v>914.11</v>
      </c>
      <c r="AO10" s="13">
        <f t="shared" si="28"/>
        <v>995.46</v>
      </c>
      <c r="AP10" s="14">
        <f t="shared" si="13"/>
        <v>-8.1721013400839815E-2</v>
      </c>
      <c r="AQ10" s="13">
        <f>[2]Data_Analysis!AR13</f>
        <v>174.33</v>
      </c>
      <c r="AR10" s="13">
        <f t="shared" si="29"/>
        <v>186.47</v>
      </c>
      <c r="AS10" s="14">
        <f t="shared" si="14"/>
        <v>-6.5104306322732786E-2</v>
      </c>
    </row>
    <row r="11" spans="1:45" x14ac:dyDescent="0.25">
      <c r="A11" s="13">
        <f>[2]Data_Analysis!B14</f>
        <v>2114.92</v>
      </c>
      <c r="B11" s="13">
        <f t="shared" si="15"/>
        <v>2483.4499999999998</v>
      </c>
      <c r="C11" s="14">
        <f t="shared" si="0"/>
        <v>-0.14839437073426076</v>
      </c>
      <c r="D11" s="13">
        <f>[2]Data_Analysis!E14</f>
        <v>7665.33</v>
      </c>
      <c r="E11" s="13">
        <f t="shared" si="16"/>
        <v>8971.5499999999993</v>
      </c>
      <c r="F11" s="14">
        <f t="shared" si="1"/>
        <v>-0.14559580005684636</v>
      </c>
      <c r="G11" s="13">
        <f>[2]Data_Analysis!H14</f>
        <v>2666.19</v>
      </c>
      <c r="H11" s="13">
        <f t="shared" si="17"/>
        <v>3112.31</v>
      </c>
      <c r="I11" s="15">
        <f t="shared" si="2"/>
        <v>-0.14334047700903829</v>
      </c>
      <c r="J11" s="13">
        <f>[2]Data_Analysis!K14</f>
        <v>9548.9599999999991</v>
      </c>
      <c r="K11" s="13">
        <f t="shared" si="18"/>
        <v>11617.75</v>
      </c>
      <c r="L11" s="14">
        <f t="shared" si="3"/>
        <v>-0.17807148544253415</v>
      </c>
      <c r="M11" s="13">
        <f>[2]Data_Analysis!N14</f>
        <v>1352.23</v>
      </c>
      <c r="N11" s="13">
        <f t="shared" si="19"/>
        <v>1583.91</v>
      </c>
      <c r="O11" s="14">
        <f t="shared" si="4"/>
        <v>-0.14627093711132577</v>
      </c>
      <c r="P11" s="13">
        <f>[2]Data_Analysis!Q14</f>
        <v>1091.06</v>
      </c>
      <c r="Q11" s="13">
        <f t="shared" si="20"/>
        <v>1264.24</v>
      </c>
      <c r="R11" s="14">
        <f t="shared" si="5"/>
        <v>-0.13698348414857942</v>
      </c>
      <c r="S11" s="13">
        <f>[2]Data_Analysis!T14</f>
        <v>237.86</v>
      </c>
      <c r="T11" s="13">
        <f t="shared" si="21"/>
        <v>276.58</v>
      </c>
      <c r="U11" s="14">
        <f t="shared" si="6"/>
        <v>-0.13999566129148877</v>
      </c>
      <c r="V11" s="13">
        <f>[2]Data_Analysis!W14</f>
        <v>254.98</v>
      </c>
      <c r="W11" s="13">
        <f t="shared" si="22"/>
        <v>297.58</v>
      </c>
      <c r="X11" s="14">
        <f t="shared" si="7"/>
        <v>-0.14315478190738629</v>
      </c>
      <c r="Y11" s="13">
        <f>[2]Data_Analysis!Z14</f>
        <v>232.68</v>
      </c>
      <c r="Z11" s="13">
        <f t="shared" si="23"/>
        <v>271.39</v>
      </c>
      <c r="AA11" s="14">
        <f t="shared" si="8"/>
        <v>-0.14263605880835695</v>
      </c>
      <c r="AB11" s="13">
        <f>[2]Data_Analysis!AC14</f>
        <v>1081.76</v>
      </c>
      <c r="AC11" s="13">
        <f t="shared" si="24"/>
        <v>1251.92</v>
      </c>
      <c r="AD11" s="14">
        <f t="shared" si="9"/>
        <v>-0.13591922806569112</v>
      </c>
      <c r="AE11" s="13">
        <f>[2]Data_Analysis!AF14</f>
        <v>882.03</v>
      </c>
      <c r="AF11" s="13">
        <f t="shared" si="25"/>
        <v>1026.3399999999999</v>
      </c>
      <c r="AG11" s="14">
        <f t="shared" si="10"/>
        <v>-0.14060642672019019</v>
      </c>
      <c r="AH11" s="13">
        <f>[2]Data_Analysis!AI14</f>
        <v>4635.76</v>
      </c>
      <c r="AI11" s="13">
        <f t="shared" si="26"/>
        <v>5387.19</v>
      </c>
      <c r="AJ11" s="14">
        <f t="shared" si="11"/>
        <v>-0.13948459215286624</v>
      </c>
      <c r="AK11" s="13">
        <f>[2]Data_Analysis!AL14</f>
        <v>871.25</v>
      </c>
      <c r="AL11" s="13">
        <f t="shared" si="27"/>
        <v>984.93</v>
      </c>
      <c r="AM11" s="14">
        <f t="shared" si="12"/>
        <v>-0.11541936990446022</v>
      </c>
      <c r="AN11" s="13">
        <f>[2]Data_Analysis!AO14</f>
        <v>870.29</v>
      </c>
      <c r="AO11" s="13">
        <f t="shared" si="28"/>
        <v>995.46</v>
      </c>
      <c r="AP11" s="14">
        <f t="shared" si="13"/>
        <v>-0.12574086352038261</v>
      </c>
      <c r="AQ11" s="13">
        <f>[2]Data_Analysis!AR14</f>
        <v>164.83</v>
      </c>
      <c r="AR11" s="13">
        <f t="shared" si="29"/>
        <v>186.47</v>
      </c>
      <c r="AS11" s="14">
        <f t="shared" si="14"/>
        <v>-0.11605083927709547</v>
      </c>
    </row>
    <row r="12" spans="1:45" x14ac:dyDescent="0.25">
      <c r="A12" s="13">
        <f>[2]Data_Analysis!B15</f>
        <v>2053.86</v>
      </c>
      <c r="B12" s="13">
        <f t="shared" si="15"/>
        <v>2483.4499999999998</v>
      </c>
      <c r="C12" s="14">
        <f t="shared" si="0"/>
        <v>-0.17298113511445756</v>
      </c>
      <c r="D12" s="13">
        <f>[2]Data_Analysis!E15</f>
        <v>7535.75</v>
      </c>
      <c r="E12" s="13">
        <f t="shared" si="16"/>
        <v>8971.5499999999993</v>
      </c>
      <c r="F12" s="14">
        <f t="shared" si="1"/>
        <v>-0.16003923513774088</v>
      </c>
      <c r="G12" s="13">
        <f>[2]Data_Analysis!H15</f>
        <v>2611.6799999999998</v>
      </c>
      <c r="H12" s="13">
        <f t="shared" si="17"/>
        <v>3112.31</v>
      </c>
      <c r="I12" s="15">
        <f t="shared" si="2"/>
        <v>-0.16085479916846335</v>
      </c>
      <c r="J12" s="13">
        <f>[2]Data_Analysis!K15</f>
        <v>9344.9</v>
      </c>
      <c r="K12" s="13">
        <f t="shared" si="18"/>
        <v>11617.75</v>
      </c>
      <c r="L12" s="14">
        <f t="shared" si="3"/>
        <v>-0.19563598803554905</v>
      </c>
      <c r="M12" s="13">
        <f>[2]Data_Analysis!N15</f>
        <v>1330.78</v>
      </c>
      <c r="N12" s="13">
        <f t="shared" si="19"/>
        <v>1583.91</v>
      </c>
      <c r="O12" s="14">
        <f t="shared" si="4"/>
        <v>-0.15981337323459044</v>
      </c>
      <c r="P12" s="13">
        <f>[2]Data_Analysis!Q15</f>
        <v>1069</v>
      </c>
      <c r="Q12" s="13">
        <f t="shared" si="20"/>
        <v>1264.24</v>
      </c>
      <c r="R12" s="14">
        <f t="shared" si="5"/>
        <v>-0.1544327026513953</v>
      </c>
      <c r="S12" s="13">
        <f>[2]Data_Analysis!T15</f>
        <v>233.41</v>
      </c>
      <c r="T12" s="13">
        <f t="shared" si="21"/>
        <v>276.58</v>
      </c>
      <c r="U12" s="14">
        <f t="shared" si="6"/>
        <v>-0.15608503868681756</v>
      </c>
      <c r="V12" s="13">
        <f>[2]Data_Analysis!W15</f>
        <v>250.5</v>
      </c>
      <c r="W12" s="13">
        <f t="shared" si="22"/>
        <v>297.58</v>
      </c>
      <c r="X12" s="14">
        <f t="shared" si="7"/>
        <v>-0.15820955709389062</v>
      </c>
      <c r="Y12" s="13">
        <f>[2]Data_Analysis!Z15</f>
        <v>228.38</v>
      </c>
      <c r="Z12" s="13">
        <f t="shared" si="23"/>
        <v>271.39</v>
      </c>
      <c r="AA12" s="14">
        <f t="shared" si="8"/>
        <v>-0.15848041563801174</v>
      </c>
      <c r="AB12" s="13">
        <f>[2]Data_Analysis!AC15</f>
        <v>1062.3399999999999</v>
      </c>
      <c r="AC12" s="13">
        <f t="shared" si="24"/>
        <v>1251.92</v>
      </c>
      <c r="AD12" s="14">
        <f t="shared" si="9"/>
        <v>-0.15143140136749966</v>
      </c>
      <c r="AE12" s="13">
        <f>[2]Data_Analysis!AF15</f>
        <v>867.17</v>
      </c>
      <c r="AF12" s="13">
        <f t="shared" si="25"/>
        <v>1026.3399999999999</v>
      </c>
      <c r="AG12" s="14">
        <f t="shared" si="10"/>
        <v>-0.15508505953192897</v>
      </c>
      <c r="AH12" s="13">
        <f>[2]Data_Analysis!AI15</f>
        <v>4502.45</v>
      </c>
      <c r="AI12" s="13">
        <f t="shared" si="26"/>
        <v>5387.19</v>
      </c>
      <c r="AJ12" s="14">
        <f t="shared" si="11"/>
        <v>-0.16423033158288458</v>
      </c>
      <c r="AK12" s="13">
        <f>[2]Data_Analysis!AL15</f>
        <v>858.88</v>
      </c>
      <c r="AL12" s="13">
        <f t="shared" si="27"/>
        <v>984.93</v>
      </c>
      <c r="AM12" s="14">
        <f t="shared" si="12"/>
        <v>-0.12797863807580234</v>
      </c>
      <c r="AN12" s="13">
        <f>[2]Data_Analysis!AO15</f>
        <v>858.67</v>
      </c>
      <c r="AO12" s="13">
        <f t="shared" si="28"/>
        <v>995.46</v>
      </c>
      <c r="AP12" s="14">
        <f t="shared" si="13"/>
        <v>-0.13741385891949454</v>
      </c>
      <c r="AQ12" s="13">
        <f>[2]Data_Analysis!AR15</f>
        <v>162.77000000000001</v>
      </c>
      <c r="AR12" s="13">
        <f t="shared" si="29"/>
        <v>186.47</v>
      </c>
      <c r="AS12" s="14">
        <f t="shared" si="14"/>
        <v>-0.12709819273877832</v>
      </c>
    </row>
    <row r="13" spans="1:45" x14ac:dyDescent="0.25">
      <c r="A13" s="13">
        <f>[2]Data_Analysis!B16</f>
        <v>2113.5500000000002</v>
      </c>
      <c r="B13" s="13">
        <f t="shared" si="15"/>
        <v>2483.4499999999998</v>
      </c>
      <c r="C13" s="14">
        <f t="shared" si="0"/>
        <v>-0.14894602267007573</v>
      </c>
      <c r="D13" s="13">
        <f>[2]Data_Analysis!E16</f>
        <v>7740.9</v>
      </c>
      <c r="E13" s="13">
        <f t="shared" si="16"/>
        <v>8971.5499999999993</v>
      </c>
      <c r="F13" s="14">
        <f t="shared" si="1"/>
        <v>-0.13717250642308187</v>
      </c>
      <c r="G13" s="13">
        <f>[2]Data_Analysis!H16</f>
        <v>2676.74</v>
      </c>
      <c r="H13" s="13">
        <f t="shared" si="17"/>
        <v>3112.31</v>
      </c>
      <c r="I13" s="15">
        <f t="shared" si="2"/>
        <v>-0.13995071185068331</v>
      </c>
      <c r="J13" s="13">
        <f>[2]Data_Analysis!K16</f>
        <v>9598.56</v>
      </c>
      <c r="K13" s="13">
        <f t="shared" si="18"/>
        <v>11617.75</v>
      </c>
      <c r="L13" s="14">
        <f t="shared" si="3"/>
        <v>-0.17380215618342632</v>
      </c>
      <c r="M13" s="13">
        <f>[2]Data_Analysis!N16</f>
        <v>1361.3</v>
      </c>
      <c r="N13" s="13">
        <f t="shared" si="19"/>
        <v>1583.91</v>
      </c>
      <c r="O13" s="14">
        <f t="shared" si="4"/>
        <v>-0.14054460165034632</v>
      </c>
      <c r="P13" s="13">
        <f>[2]Data_Analysis!Q16</f>
        <v>1092.3800000000001</v>
      </c>
      <c r="Q13" s="13">
        <f t="shared" si="20"/>
        <v>1264.24</v>
      </c>
      <c r="R13" s="14">
        <f t="shared" si="5"/>
        <v>-0.13593937859900007</v>
      </c>
      <c r="S13" s="13">
        <f>[2]Data_Analysis!T16</f>
        <v>238.99</v>
      </c>
      <c r="T13" s="13">
        <f t="shared" si="21"/>
        <v>276.58</v>
      </c>
      <c r="U13" s="14">
        <f t="shared" si="6"/>
        <v>-0.13591004411020313</v>
      </c>
      <c r="V13" s="13">
        <f>[2]Data_Analysis!W16</f>
        <v>256.85000000000002</v>
      </c>
      <c r="W13" s="13">
        <f t="shared" si="22"/>
        <v>297.58</v>
      </c>
      <c r="X13" s="14">
        <f t="shared" si="7"/>
        <v>-0.1368707574433764</v>
      </c>
      <c r="Y13" s="13">
        <f>[2]Data_Analysis!Z16</f>
        <v>233.65</v>
      </c>
      <c r="Z13" s="13">
        <f t="shared" si="23"/>
        <v>271.39</v>
      </c>
      <c r="AA13" s="14">
        <f t="shared" si="8"/>
        <v>-0.13906186668631848</v>
      </c>
      <c r="AB13" s="13">
        <f>[2]Data_Analysis!AC16</f>
        <v>1085.6300000000001</v>
      </c>
      <c r="AC13" s="13">
        <f t="shared" si="24"/>
        <v>1251.92</v>
      </c>
      <c r="AD13" s="14">
        <f t="shared" si="9"/>
        <v>-0.13282797622851295</v>
      </c>
      <c r="AE13" s="13">
        <f>[2]Data_Analysis!AF16</f>
        <v>887.15</v>
      </c>
      <c r="AF13" s="13">
        <f t="shared" si="25"/>
        <v>1026.3399999999999</v>
      </c>
      <c r="AG13" s="14">
        <f t="shared" si="10"/>
        <v>-0.1356178264512734</v>
      </c>
      <c r="AH13" s="13">
        <f>[2]Data_Analysis!AI16</f>
        <v>4631.12</v>
      </c>
      <c r="AI13" s="13">
        <f t="shared" si="26"/>
        <v>5387.19</v>
      </c>
      <c r="AJ13" s="14">
        <f t="shared" si="11"/>
        <v>-0.14034589461296143</v>
      </c>
      <c r="AK13" s="13">
        <f>[2]Data_Analysis!AL16</f>
        <v>877.03</v>
      </c>
      <c r="AL13" s="13">
        <f t="shared" si="27"/>
        <v>984.93</v>
      </c>
      <c r="AM13" s="14">
        <f t="shared" si="12"/>
        <v>-0.1095509325535825</v>
      </c>
      <c r="AN13" s="13">
        <f>[2]Data_Analysis!AO16</f>
        <v>878.98</v>
      </c>
      <c r="AO13" s="13">
        <f t="shared" si="28"/>
        <v>995.46</v>
      </c>
      <c r="AP13" s="14">
        <f t="shared" si="13"/>
        <v>-0.11701123098868871</v>
      </c>
      <c r="AQ13" s="13">
        <f>[2]Data_Analysis!AR16</f>
        <v>166.38</v>
      </c>
      <c r="AR13" s="13">
        <f t="shared" si="29"/>
        <v>186.47</v>
      </c>
      <c r="AS13" s="14">
        <f t="shared" si="14"/>
        <v>-0.10773851021612058</v>
      </c>
    </row>
    <row r="14" spans="1:45" x14ac:dyDescent="0.25">
      <c r="A14" s="13">
        <f>[2]Data_Analysis!B17</f>
        <v>2113.19</v>
      </c>
      <c r="B14" s="13">
        <f t="shared" si="15"/>
        <v>2483.4499999999998</v>
      </c>
      <c r="C14" s="14">
        <f t="shared" si="0"/>
        <v>-0.14909098230284479</v>
      </c>
      <c r="D14" s="13">
        <f>[2]Data_Analysis!E17</f>
        <v>7774.55</v>
      </c>
      <c r="E14" s="13">
        <f t="shared" si="16"/>
        <v>8971.5499999999993</v>
      </c>
      <c r="F14" s="14">
        <f t="shared" si="1"/>
        <v>-0.1334217610111964</v>
      </c>
      <c r="G14" s="13">
        <f>[2]Data_Analysis!H17</f>
        <v>2671.61</v>
      </c>
      <c r="H14" s="13">
        <f t="shared" si="17"/>
        <v>3112.31</v>
      </c>
      <c r="I14" s="15">
        <f t="shared" si="2"/>
        <v>-0.14159900524048052</v>
      </c>
      <c r="J14" s="13">
        <f>[2]Data_Analysis!K17</f>
        <v>9611.07</v>
      </c>
      <c r="K14" s="13">
        <f t="shared" si="18"/>
        <v>11617.75</v>
      </c>
      <c r="L14" s="14">
        <f t="shared" si="3"/>
        <v>-0.17272535559811497</v>
      </c>
      <c r="M14" s="13">
        <f>[2]Data_Analysis!N17</f>
        <v>1360.11</v>
      </c>
      <c r="N14" s="13">
        <f t="shared" si="19"/>
        <v>1583.91</v>
      </c>
      <c r="O14" s="14">
        <f t="shared" si="4"/>
        <v>-0.14129590696441097</v>
      </c>
      <c r="P14" s="13">
        <f>[2]Data_Analysis!Q17</f>
        <v>1094.3599999999999</v>
      </c>
      <c r="Q14" s="13">
        <f t="shared" si="20"/>
        <v>1264.24</v>
      </c>
      <c r="R14" s="14">
        <f t="shared" si="5"/>
        <v>-0.1343732202746315</v>
      </c>
      <c r="S14" s="13">
        <f>[2]Data_Analysis!T17</f>
        <v>238.87</v>
      </c>
      <c r="T14" s="13">
        <f t="shared" si="21"/>
        <v>276.58</v>
      </c>
      <c r="U14" s="14">
        <f t="shared" si="6"/>
        <v>-0.13634391496131315</v>
      </c>
      <c r="V14" s="13">
        <f>[2]Data_Analysis!W17</f>
        <v>255.58</v>
      </c>
      <c r="W14" s="13">
        <f t="shared" si="22"/>
        <v>297.58</v>
      </c>
      <c r="X14" s="14">
        <f t="shared" si="7"/>
        <v>-0.14113851737347927</v>
      </c>
      <c r="Y14" s="13">
        <f>[2]Data_Analysis!Z17</f>
        <v>233.75</v>
      </c>
      <c r="Z14" s="13">
        <f t="shared" si="23"/>
        <v>271.39</v>
      </c>
      <c r="AA14" s="14">
        <f t="shared" si="8"/>
        <v>-0.1386933932716754</v>
      </c>
      <c r="AB14" s="13">
        <f>[2]Data_Analysis!AC17</f>
        <v>1084.1500000000001</v>
      </c>
      <c r="AC14" s="13">
        <f t="shared" si="24"/>
        <v>1251.92</v>
      </c>
      <c r="AD14" s="14">
        <f t="shared" si="9"/>
        <v>-0.13401016039363534</v>
      </c>
      <c r="AE14" s="13">
        <f>[2]Data_Analysis!AF17</f>
        <v>887.42</v>
      </c>
      <c r="AF14" s="13">
        <f t="shared" si="25"/>
        <v>1026.3399999999999</v>
      </c>
      <c r="AG14" s="14">
        <f t="shared" si="10"/>
        <v>-0.13535475573396727</v>
      </c>
      <c r="AH14" s="13">
        <f>[2]Data_Analysis!AI17</f>
        <v>4622.93</v>
      </c>
      <c r="AI14" s="13">
        <f t="shared" si="26"/>
        <v>5387.19</v>
      </c>
      <c r="AJ14" s="14">
        <f t="shared" si="11"/>
        <v>-0.14186616770524141</v>
      </c>
      <c r="AK14" s="13">
        <f>[2]Data_Analysis!AL17</f>
        <v>875.35</v>
      </c>
      <c r="AL14" s="13">
        <f t="shared" si="27"/>
        <v>984.93</v>
      </c>
      <c r="AM14" s="14">
        <f t="shared" si="12"/>
        <v>-0.11125663752754</v>
      </c>
      <c r="AN14" s="13">
        <f>[2]Data_Analysis!AO17</f>
        <v>878.5</v>
      </c>
      <c r="AO14" s="13">
        <f t="shared" si="28"/>
        <v>995.46</v>
      </c>
      <c r="AP14" s="14">
        <f t="shared" si="13"/>
        <v>-0.11749342012737829</v>
      </c>
      <c r="AQ14" s="13">
        <f>[2]Data_Analysis!AR17</f>
        <v>165.84</v>
      </c>
      <c r="AR14" s="13">
        <f t="shared" si="29"/>
        <v>186.47</v>
      </c>
      <c r="AS14" s="14">
        <f t="shared" si="14"/>
        <v>-0.11063441840510535</v>
      </c>
    </row>
    <row r="15" spans="1:45" x14ac:dyDescent="0.25">
      <c r="A15" s="13">
        <f>[2]Data_Analysis!B18</f>
        <v>2140.8200000000002</v>
      </c>
      <c r="B15" s="13">
        <f t="shared" si="15"/>
        <v>2483.4499999999998</v>
      </c>
      <c r="C15" s="14">
        <f t="shared" si="0"/>
        <v>-0.13796533048782933</v>
      </c>
      <c r="D15" s="13">
        <f>[2]Data_Analysis!E18</f>
        <v>7926.18</v>
      </c>
      <c r="E15" s="13">
        <f t="shared" si="16"/>
        <v>8971.5499999999993</v>
      </c>
      <c r="F15" s="14">
        <f t="shared" si="1"/>
        <v>-0.11652055664851657</v>
      </c>
      <c r="G15" s="13">
        <f>[2]Data_Analysis!H18</f>
        <v>2710.38</v>
      </c>
      <c r="H15" s="13">
        <f t="shared" si="17"/>
        <v>3112.31</v>
      </c>
      <c r="I15" s="15">
        <f t="shared" si="2"/>
        <v>-0.12914201991446861</v>
      </c>
      <c r="J15" s="13">
        <f>[2]Data_Analysis!K18</f>
        <v>9641.8799999999992</v>
      </c>
      <c r="K15" s="13">
        <f t="shared" si="18"/>
        <v>11617.75</v>
      </c>
      <c r="L15" s="14">
        <f t="shared" si="3"/>
        <v>-0.170073379096641</v>
      </c>
      <c r="M15" s="13">
        <f>[2]Data_Analysis!N18</f>
        <v>1374.17</v>
      </c>
      <c r="N15" s="13">
        <f t="shared" si="19"/>
        <v>1583.91</v>
      </c>
      <c r="O15" s="14">
        <f t="shared" si="4"/>
        <v>-0.13241913997638755</v>
      </c>
      <c r="P15" s="13">
        <f>[2]Data_Analysis!Q18</f>
        <v>1117.51</v>
      </c>
      <c r="Q15" s="13">
        <f t="shared" si="20"/>
        <v>1264.24</v>
      </c>
      <c r="R15" s="14">
        <f t="shared" si="5"/>
        <v>-0.11606182370435991</v>
      </c>
      <c r="S15" s="13">
        <f>[2]Data_Analysis!T18</f>
        <v>242.67</v>
      </c>
      <c r="T15" s="13">
        <f t="shared" si="21"/>
        <v>276.58</v>
      </c>
      <c r="U15" s="14">
        <f t="shared" si="6"/>
        <v>-0.12260467134283026</v>
      </c>
      <c r="V15" s="13">
        <f>[2]Data_Analysis!W18</f>
        <v>259.11</v>
      </c>
      <c r="W15" s="13">
        <f t="shared" si="22"/>
        <v>297.58</v>
      </c>
      <c r="X15" s="14">
        <f t="shared" si="7"/>
        <v>-0.12927616103232731</v>
      </c>
      <c r="Y15" s="13">
        <f>[2]Data_Analysis!Z18</f>
        <v>237.85</v>
      </c>
      <c r="Z15" s="13">
        <f t="shared" si="23"/>
        <v>271.39</v>
      </c>
      <c r="AA15" s="14">
        <f t="shared" si="8"/>
        <v>-0.12358598327130699</v>
      </c>
      <c r="AB15" s="13">
        <f>[2]Data_Analysis!AC18</f>
        <v>1105.24</v>
      </c>
      <c r="AC15" s="13">
        <f t="shared" si="24"/>
        <v>1251.92</v>
      </c>
      <c r="AD15" s="14">
        <f t="shared" si="9"/>
        <v>-0.11716403604064163</v>
      </c>
      <c r="AE15" s="13">
        <f>[2]Data_Analysis!AF18</f>
        <v>903.71</v>
      </c>
      <c r="AF15" s="13">
        <f t="shared" si="25"/>
        <v>1026.3399999999999</v>
      </c>
      <c r="AG15" s="14">
        <f t="shared" si="10"/>
        <v>-0.11948282245649577</v>
      </c>
      <c r="AH15" s="13">
        <f>[2]Data_Analysis!AI18</f>
        <v>4656.17</v>
      </c>
      <c r="AI15" s="13">
        <f t="shared" si="26"/>
        <v>5387.19</v>
      </c>
      <c r="AJ15" s="14">
        <f t="shared" si="11"/>
        <v>-0.13569597508162878</v>
      </c>
      <c r="AK15" s="13">
        <f>[2]Data_Analysis!AL18</f>
        <v>889.81</v>
      </c>
      <c r="AL15" s="13">
        <f t="shared" si="27"/>
        <v>984.93</v>
      </c>
      <c r="AM15" s="14">
        <f t="shared" si="12"/>
        <v>-9.6575391144548384E-2</v>
      </c>
      <c r="AN15" s="13">
        <f>[2]Data_Analysis!AO18</f>
        <v>892.66</v>
      </c>
      <c r="AO15" s="13">
        <f t="shared" si="28"/>
        <v>995.46</v>
      </c>
      <c r="AP15" s="14">
        <f t="shared" si="13"/>
        <v>-0.10326884053603369</v>
      </c>
      <c r="AQ15" s="13">
        <f>[2]Data_Analysis!AR18</f>
        <v>168.76</v>
      </c>
      <c r="AR15" s="13">
        <f t="shared" si="29"/>
        <v>186.47</v>
      </c>
      <c r="AS15" s="14">
        <f t="shared" si="14"/>
        <v>-9.4975063012817107E-2</v>
      </c>
    </row>
    <row r="16" spans="1:45" x14ac:dyDescent="0.25">
      <c r="A16" s="13">
        <f>[2]Data_Analysis!B19</f>
        <v>2224.31</v>
      </c>
      <c r="B16" s="13">
        <f t="shared" si="15"/>
        <v>2483.4499999999998</v>
      </c>
      <c r="C16" s="14">
        <f t="shared" si="0"/>
        <v>-0.10434677565483497</v>
      </c>
      <c r="D16" s="13">
        <f>[2]Data_Analysis!E19</f>
        <v>8378.9599999999991</v>
      </c>
      <c r="E16" s="13">
        <f t="shared" si="16"/>
        <v>8971.5499999999993</v>
      </c>
      <c r="F16" s="14">
        <f t="shared" si="1"/>
        <v>-6.6052131460004104E-2</v>
      </c>
      <c r="G16" s="13">
        <f>[2]Data_Analysis!H19</f>
        <v>2847.52</v>
      </c>
      <c r="H16" s="13">
        <f t="shared" si="17"/>
        <v>3112.31</v>
      </c>
      <c r="I16" s="15">
        <f t="shared" si="2"/>
        <v>-8.50782859033965E-2</v>
      </c>
      <c r="J16" s="13">
        <f>[2]Data_Analysis!K19</f>
        <v>10091.65</v>
      </c>
      <c r="K16" s="13">
        <f t="shared" si="18"/>
        <v>11617.75</v>
      </c>
      <c r="L16" s="14">
        <f t="shared" si="3"/>
        <v>-0.13135934238557379</v>
      </c>
      <c r="M16" s="13">
        <f>[2]Data_Analysis!N19</f>
        <v>1432.61</v>
      </c>
      <c r="N16" s="13">
        <f t="shared" si="19"/>
        <v>1583.91</v>
      </c>
      <c r="O16" s="14">
        <f t="shared" si="4"/>
        <v>-9.5523104216780119E-2</v>
      </c>
      <c r="P16" s="13">
        <f>[2]Data_Analysis!Q19</f>
        <v>1185.29</v>
      </c>
      <c r="Q16" s="13">
        <f t="shared" si="20"/>
        <v>1264.24</v>
      </c>
      <c r="R16" s="14">
        <f t="shared" si="5"/>
        <v>-6.2448585711573745E-2</v>
      </c>
      <c r="S16" s="13">
        <f>[2]Data_Analysis!T19</f>
        <v>254.78</v>
      </c>
      <c r="T16" s="13">
        <f t="shared" si="21"/>
        <v>276.58</v>
      </c>
      <c r="U16" s="14">
        <f t="shared" si="6"/>
        <v>-7.8819871284980803E-2</v>
      </c>
      <c r="V16" s="13">
        <f>[2]Data_Analysis!W19</f>
        <v>270.99</v>
      </c>
      <c r="W16" s="13">
        <f t="shared" si="22"/>
        <v>297.58</v>
      </c>
      <c r="X16" s="14">
        <f t="shared" si="7"/>
        <v>-8.9354123260971807E-2</v>
      </c>
      <c r="Y16" s="13">
        <f>[2]Data_Analysis!Z19</f>
        <v>251.51</v>
      </c>
      <c r="Z16" s="13">
        <f t="shared" si="23"/>
        <v>271.39</v>
      </c>
      <c r="AA16" s="14">
        <f t="shared" si="8"/>
        <v>-7.3252514831054882E-2</v>
      </c>
      <c r="AB16" s="13">
        <f>[2]Data_Analysis!AC19</f>
        <v>1167.8900000000001</v>
      </c>
      <c r="AC16" s="13">
        <f t="shared" si="24"/>
        <v>1251.92</v>
      </c>
      <c r="AD16" s="14">
        <f t="shared" si="9"/>
        <v>-6.7120902294076301E-2</v>
      </c>
      <c r="AE16" s="13">
        <f>[2]Data_Analysis!AF19</f>
        <v>955.47</v>
      </c>
      <c r="AF16" s="13">
        <f t="shared" si="25"/>
        <v>1026.3399999999999</v>
      </c>
      <c r="AG16" s="14">
        <f t="shared" si="10"/>
        <v>-6.905119161291573E-2</v>
      </c>
      <c r="AH16" s="13">
        <f>[2]Data_Analysis!AI19</f>
        <v>4851.49</v>
      </c>
      <c r="AI16" s="13">
        <f t="shared" si="26"/>
        <v>5387.19</v>
      </c>
      <c r="AJ16" s="14">
        <f t="shared" si="11"/>
        <v>-9.9439596524347529E-2</v>
      </c>
      <c r="AK16" s="13">
        <f>[2]Data_Analysis!AL19</f>
        <v>932.77</v>
      </c>
      <c r="AL16" s="13">
        <f t="shared" si="27"/>
        <v>984.93</v>
      </c>
      <c r="AM16" s="14">
        <f t="shared" si="12"/>
        <v>-5.2958078239062623E-2</v>
      </c>
      <c r="AN16" s="13">
        <f>[2]Data_Analysis!AO19</f>
        <v>934.21</v>
      </c>
      <c r="AO16" s="13">
        <f t="shared" si="28"/>
        <v>995.46</v>
      </c>
      <c r="AP16" s="14">
        <f t="shared" si="13"/>
        <v>-6.1529343218210686E-2</v>
      </c>
      <c r="AQ16" s="13">
        <f>[2]Data_Analysis!AR19</f>
        <v>177.76</v>
      </c>
      <c r="AR16" s="13">
        <f t="shared" si="29"/>
        <v>186.47</v>
      </c>
      <c r="AS16" s="14">
        <f t="shared" si="14"/>
        <v>-4.6709926529736712E-2</v>
      </c>
    </row>
    <row r="17" spans="1:45" x14ac:dyDescent="0.25">
      <c r="A17" s="13">
        <f>[2]Data_Analysis!B20</f>
        <v>2321.14</v>
      </c>
      <c r="B17" s="13">
        <f t="shared" si="15"/>
        <v>2483.4499999999998</v>
      </c>
      <c r="C17" s="14">
        <f t="shared" si="0"/>
        <v>-6.5356661096458546E-2</v>
      </c>
      <c r="D17" s="13">
        <f>[2]Data_Analysis!E20</f>
        <v>8799.6299999999992</v>
      </c>
      <c r="E17" s="13">
        <f t="shared" si="16"/>
        <v>8971.5499999999993</v>
      </c>
      <c r="F17" s="14">
        <f t="shared" si="1"/>
        <v>-1.9162797955760147E-2</v>
      </c>
      <c r="G17" s="13">
        <f>[2]Data_Analysis!H20</f>
        <v>2981.78</v>
      </c>
      <c r="H17" s="13">
        <f t="shared" si="17"/>
        <v>3112.31</v>
      </c>
      <c r="I17" s="15">
        <f t="shared" si="2"/>
        <v>-4.1939909584842061E-2</v>
      </c>
      <c r="J17" s="13">
        <f>[2]Data_Analysis!K20</f>
        <v>10516.17</v>
      </c>
      <c r="K17" s="13">
        <f t="shared" si="18"/>
        <v>11617.75</v>
      </c>
      <c r="L17" s="14">
        <f t="shared" si="3"/>
        <v>-9.4818704138064591E-2</v>
      </c>
      <c r="M17" s="13">
        <f>[2]Data_Analysis!N20</f>
        <v>1483.89</v>
      </c>
      <c r="N17" s="13">
        <f t="shared" si="19"/>
        <v>1583.91</v>
      </c>
      <c r="O17" s="14">
        <f t="shared" si="4"/>
        <v>-6.3147527321628094E-2</v>
      </c>
      <c r="P17" s="13">
        <f>[2]Data_Analysis!Q20</f>
        <v>1240.6099999999999</v>
      </c>
      <c r="Q17" s="13">
        <f t="shared" si="20"/>
        <v>1264.24</v>
      </c>
      <c r="R17" s="14">
        <f t="shared" si="5"/>
        <v>-1.8691071315573127E-2</v>
      </c>
      <c r="S17" s="13">
        <f>[2]Data_Analysis!T20</f>
        <v>266.04000000000002</v>
      </c>
      <c r="T17" s="13">
        <f t="shared" si="21"/>
        <v>276.58</v>
      </c>
      <c r="U17" s="14">
        <f t="shared" si="6"/>
        <v>-3.8108323089160345E-2</v>
      </c>
      <c r="V17" s="13">
        <f>[2]Data_Analysis!W20</f>
        <v>282.24</v>
      </c>
      <c r="W17" s="13">
        <f t="shared" si="22"/>
        <v>297.58</v>
      </c>
      <c r="X17" s="14">
        <f t="shared" si="7"/>
        <v>-5.1549163250218299E-2</v>
      </c>
      <c r="Y17" s="13">
        <f>[2]Data_Analysis!Z20</f>
        <v>263.56</v>
      </c>
      <c r="Z17" s="13">
        <f t="shared" si="23"/>
        <v>271.39</v>
      </c>
      <c r="AA17" s="14">
        <f t="shared" si="8"/>
        <v>-2.8851468366557276E-2</v>
      </c>
      <c r="AB17" s="13">
        <f>[2]Data_Analysis!AC20</f>
        <v>1217.77</v>
      </c>
      <c r="AC17" s="13">
        <f t="shared" si="24"/>
        <v>1251.92</v>
      </c>
      <c r="AD17" s="14">
        <f t="shared" si="9"/>
        <v>-2.7278100837114239E-2</v>
      </c>
      <c r="AE17" s="13">
        <f>[2]Data_Analysis!AF20</f>
        <v>1002.67</v>
      </c>
      <c r="AF17" s="13">
        <f t="shared" si="25"/>
        <v>1026.3399999999999</v>
      </c>
      <c r="AG17" s="14">
        <f t="shared" si="10"/>
        <v>-2.3062532883839637E-2</v>
      </c>
      <c r="AH17" s="13">
        <f>[2]Data_Analysis!AI20</f>
        <v>5078.29</v>
      </c>
      <c r="AI17" s="13">
        <f t="shared" si="26"/>
        <v>5387.19</v>
      </c>
      <c r="AJ17" s="14">
        <f t="shared" si="11"/>
        <v>-5.7339726276593117E-2</v>
      </c>
      <c r="AK17" s="13">
        <f>[2]Data_Analysis!AL20</f>
        <v>970.6</v>
      </c>
      <c r="AL17" s="13">
        <f t="shared" si="27"/>
        <v>984.93</v>
      </c>
      <c r="AM17" s="14">
        <f t="shared" si="12"/>
        <v>-1.4549257307625796E-2</v>
      </c>
      <c r="AN17" s="13">
        <f>[2]Data_Analysis!AO20</f>
        <v>969.09</v>
      </c>
      <c r="AO17" s="13">
        <f t="shared" si="28"/>
        <v>995.46</v>
      </c>
      <c r="AP17" s="14">
        <f t="shared" si="13"/>
        <v>-2.6490265806762725E-2</v>
      </c>
      <c r="AQ17" s="13">
        <f>[2]Data_Analysis!AR20</f>
        <v>186.67</v>
      </c>
      <c r="AR17" s="13">
        <f t="shared" si="29"/>
        <v>186.67</v>
      </c>
      <c r="AS17" s="14">
        <f t="shared" si="14"/>
        <v>0</v>
      </c>
    </row>
    <row r="18" spans="1:45" x14ac:dyDescent="0.25">
      <c r="A18" s="13">
        <f>[2]Data_Analysis!B21</f>
        <v>2247.0300000000002</v>
      </c>
      <c r="B18" s="13">
        <f t="shared" si="15"/>
        <v>2483.4499999999998</v>
      </c>
      <c r="C18" s="14">
        <f t="shared" si="0"/>
        <v>-9.5198212164529061E-2</v>
      </c>
      <c r="D18" s="13">
        <f>[2]Data_Analysis!E21</f>
        <v>8585.5</v>
      </c>
      <c r="E18" s="13">
        <f t="shared" si="16"/>
        <v>8971.5499999999993</v>
      </c>
      <c r="F18" s="14">
        <f t="shared" si="1"/>
        <v>-4.3030468536651933E-2</v>
      </c>
      <c r="G18" s="13">
        <f>[2]Data_Analysis!H21</f>
        <v>2899.7</v>
      </c>
      <c r="H18" s="13">
        <f t="shared" si="17"/>
        <v>3112.31</v>
      </c>
      <c r="I18" s="15">
        <f t="shared" si="2"/>
        <v>-6.8312603821598761E-2</v>
      </c>
      <c r="J18" s="13">
        <f>[2]Data_Analysis!K21</f>
        <v>10215.719999999999</v>
      </c>
      <c r="K18" s="13">
        <f t="shared" si="18"/>
        <v>11617.75</v>
      </c>
      <c r="L18" s="14">
        <f t="shared" si="3"/>
        <v>-0.12067999397473694</v>
      </c>
      <c r="M18" s="13">
        <f>[2]Data_Analysis!N21</f>
        <v>1447.99</v>
      </c>
      <c r="N18" s="13">
        <f t="shared" si="19"/>
        <v>1583.91</v>
      </c>
      <c r="O18" s="14">
        <f t="shared" si="4"/>
        <v>-8.5812956544248142E-2</v>
      </c>
      <c r="P18" s="13">
        <f>[2]Data_Analysis!Q21</f>
        <v>1208.94</v>
      </c>
      <c r="Q18" s="13">
        <f t="shared" si="20"/>
        <v>1264.24</v>
      </c>
      <c r="R18" s="14">
        <f t="shared" si="5"/>
        <v>-4.374169461494648E-2</v>
      </c>
      <c r="S18" s="13">
        <f>[2]Data_Analysis!T21</f>
        <v>259.27</v>
      </c>
      <c r="T18" s="13">
        <f t="shared" si="21"/>
        <v>276.58</v>
      </c>
      <c r="U18" s="14">
        <f t="shared" si="6"/>
        <v>-6.2585870272615529E-2</v>
      </c>
      <c r="V18" s="13">
        <f>[2]Data_Analysis!W21</f>
        <v>274.54000000000002</v>
      </c>
      <c r="W18" s="13">
        <f t="shared" si="22"/>
        <v>297.58</v>
      </c>
      <c r="X18" s="14">
        <f t="shared" si="7"/>
        <v>-7.7424558102022867E-2</v>
      </c>
      <c r="Y18" s="13">
        <f>[2]Data_Analysis!Z21</f>
        <v>257.13</v>
      </c>
      <c r="Z18" s="13">
        <f t="shared" si="23"/>
        <v>271.39</v>
      </c>
      <c r="AA18" s="14">
        <f t="shared" si="8"/>
        <v>-5.2544308928110794E-2</v>
      </c>
      <c r="AB18" s="13">
        <f>[2]Data_Analysis!AC21</f>
        <v>1186.8800000000001</v>
      </c>
      <c r="AC18" s="13">
        <f t="shared" si="24"/>
        <v>1251.92</v>
      </c>
      <c r="AD18" s="14">
        <f t="shared" si="9"/>
        <v>-5.1952201418621002E-2</v>
      </c>
      <c r="AE18" s="13">
        <f>[2]Data_Analysis!AF21</f>
        <v>979.5</v>
      </c>
      <c r="AF18" s="13">
        <f t="shared" si="25"/>
        <v>1026.3399999999999</v>
      </c>
      <c r="AG18" s="14">
        <f t="shared" si="10"/>
        <v>-4.5637897772667801E-2</v>
      </c>
      <c r="AH18" s="13">
        <f>[2]Data_Analysis!AI21</f>
        <v>4893.3999999999996</v>
      </c>
      <c r="AI18" s="13">
        <f t="shared" si="26"/>
        <v>5387.19</v>
      </c>
      <c r="AJ18" s="14">
        <f t="shared" si="11"/>
        <v>-9.1660030553962324E-2</v>
      </c>
      <c r="AK18" s="13">
        <f>[2]Data_Analysis!AL21</f>
        <v>945.34</v>
      </c>
      <c r="AL18" s="13">
        <f t="shared" si="27"/>
        <v>984.93</v>
      </c>
      <c r="AM18" s="14">
        <f t="shared" si="12"/>
        <v>-4.0195749951773108E-2</v>
      </c>
      <c r="AN18" s="13">
        <f>[2]Data_Analysis!AO21</f>
        <v>940.87</v>
      </c>
      <c r="AO18" s="13">
        <f t="shared" si="28"/>
        <v>995.46</v>
      </c>
      <c r="AP18" s="14">
        <f t="shared" si="13"/>
        <v>-5.4838968918891839E-2</v>
      </c>
      <c r="AQ18" s="13">
        <f>[2]Data_Analysis!AR21</f>
        <v>182.06</v>
      </c>
      <c r="AR18" s="13">
        <f t="shared" si="29"/>
        <v>186.67</v>
      </c>
      <c r="AS18" s="14">
        <f t="shared" si="14"/>
        <v>-2.469598757165048E-2</v>
      </c>
    </row>
    <row r="19" spans="1:45" x14ac:dyDescent="0.25">
      <c r="A19" s="13">
        <f>[2]Data_Analysis!B22</f>
        <v>2227.1</v>
      </c>
      <c r="B19" s="13">
        <f t="shared" si="15"/>
        <v>2483.4499999999998</v>
      </c>
      <c r="C19" s="14">
        <f t="shared" si="0"/>
        <v>-0.10322333850087573</v>
      </c>
      <c r="D19" s="13">
        <f>[2]Data_Analysis!E22</f>
        <v>8483.86</v>
      </c>
      <c r="E19" s="13">
        <f t="shared" si="16"/>
        <v>8971.5499999999993</v>
      </c>
      <c r="F19" s="14">
        <f t="shared" si="1"/>
        <v>-5.4359614559356895E-2</v>
      </c>
      <c r="G19" s="13">
        <f>[2]Data_Analysis!H22</f>
        <v>2868.97</v>
      </c>
      <c r="H19" s="13">
        <f t="shared" si="17"/>
        <v>3112.31</v>
      </c>
      <c r="I19" s="15">
        <f t="shared" si="2"/>
        <v>-7.8186298922665154E-2</v>
      </c>
      <c r="J19" s="13">
        <f>[2]Data_Analysis!K22</f>
        <v>10101.74</v>
      </c>
      <c r="K19" s="13">
        <f t="shared" si="18"/>
        <v>11617.75</v>
      </c>
      <c r="L19" s="14">
        <f t="shared" si="3"/>
        <v>-0.13049084375201736</v>
      </c>
      <c r="M19" s="13">
        <f>[2]Data_Analysis!N22</f>
        <v>1436.32</v>
      </c>
      <c r="N19" s="13">
        <f t="shared" si="19"/>
        <v>1583.91</v>
      </c>
      <c r="O19" s="14">
        <f t="shared" si="4"/>
        <v>-9.3180799414108173E-2</v>
      </c>
      <c r="P19" s="13">
        <f>[2]Data_Analysis!Q22</f>
        <v>1197.3800000000001</v>
      </c>
      <c r="Q19" s="13">
        <f t="shared" si="20"/>
        <v>1264.24</v>
      </c>
      <c r="R19" s="14">
        <f t="shared" si="5"/>
        <v>-5.2885528064291476E-2</v>
      </c>
      <c r="S19" s="13">
        <f>[2]Data_Analysis!T22</f>
        <v>256.79000000000002</v>
      </c>
      <c r="T19" s="13">
        <f t="shared" si="21"/>
        <v>276.58</v>
      </c>
      <c r="U19" s="14">
        <f t="shared" si="6"/>
        <v>-7.1552534528888434E-2</v>
      </c>
      <c r="V19" s="13">
        <f>[2]Data_Analysis!W22</f>
        <v>272.08</v>
      </c>
      <c r="W19" s="13">
        <f t="shared" si="22"/>
        <v>297.58</v>
      </c>
      <c r="X19" s="14">
        <f t="shared" si="7"/>
        <v>-8.5691242691041114E-2</v>
      </c>
      <c r="Y19" s="13">
        <f>[2]Data_Analysis!Z22</f>
        <v>254.68</v>
      </c>
      <c r="Z19" s="13">
        <f t="shared" si="23"/>
        <v>271.39</v>
      </c>
      <c r="AA19" s="14">
        <f t="shared" si="8"/>
        <v>-6.157190758686748E-2</v>
      </c>
      <c r="AB19" s="13">
        <f>[2]Data_Analysis!AC22</f>
        <v>1179.45</v>
      </c>
      <c r="AC19" s="13">
        <f t="shared" si="24"/>
        <v>1251.92</v>
      </c>
      <c r="AD19" s="14">
        <f t="shared" si="9"/>
        <v>-5.7887085436769126E-2</v>
      </c>
      <c r="AE19" s="13">
        <f>[2]Data_Analysis!AF22</f>
        <v>969.03</v>
      </c>
      <c r="AF19" s="13">
        <f t="shared" si="25"/>
        <v>1026.3399999999999</v>
      </c>
      <c r="AG19" s="14">
        <f t="shared" si="10"/>
        <v>-5.5839195588206603E-2</v>
      </c>
      <c r="AH19" s="13">
        <f>[2]Data_Analysis!AI22</f>
        <v>4836.09</v>
      </c>
      <c r="AI19" s="13">
        <f t="shared" si="26"/>
        <v>5387.19</v>
      </c>
      <c r="AJ19" s="14">
        <f t="shared" si="11"/>
        <v>-0.10229822968931845</v>
      </c>
      <c r="AK19" s="13">
        <f>[2]Data_Analysis!AL22</f>
        <v>938.55</v>
      </c>
      <c r="AL19" s="13">
        <f t="shared" si="27"/>
        <v>984.93</v>
      </c>
      <c r="AM19" s="14">
        <f t="shared" si="12"/>
        <v>-4.7089640888184903E-2</v>
      </c>
      <c r="AN19" s="13">
        <f>[2]Data_Analysis!AO22</f>
        <v>935.41</v>
      </c>
      <c r="AO19" s="13">
        <f t="shared" si="28"/>
        <v>995.46</v>
      </c>
      <c r="AP19" s="14">
        <f t="shared" si="13"/>
        <v>-6.0323870371486565E-2</v>
      </c>
      <c r="AQ19" s="13">
        <f>[2]Data_Analysis!AR22</f>
        <v>180.5</v>
      </c>
      <c r="AR19" s="13">
        <f t="shared" si="29"/>
        <v>186.67</v>
      </c>
      <c r="AS19" s="14">
        <f t="shared" si="14"/>
        <v>-3.3052981196764253E-2</v>
      </c>
    </row>
    <row r="20" spans="1:45" x14ac:dyDescent="0.25">
      <c r="A20" s="13">
        <f>[2]Data_Analysis!B23</f>
        <v>2279.13</v>
      </c>
      <c r="B20" s="13">
        <f t="shared" si="15"/>
        <v>2483.4499999999998</v>
      </c>
      <c r="C20" s="14">
        <f t="shared" si="0"/>
        <v>-8.2272644909299419E-2</v>
      </c>
      <c r="D20" s="13">
        <f>[2]Data_Analysis!E23</f>
        <v>8619.27</v>
      </c>
      <c r="E20" s="13">
        <f t="shared" si="16"/>
        <v>8971.5499999999993</v>
      </c>
      <c r="F20" s="14">
        <f t="shared" si="1"/>
        <v>-3.9266347509627542E-2</v>
      </c>
      <c r="G20" s="13">
        <f>[2]Data_Analysis!H23</f>
        <v>2914.18</v>
      </c>
      <c r="H20" s="13">
        <f t="shared" si="17"/>
        <v>3112.31</v>
      </c>
      <c r="I20" s="15">
        <f t="shared" si="2"/>
        <v>-6.3660110978662199E-2</v>
      </c>
      <c r="J20" s="13">
        <f>[2]Data_Analysis!K23</f>
        <v>10287.18</v>
      </c>
      <c r="K20" s="13">
        <f t="shared" si="18"/>
        <v>11617.75</v>
      </c>
      <c r="L20" s="14">
        <f t="shared" si="3"/>
        <v>-0.11452906113490136</v>
      </c>
      <c r="M20" s="13">
        <f>[2]Data_Analysis!N23</f>
        <v>1456.64</v>
      </c>
      <c r="N20" s="13">
        <f t="shared" si="19"/>
        <v>1583.91</v>
      </c>
      <c r="O20" s="14">
        <f t="shared" si="4"/>
        <v>-8.0351787664703189E-2</v>
      </c>
      <c r="P20" s="13">
        <f>[2]Data_Analysis!Q23</f>
        <v>1217.96</v>
      </c>
      <c r="Q20" s="13">
        <f t="shared" si="20"/>
        <v>1264.24</v>
      </c>
      <c r="R20" s="14">
        <f t="shared" si="5"/>
        <v>-3.6606973359488704E-2</v>
      </c>
      <c r="S20" s="13">
        <f>[2]Data_Analysis!T23</f>
        <v>260.68</v>
      </c>
      <c r="T20" s="13">
        <f t="shared" si="21"/>
        <v>276.58</v>
      </c>
      <c r="U20" s="14">
        <f t="shared" si="6"/>
        <v>-5.7487887772073143E-2</v>
      </c>
      <c r="V20" s="13">
        <f>[2]Data_Analysis!W23</f>
        <v>275.62</v>
      </c>
      <c r="W20" s="13">
        <f t="shared" si="22"/>
        <v>297.58</v>
      </c>
      <c r="X20" s="14">
        <f t="shared" si="7"/>
        <v>-7.3795281940990609E-2</v>
      </c>
      <c r="Y20" s="13">
        <f>[2]Data_Analysis!Z23</f>
        <v>258.85000000000002</v>
      </c>
      <c r="Z20" s="13">
        <f t="shared" si="23"/>
        <v>271.39</v>
      </c>
      <c r="AA20" s="14">
        <f t="shared" si="8"/>
        <v>-4.6206566196248855E-2</v>
      </c>
      <c r="AB20" s="13">
        <f>[2]Data_Analysis!AC23</f>
        <v>1198.42</v>
      </c>
      <c r="AC20" s="13">
        <f t="shared" si="24"/>
        <v>1251.92</v>
      </c>
      <c r="AD20" s="14">
        <f t="shared" si="9"/>
        <v>-4.2734360023004681E-2</v>
      </c>
      <c r="AE20" s="13">
        <f>[2]Data_Analysis!AF23</f>
        <v>986.21</v>
      </c>
      <c r="AF20" s="13">
        <f t="shared" si="25"/>
        <v>1026.3399999999999</v>
      </c>
      <c r="AG20" s="14">
        <f t="shared" si="10"/>
        <v>-3.9100103279614884E-2</v>
      </c>
      <c r="AH20" s="13">
        <f>[2]Data_Analysis!AI23</f>
        <v>4914.8999999999996</v>
      </c>
      <c r="AI20" s="13">
        <f t="shared" si="26"/>
        <v>5387.19</v>
      </c>
      <c r="AJ20" s="14">
        <f t="shared" si="11"/>
        <v>-8.7669081654814462E-2</v>
      </c>
      <c r="AK20" s="13">
        <f>[2]Data_Analysis!AL23</f>
        <v>950.98</v>
      </c>
      <c r="AL20" s="13">
        <f t="shared" si="27"/>
        <v>984.93</v>
      </c>
      <c r="AM20" s="14">
        <f t="shared" si="12"/>
        <v>-3.4469454682058531E-2</v>
      </c>
      <c r="AN20" s="13">
        <f>[2]Data_Analysis!AO23</f>
        <v>944.35</v>
      </c>
      <c r="AO20" s="13">
        <f t="shared" si="28"/>
        <v>995.46</v>
      </c>
      <c r="AP20" s="14">
        <f t="shared" si="13"/>
        <v>-5.1343097663391846E-2</v>
      </c>
      <c r="AQ20" s="13">
        <f>[2]Data_Analysis!AR23</f>
        <v>183.24</v>
      </c>
      <c r="AR20" s="13">
        <f t="shared" si="29"/>
        <v>186.67</v>
      </c>
      <c r="AS20" s="14">
        <f t="shared" si="14"/>
        <v>-1.8374671880859172E-2</v>
      </c>
    </row>
    <row r="21" spans="1:45" x14ac:dyDescent="0.25">
      <c r="A21" s="13">
        <f>[2]Data_Analysis!B24</f>
        <v>2207.1</v>
      </c>
      <c r="B21" s="13">
        <f t="shared" si="15"/>
        <v>2483.4499999999998</v>
      </c>
      <c r="C21" s="14">
        <f t="shared" si="0"/>
        <v>-0.111276651432483</v>
      </c>
      <c r="D21" s="13">
        <f>[2]Data_Analysis!E24</f>
        <v>8344.84</v>
      </c>
      <c r="E21" s="13">
        <f t="shared" si="16"/>
        <v>8971.5499999999993</v>
      </c>
      <c r="F21" s="14">
        <f t="shared" si="1"/>
        <v>-6.9855264697850306E-2</v>
      </c>
      <c r="G21" s="13">
        <f>[2]Data_Analysis!H24</f>
        <v>2822.91</v>
      </c>
      <c r="H21" s="13">
        <f t="shared" si="17"/>
        <v>3112.31</v>
      </c>
      <c r="I21" s="15">
        <f t="shared" si="2"/>
        <v>-9.2985595907862706E-2</v>
      </c>
      <c r="J21" s="13">
        <f>[2]Data_Analysis!K24</f>
        <v>9913.1</v>
      </c>
      <c r="K21" s="13">
        <f t="shared" si="18"/>
        <v>11617.75</v>
      </c>
      <c r="L21" s="14">
        <f t="shared" si="3"/>
        <v>-0.14672806696649521</v>
      </c>
      <c r="M21" s="13">
        <f>[2]Data_Analysis!N24</f>
        <v>1406</v>
      </c>
      <c r="N21" s="13">
        <f t="shared" si="19"/>
        <v>1583.91</v>
      </c>
      <c r="O21" s="14">
        <f t="shared" si="4"/>
        <v>-0.11232330119766909</v>
      </c>
      <c r="P21" s="13">
        <f>[2]Data_Analysis!Q24</f>
        <v>1177.33</v>
      </c>
      <c r="Q21" s="13">
        <f t="shared" si="20"/>
        <v>1264.24</v>
      </c>
      <c r="R21" s="14">
        <f t="shared" si="5"/>
        <v>-6.8744858571157419E-2</v>
      </c>
      <c r="S21" s="13">
        <f>[2]Data_Analysis!T24</f>
        <v>256.79000000000002</v>
      </c>
      <c r="T21" s="13">
        <f t="shared" si="21"/>
        <v>276.58</v>
      </c>
      <c r="U21" s="14">
        <f t="shared" si="6"/>
        <v>-7.1552534528888434E-2</v>
      </c>
      <c r="V21" s="13">
        <f>[2]Data_Analysis!W24</f>
        <v>266.39999999999998</v>
      </c>
      <c r="W21" s="13">
        <f t="shared" si="22"/>
        <v>297.58</v>
      </c>
      <c r="X21" s="14">
        <f t="shared" si="7"/>
        <v>-0.10477854694535926</v>
      </c>
      <c r="Y21" s="13">
        <f>[2]Data_Analysis!Z24</f>
        <v>251.37</v>
      </c>
      <c r="Z21" s="13">
        <f t="shared" si="23"/>
        <v>271.39</v>
      </c>
      <c r="AA21" s="14">
        <f t="shared" si="8"/>
        <v>-7.3768377611555302E-2</v>
      </c>
      <c r="AB21" s="13">
        <f>[2]Data_Analysis!AC24</f>
        <v>1162.44</v>
      </c>
      <c r="AC21" s="13">
        <f t="shared" si="24"/>
        <v>1251.92</v>
      </c>
      <c r="AD21" s="14">
        <f t="shared" si="9"/>
        <v>-7.1474215604831026E-2</v>
      </c>
      <c r="AE21" s="13">
        <f>[2]Data_Analysis!AF24</f>
        <v>955.33</v>
      </c>
      <c r="AF21" s="13">
        <f t="shared" si="25"/>
        <v>1026.3399999999999</v>
      </c>
      <c r="AG21" s="14">
        <f t="shared" si="10"/>
        <v>-6.9187598651518911E-2</v>
      </c>
      <c r="AH21" s="13">
        <f>[2]Data_Analysis!AI24</f>
        <v>4746.0200000000004</v>
      </c>
      <c r="AI21" s="13">
        <f t="shared" si="26"/>
        <v>5387.19</v>
      </c>
      <c r="AJ21" s="14">
        <f t="shared" si="11"/>
        <v>-0.11901752119379472</v>
      </c>
      <c r="AK21" s="13">
        <f>[2]Data_Analysis!AL24</f>
        <v>926.58</v>
      </c>
      <c r="AL21" s="13">
        <f t="shared" si="27"/>
        <v>984.93</v>
      </c>
      <c r="AM21" s="14">
        <f t="shared" si="12"/>
        <v>-5.9242788827632342E-2</v>
      </c>
      <c r="AN21" s="13">
        <f>[2]Data_Analysis!AO24</f>
        <v>918.39</v>
      </c>
      <c r="AO21" s="13">
        <f t="shared" si="28"/>
        <v>995.46</v>
      </c>
      <c r="AP21" s="14">
        <f t="shared" si="13"/>
        <v>-7.7421493580857148E-2</v>
      </c>
      <c r="AQ21" s="13">
        <f>[2]Data_Analysis!AR24</f>
        <v>178.18</v>
      </c>
      <c r="AR21" s="13">
        <f t="shared" si="29"/>
        <v>186.67</v>
      </c>
      <c r="AS21" s="14">
        <f t="shared" si="14"/>
        <v>-4.5481330690523292E-2</v>
      </c>
    </row>
    <row r="22" spans="1:45" x14ac:dyDescent="0.25">
      <c r="A22" s="13">
        <f>[2]Data_Analysis!B25</f>
        <v>2183.36</v>
      </c>
      <c r="B22" s="13">
        <f t="shared" si="15"/>
        <v>2483.4499999999998</v>
      </c>
      <c r="C22" s="14">
        <f t="shared" si="0"/>
        <v>-0.12083593388230074</v>
      </c>
      <c r="D22" s="13">
        <f>[2]Data_Analysis!E25</f>
        <v>8309.33</v>
      </c>
      <c r="E22" s="13">
        <f t="shared" si="16"/>
        <v>8971.5499999999993</v>
      </c>
      <c r="F22" s="14">
        <f t="shared" si="1"/>
        <v>-7.3813332144389676E-2</v>
      </c>
      <c r="G22" s="13">
        <f>[2]Data_Analysis!H25</f>
        <v>2816.39</v>
      </c>
      <c r="H22" s="13">
        <f t="shared" si="17"/>
        <v>3112.31</v>
      </c>
      <c r="I22" s="15">
        <f t="shared" si="2"/>
        <v>-9.5080502906201514E-2</v>
      </c>
      <c r="J22" s="13">
        <f>[2]Data_Analysis!K25</f>
        <v>9763.58</v>
      </c>
      <c r="K22" s="13">
        <f t="shared" si="18"/>
        <v>11617.75</v>
      </c>
      <c r="L22" s="14">
        <f t="shared" si="3"/>
        <v>-0.15959802887822516</v>
      </c>
      <c r="M22" s="13">
        <f>[2]Data_Analysis!N25</f>
        <v>1402.25</v>
      </c>
      <c r="N22" s="13">
        <f t="shared" si="19"/>
        <v>1583.91</v>
      </c>
      <c r="O22" s="14">
        <f t="shared" si="4"/>
        <v>-0.11469085996047756</v>
      </c>
      <c r="P22" s="13">
        <f>[2]Data_Analysis!Q25</f>
        <v>1167.0999999999999</v>
      </c>
      <c r="Q22" s="13">
        <f t="shared" si="20"/>
        <v>1264.24</v>
      </c>
      <c r="R22" s="14">
        <f t="shared" si="5"/>
        <v>-7.6836676580396168E-2</v>
      </c>
      <c r="S22" s="13">
        <f>[2]Data_Analysis!T25</f>
        <v>251.79</v>
      </c>
      <c r="T22" s="13">
        <f t="shared" si="21"/>
        <v>276.58</v>
      </c>
      <c r="U22" s="14">
        <f t="shared" si="6"/>
        <v>-8.9630486658471287E-2</v>
      </c>
      <c r="V22" s="13">
        <f>[2]Data_Analysis!W25</f>
        <v>264.89999999999998</v>
      </c>
      <c r="W22" s="13">
        <f t="shared" si="22"/>
        <v>297.58</v>
      </c>
      <c r="X22" s="14">
        <f t="shared" si="7"/>
        <v>-0.10981920828012637</v>
      </c>
      <c r="Y22" s="13">
        <f>[2]Data_Analysis!Z25</f>
        <v>250.44</v>
      </c>
      <c r="Z22" s="13">
        <f t="shared" si="23"/>
        <v>271.39</v>
      </c>
      <c r="AA22" s="14">
        <f t="shared" si="8"/>
        <v>-7.7195180367736427E-2</v>
      </c>
      <c r="AB22" s="13">
        <f>[2]Data_Analysis!AC25</f>
        <v>1155.07</v>
      </c>
      <c r="AC22" s="13">
        <f t="shared" si="24"/>
        <v>1251.92</v>
      </c>
      <c r="AD22" s="14">
        <f t="shared" si="9"/>
        <v>-7.73611732379067E-2</v>
      </c>
      <c r="AE22" s="13">
        <f>[2]Data_Analysis!AF25</f>
        <v>949.99</v>
      </c>
      <c r="AF22" s="13">
        <f t="shared" si="25"/>
        <v>1026.3399999999999</v>
      </c>
      <c r="AG22" s="14">
        <f t="shared" si="10"/>
        <v>-7.4390552838240698E-2</v>
      </c>
      <c r="AH22" s="13">
        <f>[2]Data_Analysis!AI25</f>
        <v>4685.25</v>
      </c>
      <c r="AI22" s="13">
        <f t="shared" si="26"/>
        <v>5387.19</v>
      </c>
      <c r="AJ22" s="14">
        <f t="shared" si="11"/>
        <v>-0.13029798466361864</v>
      </c>
      <c r="AK22" s="13">
        <f>[2]Data_Analysis!AL25</f>
        <v>924.48</v>
      </c>
      <c r="AL22" s="13">
        <f t="shared" si="27"/>
        <v>984.93</v>
      </c>
      <c r="AM22" s="14">
        <f t="shared" si="12"/>
        <v>-6.1374920045079273E-2</v>
      </c>
      <c r="AN22" s="13">
        <f>[2]Data_Analysis!AO25</f>
        <v>917.2</v>
      </c>
      <c r="AO22" s="13">
        <f t="shared" si="28"/>
        <v>995.46</v>
      </c>
      <c r="AP22" s="14">
        <f t="shared" si="13"/>
        <v>-7.8616920820525182E-2</v>
      </c>
      <c r="AQ22" s="13">
        <f>[2]Data_Analysis!AR25</f>
        <v>178.04</v>
      </c>
      <c r="AR22" s="13">
        <f t="shared" si="29"/>
        <v>186.67</v>
      </c>
      <c r="AS22" s="14">
        <f t="shared" si="14"/>
        <v>-4.6231317297905417E-2</v>
      </c>
    </row>
    <row r="23" spans="1:45" x14ac:dyDescent="0.25">
      <c r="A23" s="13">
        <f>[2]Data_Analysis!B26</f>
        <v>2203.1</v>
      </c>
      <c r="B23" s="13">
        <f t="shared" si="15"/>
        <v>2483.4499999999998</v>
      </c>
      <c r="C23" s="14">
        <f t="shared" si="0"/>
        <v>-0.11288731401880447</v>
      </c>
      <c r="D23" s="13">
        <f>[2]Data_Analysis!E26</f>
        <v>8526.75</v>
      </c>
      <c r="E23" s="13">
        <f t="shared" si="16"/>
        <v>8971.5499999999993</v>
      </c>
      <c r="F23" s="14">
        <f t="shared" si="1"/>
        <v>-4.9578946781771216E-2</v>
      </c>
      <c r="G23" s="13">
        <f>[2]Data_Analysis!H26</f>
        <v>2887.34</v>
      </c>
      <c r="H23" s="13">
        <f t="shared" si="17"/>
        <v>3112.31</v>
      </c>
      <c r="I23" s="15">
        <f t="shared" si="2"/>
        <v>-7.2283930585320788E-2</v>
      </c>
      <c r="J23" s="13">
        <f>[2]Data_Analysis!K26</f>
        <v>9769.4599999999991</v>
      </c>
      <c r="K23" s="13">
        <f t="shared" si="18"/>
        <v>11617.75</v>
      </c>
      <c r="L23" s="14">
        <f t="shared" si="3"/>
        <v>-0.15909190678057294</v>
      </c>
      <c r="M23" s="13">
        <f>[2]Data_Analysis!N26</f>
        <v>1446.35</v>
      </c>
      <c r="N23" s="13">
        <f t="shared" si="19"/>
        <v>1583.91</v>
      </c>
      <c r="O23" s="14">
        <f t="shared" si="4"/>
        <v>-8.6848368909849816E-2</v>
      </c>
      <c r="P23" s="13">
        <f>[2]Data_Analysis!Q26</f>
        <v>1202.96</v>
      </c>
      <c r="Q23" s="13">
        <f t="shared" si="20"/>
        <v>1264.24</v>
      </c>
      <c r="R23" s="14">
        <f t="shared" si="5"/>
        <v>-4.847180915016136E-2</v>
      </c>
      <c r="S23" s="13">
        <f>[2]Data_Analysis!T26</f>
        <v>258.31</v>
      </c>
      <c r="T23" s="13">
        <f t="shared" si="21"/>
        <v>276.58</v>
      </c>
      <c r="U23" s="14">
        <f t="shared" si="6"/>
        <v>-6.6056837081495345E-2</v>
      </c>
      <c r="V23" s="13">
        <f>[2]Data_Analysis!W26</f>
        <v>271.48</v>
      </c>
      <c r="W23" s="13">
        <f t="shared" si="22"/>
        <v>297.58</v>
      </c>
      <c r="X23" s="14">
        <f t="shared" si="7"/>
        <v>-8.77075072249478E-2</v>
      </c>
      <c r="Y23" s="13">
        <f>[2]Data_Analysis!Z26</f>
        <v>257.42</v>
      </c>
      <c r="Z23" s="13">
        <f t="shared" si="23"/>
        <v>271.39</v>
      </c>
      <c r="AA23" s="14">
        <f t="shared" si="8"/>
        <v>-5.1475736025645591E-2</v>
      </c>
      <c r="AB23" s="13">
        <f>[2]Data_Analysis!AC26</f>
        <v>1192.6199999999999</v>
      </c>
      <c r="AC23" s="13">
        <f t="shared" si="24"/>
        <v>1251.92</v>
      </c>
      <c r="AD23" s="14">
        <f t="shared" si="9"/>
        <v>-4.7367243913349233E-2</v>
      </c>
      <c r="AE23" s="13">
        <f>[2]Data_Analysis!AF26</f>
        <v>975.34</v>
      </c>
      <c r="AF23" s="13">
        <f t="shared" si="25"/>
        <v>1026.3399999999999</v>
      </c>
      <c r="AG23" s="14">
        <f t="shared" si="10"/>
        <v>-4.9691135491162663E-2</v>
      </c>
      <c r="AH23" s="13">
        <f>[2]Data_Analysis!AI26</f>
        <v>4700.43</v>
      </c>
      <c r="AI23" s="13">
        <f t="shared" si="26"/>
        <v>5387.19</v>
      </c>
      <c r="AJ23" s="14">
        <f t="shared" si="11"/>
        <v>-0.12748018911529002</v>
      </c>
      <c r="AK23" s="13">
        <f>[2]Data_Analysis!AL26</f>
        <v>943.9</v>
      </c>
      <c r="AL23" s="13">
        <f t="shared" si="27"/>
        <v>984.93</v>
      </c>
      <c r="AM23" s="14">
        <f t="shared" si="12"/>
        <v>-4.1657782786593933E-2</v>
      </c>
      <c r="AN23" s="13">
        <f>[2]Data_Analysis!AO26</f>
        <v>941.48</v>
      </c>
      <c r="AO23" s="13">
        <f t="shared" si="28"/>
        <v>995.46</v>
      </c>
      <c r="AP23" s="14">
        <f t="shared" si="13"/>
        <v>-5.4226186888473693E-2</v>
      </c>
      <c r="AQ23" s="13">
        <f>[2]Data_Analysis!AR26</f>
        <v>183.19</v>
      </c>
      <c r="AR23" s="13">
        <f t="shared" si="29"/>
        <v>186.67</v>
      </c>
      <c r="AS23" s="14">
        <f t="shared" si="14"/>
        <v>-1.8642524240638503E-2</v>
      </c>
    </row>
    <row r="24" spans="1:45" x14ac:dyDescent="0.25">
      <c r="A24" s="13">
        <f>[2]Data_Analysis!B27</f>
        <v>2183.1999999999998</v>
      </c>
      <c r="B24" s="13">
        <f t="shared" si="15"/>
        <v>2483.4499999999998</v>
      </c>
      <c r="C24" s="14">
        <f t="shared" si="0"/>
        <v>-0.12090036038575369</v>
      </c>
      <c r="D24" s="13">
        <f>[2]Data_Analysis!E27</f>
        <v>8340.24</v>
      </c>
      <c r="E24" s="13">
        <f t="shared" si="16"/>
        <v>8971.5499999999993</v>
      </c>
      <c r="F24" s="14">
        <f t="shared" si="1"/>
        <v>-7.036799661151083E-2</v>
      </c>
      <c r="G24" s="13">
        <f>[2]Data_Analysis!H27</f>
        <v>2838.9</v>
      </c>
      <c r="H24" s="13">
        <f t="shared" si="17"/>
        <v>3112.31</v>
      </c>
      <c r="I24" s="15">
        <f t="shared" si="2"/>
        <v>-8.78479328858629E-2</v>
      </c>
      <c r="J24" s="13">
        <f>[2]Data_Analysis!K27</f>
        <v>9643.9500000000007</v>
      </c>
      <c r="K24" s="13">
        <f t="shared" si="18"/>
        <v>11617.75</v>
      </c>
      <c r="L24" s="14">
        <f t="shared" si="3"/>
        <v>-0.16989520346022247</v>
      </c>
      <c r="M24" s="13">
        <f>[2]Data_Analysis!N27</f>
        <v>1416.49</v>
      </c>
      <c r="N24" s="13">
        <f t="shared" si="19"/>
        <v>1583.91</v>
      </c>
      <c r="O24" s="14">
        <f t="shared" si="4"/>
        <v>-0.10570045015183949</v>
      </c>
      <c r="P24" s="13">
        <f>[2]Data_Analysis!Q27</f>
        <v>1173.7</v>
      </c>
      <c r="Q24" s="13">
        <f t="shared" si="20"/>
        <v>1264.24</v>
      </c>
      <c r="R24" s="14">
        <f t="shared" si="5"/>
        <v>-7.1616148832500115E-2</v>
      </c>
      <c r="S24" s="13">
        <f>[2]Data_Analysis!T27</f>
        <v>253.36</v>
      </c>
      <c r="T24" s="13">
        <f t="shared" si="21"/>
        <v>276.58</v>
      </c>
      <c r="U24" s="14">
        <f t="shared" si="6"/>
        <v>-8.3954009689782283E-2</v>
      </c>
      <c r="V24" s="13">
        <f>[2]Data_Analysis!W27</f>
        <v>266.01</v>
      </c>
      <c r="W24" s="13">
        <f t="shared" si="22"/>
        <v>297.58</v>
      </c>
      <c r="X24" s="14">
        <f t="shared" si="7"/>
        <v>-0.10608911889239869</v>
      </c>
      <c r="Y24" s="13">
        <f>[2]Data_Analysis!Z27</f>
        <v>251.49</v>
      </c>
      <c r="Z24" s="13">
        <f t="shared" si="23"/>
        <v>271.39</v>
      </c>
      <c r="AA24" s="14">
        <f t="shared" si="8"/>
        <v>-7.3326209513983498E-2</v>
      </c>
      <c r="AB24" s="13">
        <f>[2]Data_Analysis!AC27</f>
        <v>1166.1600000000001</v>
      </c>
      <c r="AC24" s="13">
        <f t="shared" si="24"/>
        <v>1251.92</v>
      </c>
      <c r="AD24" s="14">
        <f t="shared" si="9"/>
        <v>-6.850277973033414E-2</v>
      </c>
      <c r="AE24" s="13">
        <f>[2]Data_Analysis!AF27</f>
        <v>954.16</v>
      </c>
      <c r="AF24" s="13">
        <f t="shared" si="25"/>
        <v>1026.3399999999999</v>
      </c>
      <c r="AG24" s="14">
        <f t="shared" si="10"/>
        <v>-7.0327571759845608E-2</v>
      </c>
      <c r="AH24" s="13">
        <f>[2]Data_Analysis!AI27</f>
        <v>4651.8</v>
      </c>
      <c r="AI24" s="13">
        <f t="shared" si="26"/>
        <v>5387.19</v>
      </c>
      <c r="AJ24" s="14">
        <f t="shared" si="11"/>
        <v>-0.13650715864857177</v>
      </c>
      <c r="AK24" s="13">
        <f>[2]Data_Analysis!AL27</f>
        <v>933.57</v>
      </c>
      <c r="AL24" s="13">
        <f t="shared" si="27"/>
        <v>984.93</v>
      </c>
      <c r="AM24" s="14">
        <f t="shared" si="12"/>
        <v>-5.2145837775273263E-2</v>
      </c>
      <c r="AN24" s="13">
        <f>[2]Data_Analysis!AO27</f>
        <v>924.89</v>
      </c>
      <c r="AO24" s="13">
        <f t="shared" si="28"/>
        <v>995.46</v>
      </c>
      <c r="AP24" s="14">
        <f t="shared" si="13"/>
        <v>-7.0891848994434792E-2</v>
      </c>
      <c r="AQ24" s="13">
        <f>[2]Data_Analysis!AR27</f>
        <v>179.93</v>
      </c>
      <c r="AR24" s="13">
        <f t="shared" si="29"/>
        <v>186.67</v>
      </c>
      <c r="AS24" s="14">
        <f t="shared" si="14"/>
        <v>-3.6106498098248174E-2</v>
      </c>
    </row>
    <row r="25" spans="1:45" x14ac:dyDescent="0.25">
      <c r="A25" s="13">
        <f>[2]Data_Analysis!B28</f>
        <v>2148.2800000000002</v>
      </c>
      <c r="B25" s="13">
        <f t="shared" si="15"/>
        <v>2483.4499999999998</v>
      </c>
      <c r="C25" s="14">
        <f t="shared" si="0"/>
        <v>-0.1349614447643398</v>
      </c>
      <c r="D25" s="13">
        <f>[2]Data_Analysis!E28</f>
        <v>8109.41</v>
      </c>
      <c r="E25" s="13">
        <f t="shared" si="16"/>
        <v>8971.5499999999993</v>
      </c>
      <c r="F25" s="14">
        <f t="shared" si="1"/>
        <v>-9.6097106965908896E-2</v>
      </c>
      <c r="G25" s="13">
        <f>[2]Data_Analysis!H28</f>
        <v>2764.09</v>
      </c>
      <c r="H25" s="13">
        <f t="shared" si="17"/>
        <v>3112.31</v>
      </c>
      <c r="I25" s="15">
        <f t="shared" si="2"/>
        <v>-0.11188474155852079</v>
      </c>
      <c r="J25" s="13">
        <f>[2]Data_Analysis!K28</f>
        <v>9592.48</v>
      </c>
      <c r="K25" s="13">
        <f t="shared" si="18"/>
        <v>11617.75</v>
      </c>
      <c r="L25" s="14">
        <f t="shared" si="3"/>
        <v>-0.17432549331841363</v>
      </c>
      <c r="M25" s="13">
        <f>[2]Data_Analysis!N28</f>
        <v>1375.87</v>
      </c>
      <c r="N25" s="13">
        <f t="shared" si="19"/>
        <v>1583.91</v>
      </c>
      <c r="O25" s="14">
        <f t="shared" si="4"/>
        <v>-0.13134584667058113</v>
      </c>
      <c r="P25" s="13">
        <f>[2]Data_Analysis!Q28</f>
        <v>1136.3599999999999</v>
      </c>
      <c r="Q25" s="13">
        <f t="shared" si="20"/>
        <v>1264.24</v>
      </c>
      <c r="R25" s="14">
        <f t="shared" si="5"/>
        <v>-0.10115168006074804</v>
      </c>
      <c r="S25" s="13">
        <f>[2]Data_Analysis!T28</f>
        <v>246.69</v>
      </c>
      <c r="T25" s="13">
        <f t="shared" si="21"/>
        <v>276.58</v>
      </c>
      <c r="U25" s="14">
        <f t="shared" si="6"/>
        <v>-0.10806999783064575</v>
      </c>
      <c r="V25" s="13">
        <f>[2]Data_Analysis!W28</f>
        <v>259.58</v>
      </c>
      <c r="W25" s="13">
        <f t="shared" si="22"/>
        <v>297.58</v>
      </c>
      <c r="X25" s="14">
        <f t="shared" si="7"/>
        <v>-0.12769675381410039</v>
      </c>
      <c r="Y25" s="13">
        <f>[2]Data_Analysis!Z28</f>
        <v>243.77</v>
      </c>
      <c r="Z25" s="13">
        <f t="shared" si="23"/>
        <v>271.39</v>
      </c>
      <c r="AA25" s="14">
        <f t="shared" si="8"/>
        <v>-0.10177235712443344</v>
      </c>
      <c r="AB25" s="13">
        <f>[2]Data_Analysis!AC28</f>
        <v>1131.51</v>
      </c>
      <c r="AC25" s="13">
        <f t="shared" si="24"/>
        <v>1251.92</v>
      </c>
      <c r="AD25" s="14">
        <f t="shared" si="9"/>
        <v>-9.6180267109719497E-2</v>
      </c>
      <c r="AE25" s="13">
        <f>[2]Data_Analysis!AF28</f>
        <v>926.09</v>
      </c>
      <c r="AF25" s="13">
        <f t="shared" si="25"/>
        <v>1026.3399999999999</v>
      </c>
      <c r="AG25" s="14">
        <f t="shared" si="10"/>
        <v>-9.7677182999785561E-2</v>
      </c>
      <c r="AH25" s="13">
        <f>[2]Data_Analysis!AI28</f>
        <v>4607.28</v>
      </c>
      <c r="AI25" s="13">
        <f t="shared" si="26"/>
        <v>5387.19</v>
      </c>
      <c r="AJ25" s="14">
        <f t="shared" si="11"/>
        <v>-0.14477120725276071</v>
      </c>
      <c r="AK25" s="13">
        <f>[2]Data_Analysis!AL28</f>
        <v>913.24</v>
      </c>
      <c r="AL25" s="13">
        <f t="shared" si="27"/>
        <v>984.93</v>
      </c>
      <c r="AM25" s="14">
        <f t="shared" si="12"/>
        <v>-7.2786898561319036E-2</v>
      </c>
      <c r="AN25" s="13">
        <f>[2]Data_Analysis!AO28</f>
        <v>902.63</v>
      </c>
      <c r="AO25" s="13">
        <f t="shared" si="28"/>
        <v>995.46</v>
      </c>
      <c r="AP25" s="14">
        <f t="shared" si="13"/>
        <v>-9.3253370301167315E-2</v>
      </c>
      <c r="AQ25" s="13">
        <f>[2]Data_Analysis!AR28</f>
        <v>175.17</v>
      </c>
      <c r="AR25" s="13">
        <f t="shared" si="29"/>
        <v>186.67</v>
      </c>
      <c r="AS25" s="14">
        <f t="shared" si="14"/>
        <v>-6.1606042749236645E-2</v>
      </c>
    </row>
    <row r="26" spans="1:45" x14ac:dyDescent="0.25">
      <c r="A26" s="13">
        <f>[2]Data_Analysis!B29</f>
        <v>2203.27</v>
      </c>
      <c r="B26" s="13">
        <f t="shared" si="15"/>
        <v>2483.4499999999998</v>
      </c>
      <c r="C26" s="14">
        <f t="shared" si="0"/>
        <v>-0.11281886085888582</v>
      </c>
      <c r="D26" s="13">
        <f>[2]Data_Analysis!E29</f>
        <v>8337.65</v>
      </c>
      <c r="E26" s="13">
        <f t="shared" si="16"/>
        <v>8971.5499999999993</v>
      </c>
      <c r="F26" s="14">
        <f t="shared" si="1"/>
        <v>-7.0656686971593552E-2</v>
      </c>
      <c r="G26" s="13">
        <f>[2]Data_Analysis!H29</f>
        <v>2838.43</v>
      </c>
      <c r="H26" s="13">
        <f t="shared" si="17"/>
        <v>3112.31</v>
      </c>
      <c r="I26" s="15">
        <f t="shared" si="2"/>
        <v>-8.7998946120405819E-2</v>
      </c>
      <c r="J26" s="13">
        <f>[2]Data_Analysis!K29</f>
        <v>9879.9</v>
      </c>
      <c r="K26" s="13">
        <f t="shared" si="18"/>
        <v>11617.75</v>
      </c>
      <c r="L26" s="14">
        <f t="shared" si="3"/>
        <v>-0.14958576316412386</v>
      </c>
      <c r="M26" s="13">
        <f>[2]Data_Analysis!N29</f>
        <v>1416.45</v>
      </c>
      <c r="N26" s="13">
        <f t="shared" si="19"/>
        <v>1583.91</v>
      </c>
      <c r="O26" s="14">
        <f t="shared" si="4"/>
        <v>-0.10572570411197613</v>
      </c>
      <c r="P26" s="13">
        <f>[2]Data_Analysis!Q29</f>
        <v>1166.33</v>
      </c>
      <c r="Q26" s="13">
        <f t="shared" si="20"/>
        <v>1264.24</v>
      </c>
      <c r="R26" s="14">
        <f t="shared" si="5"/>
        <v>-7.74457381509841E-2</v>
      </c>
      <c r="S26" s="13">
        <f>[2]Data_Analysis!T29</f>
        <v>252.95</v>
      </c>
      <c r="T26" s="13">
        <f t="shared" si="21"/>
        <v>276.58</v>
      </c>
      <c r="U26" s="14">
        <f t="shared" si="6"/>
        <v>-8.5436401764408143E-2</v>
      </c>
      <c r="V26" s="13">
        <f>[2]Data_Analysis!W29</f>
        <v>265.75</v>
      </c>
      <c r="W26" s="13">
        <f t="shared" si="22"/>
        <v>297.58</v>
      </c>
      <c r="X26" s="14">
        <f t="shared" si="7"/>
        <v>-0.10696283352375824</v>
      </c>
      <c r="Y26" s="13">
        <f>[2]Data_Analysis!Z29</f>
        <v>249.67</v>
      </c>
      <c r="Z26" s="13">
        <f t="shared" si="23"/>
        <v>271.39</v>
      </c>
      <c r="AA26" s="14">
        <f t="shared" si="8"/>
        <v>-8.0032425660488626E-2</v>
      </c>
      <c r="AB26" s="13">
        <f>[2]Data_Analysis!AC29</f>
        <v>1161.06</v>
      </c>
      <c r="AC26" s="13">
        <f t="shared" si="24"/>
        <v>1251.92</v>
      </c>
      <c r="AD26" s="14">
        <f t="shared" si="9"/>
        <v>-7.257652246149926E-2</v>
      </c>
      <c r="AE26" s="13">
        <f>[2]Data_Analysis!AF29</f>
        <v>952.66</v>
      </c>
      <c r="AF26" s="13">
        <f t="shared" si="25"/>
        <v>1026.3399999999999</v>
      </c>
      <c r="AG26" s="14">
        <f t="shared" si="10"/>
        <v>-7.1789075744879804E-2</v>
      </c>
      <c r="AH26" s="13">
        <f>[2]Data_Analysis!AI29</f>
        <v>4732.8599999999997</v>
      </c>
      <c r="AI26" s="13">
        <f t="shared" si="26"/>
        <v>5387.19</v>
      </c>
      <c r="AJ26" s="14">
        <f t="shared" si="11"/>
        <v>-0.12146035317113379</v>
      </c>
      <c r="AK26" s="13">
        <f>[2]Data_Analysis!AL29</f>
        <v>935.43</v>
      </c>
      <c r="AL26" s="13">
        <f t="shared" si="27"/>
        <v>984.93</v>
      </c>
      <c r="AM26" s="14">
        <f t="shared" si="12"/>
        <v>-5.0257378696963229E-2</v>
      </c>
      <c r="AN26" s="13">
        <f>[2]Data_Analysis!AO29</f>
        <v>923.1</v>
      </c>
      <c r="AO26" s="13">
        <f t="shared" si="28"/>
        <v>995.46</v>
      </c>
      <c r="AP26" s="14">
        <f t="shared" si="13"/>
        <v>-7.2690012657464886E-2</v>
      </c>
      <c r="AQ26" s="13">
        <f>[2]Data_Analysis!AR29</f>
        <v>179.25</v>
      </c>
      <c r="AR26" s="13">
        <f t="shared" si="29"/>
        <v>186.67</v>
      </c>
      <c r="AS26" s="14">
        <f t="shared" si="14"/>
        <v>-3.9749290191246511E-2</v>
      </c>
    </row>
    <row r="27" spans="1:45" x14ac:dyDescent="0.25">
      <c r="A27" s="13">
        <f>[2]Data_Analysis!B30</f>
        <v>2190.36</v>
      </c>
      <c r="B27" s="13">
        <f t="shared" si="15"/>
        <v>2483.4499999999998</v>
      </c>
      <c r="C27" s="14">
        <f t="shared" si="0"/>
        <v>-0.11801727435623821</v>
      </c>
      <c r="D27" s="13">
        <f>[2]Data_Analysis!E30</f>
        <v>8176.86</v>
      </c>
      <c r="E27" s="13">
        <f t="shared" si="16"/>
        <v>8971.5499999999993</v>
      </c>
      <c r="F27" s="14">
        <f t="shared" si="1"/>
        <v>-8.8578896623214498E-2</v>
      </c>
      <c r="G27" s="13">
        <f>[2]Data_Analysis!H30</f>
        <v>2793.4</v>
      </c>
      <c r="H27" s="13">
        <f t="shared" si="17"/>
        <v>3112.31</v>
      </c>
      <c r="I27" s="15">
        <f t="shared" si="2"/>
        <v>-0.10246729920862629</v>
      </c>
      <c r="J27" s="13">
        <f>[2]Data_Analysis!K30</f>
        <v>9812.0400000000009</v>
      </c>
      <c r="K27" s="13">
        <f t="shared" si="18"/>
        <v>11617.75</v>
      </c>
      <c r="L27" s="14">
        <f t="shared" si="3"/>
        <v>-0.15542682533192731</v>
      </c>
      <c r="M27" s="13">
        <f>[2]Data_Analysis!N30</f>
        <v>1388.35</v>
      </c>
      <c r="N27" s="13">
        <f t="shared" si="19"/>
        <v>1583.91</v>
      </c>
      <c r="O27" s="14">
        <f t="shared" si="4"/>
        <v>-0.12346661110795443</v>
      </c>
      <c r="P27" s="13">
        <f>[2]Data_Analysis!Q30</f>
        <v>1143.03</v>
      </c>
      <c r="Q27" s="13">
        <f t="shared" si="20"/>
        <v>1264.24</v>
      </c>
      <c r="R27" s="14">
        <f t="shared" si="5"/>
        <v>-9.5875783079162225E-2</v>
      </c>
      <c r="S27" s="13">
        <f>[2]Data_Analysis!T30</f>
        <v>248.67</v>
      </c>
      <c r="T27" s="13">
        <f t="shared" si="21"/>
        <v>276.58</v>
      </c>
      <c r="U27" s="14">
        <f t="shared" si="6"/>
        <v>-0.10091112878733099</v>
      </c>
      <c r="V27" s="13">
        <f>[2]Data_Analysis!W30</f>
        <v>261.77</v>
      </c>
      <c r="W27" s="13">
        <f t="shared" si="22"/>
        <v>297.58</v>
      </c>
      <c r="X27" s="14">
        <f t="shared" si="7"/>
        <v>-0.12033738826534046</v>
      </c>
      <c r="Y27" s="13">
        <f>[2]Data_Analysis!Z30</f>
        <v>244.82</v>
      </c>
      <c r="Z27" s="13">
        <f t="shared" si="23"/>
        <v>271.39</v>
      </c>
      <c r="AA27" s="14">
        <f t="shared" si="8"/>
        <v>-9.7903386270680515E-2</v>
      </c>
      <c r="AB27" s="13">
        <f>[2]Data_Analysis!AC30</f>
        <v>1140.6500000000001</v>
      </c>
      <c r="AC27" s="13">
        <f t="shared" si="24"/>
        <v>1251.92</v>
      </c>
      <c r="AD27" s="14">
        <f t="shared" si="9"/>
        <v>-8.8879481117004278E-2</v>
      </c>
      <c r="AE27" s="13">
        <f>[2]Data_Analysis!AF30</f>
        <v>935.77</v>
      </c>
      <c r="AF27" s="13">
        <f t="shared" si="25"/>
        <v>1026.3399999999999</v>
      </c>
      <c r="AG27" s="14">
        <f t="shared" si="10"/>
        <v>-8.8245610616364933E-2</v>
      </c>
      <c r="AH27" s="13">
        <f>[2]Data_Analysis!AI30</f>
        <v>4695</v>
      </c>
      <c r="AI27" s="13">
        <f t="shared" si="26"/>
        <v>5387.19</v>
      </c>
      <c r="AJ27" s="14">
        <f t="shared" si="11"/>
        <v>-0.12848813574423767</v>
      </c>
      <c r="AK27" s="13">
        <f>[2]Data_Analysis!AL30</f>
        <v>920.81</v>
      </c>
      <c r="AL27" s="13">
        <f t="shared" si="27"/>
        <v>984.93</v>
      </c>
      <c r="AM27" s="14">
        <f t="shared" si="12"/>
        <v>-6.5101073172712742E-2</v>
      </c>
      <c r="AN27" s="13">
        <f>[2]Data_Analysis!AO30</f>
        <v>909.54</v>
      </c>
      <c r="AO27" s="13">
        <f t="shared" si="28"/>
        <v>995.46</v>
      </c>
      <c r="AP27" s="14">
        <f t="shared" si="13"/>
        <v>-8.6311855825447648E-2</v>
      </c>
      <c r="AQ27" s="13">
        <f>[2]Data_Analysis!AR30</f>
        <v>176.15</v>
      </c>
      <c r="AR27" s="13">
        <f t="shared" si="29"/>
        <v>186.67</v>
      </c>
      <c r="AS27" s="14">
        <f t="shared" si="14"/>
        <v>-5.6356136497562437E-2</v>
      </c>
    </row>
    <row r="28" spans="1:45" x14ac:dyDescent="0.25">
      <c r="A28" s="13">
        <f>[2]Data_Analysis!B31</f>
        <v>2225.14</v>
      </c>
      <c r="B28" s="13">
        <f t="shared" si="15"/>
        <v>2483.4499999999998</v>
      </c>
      <c r="C28" s="14">
        <f t="shared" si="0"/>
        <v>-0.10401256316817331</v>
      </c>
      <c r="D28" s="13">
        <f>[2]Data_Analysis!E31</f>
        <v>8385.7999999999993</v>
      </c>
      <c r="E28" s="13">
        <f t="shared" si="16"/>
        <v>8971.5499999999993</v>
      </c>
      <c r="F28" s="14">
        <f t="shared" si="1"/>
        <v>-6.5289721397083E-2</v>
      </c>
      <c r="G28" s="13">
        <f>[2]Data_Analysis!H31</f>
        <v>2865.27</v>
      </c>
      <c r="H28" s="13">
        <f t="shared" si="17"/>
        <v>3112.31</v>
      </c>
      <c r="I28" s="15">
        <f t="shared" si="2"/>
        <v>-7.9375126513747007E-2</v>
      </c>
      <c r="J28" s="13">
        <f>[2]Data_Analysis!K31</f>
        <v>9871.81</v>
      </c>
      <c r="K28" s="13">
        <f t="shared" si="18"/>
        <v>11617.75</v>
      </c>
      <c r="L28" s="14">
        <f t="shared" si="3"/>
        <v>-0.15028211142432923</v>
      </c>
      <c r="M28" s="13">
        <f>[2]Data_Analysis!N31</f>
        <v>1420.13</v>
      </c>
      <c r="N28" s="13">
        <f t="shared" si="19"/>
        <v>1583.91</v>
      </c>
      <c r="O28" s="14">
        <f t="shared" si="4"/>
        <v>-0.1034023397794066</v>
      </c>
      <c r="P28" s="13">
        <f>[2]Data_Analysis!Q31</f>
        <v>1173.2</v>
      </c>
      <c r="Q28" s="13">
        <f t="shared" si="20"/>
        <v>1264.24</v>
      </c>
      <c r="R28" s="14">
        <f t="shared" si="5"/>
        <v>-7.2011643358855904E-2</v>
      </c>
      <c r="S28" s="13">
        <f>[2]Data_Analysis!T31</f>
        <v>255.05</v>
      </c>
      <c r="T28" s="13">
        <f t="shared" si="21"/>
        <v>276.58</v>
      </c>
      <c r="U28" s="14">
        <f t="shared" si="6"/>
        <v>-7.7843661869983261E-2</v>
      </c>
      <c r="V28" s="13">
        <f>[2]Data_Analysis!W31</f>
        <v>267.89</v>
      </c>
      <c r="W28" s="13">
        <f t="shared" si="22"/>
        <v>297.58</v>
      </c>
      <c r="X28" s="14">
        <f t="shared" si="7"/>
        <v>-9.9771490019490594E-2</v>
      </c>
      <c r="Y28" s="13">
        <f>[2]Data_Analysis!Z31</f>
        <v>251.35</v>
      </c>
      <c r="Z28" s="13">
        <f t="shared" si="23"/>
        <v>271.39</v>
      </c>
      <c r="AA28" s="14">
        <f t="shared" si="8"/>
        <v>-7.3842072294483918E-2</v>
      </c>
      <c r="AB28" s="13">
        <f>[2]Data_Analysis!AC31</f>
        <v>1170.01</v>
      </c>
      <c r="AC28" s="13">
        <f t="shared" si="24"/>
        <v>1251.92</v>
      </c>
      <c r="AD28" s="14">
        <f t="shared" si="9"/>
        <v>-6.5427503354847039E-2</v>
      </c>
      <c r="AE28" s="13">
        <f>[2]Data_Analysis!AF31</f>
        <v>958.81</v>
      </c>
      <c r="AF28" s="13">
        <f t="shared" si="25"/>
        <v>1026.3399999999999</v>
      </c>
      <c r="AG28" s="14">
        <f t="shared" si="10"/>
        <v>-6.5796909406239612E-2</v>
      </c>
      <c r="AH28" s="13">
        <f>[2]Data_Analysis!AI31</f>
        <v>4774.2299999999996</v>
      </c>
      <c r="AI28" s="13">
        <f t="shared" si="26"/>
        <v>5387.19</v>
      </c>
      <c r="AJ28" s="14">
        <f t="shared" si="11"/>
        <v>-0.11378102498705267</v>
      </c>
      <c r="AK28" s="13">
        <f>[2]Data_Analysis!AL31</f>
        <v>942.3</v>
      </c>
      <c r="AL28" s="13">
        <f t="shared" si="27"/>
        <v>984.93</v>
      </c>
      <c r="AM28" s="14">
        <f t="shared" si="12"/>
        <v>-4.3282263714172542E-2</v>
      </c>
      <c r="AN28" s="13">
        <f>[2]Data_Analysis!AO31</f>
        <v>931.38</v>
      </c>
      <c r="AO28" s="13">
        <f t="shared" si="28"/>
        <v>995.46</v>
      </c>
      <c r="AP28" s="14">
        <f t="shared" si="13"/>
        <v>-6.4372250015068411E-2</v>
      </c>
      <c r="AQ28" s="13">
        <f>[2]Data_Analysis!AR31</f>
        <v>181.07</v>
      </c>
      <c r="AR28" s="13">
        <f t="shared" si="29"/>
        <v>186.67</v>
      </c>
      <c r="AS28" s="14">
        <f t="shared" si="14"/>
        <v>-2.9999464295280442E-2</v>
      </c>
    </row>
    <row r="29" spans="1:45" x14ac:dyDescent="0.25">
      <c r="A29" s="13">
        <f>[2]Data_Analysis!B32</f>
        <v>2186.2199999999998</v>
      </c>
      <c r="B29" s="13">
        <f t="shared" si="15"/>
        <v>2483.4499999999998</v>
      </c>
      <c r="C29" s="14">
        <f t="shared" si="0"/>
        <v>-0.11968431013308101</v>
      </c>
      <c r="D29" s="13">
        <f>[2]Data_Analysis!E32</f>
        <v>8220.91</v>
      </c>
      <c r="E29" s="13">
        <f t="shared" si="16"/>
        <v>8971.5499999999993</v>
      </c>
      <c r="F29" s="14">
        <f t="shared" si="1"/>
        <v>-8.3668931232618649E-2</v>
      </c>
      <c r="G29" s="13">
        <f>[2]Data_Analysis!H32</f>
        <v>2805.77</v>
      </c>
      <c r="H29" s="13">
        <f t="shared" si="17"/>
        <v>3112.31</v>
      </c>
      <c r="I29" s="15">
        <f t="shared" si="2"/>
        <v>-9.8492759397360796E-2</v>
      </c>
      <c r="J29" s="13">
        <f>[2]Data_Analysis!K32</f>
        <v>9675.59</v>
      </c>
      <c r="K29" s="13">
        <f t="shared" si="18"/>
        <v>11617.75</v>
      </c>
      <c r="L29" s="14">
        <f t="shared" si="3"/>
        <v>-0.16717178455380777</v>
      </c>
      <c r="M29" s="13">
        <f>[2]Data_Analysis!N32</f>
        <v>1394.03</v>
      </c>
      <c r="N29" s="13">
        <f t="shared" si="19"/>
        <v>1583.91</v>
      </c>
      <c r="O29" s="14">
        <f t="shared" si="4"/>
        <v>-0.11988054876855381</v>
      </c>
      <c r="P29" s="13">
        <f>[2]Data_Analysis!Q32</f>
        <v>1148.53</v>
      </c>
      <c r="Q29" s="13">
        <f t="shared" si="20"/>
        <v>1264.24</v>
      </c>
      <c r="R29" s="14">
        <f t="shared" si="5"/>
        <v>-9.1525343289248884E-2</v>
      </c>
      <c r="S29" s="13">
        <f>[2]Data_Analysis!T32</f>
        <v>249.88</v>
      </c>
      <c r="T29" s="13">
        <f t="shared" si="21"/>
        <v>276.58</v>
      </c>
      <c r="U29" s="14">
        <f t="shared" si="6"/>
        <v>-9.6536264371971936E-2</v>
      </c>
      <c r="V29" s="13">
        <f>[2]Data_Analysis!W32</f>
        <v>262.83999999999997</v>
      </c>
      <c r="W29" s="13">
        <f t="shared" si="22"/>
        <v>297.58</v>
      </c>
      <c r="X29" s="14">
        <f t="shared" si="7"/>
        <v>-0.11674171651320653</v>
      </c>
      <c r="Y29" s="13">
        <f>[2]Data_Analysis!Z32</f>
        <v>246.1</v>
      </c>
      <c r="Z29" s="13">
        <f t="shared" si="23"/>
        <v>271.39</v>
      </c>
      <c r="AA29" s="14">
        <f t="shared" si="8"/>
        <v>-9.3186926563248451E-2</v>
      </c>
      <c r="AB29" s="13">
        <f>[2]Data_Analysis!AC32</f>
        <v>1147.0999999999999</v>
      </c>
      <c r="AC29" s="13">
        <f t="shared" si="24"/>
        <v>1251.92</v>
      </c>
      <c r="AD29" s="14">
        <f t="shared" si="9"/>
        <v>-8.3727394721707538E-2</v>
      </c>
      <c r="AE29" s="13">
        <f>[2]Data_Analysis!AF32</f>
        <v>938.68</v>
      </c>
      <c r="AF29" s="13">
        <f t="shared" si="25"/>
        <v>1026.3399999999999</v>
      </c>
      <c r="AG29" s="14">
        <f t="shared" si="10"/>
        <v>-8.5410292885398587E-2</v>
      </c>
      <c r="AH29" s="13">
        <f>[2]Data_Analysis!AI32</f>
        <v>4693.1000000000004</v>
      </c>
      <c r="AI29" s="13">
        <f t="shared" si="26"/>
        <v>5387.19</v>
      </c>
      <c r="AJ29" s="14">
        <f t="shared" si="11"/>
        <v>-0.12884082425160415</v>
      </c>
      <c r="AK29" s="13">
        <f>[2]Data_Analysis!AL32</f>
        <v>928.45</v>
      </c>
      <c r="AL29" s="13">
        <f t="shared" si="27"/>
        <v>984.93</v>
      </c>
      <c r="AM29" s="14">
        <f t="shared" si="12"/>
        <v>-5.7344176743524877E-2</v>
      </c>
      <c r="AN29" s="13">
        <f>[2]Data_Analysis!AO32</f>
        <v>913.85</v>
      </c>
      <c r="AO29" s="13">
        <f t="shared" si="28"/>
        <v>995.46</v>
      </c>
      <c r="AP29" s="14">
        <f t="shared" si="13"/>
        <v>-8.1982199184296722E-2</v>
      </c>
      <c r="AQ29" s="13">
        <f>[2]Data_Analysis!AR32</f>
        <v>178.04</v>
      </c>
      <c r="AR29" s="13">
        <f t="shared" si="29"/>
        <v>186.67</v>
      </c>
      <c r="AS29" s="14">
        <f t="shared" si="14"/>
        <v>-4.6231317297905417E-2</v>
      </c>
    </row>
    <row r="30" spans="1:45" x14ac:dyDescent="0.25">
      <c r="A30" s="13">
        <f>[2]Data_Analysis!B33</f>
        <v>2152.04</v>
      </c>
      <c r="B30" s="13">
        <f t="shared" si="15"/>
        <v>2483.4499999999998</v>
      </c>
      <c r="C30" s="14">
        <f t="shared" si="0"/>
        <v>-0.1334474219331977</v>
      </c>
      <c r="D30" s="13">
        <f>[2]Data_Analysis!E33</f>
        <v>8046.51</v>
      </c>
      <c r="E30" s="13">
        <f t="shared" si="16"/>
        <v>8971.5499999999993</v>
      </c>
      <c r="F30" s="14">
        <f t="shared" si="1"/>
        <v>-0.10310815856791733</v>
      </c>
      <c r="G30" s="13">
        <f>[2]Data_Analysis!H33</f>
        <v>2754.23</v>
      </c>
      <c r="H30" s="13">
        <f t="shared" si="17"/>
        <v>3112.31</v>
      </c>
      <c r="I30" s="15">
        <f t="shared" si="2"/>
        <v>-0.11505280643637683</v>
      </c>
      <c r="J30" s="13">
        <f>[2]Data_Analysis!K33</f>
        <v>9488.4</v>
      </c>
      <c r="K30" s="13">
        <f t="shared" si="18"/>
        <v>11617.75</v>
      </c>
      <c r="L30" s="14">
        <f t="shared" si="3"/>
        <v>-0.18328419874760604</v>
      </c>
      <c r="M30" s="13">
        <f>[2]Data_Analysis!N33</f>
        <v>1363.66</v>
      </c>
      <c r="N30" s="13">
        <f t="shared" si="19"/>
        <v>1583.91</v>
      </c>
      <c r="O30" s="14">
        <f t="shared" si="4"/>
        <v>-0.13905461800228547</v>
      </c>
      <c r="P30" s="13">
        <f>[2]Data_Analysis!Q33</f>
        <v>1121.94</v>
      </c>
      <c r="Q30" s="13">
        <f t="shared" si="20"/>
        <v>1264.24</v>
      </c>
      <c r="R30" s="14">
        <f t="shared" si="5"/>
        <v>-0.11255774220084791</v>
      </c>
      <c r="S30" s="13">
        <f>[2]Data_Analysis!T33</f>
        <v>244.86</v>
      </c>
      <c r="T30" s="13">
        <f t="shared" si="21"/>
        <v>276.58</v>
      </c>
      <c r="U30" s="14">
        <f t="shared" si="6"/>
        <v>-0.11468652831007298</v>
      </c>
      <c r="V30" s="13">
        <f>[2]Data_Analysis!W33</f>
        <v>258.10000000000002</v>
      </c>
      <c r="W30" s="13">
        <f t="shared" si="22"/>
        <v>297.58</v>
      </c>
      <c r="X30" s="14">
        <f t="shared" si="7"/>
        <v>-0.13267020633107052</v>
      </c>
      <c r="Y30" s="13">
        <f>[2]Data_Analysis!Z33</f>
        <v>240.99</v>
      </c>
      <c r="Z30" s="13">
        <f t="shared" si="23"/>
        <v>271.39</v>
      </c>
      <c r="AA30" s="14">
        <f t="shared" si="8"/>
        <v>-0.11201591805151245</v>
      </c>
      <c r="AB30" s="13">
        <f>[2]Data_Analysis!AC33</f>
        <v>1126.6099999999999</v>
      </c>
      <c r="AC30" s="13">
        <f t="shared" si="24"/>
        <v>1251.92</v>
      </c>
      <c r="AD30" s="14">
        <f t="shared" si="9"/>
        <v>-0.10009425522397608</v>
      </c>
      <c r="AE30" s="13">
        <f>[2]Data_Analysis!AF33</f>
        <v>920.18</v>
      </c>
      <c r="AF30" s="13">
        <f t="shared" si="25"/>
        <v>1026.3399999999999</v>
      </c>
      <c r="AG30" s="14">
        <f t="shared" si="10"/>
        <v>-0.10343550870082041</v>
      </c>
      <c r="AH30" s="13">
        <f>[2]Data_Analysis!AI33</f>
        <v>4594.6000000000004</v>
      </c>
      <c r="AI30" s="13">
        <f t="shared" si="26"/>
        <v>5387.19</v>
      </c>
      <c r="AJ30" s="14">
        <f t="shared" si="11"/>
        <v>-0.14712493897560686</v>
      </c>
      <c r="AK30" s="13">
        <f>[2]Data_Analysis!AL33</f>
        <v>913.79</v>
      </c>
      <c r="AL30" s="13">
        <f t="shared" si="27"/>
        <v>984.93</v>
      </c>
      <c r="AM30" s="14">
        <f t="shared" si="12"/>
        <v>-7.2228483242463892E-2</v>
      </c>
      <c r="AN30" s="13">
        <f>[2]Data_Analysis!AO33</f>
        <v>899.37</v>
      </c>
      <c r="AO30" s="13">
        <f t="shared" si="28"/>
        <v>995.46</v>
      </c>
      <c r="AP30" s="14">
        <f t="shared" si="13"/>
        <v>-9.6528238201434524E-2</v>
      </c>
      <c r="AQ30" s="13">
        <f>[2]Data_Analysis!AR33</f>
        <v>175.28</v>
      </c>
      <c r="AR30" s="13">
        <f t="shared" si="29"/>
        <v>186.67</v>
      </c>
      <c r="AS30" s="14">
        <f t="shared" si="14"/>
        <v>-6.1016767557722118E-2</v>
      </c>
    </row>
    <row r="31" spans="1:45" x14ac:dyDescent="0.25">
      <c r="A31" s="13">
        <f>[2]Data_Analysis!B34</f>
        <v>2171.1</v>
      </c>
      <c r="B31" s="13">
        <f t="shared" si="15"/>
        <v>2483.4499999999998</v>
      </c>
      <c r="C31" s="14">
        <f t="shared" si="0"/>
        <v>-0.12577261470937606</v>
      </c>
      <c r="D31" s="13">
        <f>[2]Data_Analysis!E34</f>
        <v>8138.16</v>
      </c>
      <c r="E31" s="13">
        <f t="shared" si="16"/>
        <v>8971.5499999999993</v>
      </c>
      <c r="F31" s="14">
        <f t="shared" si="1"/>
        <v>-9.2892532505531311E-2</v>
      </c>
      <c r="G31" s="13">
        <f>[2]Data_Analysis!H34</f>
        <v>2782.76</v>
      </c>
      <c r="H31" s="13">
        <f t="shared" si="17"/>
        <v>3112.31</v>
      </c>
      <c r="I31" s="15">
        <f t="shared" si="2"/>
        <v>-0.10588598179487252</v>
      </c>
      <c r="J31" s="13">
        <f>[2]Data_Analysis!K34</f>
        <v>9535.24</v>
      </c>
      <c r="K31" s="13">
        <f t="shared" si="18"/>
        <v>11617.75</v>
      </c>
      <c r="L31" s="14">
        <f t="shared" si="3"/>
        <v>-0.17925243700372273</v>
      </c>
      <c r="M31" s="13">
        <f>[2]Data_Analysis!N34</f>
        <v>1379.48</v>
      </c>
      <c r="N31" s="13">
        <f t="shared" si="19"/>
        <v>1583.91</v>
      </c>
      <c r="O31" s="14">
        <f t="shared" si="4"/>
        <v>-0.12906667676825079</v>
      </c>
      <c r="P31" s="13">
        <f>[2]Data_Analysis!Q34</f>
        <v>1133.79</v>
      </c>
      <c r="Q31" s="13">
        <f t="shared" si="20"/>
        <v>1264.24</v>
      </c>
      <c r="R31" s="14">
        <f t="shared" si="5"/>
        <v>-0.10318452192621652</v>
      </c>
      <c r="S31" s="13">
        <f>[2]Data_Analysis!T34</f>
        <v>247.44</v>
      </c>
      <c r="T31" s="13">
        <f t="shared" si="21"/>
        <v>276.58</v>
      </c>
      <c r="U31" s="14">
        <f t="shared" si="6"/>
        <v>-0.10535830501120824</v>
      </c>
      <c r="V31" s="13">
        <f>[2]Data_Analysis!W34</f>
        <v>261.36</v>
      </c>
      <c r="W31" s="13">
        <f t="shared" si="22"/>
        <v>297.58</v>
      </c>
      <c r="X31" s="14">
        <f t="shared" si="7"/>
        <v>-0.12171516903017665</v>
      </c>
      <c r="Y31" s="13">
        <f>[2]Data_Analysis!Z34</f>
        <v>243.65</v>
      </c>
      <c r="Z31" s="13">
        <f t="shared" si="23"/>
        <v>271.39</v>
      </c>
      <c r="AA31" s="14">
        <f t="shared" si="8"/>
        <v>-0.10221452522200514</v>
      </c>
      <c r="AB31" s="13">
        <f>[2]Data_Analysis!AC34</f>
        <v>1137.08</v>
      </c>
      <c r="AC31" s="13">
        <f t="shared" si="24"/>
        <v>1251.92</v>
      </c>
      <c r="AD31" s="14">
        <f t="shared" si="9"/>
        <v>-9.1731101028819872E-2</v>
      </c>
      <c r="AE31" s="13">
        <f>[2]Data_Analysis!AF34</f>
        <v>930.31</v>
      </c>
      <c r="AF31" s="13">
        <f t="shared" si="25"/>
        <v>1026.3399999999999</v>
      </c>
      <c r="AG31" s="14">
        <f t="shared" si="10"/>
        <v>-9.3565485121889447E-2</v>
      </c>
      <c r="AH31" s="13">
        <f>[2]Data_Analysis!AI34</f>
        <v>4640.21</v>
      </c>
      <c r="AI31" s="13">
        <f t="shared" si="26"/>
        <v>5387.19</v>
      </c>
      <c r="AJ31" s="14">
        <f t="shared" si="11"/>
        <v>-0.13865855854350773</v>
      </c>
      <c r="AK31" s="13">
        <f>[2]Data_Analysis!AL34</f>
        <v>926.86</v>
      </c>
      <c r="AL31" s="13">
        <f t="shared" si="27"/>
        <v>984.93</v>
      </c>
      <c r="AM31" s="14">
        <f t="shared" si="12"/>
        <v>-5.8958504665306055E-2</v>
      </c>
      <c r="AN31" s="13">
        <f>[2]Data_Analysis!AO34</f>
        <v>911.24</v>
      </c>
      <c r="AO31" s="13">
        <f t="shared" si="28"/>
        <v>995.46</v>
      </c>
      <c r="AP31" s="14">
        <f t="shared" si="13"/>
        <v>-8.4604102625921662E-2</v>
      </c>
      <c r="AQ31" s="13">
        <f>[2]Data_Analysis!AR34</f>
        <v>177.54</v>
      </c>
      <c r="AR31" s="13">
        <f t="shared" si="29"/>
        <v>186.67</v>
      </c>
      <c r="AS31" s="14">
        <f t="shared" si="14"/>
        <v>-4.8909840895698276E-2</v>
      </c>
    </row>
    <row r="32" spans="1:45" x14ac:dyDescent="0.25">
      <c r="A32" s="13">
        <f>[2]Data_Analysis!B35</f>
        <v>2179.9</v>
      </c>
      <c r="B32" s="13">
        <f t="shared" si="15"/>
        <v>2483.4499999999998</v>
      </c>
      <c r="C32" s="14">
        <f t="shared" si="0"/>
        <v>-0.12222915701946879</v>
      </c>
      <c r="D32" s="13">
        <f>[2]Data_Analysis!E35</f>
        <v>8163.32</v>
      </c>
      <c r="E32" s="13">
        <f t="shared" si="16"/>
        <v>8971.5499999999993</v>
      </c>
      <c r="F32" s="14">
        <f t="shared" si="1"/>
        <v>-9.0088111864727871E-2</v>
      </c>
      <c r="G32" s="13">
        <f>[2]Data_Analysis!H35</f>
        <v>2800.7</v>
      </c>
      <c r="H32" s="13">
        <f t="shared" si="17"/>
        <v>3112.31</v>
      </c>
      <c r="I32" s="15">
        <f t="shared" si="2"/>
        <v>-0.1001217745018973</v>
      </c>
      <c r="J32" s="13">
        <f>[2]Data_Analysis!K35</f>
        <v>9582.11</v>
      </c>
      <c r="K32" s="13">
        <f t="shared" si="18"/>
        <v>11617.75</v>
      </c>
      <c r="L32" s="14">
        <f t="shared" si="3"/>
        <v>-0.17521809300423918</v>
      </c>
      <c r="M32" s="13">
        <f>[2]Data_Analysis!N35</f>
        <v>1386.11</v>
      </c>
      <c r="N32" s="13">
        <f t="shared" si="19"/>
        <v>1583.91</v>
      </c>
      <c r="O32" s="14">
        <f t="shared" si="4"/>
        <v>-0.12488083287560536</v>
      </c>
      <c r="P32" s="13">
        <f>[2]Data_Analysis!Q35</f>
        <v>1137.6300000000001</v>
      </c>
      <c r="Q32" s="13">
        <f t="shared" si="20"/>
        <v>1264.24</v>
      </c>
      <c r="R32" s="14">
        <f t="shared" si="5"/>
        <v>-0.10014712396380421</v>
      </c>
      <c r="S32" s="13">
        <f>[2]Data_Analysis!T35</f>
        <v>248.64</v>
      </c>
      <c r="T32" s="13">
        <f t="shared" si="21"/>
        <v>276.58</v>
      </c>
      <c r="U32" s="14">
        <f t="shared" si="6"/>
        <v>-0.1010195965001085</v>
      </c>
      <c r="V32" s="13">
        <f>[2]Data_Analysis!W35</f>
        <v>262.10000000000002</v>
      </c>
      <c r="W32" s="13">
        <f t="shared" si="22"/>
        <v>297.58</v>
      </c>
      <c r="X32" s="14">
        <f t="shared" si="7"/>
        <v>-0.11922844277169153</v>
      </c>
      <c r="Y32" s="13">
        <f>[2]Data_Analysis!Z35</f>
        <v>245.07</v>
      </c>
      <c r="Z32" s="13">
        <f t="shared" si="23"/>
        <v>271.39</v>
      </c>
      <c r="AA32" s="14">
        <f t="shared" si="8"/>
        <v>-9.6982202734072764E-2</v>
      </c>
      <c r="AB32" s="13">
        <f>[2]Data_Analysis!AC35</f>
        <v>1144.6300000000001</v>
      </c>
      <c r="AC32" s="13">
        <f t="shared" si="24"/>
        <v>1251.92</v>
      </c>
      <c r="AD32" s="14">
        <f t="shared" si="9"/>
        <v>-8.5700364240526516E-2</v>
      </c>
      <c r="AE32" s="13">
        <f>[2]Data_Analysis!AF35</f>
        <v>934.4</v>
      </c>
      <c r="AF32" s="13">
        <f t="shared" si="25"/>
        <v>1026.3399999999999</v>
      </c>
      <c r="AG32" s="14">
        <f t="shared" si="10"/>
        <v>-8.9580450922696175E-2</v>
      </c>
      <c r="AH32" s="13">
        <f>[2]Data_Analysis!AI35</f>
        <v>4651.83</v>
      </c>
      <c r="AI32" s="13">
        <f t="shared" si="26"/>
        <v>5387.19</v>
      </c>
      <c r="AJ32" s="14">
        <f t="shared" si="11"/>
        <v>-0.13650158988266603</v>
      </c>
      <c r="AK32" s="13">
        <f>[2]Data_Analysis!AL35</f>
        <v>929.7</v>
      </c>
      <c r="AL32" s="13">
        <f t="shared" si="27"/>
        <v>984.93</v>
      </c>
      <c r="AM32" s="14">
        <f t="shared" si="12"/>
        <v>-5.6075051018854016E-2</v>
      </c>
      <c r="AN32" s="13">
        <f>[2]Data_Analysis!AO35</f>
        <v>911.52</v>
      </c>
      <c r="AO32" s="13">
        <f t="shared" si="28"/>
        <v>995.46</v>
      </c>
      <c r="AP32" s="14">
        <f t="shared" si="13"/>
        <v>-8.4322825628352804E-2</v>
      </c>
      <c r="AQ32" s="13">
        <f>[2]Data_Analysis!AR35</f>
        <v>177.84</v>
      </c>
      <c r="AR32" s="13">
        <f t="shared" si="29"/>
        <v>186.67</v>
      </c>
      <c r="AS32" s="14">
        <f t="shared" si="14"/>
        <v>-4.7302726737022516E-2</v>
      </c>
    </row>
    <row r="33" spans="1:45" x14ac:dyDescent="0.25">
      <c r="A33" s="13">
        <f>[2]Data_Analysis!B36</f>
        <v>2265.42</v>
      </c>
      <c r="B33" s="13">
        <f t="shared" si="15"/>
        <v>2483.4499999999998</v>
      </c>
      <c r="C33" s="14">
        <f t="shared" si="0"/>
        <v>-8.7793190923916242E-2</v>
      </c>
      <c r="D33" s="13">
        <f>[2]Data_Analysis!E36</f>
        <v>8667.56</v>
      </c>
      <c r="E33" s="13">
        <f t="shared" si="16"/>
        <v>8971.5499999999993</v>
      </c>
      <c r="F33" s="14">
        <f t="shared" si="1"/>
        <v>-3.3883777050788266E-2</v>
      </c>
      <c r="G33" s="13">
        <f>[2]Data_Analysis!H36</f>
        <v>2969.53</v>
      </c>
      <c r="H33" s="13">
        <f t="shared" si="17"/>
        <v>3112.31</v>
      </c>
      <c r="I33" s="15">
        <f t="shared" si="2"/>
        <v>-4.5875892825586018E-2</v>
      </c>
      <c r="J33" s="13">
        <f>[2]Data_Analysis!K36</f>
        <v>10063.81</v>
      </c>
      <c r="K33" s="13">
        <f t="shared" si="18"/>
        <v>11617.75</v>
      </c>
      <c r="L33" s="14">
        <f t="shared" si="3"/>
        <v>-0.13375567558262147</v>
      </c>
      <c r="M33" s="13">
        <f>[2]Data_Analysis!N36</f>
        <v>1465.25</v>
      </c>
      <c r="N33" s="13">
        <f t="shared" si="19"/>
        <v>1583.91</v>
      </c>
      <c r="O33" s="14">
        <f t="shared" si="4"/>
        <v>-7.4915872745294876E-2</v>
      </c>
      <c r="P33" s="13">
        <f>[2]Data_Analysis!Q36</f>
        <v>1204.26</v>
      </c>
      <c r="Q33" s="13">
        <f t="shared" si="20"/>
        <v>1264.24</v>
      </c>
      <c r="R33" s="14">
        <f t="shared" si="5"/>
        <v>-4.7443523381636377E-2</v>
      </c>
      <c r="S33" s="13">
        <f>[2]Data_Analysis!T36</f>
        <v>262.91000000000003</v>
      </c>
      <c r="T33" s="13">
        <f t="shared" si="21"/>
        <v>276.58</v>
      </c>
      <c r="U33" s="14">
        <f t="shared" si="6"/>
        <v>-4.9425121122279148E-2</v>
      </c>
      <c r="V33" s="13">
        <f>[2]Data_Analysis!W36</f>
        <v>275.66000000000003</v>
      </c>
      <c r="W33" s="13">
        <f t="shared" si="22"/>
        <v>297.58</v>
      </c>
      <c r="X33" s="14">
        <f t="shared" si="7"/>
        <v>-7.3660864305396756E-2</v>
      </c>
      <c r="Y33" s="13">
        <f>[2]Data_Analysis!Z36</f>
        <v>259.35000000000002</v>
      </c>
      <c r="Z33" s="13">
        <f t="shared" si="23"/>
        <v>271.39</v>
      </c>
      <c r="AA33" s="14">
        <f t="shared" si="8"/>
        <v>-4.4364199123033132E-2</v>
      </c>
      <c r="AB33" s="13">
        <f>[2]Data_Analysis!AC36</f>
        <v>1206.57</v>
      </c>
      <c r="AC33" s="13">
        <f t="shared" si="24"/>
        <v>1251.92</v>
      </c>
      <c r="AD33" s="14">
        <f t="shared" si="9"/>
        <v>-3.6224359383986271E-2</v>
      </c>
      <c r="AE33" s="13">
        <f>[2]Data_Analysis!AF36</f>
        <v>990.37</v>
      </c>
      <c r="AF33" s="13">
        <f t="shared" si="25"/>
        <v>1026.3399999999999</v>
      </c>
      <c r="AG33" s="14">
        <f t="shared" si="10"/>
        <v>-3.5046865561120022E-2</v>
      </c>
      <c r="AH33" s="13">
        <f>[2]Data_Analysis!AI36</f>
        <v>4888.87</v>
      </c>
      <c r="AI33" s="13">
        <f t="shared" si="26"/>
        <v>5387.19</v>
      </c>
      <c r="AJ33" s="14">
        <f t="shared" si="11"/>
        <v>-9.250091420573614E-2</v>
      </c>
      <c r="AK33" s="13">
        <f>[2]Data_Analysis!AL36</f>
        <v>971.58</v>
      </c>
      <c r="AL33" s="13">
        <f t="shared" si="27"/>
        <v>984.93</v>
      </c>
      <c r="AM33" s="14">
        <f t="shared" si="12"/>
        <v>-1.3554262739483902E-2</v>
      </c>
      <c r="AN33" s="13">
        <f>[2]Data_Analysis!AO36</f>
        <v>958.25</v>
      </c>
      <c r="AO33" s="13">
        <f t="shared" si="28"/>
        <v>995.46</v>
      </c>
      <c r="AP33" s="14">
        <f t="shared" si="13"/>
        <v>-3.7379703855504043E-2</v>
      </c>
      <c r="AQ33" s="13">
        <f>[2]Data_Analysis!AR36</f>
        <v>187.42</v>
      </c>
      <c r="AR33" s="13">
        <f t="shared" si="29"/>
        <v>187.42</v>
      </c>
      <c r="AS33" s="14">
        <f t="shared" si="14"/>
        <v>0</v>
      </c>
    </row>
    <row r="34" spans="1:45" x14ac:dyDescent="0.25">
      <c r="A34" s="13">
        <f>[2]Data_Analysis!B37</f>
        <v>2255.4699999999998</v>
      </c>
      <c r="B34" s="13">
        <f t="shared" si="15"/>
        <v>2483.4499999999998</v>
      </c>
      <c r="C34" s="14">
        <f t="shared" si="0"/>
        <v>-9.1799714107390962E-2</v>
      </c>
      <c r="D34" s="13">
        <f>[2]Data_Analysis!E37</f>
        <v>8632.2900000000009</v>
      </c>
      <c r="E34" s="13">
        <f t="shared" si="16"/>
        <v>8971.5499999999993</v>
      </c>
      <c r="F34" s="14">
        <f t="shared" si="1"/>
        <v>-3.7815093267049571E-2</v>
      </c>
      <c r="G34" s="13">
        <f>[2]Data_Analysis!H37</f>
        <v>2962.24</v>
      </c>
      <c r="H34" s="13">
        <f t="shared" si="17"/>
        <v>3112.31</v>
      </c>
      <c r="I34" s="15">
        <f t="shared" si="2"/>
        <v>-4.8218204484771765E-2</v>
      </c>
      <c r="J34" s="13">
        <f>[2]Data_Analysis!K37</f>
        <v>9990.7099999999991</v>
      </c>
      <c r="K34" s="13">
        <f t="shared" si="18"/>
        <v>11617.75</v>
      </c>
      <c r="L34" s="14">
        <f t="shared" si="3"/>
        <v>-0.14004777172860505</v>
      </c>
      <c r="M34" s="13">
        <f>[2]Data_Analysis!N37</f>
        <v>1461.35</v>
      </c>
      <c r="N34" s="13">
        <f t="shared" si="19"/>
        <v>1583.91</v>
      </c>
      <c r="O34" s="14">
        <f t="shared" si="4"/>
        <v>-7.7378133858615805E-2</v>
      </c>
      <c r="P34" s="13">
        <f>[2]Data_Analysis!Q37</f>
        <v>1201</v>
      </c>
      <c r="Q34" s="13">
        <f t="shared" si="20"/>
        <v>1264.24</v>
      </c>
      <c r="R34" s="14">
        <f t="shared" si="5"/>
        <v>-5.0022147693475905E-2</v>
      </c>
      <c r="S34" s="13">
        <f>[2]Data_Analysis!T37</f>
        <v>262.24</v>
      </c>
      <c r="T34" s="13">
        <f t="shared" si="21"/>
        <v>276.58</v>
      </c>
      <c r="U34" s="14">
        <f t="shared" si="6"/>
        <v>-5.1847566707643233E-2</v>
      </c>
      <c r="V34" s="13">
        <f>[2]Data_Analysis!W37</f>
        <v>275.27</v>
      </c>
      <c r="W34" s="13">
        <f t="shared" si="22"/>
        <v>297.58</v>
      </c>
      <c r="X34" s="14">
        <f t="shared" si="7"/>
        <v>-7.4971436252436296E-2</v>
      </c>
      <c r="Y34" s="13">
        <f>[2]Data_Analysis!Z37</f>
        <v>258.61</v>
      </c>
      <c r="Z34" s="13">
        <f t="shared" si="23"/>
        <v>271.39</v>
      </c>
      <c r="AA34" s="14">
        <f t="shared" si="8"/>
        <v>-4.7090902391392353E-2</v>
      </c>
      <c r="AB34" s="13">
        <f>[2]Data_Analysis!AC37</f>
        <v>1203.8699999999999</v>
      </c>
      <c r="AC34" s="13">
        <f t="shared" si="24"/>
        <v>1251.92</v>
      </c>
      <c r="AD34" s="14">
        <f t="shared" si="9"/>
        <v>-3.8381046712250177E-2</v>
      </c>
      <c r="AE34" s="13">
        <f>[2]Data_Analysis!AF37</f>
        <v>988.25</v>
      </c>
      <c r="AF34" s="13">
        <f t="shared" si="25"/>
        <v>1026.3399999999999</v>
      </c>
      <c r="AG34" s="14">
        <f t="shared" si="10"/>
        <v>-3.7112457859968306E-2</v>
      </c>
      <c r="AH34" s="13">
        <f>[2]Data_Analysis!AI37</f>
        <v>4857.0200000000004</v>
      </c>
      <c r="AI34" s="13">
        <f t="shared" si="26"/>
        <v>5387.19</v>
      </c>
      <c r="AJ34" s="14">
        <f t="shared" si="11"/>
        <v>-9.8413087342380523E-2</v>
      </c>
      <c r="AK34" s="13">
        <f>[2]Data_Analysis!AL37</f>
        <v>972.17</v>
      </c>
      <c r="AL34" s="13">
        <f t="shared" si="27"/>
        <v>984.93</v>
      </c>
      <c r="AM34" s="14">
        <f t="shared" si="12"/>
        <v>-1.2955235397439369E-2</v>
      </c>
      <c r="AN34" s="13">
        <f>[2]Data_Analysis!AO37</f>
        <v>958.85</v>
      </c>
      <c r="AO34" s="13">
        <f t="shared" si="28"/>
        <v>995.46</v>
      </c>
      <c r="AP34" s="14">
        <f t="shared" si="13"/>
        <v>-3.6776967432141983E-2</v>
      </c>
      <c r="AQ34" s="13">
        <f>[2]Data_Analysis!AR37</f>
        <v>187.65</v>
      </c>
      <c r="AR34" s="13">
        <f t="shared" si="29"/>
        <v>187.65</v>
      </c>
      <c r="AS34" s="14">
        <f t="shared" si="1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Data_Analysis</vt:lpstr>
      <vt:lpstr>Metrics</vt:lpstr>
      <vt:lpstr>Calcul_MaxDD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BOUKHNIF Fouad</dc:creator>
  <cp:lastModifiedBy>BOUKHNIF Fouad</cp:lastModifiedBy>
  <dcterms:created xsi:type="dcterms:W3CDTF">2026-09-03T12:49:43Z</dcterms:created>
  <dcterms:modified xsi:type="dcterms:W3CDTF">2026-09-04T13:55:21Z</dcterms:modified>
</cp:coreProperties>
</file>