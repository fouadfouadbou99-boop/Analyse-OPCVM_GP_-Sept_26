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oukhnif\Desktop\Dossier Applications Streamli\OPCVM_Scoring\Dossier_OPCVM_GP\Dossier Analyse OPCVM_GP\"/>
    </mc:Choice>
  </mc:AlternateContent>
  <xr:revisionPtr revIDLastSave="0" documentId="13_ncr:1_{A3CC253A-7D77-4637-A56C-045AC5F43608}" xr6:coauthVersionLast="47" xr6:coauthVersionMax="47" xr10:uidLastSave="{00000000-0000-0000-0000-000000000000}"/>
  <bookViews>
    <workbookView xWindow="-120" yWindow="-120" windowWidth="29040" windowHeight="15720" firstSheet="7" activeTab="8" xr2:uid="{E00A17B7-0728-4A65-8C96-7E51656BB345}"/>
  </bookViews>
  <sheets>
    <sheet name="04_09" sheetId="15" state="hidden" r:id="rId1"/>
    <sheet name="28_08" sheetId="17" state="hidden" r:id="rId2"/>
    <sheet name="24_08" sheetId="16" state="hidden" r:id="rId3"/>
    <sheet name="31_12_25" sheetId="19" state="hidden" r:id="rId4"/>
    <sheet name="Data_Analysis_2" sheetId="13" state="hidden" r:id="rId5"/>
    <sheet name="Data_base" sheetId="9" state="hidden" r:id="rId6"/>
    <sheet name="Comitie_Portfolio" sheetId="11" state="hidden" r:id="rId7"/>
    <sheet name="Data_Analysis" sheetId="1" r:id="rId8"/>
    <sheet name="Metrics" sheetId="8" r:id="rId9"/>
    <sheet name="Calcul_MaxDD" sheetId="7" r:id="rId10"/>
    <sheet name="Ranking" sheetId="10" r:id="rId11"/>
    <sheet name="Feuil1" sheetId="20" r:id="rId12"/>
    <sheet name="Feuil2" sheetId="2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10" l="1"/>
  <c r="D4" i="10"/>
  <c r="D5" i="10"/>
  <c r="D6" i="10"/>
  <c r="D7" i="10"/>
  <c r="D8" i="10"/>
  <c r="D9" i="10"/>
  <c r="D10" i="10"/>
  <c r="D11" i="10"/>
  <c r="D12" i="10"/>
  <c r="D13" i="10"/>
  <c r="D14" i="10"/>
  <c r="D15" i="10"/>
  <c r="D16" i="10"/>
  <c r="D2" i="10"/>
  <c r="AR3" i="7"/>
  <c r="AR4" i="7"/>
  <c r="AR5" i="7"/>
  <c r="AR6" i="7"/>
  <c r="AR7" i="7"/>
  <c r="AR8" i="7"/>
  <c r="AR9" i="7"/>
  <c r="AR10" i="7"/>
  <c r="AR11" i="7"/>
  <c r="AR12" i="7"/>
  <c r="AR13" i="7"/>
  <c r="AR14" i="7"/>
  <c r="AR15" i="7"/>
  <c r="AR16" i="7"/>
  <c r="AR17" i="7"/>
  <c r="AR18" i="7"/>
  <c r="AR19" i="7"/>
  <c r="AR20" i="7"/>
  <c r="AR21" i="7"/>
  <c r="AR22" i="7"/>
  <c r="AR23" i="7"/>
  <c r="AR24" i="7"/>
  <c r="AR25" i="7"/>
  <c r="AR26" i="7"/>
  <c r="AR27" i="7"/>
  <c r="AR28" i="7"/>
  <c r="AR29" i="7"/>
  <c r="AR30" i="7"/>
  <c r="AR31" i="7"/>
  <c r="AR32" i="7"/>
  <c r="AR33" i="7"/>
  <c r="AR34" i="7"/>
  <c r="AR35" i="7"/>
  <c r="AR36" i="7"/>
  <c r="AR37" i="7"/>
  <c r="AR38" i="7"/>
  <c r="AR2" i="7"/>
  <c r="AO3" i="7"/>
  <c r="AO4" i="7"/>
  <c r="AO5" i="7"/>
  <c r="AO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O34" i="7"/>
  <c r="AO35" i="7"/>
  <c r="AO36" i="7"/>
  <c r="AO37" i="7"/>
  <c r="AO38" i="7"/>
  <c r="AO2" i="7"/>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2" i="7"/>
  <c r="AH35" i="7"/>
  <c r="AH36" i="7"/>
  <c r="AH37" i="7"/>
  <c r="AH38" i="7"/>
  <c r="AF3" i="7"/>
  <c r="AF4" i="7"/>
  <c r="AF5" i="7"/>
  <c r="AF6" i="7"/>
  <c r="AF7" i="7"/>
  <c r="AF8" i="7"/>
  <c r="AF9" i="7"/>
  <c r="AF10" i="7"/>
  <c r="AF11" i="7"/>
  <c r="AF12" i="7"/>
  <c r="AF13" i="7"/>
  <c r="AF14" i="7"/>
  <c r="AF15" i="7"/>
  <c r="AF16" i="7"/>
  <c r="AF17" i="7"/>
  <c r="AF18" i="7"/>
  <c r="AF19" i="7"/>
  <c r="AF20" i="7"/>
  <c r="AF21" i="7"/>
  <c r="AF22" i="7"/>
  <c r="AF23" i="7"/>
  <c r="AF24" i="7"/>
  <c r="AF25" i="7"/>
  <c r="AF26" i="7"/>
  <c r="AF27" i="7"/>
  <c r="AF28" i="7"/>
  <c r="AF29" i="7"/>
  <c r="AF30" i="7"/>
  <c r="AF31" i="7"/>
  <c r="AF32" i="7"/>
  <c r="AF33" i="7"/>
  <c r="AF34" i="7"/>
  <c r="AF35" i="7"/>
  <c r="AF36" i="7"/>
  <c r="AF37" i="7"/>
  <c r="AF38" i="7"/>
  <c r="AF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2"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2" i="7"/>
  <c r="X35" i="7"/>
  <c r="Y35" i="7"/>
  <c r="X36" i="7"/>
  <c r="Y36" i="7" s="1"/>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2" i="7"/>
  <c r="U35" i="7"/>
  <c r="V35" i="7" s="1"/>
  <c r="U36" i="7"/>
  <c r="V36" i="7"/>
  <c r="U37" i="7"/>
  <c r="V37" i="7"/>
  <c r="U38" i="7"/>
  <c r="V38"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2" i="7"/>
  <c r="R35" i="7"/>
  <c r="S35" i="7"/>
  <c r="R36" i="7"/>
  <c r="S36" i="7" s="1"/>
  <c r="R37" i="7"/>
  <c r="S37" i="7"/>
  <c r="R38" i="7"/>
  <c r="S38" i="7" s="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2" i="7"/>
  <c r="P31" i="7"/>
  <c r="P32" i="7"/>
  <c r="P33" i="7"/>
  <c r="P34" i="7"/>
  <c r="P35" i="7"/>
  <c r="P36" i="7"/>
  <c r="P37" i="7"/>
  <c r="P38" i="7"/>
  <c r="O27" i="7"/>
  <c r="O28" i="7" s="1"/>
  <c r="O29" i="7" s="1"/>
  <c r="O30" i="7" s="1"/>
  <c r="O31" i="7" s="1"/>
  <c r="O32" i="7" s="1"/>
  <c r="O33" i="7" s="1"/>
  <c r="O34" i="7" s="1"/>
  <c r="O35" i="7" s="1"/>
  <c r="O36" i="7" s="1"/>
  <c r="O37" i="7" s="1"/>
  <c r="O38" i="7" s="1"/>
  <c r="N35" i="7"/>
  <c r="N36" i="7"/>
  <c r="N37" i="7"/>
  <c r="N38"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L35" i="7"/>
  <c r="L36" i="7" s="1"/>
  <c r="L37" i="7" s="1"/>
  <c r="L38" i="7" s="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2" i="7"/>
  <c r="J35" i="7"/>
  <c r="J36" i="7"/>
  <c r="J37" i="7"/>
  <c r="J38" i="7"/>
  <c r="I35" i="7"/>
  <c r="I36" i="7" s="1"/>
  <c r="I37" i="7" s="1"/>
  <c r="I38" i="7" s="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2" i="7"/>
  <c r="G35" i="7"/>
  <c r="G36" i="7"/>
  <c r="G37" i="7"/>
  <c r="G38" i="7"/>
  <c r="F35" i="7"/>
  <c r="F36" i="7"/>
  <c r="F37" i="7" s="1"/>
  <c r="F38" i="7" s="1"/>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2"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A39" i="1"/>
  <c r="X37" i="7" l="1"/>
  <c r="D3" i="13"/>
  <c r="D4" i="13"/>
  <c r="D5" i="13"/>
  <c r="D6" i="13"/>
  <c r="D7" i="13"/>
  <c r="D8" i="13"/>
  <c r="D9" i="13"/>
  <c r="D10" i="13"/>
  <c r="D11" i="13"/>
  <c r="D12" i="13"/>
  <c r="D13" i="13"/>
  <c r="D14" i="13"/>
  <c r="D15" i="13"/>
  <c r="D16" i="13"/>
  <c r="D2" i="13"/>
  <c r="AG39" i="9"/>
  <c r="E39" i="1"/>
  <c r="C2" i="8" s="1"/>
  <c r="H39" i="1"/>
  <c r="D2" i="8" s="1"/>
  <c r="K39" i="1"/>
  <c r="E2" i="8" s="1"/>
  <c r="N39" i="1"/>
  <c r="F2" i="8" s="1"/>
  <c r="Q39" i="1"/>
  <c r="G2" i="8" s="1"/>
  <c r="T39" i="1"/>
  <c r="H2" i="8" s="1"/>
  <c r="W39" i="1"/>
  <c r="I2" i="8" s="1"/>
  <c r="Z39" i="1"/>
  <c r="J2" i="8" s="1"/>
  <c r="AC39" i="1"/>
  <c r="K2" i="8" s="1"/>
  <c r="AF39" i="1"/>
  <c r="L2" i="8" s="1"/>
  <c r="AI39" i="1"/>
  <c r="M2" i="8" s="1"/>
  <c r="AL39" i="1"/>
  <c r="N2" i="8" s="1"/>
  <c r="AO39" i="1"/>
  <c r="O2" i="8" s="1"/>
  <c r="AR39" i="1"/>
  <c r="P2" i="8" s="1"/>
  <c r="AU39" i="1"/>
  <c r="Q2" i="8" s="1"/>
  <c r="B2" i="8"/>
  <c r="Q39" i="9"/>
  <c r="U39" i="9"/>
  <c r="W39" i="9"/>
  <c r="E39" i="9"/>
  <c r="AC39" i="9"/>
  <c r="C39" i="9"/>
  <c r="G39" i="9"/>
  <c r="I39" i="9"/>
  <c r="Y39" i="9"/>
  <c r="AE39" i="9"/>
  <c r="S39" i="9"/>
  <c r="AA39" i="9"/>
  <c r="K39" i="9"/>
  <c r="O39" i="9"/>
  <c r="M39" i="9"/>
  <c r="K41" i="9"/>
  <c r="L41" i="9"/>
  <c r="M41" i="9"/>
  <c r="N41" i="9"/>
  <c r="O41" i="9"/>
  <c r="P41" i="9"/>
  <c r="Q41" i="9"/>
  <c r="R41" i="9"/>
  <c r="S41" i="9"/>
  <c r="T41" i="9"/>
  <c r="U41" i="9"/>
  <c r="V41" i="9"/>
  <c r="W41" i="9"/>
  <c r="X41" i="9"/>
  <c r="Y41" i="9"/>
  <c r="Z41" i="9"/>
  <c r="AA41" i="9"/>
  <c r="AB41" i="9"/>
  <c r="AC41" i="9"/>
  <c r="AD41" i="9"/>
  <c r="AE41" i="9"/>
  <c r="AF41" i="9"/>
  <c r="AG41" i="9"/>
  <c r="C41" i="9"/>
  <c r="D41" i="9"/>
  <c r="E41" i="9"/>
  <c r="F41" i="9"/>
  <c r="G41" i="9"/>
  <c r="H41" i="9"/>
  <c r="I41" i="9"/>
  <c r="J41" i="9"/>
  <c r="B41" i="9"/>
  <c r="J3" i="11"/>
  <c r="J4" i="11"/>
  <c r="J5" i="11"/>
  <c r="J6" i="11"/>
  <c r="J7" i="11"/>
  <c r="J8" i="11"/>
  <c r="J9" i="11"/>
  <c r="K9" i="11" s="1"/>
  <c r="J10" i="11"/>
  <c r="J11" i="11"/>
  <c r="J12" i="11"/>
  <c r="L12" i="11" s="1"/>
  <c r="J13" i="11"/>
  <c r="M13" i="11" s="1"/>
  <c r="J14" i="11"/>
  <c r="L14" i="11" s="1"/>
  <c r="J15" i="11"/>
  <c r="J16" i="11"/>
  <c r="J17" i="11"/>
  <c r="J18" i="11"/>
  <c r="J19" i="11"/>
  <c r="J20" i="11"/>
  <c r="K20" i="11" s="1"/>
  <c r="J2" i="11"/>
  <c r="K2" i="11" s="1"/>
  <c r="L7" i="11"/>
  <c r="M8" i="11"/>
  <c r="L9" i="11"/>
  <c r="M10" i="11"/>
  <c r="K11" i="11"/>
  <c r="I21" i="11"/>
  <c r="G3" i="11"/>
  <c r="G4" i="11"/>
  <c r="G5" i="11"/>
  <c r="G6" i="11"/>
  <c r="G7" i="11"/>
  <c r="G8" i="11"/>
  <c r="G9" i="11"/>
  <c r="G10" i="11"/>
  <c r="G11" i="11"/>
  <c r="G12" i="11"/>
  <c r="G13" i="11"/>
  <c r="G14" i="11"/>
  <c r="G15" i="11"/>
  <c r="G16" i="11"/>
  <c r="G17" i="11"/>
  <c r="G18" i="11"/>
  <c r="G19" i="11"/>
  <c r="G20" i="11"/>
  <c r="G2" i="11"/>
  <c r="I3" i="11"/>
  <c r="I4" i="11"/>
  <c r="I5" i="11"/>
  <c r="I10" i="11"/>
  <c r="I12" i="11"/>
  <c r="I13" i="11"/>
  <c r="I15" i="11"/>
  <c r="I16" i="11"/>
  <c r="I17" i="11"/>
  <c r="I18" i="11"/>
  <c r="H10" i="11"/>
  <c r="H11" i="11"/>
  <c r="K3" i="11"/>
  <c r="K4" i="11"/>
  <c r="M5" i="11"/>
  <c r="L6" i="11"/>
  <c r="K15" i="11"/>
  <c r="K16" i="11"/>
  <c r="K17" i="11"/>
  <c r="K18" i="11"/>
  <c r="M19" i="11"/>
  <c r="F3" i="11"/>
  <c r="H3" i="11" s="1"/>
  <c r="F4" i="11"/>
  <c r="H4" i="11" s="1"/>
  <c r="F5" i="11"/>
  <c r="H5" i="11" s="1"/>
  <c r="F6" i="11"/>
  <c r="H6" i="11" s="1"/>
  <c r="F7" i="11"/>
  <c r="I7" i="11" s="1"/>
  <c r="F8" i="11"/>
  <c r="I8" i="11" s="1"/>
  <c r="F9" i="11"/>
  <c r="I9" i="11" s="1"/>
  <c r="F10" i="11"/>
  <c r="F11" i="11"/>
  <c r="I11" i="11" s="1"/>
  <c r="F12" i="11"/>
  <c r="H12" i="11" s="1"/>
  <c r="F13" i="11"/>
  <c r="H13" i="11" s="1"/>
  <c r="F14" i="11"/>
  <c r="H14" i="11" s="1"/>
  <c r="F15" i="11"/>
  <c r="H15" i="11" s="1"/>
  <c r="F16" i="11"/>
  <c r="H16" i="11" s="1"/>
  <c r="F17" i="11"/>
  <c r="H17" i="11" s="1"/>
  <c r="F18" i="11"/>
  <c r="H18" i="11" s="1"/>
  <c r="F19" i="11"/>
  <c r="I19" i="11" s="1"/>
  <c r="F20" i="11"/>
  <c r="I20" i="11" s="1"/>
  <c r="F2" i="11"/>
  <c r="I2" i="11" s="1"/>
  <c r="K5" i="11"/>
  <c r="K6" i="11"/>
  <c r="K8" i="11"/>
  <c r="Y37" i="7" l="1"/>
  <c r="X38" i="7"/>
  <c r="Y38" i="7" s="1"/>
  <c r="L11" i="11"/>
  <c r="L13" i="11"/>
  <c r="M12" i="11"/>
  <c r="K13" i="11"/>
  <c r="K12" i="11"/>
  <c r="M11" i="11"/>
  <c r="K7" i="11"/>
  <c r="K21" i="11" s="1"/>
  <c r="L10" i="11"/>
  <c r="L5" i="11"/>
  <c r="M6" i="11"/>
  <c r="M17" i="11"/>
  <c r="M4" i="11"/>
  <c r="K10" i="11"/>
  <c r="L8" i="11"/>
  <c r="M9" i="11"/>
  <c r="M20" i="11"/>
  <c r="M7" i="11"/>
  <c r="K19" i="11"/>
  <c r="L19" i="11"/>
  <c r="L18" i="11"/>
  <c r="M15" i="11"/>
  <c r="M3" i="11"/>
  <c r="M2" i="11"/>
  <c r="M18" i="11"/>
  <c r="K14" i="11"/>
  <c r="L20" i="11"/>
  <c r="M16" i="11"/>
  <c r="L17" i="11"/>
  <c r="M14" i="11"/>
  <c r="G21" i="11"/>
  <c r="H2" i="11"/>
  <c r="H9" i="11"/>
  <c r="H19" i="11"/>
  <c r="H7" i="11"/>
  <c r="I14" i="11"/>
  <c r="L2" i="11"/>
  <c r="I6" i="11"/>
  <c r="H20" i="11"/>
  <c r="H8" i="11"/>
  <c r="L16" i="11"/>
  <c r="L4" i="11"/>
  <c r="L15" i="11"/>
  <c r="L3" i="11"/>
  <c r="M21" i="11" l="1"/>
  <c r="AG37" i="9" l="1"/>
  <c r="AG38" i="9"/>
  <c r="AE37" i="9"/>
  <c r="AE38" i="9"/>
  <c r="AC37" i="9"/>
  <c r="AC38" i="9"/>
  <c r="AA37" i="9"/>
  <c r="AA38" i="9"/>
  <c r="Y37" i="9"/>
  <c r="Y38" i="9"/>
  <c r="W37" i="9"/>
  <c r="W38" i="9"/>
  <c r="U37" i="9"/>
  <c r="U38" i="9"/>
  <c r="S37" i="9"/>
  <c r="S38" i="9"/>
  <c r="Q37" i="9"/>
  <c r="Q38" i="9"/>
  <c r="O37" i="9"/>
  <c r="O38" i="9"/>
  <c r="M37" i="9"/>
  <c r="M38" i="9"/>
  <c r="K37" i="9"/>
  <c r="K38" i="9"/>
  <c r="C38" i="9"/>
  <c r="I37" i="9"/>
  <c r="I38" i="9"/>
  <c r="G37" i="9"/>
  <c r="G38" i="9"/>
  <c r="E37" i="9"/>
  <c r="E38" i="9"/>
  <c r="C37" i="9"/>
  <c r="AO3" i="13"/>
  <c r="AO4" i="13"/>
  <c r="AO5" i="13"/>
  <c r="AO6" i="13"/>
  <c r="AO7" i="13"/>
  <c r="AO8" i="13"/>
  <c r="AO9" i="13"/>
  <c r="AO10" i="13"/>
  <c r="AO11" i="13"/>
  <c r="AO12" i="13"/>
  <c r="AO13" i="13"/>
  <c r="AO14" i="13"/>
  <c r="AO15" i="13"/>
  <c r="AO16" i="13"/>
  <c r="AO2" i="13"/>
  <c r="AM3" i="13"/>
  <c r="AM4" i="13"/>
  <c r="AM5" i="13"/>
  <c r="AM6" i="13"/>
  <c r="AM7" i="13"/>
  <c r="AM8" i="13"/>
  <c r="AM9" i="13"/>
  <c r="AM10" i="13"/>
  <c r="AM11" i="13"/>
  <c r="AM12" i="13"/>
  <c r="AM13" i="13"/>
  <c r="AM14" i="13"/>
  <c r="AM15" i="13"/>
  <c r="AM16" i="13"/>
  <c r="AM2" i="13"/>
  <c r="AL3" i="13"/>
  <c r="AL4" i="13"/>
  <c r="AL5" i="13"/>
  <c r="AL6" i="13"/>
  <c r="AL7" i="13"/>
  <c r="AL8" i="13"/>
  <c r="AL9" i="13"/>
  <c r="AL10" i="13"/>
  <c r="AL11" i="13"/>
  <c r="AL12" i="13"/>
  <c r="AL13" i="13"/>
  <c r="AL14" i="13"/>
  <c r="AL15" i="13"/>
  <c r="AL16" i="13"/>
  <c r="AL2" i="13"/>
  <c r="AN1" i="13"/>
  <c r="AL1" i="13"/>
  <c r="AU38" i="1"/>
  <c r="AR38" i="1"/>
  <c r="AS39" i="1" s="1"/>
  <c r="AO38" i="1"/>
  <c r="AP39" i="1" s="1"/>
  <c r="AL38" i="1"/>
  <c r="AI38" i="1"/>
  <c r="AF38" i="1"/>
  <c r="AC38" i="1"/>
  <c r="Z38" i="1"/>
  <c r="W38" i="1"/>
  <c r="T38" i="1"/>
  <c r="U39" i="1" s="1"/>
  <c r="Q38" i="1"/>
  <c r="R39" i="1" s="1"/>
  <c r="N38" i="1"/>
  <c r="O39" i="1" s="1"/>
  <c r="K38" i="1"/>
  <c r="L39" i="1" s="1"/>
  <c r="H38" i="1"/>
  <c r="I39" i="1" s="1"/>
  <c r="E38" i="1"/>
  <c r="F39" i="1" s="1"/>
  <c r="A38" i="1"/>
  <c r="A37" i="9"/>
  <c r="AU37" i="1"/>
  <c r="AV37" i="1" s="1"/>
  <c r="AR37" i="1"/>
  <c r="AS37" i="1" s="1"/>
  <c r="AO37" i="1"/>
  <c r="AP37" i="1" s="1"/>
  <c r="AL37" i="1"/>
  <c r="AM38" i="1" s="1"/>
  <c r="AI37" i="1"/>
  <c r="AJ37" i="1" s="1"/>
  <c r="AF37" i="1"/>
  <c r="AC37" i="1"/>
  <c r="AD37" i="1" s="1"/>
  <c r="Z37" i="1"/>
  <c r="AA37" i="1" s="1"/>
  <c r="W37" i="1"/>
  <c r="X37" i="1" s="1"/>
  <c r="T37" i="1"/>
  <c r="U37" i="1" s="1"/>
  <c r="Q37" i="1"/>
  <c r="R37" i="1" s="1"/>
  <c r="N37" i="1"/>
  <c r="O37" i="1" s="1"/>
  <c r="K37" i="1"/>
  <c r="L37" i="1" s="1"/>
  <c r="M37" i="1" s="1"/>
  <c r="H37" i="1"/>
  <c r="I37" i="1" s="1"/>
  <c r="J37" i="1" s="1"/>
  <c r="E37" i="1"/>
  <c r="F37" i="1" s="1"/>
  <c r="C37" i="1"/>
  <c r="A37" i="1"/>
  <c r="L3" i="8" l="1"/>
  <c r="AG39" i="1"/>
  <c r="AB37" i="1"/>
  <c r="M3" i="8"/>
  <c r="AJ39" i="1"/>
  <c r="N3" i="8"/>
  <c r="AM39" i="1"/>
  <c r="S39" i="1"/>
  <c r="X38" i="1"/>
  <c r="Y38" i="1" s="1"/>
  <c r="X39" i="1"/>
  <c r="AA38" i="1"/>
  <c r="AA39" i="1"/>
  <c r="AV38" i="1"/>
  <c r="AN38" i="1" s="1"/>
  <c r="AV39" i="1"/>
  <c r="P39" i="1" s="1"/>
  <c r="V39" i="1"/>
  <c r="AD38" i="1"/>
  <c r="AE38" i="1" s="1"/>
  <c r="AD39" i="1"/>
  <c r="AE39" i="1" s="1"/>
  <c r="V37" i="1"/>
  <c r="AT37" i="1"/>
  <c r="I38" i="1"/>
  <c r="J38" i="1" s="1"/>
  <c r="L38" i="1"/>
  <c r="M38" i="1" s="1"/>
  <c r="F38" i="1"/>
  <c r="P3" i="8"/>
  <c r="C3" i="8"/>
  <c r="U38" i="1"/>
  <c r="V38" i="1" s="1"/>
  <c r="F3" i="8"/>
  <c r="AS38" i="1"/>
  <c r="O3" i="8"/>
  <c r="E3" i="8"/>
  <c r="AG38" i="1"/>
  <c r="AH38" i="1" s="1"/>
  <c r="G3" i="8"/>
  <c r="D3" i="8"/>
  <c r="Q3" i="8"/>
  <c r="H3" i="8"/>
  <c r="Y37" i="1"/>
  <c r="D37" i="1"/>
  <c r="P37" i="1"/>
  <c r="S37" i="1"/>
  <c r="AQ37" i="1"/>
  <c r="AE37" i="1"/>
  <c r="AK37" i="1"/>
  <c r="I3" i="8"/>
  <c r="J3" i="8"/>
  <c r="K3" i="8"/>
  <c r="AG37" i="1"/>
  <c r="AJ38" i="1"/>
  <c r="AK38" i="1" s="1"/>
  <c r="AM37" i="1"/>
  <c r="R38" i="1"/>
  <c r="AP38" i="1"/>
  <c r="AQ38" i="1" s="1"/>
  <c r="O38" i="1"/>
  <c r="G37" i="1"/>
  <c r="C39" i="1"/>
  <c r="D39" i="1" s="1"/>
  <c r="E3" i="11"/>
  <c r="E4" i="11"/>
  <c r="E5" i="11"/>
  <c r="E6" i="11"/>
  <c r="E7" i="11"/>
  <c r="E8" i="11"/>
  <c r="E9" i="11"/>
  <c r="E10" i="11"/>
  <c r="E11" i="11"/>
  <c r="E12" i="11"/>
  <c r="E13" i="11"/>
  <c r="E14" i="11"/>
  <c r="E15" i="11"/>
  <c r="E16" i="11"/>
  <c r="E17" i="11"/>
  <c r="E18" i="11"/>
  <c r="E19" i="11"/>
  <c r="E20" i="11"/>
  <c r="E2" i="11"/>
  <c r="AG36" i="9"/>
  <c r="AE36" i="9"/>
  <c r="AC36" i="9"/>
  <c r="AA36" i="9"/>
  <c r="Y36" i="9"/>
  <c r="W36" i="9"/>
  <c r="U36" i="9"/>
  <c r="S36" i="9"/>
  <c r="Q36" i="9"/>
  <c r="O36" i="9"/>
  <c r="M36" i="9"/>
  <c r="K36" i="9"/>
  <c r="I36" i="9"/>
  <c r="G36" i="9"/>
  <c r="E36" i="9"/>
  <c r="C36" i="9"/>
  <c r="AG35" i="9"/>
  <c r="AE35" i="9"/>
  <c r="AC35" i="9"/>
  <c r="AA35" i="9"/>
  <c r="Y35" i="9"/>
  <c r="W35" i="9"/>
  <c r="U35" i="9"/>
  <c r="S35" i="9"/>
  <c r="Q35" i="9"/>
  <c r="O35" i="9"/>
  <c r="M35" i="9"/>
  <c r="K35" i="9"/>
  <c r="I35" i="9"/>
  <c r="G35" i="9"/>
  <c r="E35" i="9"/>
  <c r="C35" i="9"/>
  <c r="AG34" i="9"/>
  <c r="AE34" i="9"/>
  <c r="AC34" i="9"/>
  <c r="AA34" i="9"/>
  <c r="Y34" i="9"/>
  <c r="W34" i="9"/>
  <c r="U34" i="9"/>
  <c r="S34" i="9"/>
  <c r="Q34" i="9"/>
  <c r="O34" i="9"/>
  <c r="M34" i="9"/>
  <c r="K34" i="9"/>
  <c r="I34" i="9"/>
  <c r="G34" i="9"/>
  <c r="E34" i="9"/>
  <c r="C34" i="9"/>
  <c r="AG33" i="9"/>
  <c r="AE33" i="9"/>
  <c r="AC33" i="9"/>
  <c r="AA33" i="9"/>
  <c r="Y33" i="9"/>
  <c r="W33" i="9"/>
  <c r="U33" i="9"/>
  <c r="S33" i="9"/>
  <c r="Q33" i="9"/>
  <c r="O33" i="9"/>
  <c r="M33" i="9"/>
  <c r="K33" i="9"/>
  <c r="I33" i="9"/>
  <c r="G33" i="9"/>
  <c r="E33" i="9"/>
  <c r="C33" i="9"/>
  <c r="AG32" i="9"/>
  <c r="AE32" i="9"/>
  <c r="AC32" i="9"/>
  <c r="AA32" i="9"/>
  <c r="Y32" i="9"/>
  <c r="W32" i="9"/>
  <c r="U32" i="9"/>
  <c r="S32" i="9"/>
  <c r="Q32" i="9"/>
  <c r="O32" i="9"/>
  <c r="M32" i="9"/>
  <c r="K32" i="9"/>
  <c r="I32" i="9"/>
  <c r="G32" i="9"/>
  <c r="E32" i="9"/>
  <c r="C32" i="9"/>
  <c r="AG31" i="9"/>
  <c r="AE31" i="9"/>
  <c r="AC31" i="9"/>
  <c r="AA31" i="9"/>
  <c r="Y31" i="9"/>
  <c r="W31" i="9"/>
  <c r="U31" i="9"/>
  <c r="S31" i="9"/>
  <c r="Q31" i="9"/>
  <c r="O31" i="9"/>
  <c r="M31" i="9"/>
  <c r="K31" i="9"/>
  <c r="I31" i="9"/>
  <c r="G31" i="9"/>
  <c r="E31" i="9"/>
  <c r="C31" i="9"/>
  <c r="AG30" i="9"/>
  <c r="AE30" i="9"/>
  <c r="AC30" i="9"/>
  <c r="AA30" i="9"/>
  <c r="Y30" i="9"/>
  <c r="W30" i="9"/>
  <c r="U30" i="9"/>
  <c r="S30" i="9"/>
  <c r="Q30" i="9"/>
  <c r="O30" i="9"/>
  <c r="M30" i="9"/>
  <c r="K30" i="9"/>
  <c r="I30" i="9"/>
  <c r="G30" i="9"/>
  <c r="E30" i="9"/>
  <c r="C30" i="9"/>
  <c r="AG29" i="9"/>
  <c r="AE29" i="9"/>
  <c r="AC29" i="9"/>
  <c r="AA29" i="9"/>
  <c r="Y29" i="9"/>
  <c r="W29" i="9"/>
  <c r="U29" i="9"/>
  <c r="S29" i="9"/>
  <c r="Q29" i="9"/>
  <c r="O29" i="9"/>
  <c r="M29" i="9"/>
  <c r="K29" i="9"/>
  <c r="I29" i="9"/>
  <c r="G29" i="9"/>
  <c r="E29" i="9"/>
  <c r="C29" i="9"/>
  <c r="AG28" i="9"/>
  <c r="AE28" i="9"/>
  <c r="AC28" i="9"/>
  <c r="AA28" i="9"/>
  <c r="Y28" i="9"/>
  <c r="W28" i="9"/>
  <c r="U28" i="9"/>
  <c r="S28" i="9"/>
  <c r="Q28" i="9"/>
  <c r="O28" i="9"/>
  <c r="M28" i="9"/>
  <c r="K28" i="9"/>
  <c r="I28" i="9"/>
  <c r="G28" i="9"/>
  <c r="E28" i="9"/>
  <c r="C28" i="9"/>
  <c r="AG27" i="9"/>
  <c r="AE27" i="9"/>
  <c r="AC27" i="9"/>
  <c r="AA27" i="9"/>
  <c r="Y27" i="9"/>
  <c r="W27" i="9"/>
  <c r="U27" i="9"/>
  <c r="S27" i="9"/>
  <c r="Q27" i="9"/>
  <c r="O27" i="9"/>
  <c r="M27" i="9"/>
  <c r="K27" i="9"/>
  <c r="I27" i="9"/>
  <c r="G27" i="9"/>
  <c r="E27" i="9"/>
  <c r="C27" i="9"/>
  <c r="AG26" i="9"/>
  <c r="AE26" i="9"/>
  <c r="AC26" i="9"/>
  <c r="AA26" i="9"/>
  <c r="Y26" i="9"/>
  <c r="W26" i="9"/>
  <c r="U26" i="9"/>
  <c r="S26" i="9"/>
  <c r="Q26" i="9"/>
  <c r="O26" i="9"/>
  <c r="M26" i="9"/>
  <c r="K26" i="9"/>
  <c r="I26" i="9"/>
  <c r="G26" i="9"/>
  <c r="E26" i="9"/>
  <c r="C26" i="9"/>
  <c r="AG25" i="9"/>
  <c r="AE25" i="9"/>
  <c r="AC25" i="9"/>
  <c r="AA25" i="9"/>
  <c r="Y25" i="9"/>
  <c r="W25" i="9"/>
  <c r="U25" i="9"/>
  <c r="S25" i="9"/>
  <c r="Q25" i="9"/>
  <c r="O25" i="9"/>
  <c r="M25" i="9"/>
  <c r="K25" i="9"/>
  <c r="I25" i="9"/>
  <c r="G25" i="9"/>
  <c r="E25" i="9"/>
  <c r="C25" i="9"/>
  <c r="AG24" i="9"/>
  <c r="AE24" i="9"/>
  <c r="AC24" i="9"/>
  <c r="AA24" i="9"/>
  <c r="Y24" i="9"/>
  <c r="W24" i="9"/>
  <c r="U24" i="9"/>
  <c r="S24" i="9"/>
  <c r="Q24" i="9"/>
  <c r="O24" i="9"/>
  <c r="M24" i="9"/>
  <c r="K24" i="9"/>
  <c r="I24" i="9"/>
  <c r="G24" i="9"/>
  <c r="E24" i="9"/>
  <c r="C24" i="9"/>
  <c r="AG23" i="9"/>
  <c r="AE23" i="9"/>
  <c r="AC23" i="9"/>
  <c r="AA23" i="9"/>
  <c r="Y23" i="9"/>
  <c r="W23" i="9"/>
  <c r="U23" i="9"/>
  <c r="S23" i="9"/>
  <c r="Q23" i="9"/>
  <c r="O23" i="9"/>
  <c r="M23" i="9"/>
  <c r="K23" i="9"/>
  <c r="I23" i="9"/>
  <c r="G23" i="9"/>
  <c r="E23" i="9"/>
  <c r="C23" i="9"/>
  <c r="AG22" i="9"/>
  <c r="AE22" i="9"/>
  <c r="AC22" i="9"/>
  <c r="AA22" i="9"/>
  <c r="Y22" i="9"/>
  <c r="W22" i="9"/>
  <c r="U22" i="9"/>
  <c r="S22" i="9"/>
  <c r="Q22" i="9"/>
  <c r="O22" i="9"/>
  <c r="M22" i="9"/>
  <c r="K22" i="9"/>
  <c r="I22" i="9"/>
  <c r="G22" i="9"/>
  <c r="E22" i="9"/>
  <c r="C22" i="9"/>
  <c r="AG21" i="9"/>
  <c r="AE21" i="9"/>
  <c r="AC21" i="9"/>
  <c r="AA21" i="9"/>
  <c r="Y21" i="9"/>
  <c r="W21" i="9"/>
  <c r="U21" i="9"/>
  <c r="S21" i="9"/>
  <c r="Q21" i="9"/>
  <c r="O21" i="9"/>
  <c r="M21" i="9"/>
  <c r="K21" i="9"/>
  <c r="I21" i="9"/>
  <c r="G21" i="9"/>
  <c r="E21" i="9"/>
  <c r="C21" i="9"/>
  <c r="AG20" i="9"/>
  <c r="AE20" i="9"/>
  <c r="AC20" i="9"/>
  <c r="AA20" i="9"/>
  <c r="Y20" i="9"/>
  <c r="W20" i="9"/>
  <c r="U20" i="9"/>
  <c r="S20" i="9"/>
  <c r="Q20" i="9"/>
  <c r="O20" i="9"/>
  <c r="M20" i="9"/>
  <c r="K20" i="9"/>
  <c r="I20" i="9"/>
  <c r="G20" i="9"/>
  <c r="E20" i="9"/>
  <c r="C20" i="9"/>
  <c r="AG19" i="9"/>
  <c r="AE19" i="9"/>
  <c r="AC19" i="9"/>
  <c r="AA19" i="9"/>
  <c r="Y19" i="9"/>
  <c r="W19" i="9"/>
  <c r="U19" i="9"/>
  <c r="S19" i="9"/>
  <c r="Q19" i="9"/>
  <c r="O19" i="9"/>
  <c r="M19" i="9"/>
  <c r="K19" i="9"/>
  <c r="I19" i="9"/>
  <c r="G19" i="9"/>
  <c r="E19" i="9"/>
  <c r="C19" i="9"/>
  <c r="AG18" i="9"/>
  <c r="AE18" i="9"/>
  <c r="AC18" i="9"/>
  <c r="AA18" i="9"/>
  <c r="Y18" i="9"/>
  <c r="W18" i="9"/>
  <c r="U18" i="9"/>
  <c r="S18" i="9"/>
  <c r="Q18" i="9"/>
  <c r="O18" i="9"/>
  <c r="M18" i="9"/>
  <c r="K18" i="9"/>
  <c r="I18" i="9"/>
  <c r="G18" i="9"/>
  <c r="E18" i="9"/>
  <c r="C18" i="9"/>
  <c r="AG17" i="9"/>
  <c r="AE17" i="9"/>
  <c r="AC17" i="9"/>
  <c r="AA17" i="9"/>
  <c r="Y17" i="9"/>
  <c r="W17" i="9"/>
  <c r="U17" i="9"/>
  <c r="S17" i="9"/>
  <c r="Q17" i="9"/>
  <c r="O17" i="9"/>
  <c r="M17" i="9"/>
  <c r="K17" i="9"/>
  <c r="I17" i="9"/>
  <c r="G17" i="9"/>
  <c r="E17" i="9"/>
  <c r="C17" i="9"/>
  <c r="AG16" i="9"/>
  <c r="AE16" i="9"/>
  <c r="AC16" i="9"/>
  <c r="AA16" i="9"/>
  <c r="Y16" i="9"/>
  <c r="W16" i="9"/>
  <c r="U16" i="9"/>
  <c r="S16" i="9"/>
  <c r="Q16" i="9"/>
  <c r="O16" i="9"/>
  <c r="M16" i="9"/>
  <c r="K16" i="9"/>
  <c r="I16" i="9"/>
  <c r="G16" i="9"/>
  <c r="E16" i="9"/>
  <c r="C16" i="9"/>
  <c r="AG15" i="9"/>
  <c r="AE15" i="9"/>
  <c r="AC15" i="9"/>
  <c r="AA15" i="9"/>
  <c r="Y15" i="9"/>
  <c r="W15" i="9"/>
  <c r="U15" i="9"/>
  <c r="S15" i="9"/>
  <c r="Q15" i="9"/>
  <c r="O15" i="9"/>
  <c r="M15" i="9"/>
  <c r="K15" i="9"/>
  <c r="I15" i="9"/>
  <c r="G15" i="9"/>
  <c r="E15" i="9"/>
  <c r="C15" i="9"/>
  <c r="AG14" i="9"/>
  <c r="AE14" i="9"/>
  <c r="AC14" i="9"/>
  <c r="AA14" i="9"/>
  <c r="Y14" i="9"/>
  <c r="W14" i="9"/>
  <c r="U14" i="9"/>
  <c r="S14" i="9"/>
  <c r="Q14" i="9"/>
  <c r="O14" i="9"/>
  <c r="M14" i="9"/>
  <c r="K14" i="9"/>
  <c r="I14" i="9"/>
  <c r="G14" i="9"/>
  <c r="E14" i="9"/>
  <c r="C14" i="9"/>
  <c r="AG13" i="9"/>
  <c r="AE13" i="9"/>
  <c r="AC13" i="9"/>
  <c r="AA13" i="9"/>
  <c r="Y13" i="9"/>
  <c r="W13" i="9"/>
  <c r="U13" i="9"/>
  <c r="S13" i="9"/>
  <c r="Q13" i="9"/>
  <c r="O13" i="9"/>
  <c r="M13" i="9"/>
  <c r="K13" i="9"/>
  <c r="I13" i="9"/>
  <c r="G13" i="9"/>
  <c r="E13" i="9"/>
  <c r="C13" i="9"/>
  <c r="AG12" i="9"/>
  <c r="AE12" i="9"/>
  <c r="AC12" i="9"/>
  <c r="AA12" i="9"/>
  <c r="Y12" i="9"/>
  <c r="W12" i="9"/>
  <c r="U12" i="9"/>
  <c r="S12" i="9"/>
  <c r="Q12" i="9"/>
  <c r="O12" i="9"/>
  <c r="M12" i="9"/>
  <c r="K12" i="9"/>
  <c r="I12" i="9"/>
  <c r="G12" i="9"/>
  <c r="E12" i="9"/>
  <c r="C12" i="9"/>
  <c r="AG11" i="9"/>
  <c r="AE11" i="9"/>
  <c r="AC11" i="9"/>
  <c r="AA11" i="9"/>
  <c r="Y11" i="9"/>
  <c r="W11" i="9"/>
  <c r="U11" i="9"/>
  <c r="S11" i="9"/>
  <c r="Q11" i="9"/>
  <c r="O11" i="9"/>
  <c r="M11" i="9"/>
  <c r="K11" i="9"/>
  <c r="I11" i="9"/>
  <c r="G11" i="9"/>
  <c r="E11" i="9"/>
  <c r="C11" i="9"/>
  <c r="AG10" i="9"/>
  <c r="AE10" i="9"/>
  <c r="AC10" i="9"/>
  <c r="AA10" i="9"/>
  <c r="Y10" i="9"/>
  <c r="W10" i="9"/>
  <c r="U10" i="9"/>
  <c r="S10" i="9"/>
  <c r="Q10" i="9"/>
  <c r="O10" i="9"/>
  <c r="M10" i="9"/>
  <c r="K10" i="9"/>
  <c r="I10" i="9"/>
  <c r="G10" i="9"/>
  <c r="E10" i="9"/>
  <c r="C10" i="9"/>
  <c r="AG9" i="9"/>
  <c r="AE9" i="9"/>
  <c r="AC9" i="9"/>
  <c r="AA9" i="9"/>
  <c r="Y9" i="9"/>
  <c r="W9" i="9"/>
  <c r="U9" i="9"/>
  <c r="S9" i="9"/>
  <c r="Q9" i="9"/>
  <c r="O9" i="9"/>
  <c r="M9" i="9"/>
  <c r="K9" i="9"/>
  <c r="I9" i="9"/>
  <c r="G9" i="9"/>
  <c r="E9" i="9"/>
  <c r="C9" i="9"/>
  <c r="AG8" i="9"/>
  <c r="AE8" i="9"/>
  <c r="AC8" i="9"/>
  <c r="AA8" i="9"/>
  <c r="Y8" i="9"/>
  <c r="W8" i="9"/>
  <c r="U8" i="9"/>
  <c r="S8" i="9"/>
  <c r="Q8" i="9"/>
  <c r="O8" i="9"/>
  <c r="M8" i="9"/>
  <c r="K8" i="9"/>
  <c r="I8" i="9"/>
  <c r="G8" i="9"/>
  <c r="E8" i="9"/>
  <c r="C8" i="9"/>
  <c r="AG7" i="9"/>
  <c r="AE7" i="9"/>
  <c r="AC7" i="9"/>
  <c r="AA7" i="9"/>
  <c r="Y7" i="9"/>
  <c r="W7" i="9"/>
  <c r="U7" i="9"/>
  <c r="S7" i="9"/>
  <c r="Q7" i="9"/>
  <c r="O7" i="9"/>
  <c r="M7" i="9"/>
  <c r="K7" i="9"/>
  <c r="I7" i="9"/>
  <c r="G7" i="9"/>
  <c r="E7" i="9"/>
  <c r="C7" i="9"/>
  <c r="AG6" i="9"/>
  <c r="AE6" i="9"/>
  <c r="AC6" i="9"/>
  <c r="AA6" i="9"/>
  <c r="Y6" i="9"/>
  <c r="W6" i="9"/>
  <c r="U6" i="9"/>
  <c r="S6" i="9"/>
  <c r="Q6" i="9"/>
  <c r="O6" i="9"/>
  <c r="M6" i="9"/>
  <c r="K6" i="9"/>
  <c r="I6" i="9"/>
  <c r="G6" i="9"/>
  <c r="E6" i="9"/>
  <c r="C6" i="9"/>
  <c r="AG5" i="9"/>
  <c r="AE5" i="9"/>
  <c r="AC5" i="9"/>
  <c r="AA5" i="9"/>
  <c r="Y5" i="9"/>
  <c r="W5" i="9"/>
  <c r="U5" i="9"/>
  <c r="S5" i="9"/>
  <c r="Q5" i="9"/>
  <c r="O5" i="9"/>
  <c r="M5" i="9"/>
  <c r="K5" i="9"/>
  <c r="I5" i="9"/>
  <c r="G5" i="9"/>
  <c r="E5" i="9"/>
  <c r="C5" i="9"/>
  <c r="AG4" i="9"/>
  <c r="AE4" i="9"/>
  <c r="AC4" i="9"/>
  <c r="AA4" i="9"/>
  <c r="Y4" i="9"/>
  <c r="W4" i="9"/>
  <c r="U4" i="9"/>
  <c r="S4" i="9"/>
  <c r="Q4" i="9"/>
  <c r="O4" i="9"/>
  <c r="M4" i="9"/>
  <c r="K4" i="9"/>
  <c r="I4" i="9"/>
  <c r="G4" i="9"/>
  <c r="E4" i="9"/>
  <c r="C4" i="9"/>
  <c r="G38" i="1" l="1"/>
  <c r="P38" i="1"/>
  <c r="S38" i="1"/>
  <c r="G39" i="1"/>
  <c r="AQ39" i="1"/>
  <c r="M39" i="1"/>
  <c r="J39" i="1"/>
  <c r="AK39" i="1"/>
  <c r="AN39" i="1"/>
  <c r="AT39" i="1"/>
  <c r="AB39" i="1"/>
  <c r="AT38" i="1"/>
  <c r="AB38" i="1"/>
  <c r="AH39" i="1"/>
  <c r="Y39" i="1"/>
  <c r="AN37" i="1"/>
  <c r="B3" i="8"/>
  <c r="C38" i="1"/>
  <c r="AH37" i="1"/>
  <c r="E21" i="11"/>
  <c r="D38" i="1" l="1"/>
  <c r="H21" i="11"/>
  <c r="L21" i="11" s="1"/>
  <c r="AS2" i="7"/>
  <c r="AJ2" i="7"/>
  <c r="AD2" i="7"/>
  <c r="R2" i="7"/>
  <c r="O2" i="7"/>
  <c r="F2" i="7"/>
  <c r="C2" i="7"/>
  <c r="AJ3" i="7" l="1"/>
  <c r="AK3" i="7" s="1"/>
  <c r="F3" i="7"/>
  <c r="F4" i="7" s="1"/>
  <c r="G4" i="7" s="1"/>
  <c r="AP2" i="7"/>
  <c r="AP3" i="7" s="1"/>
  <c r="AP4" i="7" s="1"/>
  <c r="S2" i="7"/>
  <c r="AS3" i="7"/>
  <c r="AS4" i="7" s="1"/>
  <c r="AS5" i="7" s="1"/>
  <c r="AS6" i="7" s="1"/>
  <c r="AS7" i="7" s="1"/>
  <c r="AS8" i="7" s="1"/>
  <c r="AS9" i="7" s="1"/>
  <c r="AS10" i="7" s="1"/>
  <c r="AS11" i="7" s="1"/>
  <c r="AS12" i="7" s="1"/>
  <c r="AE2" i="7"/>
  <c r="I2" i="7"/>
  <c r="I3" i="7" s="1"/>
  <c r="I4" i="7" s="1"/>
  <c r="I5" i="7" s="1"/>
  <c r="I6" i="7" s="1"/>
  <c r="O3" i="7"/>
  <c r="O4" i="7" s="1"/>
  <c r="O5" i="7" s="1"/>
  <c r="U2" i="7"/>
  <c r="U3" i="7" s="1"/>
  <c r="U4" i="7" s="1"/>
  <c r="U5" i="7" s="1"/>
  <c r="U6" i="7" s="1"/>
  <c r="U7" i="7" s="1"/>
  <c r="U8" i="7" s="1"/>
  <c r="U9" i="7" s="1"/>
  <c r="U10" i="7" s="1"/>
  <c r="X2" i="7"/>
  <c r="X3" i="7" s="1"/>
  <c r="X4" i="7" s="1"/>
  <c r="G2" i="7"/>
  <c r="AD3" i="7"/>
  <c r="AD4" i="7" s="1"/>
  <c r="AT2" i="7"/>
  <c r="L2" i="7"/>
  <c r="L3" i="7" s="1"/>
  <c r="AG2" i="7"/>
  <c r="AG3" i="7" s="1"/>
  <c r="AG4" i="7" s="1"/>
  <c r="AG5" i="7" s="1"/>
  <c r="AG6" i="7" s="1"/>
  <c r="AG7" i="7" s="1"/>
  <c r="AG8" i="7" s="1"/>
  <c r="AG9" i="7" s="1"/>
  <c r="C3" i="7"/>
  <c r="C4" i="7" s="1"/>
  <c r="C5" i="7" s="1"/>
  <c r="R3" i="7"/>
  <c r="R4" i="7" s="1"/>
  <c r="R5" i="7" s="1"/>
  <c r="R6" i="7" s="1"/>
  <c r="R7" i="7" s="1"/>
  <c r="R8" i="7" s="1"/>
  <c r="R9" i="7" s="1"/>
  <c r="AK2" i="7"/>
  <c r="P2" i="7"/>
  <c r="AA2" i="7"/>
  <c r="AA3" i="7" s="1"/>
  <c r="D2" i="7"/>
  <c r="AM2" i="7"/>
  <c r="AM3" i="7" s="1"/>
  <c r="AT3" i="7" l="1"/>
  <c r="G3" i="7"/>
  <c r="AJ4" i="7"/>
  <c r="AJ5" i="7" s="1"/>
  <c r="AJ6" i="7" s="1"/>
  <c r="AJ7" i="7" s="1"/>
  <c r="AJ8" i="7" s="1"/>
  <c r="AJ9" i="7" s="1"/>
  <c r="AJ10" i="7" s="1"/>
  <c r="AJ11" i="7" s="1"/>
  <c r="F5" i="7"/>
  <c r="F6" i="7" s="1"/>
  <c r="F7" i="7" s="1"/>
  <c r="F8" i="7" s="1"/>
  <c r="F9" i="7" s="1"/>
  <c r="G9" i="7" s="1"/>
  <c r="AT9" i="7"/>
  <c r="AT8" i="7"/>
  <c r="V9" i="7"/>
  <c r="V2" i="7"/>
  <c r="V8" i="7"/>
  <c r="V5" i="7"/>
  <c r="AP5" i="7"/>
  <c r="AQ5" i="7" s="1"/>
  <c r="AQ4" i="7"/>
  <c r="S7" i="7"/>
  <c r="AT4" i="7"/>
  <c r="AT7" i="7"/>
  <c r="AQ2" i="7"/>
  <c r="AT5" i="7"/>
  <c r="AT6" i="7"/>
  <c r="AN2" i="7"/>
  <c r="Y3" i="7"/>
  <c r="AH5" i="7"/>
  <c r="AE3" i="7"/>
  <c r="D3" i="7"/>
  <c r="V6" i="7"/>
  <c r="AH2" i="7"/>
  <c r="AH4" i="7"/>
  <c r="AH7" i="7"/>
  <c r="S3" i="7"/>
  <c r="AS13" i="7"/>
  <c r="AT12" i="7"/>
  <c r="AT10" i="7"/>
  <c r="J5" i="7"/>
  <c r="R10" i="7"/>
  <c r="S9" i="7"/>
  <c r="L4" i="7"/>
  <c r="P4" i="7"/>
  <c r="AM4" i="7"/>
  <c r="AN3" i="7"/>
  <c r="U11" i="7"/>
  <c r="V10" i="7"/>
  <c r="P3" i="7"/>
  <c r="AG10" i="7"/>
  <c r="AH9" i="7"/>
  <c r="AH6" i="7"/>
  <c r="S5" i="7"/>
  <c r="AA4" i="7"/>
  <c r="AB3" i="7"/>
  <c r="J4" i="7"/>
  <c r="I7" i="7"/>
  <c r="J6" i="7"/>
  <c r="C6" i="7"/>
  <c r="D5" i="7"/>
  <c r="X5" i="7"/>
  <c r="Y4" i="7"/>
  <c r="AT11" i="7"/>
  <c r="Y2" i="7"/>
  <c r="AH8" i="7"/>
  <c r="J3" i="7"/>
  <c r="J2" i="7"/>
  <c r="M2" i="7"/>
  <c r="O6" i="7"/>
  <c r="P5" i="7"/>
  <c r="S6" i="7"/>
  <c r="V4" i="7"/>
  <c r="AE4" i="7"/>
  <c r="AD5" i="7"/>
  <c r="V7" i="7"/>
  <c r="D4" i="7"/>
  <c r="AQ3" i="7"/>
  <c r="AB2" i="7"/>
  <c r="V3" i="7"/>
  <c r="S4" i="7"/>
  <c r="S8" i="7"/>
  <c r="AH3" i="7"/>
  <c r="G8" i="7" l="1"/>
  <c r="G5" i="7"/>
  <c r="F10" i="7"/>
  <c r="G6" i="7"/>
  <c r="AK8" i="7"/>
  <c r="AK10" i="7"/>
  <c r="AK4" i="7"/>
  <c r="AK6" i="7"/>
  <c r="AK7" i="7"/>
  <c r="AK9" i="7"/>
  <c r="AP6" i="7"/>
  <c r="AP7" i="7" s="1"/>
  <c r="G7" i="7"/>
  <c r="AK5" i="7"/>
  <c r="C7" i="7"/>
  <c r="D6" i="7"/>
  <c r="AG11" i="7"/>
  <c r="AH10" i="7"/>
  <c r="U12" i="7"/>
  <c r="V11" i="7"/>
  <c r="AM5" i="7"/>
  <c r="AN4" i="7"/>
  <c r="R11" i="7"/>
  <c r="S10" i="7"/>
  <c r="I8" i="7"/>
  <c r="J7" i="7"/>
  <c r="AD6" i="7"/>
  <c r="AE5" i="7"/>
  <c r="AS14" i="7"/>
  <c r="AT13" i="7"/>
  <c r="O7" i="7"/>
  <c r="P6" i="7"/>
  <c r="AJ12" i="7"/>
  <c r="AK11" i="7"/>
  <c r="F11" i="7"/>
  <c r="G10" i="7"/>
  <c r="X6" i="7"/>
  <c r="Y5" i="7"/>
  <c r="AA5" i="7"/>
  <c r="AB4" i="7"/>
  <c r="L5" i="7"/>
  <c r="AQ6" i="7" l="1"/>
  <c r="I9" i="7"/>
  <c r="J8" i="7"/>
  <c r="F12" i="7"/>
  <c r="G11" i="7"/>
  <c r="AM6" i="7"/>
  <c r="AN5" i="7"/>
  <c r="AP8" i="7"/>
  <c r="AQ7" i="7"/>
  <c r="L6" i="7"/>
  <c r="AG12" i="7"/>
  <c r="AH11" i="7"/>
  <c r="U13" i="7"/>
  <c r="V12" i="7"/>
  <c r="X7" i="7"/>
  <c r="Y6" i="7"/>
  <c r="R12" i="7"/>
  <c r="S11" i="7"/>
  <c r="AJ13" i="7"/>
  <c r="AK12" i="7"/>
  <c r="O8" i="7"/>
  <c r="P7" i="7"/>
  <c r="AS15" i="7"/>
  <c r="AT14" i="7"/>
  <c r="AA6" i="7"/>
  <c r="AB5" i="7"/>
  <c r="AD7" i="7"/>
  <c r="AE6" i="7"/>
  <c r="C8" i="7"/>
  <c r="D7" i="7"/>
  <c r="AG13" i="7" l="1"/>
  <c r="AH12" i="7"/>
  <c r="O9" i="7"/>
  <c r="P8" i="7"/>
  <c r="AP9" i="7"/>
  <c r="AQ8" i="7"/>
  <c r="C9" i="7"/>
  <c r="D8" i="7"/>
  <c r="AJ14" i="7"/>
  <c r="AK13" i="7"/>
  <c r="F13" i="7"/>
  <c r="G12" i="7"/>
  <c r="AS16" i="7"/>
  <c r="AT15" i="7"/>
  <c r="AM7" i="7"/>
  <c r="AN6" i="7"/>
  <c r="L7" i="7"/>
  <c r="R13" i="7"/>
  <c r="S12" i="7"/>
  <c r="AD8" i="7"/>
  <c r="AE7" i="7"/>
  <c r="X8" i="7"/>
  <c r="Y7" i="7"/>
  <c r="AA7" i="7"/>
  <c r="AB6" i="7"/>
  <c r="U14" i="7"/>
  <c r="V13" i="7"/>
  <c r="I10" i="7"/>
  <c r="J9" i="7"/>
  <c r="X9" i="7" l="1"/>
  <c r="Y8" i="7"/>
  <c r="AJ15" i="7"/>
  <c r="AK14" i="7"/>
  <c r="S13" i="7"/>
  <c r="R14" i="7"/>
  <c r="C10" i="7"/>
  <c r="D9" i="7"/>
  <c r="I11" i="7"/>
  <c r="J10" i="7"/>
  <c r="AD9" i="7"/>
  <c r="AE8" i="7"/>
  <c r="O10" i="7"/>
  <c r="P9" i="7"/>
  <c r="F14" i="7"/>
  <c r="G13" i="7"/>
  <c r="L8" i="7"/>
  <c r="AP10" i="7"/>
  <c r="AQ9" i="7"/>
  <c r="U15" i="7"/>
  <c r="V14" i="7"/>
  <c r="AM8" i="7"/>
  <c r="AN7" i="7"/>
  <c r="AA8" i="7"/>
  <c r="AB7" i="7"/>
  <c r="AS17" i="7"/>
  <c r="AT16" i="7"/>
  <c r="AH13" i="7"/>
  <c r="AG14" i="7"/>
  <c r="I12" i="7" l="1"/>
  <c r="J11" i="7"/>
  <c r="AP11" i="7"/>
  <c r="AQ10" i="7"/>
  <c r="C11" i="7"/>
  <c r="D10" i="7"/>
  <c r="L9" i="7"/>
  <c r="AD10" i="7"/>
  <c r="AE9" i="7"/>
  <c r="U16" i="7"/>
  <c r="V15" i="7"/>
  <c r="R15" i="7"/>
  <c r="S14" i="7"/>
  <c r="AJ16" i="7"/>
  <c r="AK15" i="7"/>
  <c r="AM9" i="7"/>
  <c r="AN8" i="7"/>
  <c r="AG15" i="7"/>
  <c r="AH14" i="7"/>
  <c r="AS18" i="7"/>
  <c r="AT17" i="7"/>
  <c r="F15" i="7"/>
  <c r="G14" i="7"/>
  <c r="AA9" i="7"/>
  <c r="AB8" i="7"/>
  <c r="O11" i="7"/>
  <c r="P10" i="7"/>
  <c r="X10" i="7"/>
  <c r="Y9" i="7"/>
  <c r="AD11" i="7" l="1"/>
  <c r="AE10" i="7"/>
  <c r="L10" i="7"/>
  <c r="G15" i="7"/>
  <c r="F16" i="7"/>
  <c r="AS19" i="7"/>
  <c r="AT18" i="7"/>
  <c r="AG16" i="7"/>
  <c r="AH15" i="7"/>
  <c r="AP12" i="7"/>
  <c r="AQ11" i="7"/>
  <c r="C12" i="7"/>
  <c r="D11" i="7"/>
  <c r="U17" i="7"/>
  <c r="V16" i="7"/>
  <c r="X11" i="7"/>
  <c r="Y10" i="7"/>
  <c r="AM10" i="7"/>
  <c r="AN9" i="7"/>
  <c r="O12" i="7"/>
  <c r="P11" i="7"/>
  <c r="AJ17" i="7"/>
  <c r="AK16" i="7"/>
  <c r="AA10" i="7"/>
  <c r="AB9" i="7"/>
  <c r="R16" i="7"/>
  <c r="S15" i="7"/>
  <c r="I13" i="7"/>
  <c r="J12" i="7"/>
  <c r="AJ18" i="7" l="1"/>
  <c r="AK17" i="7"/>
  <c r="AH16" i="7"/>
  <c r="AG17" i="7"/>
  <c r="AS20" i="7"/>
  <c r="AT19" i="7"/>
  <c r="X12" i="7"/>
  <c r="Y11" i="7"/>
  <c r="I14" i="7"/>
  <c r="J13" i="7"/>
  <c r="AP13" i="7"/>
  <c r="AQ12" i="7"/>
  <c r="O13" i="7"/>
  <c r="P12" i="7"/>
  <c r="AM11" i="7"/>
  <c r="AN10" i="7"/>
  <c r="F17" i="7"/>
  <c r="G16" i="7"/>
  <c r="R17" i="7"/>
  <c r="S16" i="7"/>
  <c r="U18" i="7"/>
  <c r="V17" i="7"/>
  <c r="L11" i="7"/>
  <c r="AA11" i="7"/>
  <c r="AB10" i="7"/>
  <c r="C13" i="7"/>
  <c r="D12" i="7"/>
  <c r="AD12" i="7"/>
  <c r="AE11" i="7"/>
  <c r="L12" i="7" l="1"/>
  <c r="X13" i="7"/>
  <c r="Y12" i="7"/>
  <c r="AD13" i="7"/>
  <c r="AE12" i="7"/>
  <c r="F18" i="7"/>
  <c r="G17" i="7"/>
  <c r="AS21" i="7"/>
  <c r="AT20" i="7"/>
  <c r="AG18" i="7"/>
  <c r="AH17" i="7"/>
  <c r="AP14" i="7"/>
  <c r="AQ13" i="7"/>
  <c r="I15" i="7"/>
  <c r="J14" i="7"/>
  <c r="AM12" i="7"/>
  <c r="AN11" i="7"/>
  <c r="U19" i="7"/>
  <c r="V18" i="7"/>
  <c r="R18" i="7"/>
  <c r="S17" i="7"/>
  <c r="C14" i="7"/>
  <c r="D13" i="7"/>
  <c r="AA12" i="7"/>
  <c r="AB11" i="7"/>
  <c r="O14" i="7"/>
  <c r="P13" i="7"/>
  <c r="AJ19" i="7"/>
  <c r="AK18" i="7"/>
  <c r="C15" i="7" l="1"/>
  <c r="D14" i="7"/>
  <c r="AS22" i="7"/>
  <c r="AT21" i="7"/>
  <c r="F19" i="7"/>
  <c r="G18" i="7"/>
  <c r="AJ20" i="7"/>
  <c r="AK19" i="7"/>
  <c r="AN12" i="7"/>
  <c r="AM13" i="7"/>
  <c r="AD14" i="7"/>
  <c r="AE13" i="7"/>
  <c r="X14" i="7"/>
  <c r="Y13" i="7"/>
  <c r="AG19" i="7"/>
  <c r="AH18" i="7"/>
  <c r="R19" i="7"/>
  <c r="S18" i="7"/>
  <c r="U20" i="7"/>
  <c r="V19" i="7"/>
  <c r="O15" i="7"/>
  <c r="P14" i="7"/>
  <c r="I16" i="7"/>
  <c r="J15" i="7"/>
  <c r="AB12" i="7"/>
  <c r="AA13" i="7"/>
  <c r="AP15" i="7"/>
  <c r="AQ14" i="7"/>
  <c r="L13" i="7"/>
  <c r="AD15" i="7" l="1"/>
  <c r="AE14" i="7"/>
  <c r="AM14" i="7"/>
  <c r="AN13" i="7"/>
  <c r="O16" i="7"/>
  <c r="P15" i="7"/>
  <c r="U21" i="7"/>
  <c r="V20" i="7"/>
  <c r="AJ21" i="7"/>
  <c r="AK20" i="7"/>
  <c r="L14" i="7"/>
  <c r="R20" i="7"/>
  <c r="S19" i="7"/>
  <c r="F20" i="7"/>
  <c r="G19" i="7"/>
  <c r="I17" i="7"/>
  <c r="J16" i="7"/>
  <c r="AP16" i="7"/>
  <c r="AQ15" i="7"/>
  <c r="AG20" i="7"/>
  <c r="AH19" i="7"/>
  <c r="AS23" i="7"/>
  <c r="AT22" i="7"/>
  <c r="AA14" i="7"/>
  <c r="AB13" i="7"/>
  <c r="X15" i="7"/>
  <c r="Y14" i="7"/>
  <c r="C16" i="7"/>
  <c r="D15" i="7"/>
  <c r="AS24" i="7" l="1"/>
  <c r="AT23" i="7"/>
  <c r="L15" i="7"/>
  <c r="AG21" i="7"/>
  <c r="AH20" i="7"/>
  <c r="AJ22" i="7"/>
  <c r="AK21" i="7"/>
  <c r="AP17" i="7"/>
  <c r="AQ16" i="7"/>
  <c r="U22" i="7"/>
  <c r="V21" i="7"/>
  <c r="C17" i="7"/>
  <c r="D16" i="7"/>
  <c r="I18" i="7"/>
  <c r="J17" i="7"/>
  <c r="O17" i="7"/>
  <c r="P16" i="7"/>
  <c r="X16" i="7"/>
  <c r="Y15" i="7"/>
  <c r="F21" i="7"/>
  <c r="G20" i="7"/>
  <c r="AM15" i="7"/>
  <c r="AN14" i="7"/>
  <c r="AB14" i="7"/>
  <c r="AA15" i="7"/>
  <c r="R21" i="7"/>
  <c r="S20" i="7"/>
  <c r="AD16" i="7"/>
  <c r="AE15" i="7"/>
  <c r="AP18" i="7" l="1"/>
  <c r="AQ17" i="7"/>
  <c r="AM16" i="7"/>
  <c r="AN15" i="7"/>
  <c r="AJ23" i="7"/>
  <c r="AK22" i="7"/>
  <c r="AG22" i="7"/>
  <c r="AH21" i="7"/>
  <c r="AA16" i="7"/>
  <c r="AB15" i="7"/>
  <c r="U23" i="7"/>
  <c r="V22" i="7"/>
  <c r="F22" i="7"/>
  <c r="G21" i="7"/>
  <c r="X17" i="7"/>
  <c r="Y16" i="7"/>
  <c r="AD17" i="7"/>
  <c r="AE16" i="7"/>
  <c r="O18" i="7"/>
  <c r="P17" i="7"/>
  <c r="L16" i="7"/>
  <c r="R22" i="7"/>
  <c r="S21" i="7"/>
  <c r="I19" i="7"/>
  <c r="J18" i="7"/>
  <c r="C18" i="7"/>
  <c r="D17" i="7"/>
  <c r="AS25" i="7"/>
  <c r="AT24" i="7"/>
  <c r="L17" i="7" l="1"/>
  <c r="AG23" i="7"/>
  <c r="AH22" i="7"/>
  <c r="AS26" i="7"/>
  <c r="AT25" i="7"/>
  <c r="AM17" i="7"/>
  <c r="AN16" i="7"/>
  <c r="R23" i="7"/>
  <c r="S22" i="7"/>
  <c r="AA17" i="7"/>
  <c r="AB16" i="7"/>
  <c r="P18" i="7"/>
  <c r="O19" i="7"/>
  <c r="AJ24" i="7"/>
  <c r="AK23" i="7"/>
  <c r="U24" i="7"/>
  <c r="V23" i="7"/>
  <c r="AD18" i="7"/>
  <c r="AE17" i="7"/>
  <c r="C19" i="7"/>
  <c r="D18" i="7"/>
  <c r="Y17" i="7"/>
  <c r="X18" i="7"/>
  <c r="I20" i="7"/>
  <c r="J19" i="7"/>
  <c r="F23" i="7"/>
  <c r="G22" i="7"/>
  <c r="AP19" i="7"/>
  <c r="AQ18" i="7"/>
  <c r="AA18" i="7" l="1"/>
  <c r="AB17" i="7"/>
  <c r="C20" i="7"/>
  <c r="D19" i="7"/>
  <c r="AD19" i="7"/>
  <c r="AE18" i="7"/>
  <c r="X19" i="7"/>
  <c r="Y18" i="7"/>
  <c r="F24" i="7"/>
  <c r="G23" i="7"/>
  <c r="AG24" i="7"/>
  <c r="AH23" i="7"/>
  <c r="R24" i="7"/>
  <c r="S23" i="7"/>
  <c r="AS27" i="7"/>
  <c r="AT26" i="7"/>
  <c r="P19" i="7"/>
  <c r="O20" i="7"/>
  <c r="AM18" i="7"/>
  <c r="AN17" i="7"/>
  <c r="AQ19" i="7"/>
  <c r="AP20" i="7"/>
  <c r="U25" i="7"/>
  <c r="V24" i="7"/>
  <c r="AJ25" i="7"/>
  <c r="AK24" i="7"/>
  <c r="I21" i="7"/>
  <c r="J20" i="7"/>
  <c r="L18" i="7"/>
  <c r="AH24" i="7" l="1"/>
  <c r="AG25" i="7"/>
  <c r="X20" i="7"/>
  <c r="Y19" i="7"/>
  <c r="L19" i="7"/>
  <c r="U26" i="7"/>
  <c r="V25" i="7"/>
  <c r="AM19" i="7"/>
  <c r="AN18" i="7"/>
  <c r="O21" i="7"/>
  <c r="P20" i="7"/>
  <c r="C21" i="7"/>
  <c r="D20" i="7"/>
  <c r="AQ20" i="7"/>
  <c r="AP21" i="7"/>
  <c r="AD20" i="7"/>
  <c r="AE19" i="7"/>
  <c r="G24" i="7"/>
  <c r="F25" i="7"/>
  <c r="I22" i="7"/>
  <c r="J21" i="7"/>
  <c r="AS28" i="7"/>
  <c r="AT27" i="7"/>
  <c r="AJ26" i="7"/>
  <c r="AK25" i="7"/>
  <c r="R25" i="7"/>
  <c r="S24" i="7"/>
  <c r="AA19" i="7"/>
  <c r="AB18" i="7"/>
  <c r="AS29" i="7" l="1"/>
  <c r="AT28" i="7"/>
  <c r="O22" i="7"/>
  <c r="P21" i="7"/>
  <c r="I23" i="7"/>
  <c r="J22" i="7"/>
  <c r="AM20" i="7"/>
  <c r="AN19" i="7"/>
  <c r="F26" i="7"/>
  <c r="G25" i="7"/>
  <c r="U27" i="7"/>
  <c r="V26" i="7"/>
  <c r="AA20" i="7"/>
  <c r="AB19" i="7"/>
  <c r="AD21" i="7"/>
  <c r="AE20" i="7"/>
  <c r="L20" i="7"/>
  <c r="AP22" i="7"/>
  <c r="AQ21" i="7"/>
  <c r="R26" i="7"/>
  <c r="S25" i="7"/>
  <c r="X21" i="7"/>
  <c r="Y20" i="7"/>
  <c r="AG26" i="7"/>
  <c r="AH25" i="7"/>
  <c r="AJ27" i="7"/>
  <c r="AK26" i="7"/>
  <c r="C22" i="7"/>
  <c r="D21" i="7"/>
  <c r="U28" i="7" l="1"/>
  <c r="V27" i="7"/>
  <c r="R27" i="7"/>
  <c r="S26" i="7"/>
  <c r="AM21" i="7"/>
  <c r="AN20" i="7"/>
  <c r="I24" i="7"/>
  <c r="J23" i="7"/>
  <c r="X22" i="7"/>
  <c r="Y21" i="7"/>
  <c r="F27" i="7"/>
  <c r="G26" i="7"/>
  <c r="AP23" i="7"/>
  <c r="AQ22" i="7"/>
  <c r="O23" i="7"/>
  <c r="P22" i="7"/>
  <c r="L21" i="7"/>
  <c r="C23" i="7"/>
  <c r="D22" i="7"/>
  <c r="AJ28" i="7"/>
  <c r="AK27" i="7"/>
  <c r="AD22" i="7"/>
  <c r="AE21" i="7"/>
  <c r="AG27" i="7"/>
  <c r="AH26" i="7"/>
  <c r="AA21" i="7"/>
  <c r="AB20" i="7"/>
  <c r="AS30" i="7"/>
  <c r="AT29" i="7"/>
  <c r="F28" i="7" l="1"/>
  <c r="G27" i="7"/>
  <c r="AJ29" i="7"/>
  <c r="AK28" i="7"/>
  <c r="I25" i="7"/>
  <c r="J24" i="7"/>
  <c r="AD23" i="7"/>
  <c r="AE22" i="7"/>
  <c r="Y22" i="7"/>
  <c r="X23" i="7"/>
  <c r="R28" i="7"/>
  <c r="S27" i="7"/>
  <c r="C24" i="7"/>
  <c r="D23" i="7"/>
  <c r="AM22" i="7"/>
  <c r="AN21" i="7"/>
  <c r="AS31" i="7"/>
  <c r="AT30" i="7"/>
  <c r="L22" i="7"/>
  <c r="AA22" i="7"/>
  <c r="AB21" i="7"/>
  <c r="O24" i="7"/>
  <c r="P23" i="7"/>
  <c r="AG28" i="7"/>
  <c r="AH27" i="7"/>
  <c r="AP24" i="7"/>
  <c r="AQ23" i="7"/>
  <c r="U29" i="7"/>
  <c r="V28" i="7"/>
  <c r="R29" i="7" l="1"/>
  <c r="S28" i="7"/>
  <c r="X24" i="7"/>
  <c r="Y23" i="7"/>
  <c r="AD24" i="7"/>
  <c r="AE23" i="7"/>
  <c r="AA23" i="7"/>
  <c r="AB22" i="7"/>
  <c r="L23" i="7"/>
  <c r="AJ30" i="7"/>
  <c r="AK29" i="7"/>
  <c r="O25" i="7"/>
  <c r="P24" i="7"/>
  <c r="I26" i="7"/>
  <c r="J25" i="7"/>
  <c r="U30" i="7"/>
  <c r="V29" i="7"/>
  <c r="AS32" i="7"/>
  <c r="AT31" i="7"/>
  <c r="AP25" i="7"/>
  <c r="AQ24" i="7"/>
  <c r="AM23" i="7"/>
  <c r="AN22" i="7"/>
  <c r="AG29" i="7"/>
  <c r="AH28" i="7"/>
  <c r="C25" i="7"/>
  <c r="D24" i="7"/>
  <c r="F29" i="7"/>
  <c r="G28" i="7"/>
  <c r="AJ31" i="7" l="1"/>
  <c r="AK30" i="7"/>
  <c r="AP26" i="7"/>
  <c r="AQ25" i="7"/>
  <c r="AA24" i="7"/>
  <c r="AB23" i="7"/>
  <c r="F30" i="7"/>
  <c r="G29" i="7"/>
  <c r="U31" i="7"/>
  <c r="V30" i="7"/>
  <c r="AD25" i="7"/>
  <c r="AE24" i="7"/>
  <c r="C26" i="7"/>
  <c r="D25" i="7"/>
  <c r="I27" i="7"/>
  <c r="J26" i="7"/>
  <c r="X25" i="7"/>
  <c r="Y24" i="7"/>
  <c r="AM24" i="7"/>
  <c r="AN23" i="7"/>
  <c r="L24" i="7"/>
  <c r="AS33" i="7"/>
  <c r="AT32" i="7"/>
  <c r="AG30" i="7"/>
  <c r="AH29" i="7"/>
  <c r="O26" i="7"/>
  <c r="P25" i="7"/>
  <c r="R30" i="7"/>
  <c r="S29" i="7"/>
  <c r="AS34" i="7" l="1"/>
  <c r="AT33" i="7"/>
  <c r="AD26" i="7"/>
  <c r="AE25" i="7"/>
  <c r="L25" i="7"/>
  <c r="U32" i="7"/>
  <c r="V31" i="7"/>
  <c r="AM25" i="7"/>
  <c r="AN24" i="7"/>
  <c r="F31" i="7"/>
  <c r="G30" i="7"/>
  <c r="R31" i="7"/>
  <c r="S30" i="7"/>
  <c r="X26" i="7"/>
  <c r="Y25" i="7"/>
  <c r="AA25" i="7"/>
  <c r="AB24" i="7"/>
  <c r="P26" i="7"/>
  <c r="I28" i="7"/>
  <c r="J27" i="7"/>
  <c r="AP27" i="7"/>
  <c r="AQ26" i="7"/>
  <c r="AG31" i="7"/>
  <c r="AH30" i="7"/>
  <c r="C27" i="7"/>
  <c r="D26" i="7"/>
  <c r="AJ32" i="7"/>
  <c r="AK31" i="7"/>
  <c r="AT34" i="7" l="1"/>
  <c r="AS35" i="7"/>
  <c r="AP28" i="7"/>
  <c r="AQ27" i="7"/>
  <c r="F32" i="7"/>
  <c r="G31" i="7"/>
  <c r="J28" i="7"/>
  <c r="I29" i="7"/>
  <c r="AM26" i="7"/>
  <c r="AN25" i="7"/>
  <c r="U33" i="7"/>
  <c r="V32" i="7"/>
  <c r="AJ33" i="7"/>
  <c r="AK32" i="7"/>
  <c r="AA26" i="7"/>
  <c r="AB25" i="7"/>
  <c r="L26" i="7"/>
  <c r="P27" i="7"/>
  <c r="C28" i="7"/>
  <c r="D27" i="7"/>
  <c r="X27" i="7"/>
  <c r="Y26" i="7"/>
  <c r="AD27" i="7"/>
  <c r="AE26" i="7"/>
  <c r="AG32" i="7"/>
  <c r="AH31" i="7"/>
  <c r="R32" i="7"/>
  <c r="S31" i="7"/>
  <c r="AT35" i="7" l="1"/>
  <c r="AS36" i="7"/>
  <c r="AJ34" i="7"/>
  <c r="AK33" i="7"/>
  <c r="X28" i="7"/>
  <c r="Y27" i="7"/>
  <c r="I30" i="7"/>
  <c r="J29" i="7"/>
  <c r="AD28" i="7"/>
  <c r="AE27" i="7"/>
  <c r="U34" i="7"/>
  <c r="V34" i="7" s="1"/>
  <c r="V33" i="7"/>
  <c r="C29" i="7"/>
  <c r="D28" i="7"/>
  <c r="AM27" i="7"/>
  <c r="AN26" i="7"/>
  <c r="P28" i="7"/>
  <c r="R33" i="7"/>
  <c r="S32" i="7"/>
  <c r="L27" i="7"/>
  <c r="F33" i="7"/>
  <c r="G32" i="7"/>
  <c r="AG33" i="7"/>
  <c r="AH32" i="7"/>
  <c r="AA27" i="7"/>
  <c r="AB26" i="7"/>
  <c r="AP29" i="7"/>
  <c r="AQ28" i="7"/>
  <c r="AS37" i="7" l="1"/>
  <c r="AT36" i="7"/>
  <c r="AK34" i="7"/>
  <c r="AJ35" i="7"/>
  <c r="AG34" i="7"/>
  <c r="AH33" i="7"/>
  <c r="L28" i="7"/>
  <c r="I31" i="7"/>
  <c r="J30" i="7"/>
  <c r="AD29" i="7"/>
  <c r="AE28" i="7"/>
  <c r="X29" i="7"/>
  <c r="Y28" i="7"/>
  <c r="C30" i="7"/>
  <c r="D29" i="7"/>
  <c r="F34" i="7"/>
  <c r="G34" i="7" s="1"/>
  <c r="G33" i="7"/>
  <c r="AP30" i="7"/>
  <c r="AQ29" i="7"/>
  <c r="R34" i="7"/>
  <c r="S34" i="7" s="1"/>
  <c r="S33" i="7"/>
  <c r="P29" i="7"/>
  <c r="AA28" i="7"/>
  <c r="AB27" i="7"/>
  <c r="AM28" i="7"/>
  <c r="AN27" i="7"/>
  <c r="AS38" i="7" l="1"/>
  <c r="AT38" i="7" s="1"/>
  <c r="AT37" i="7"/>
  <c r="AK35" i="7"/>
  <c r="AJ36" i="7"/>
  <c r="AH34" i="7"/>
  <c r="AG35" i="7"/>
  <c r="AG36" i="7" s="1"/>
  <c r="AG37" i="7" s="1"/>
  <c r="AG38" i="7" s="1"/>
  <c r="X30" i="7"/>
  <c r="Y29" i="7"/>
  <c r="P30" i="7"/>
  <c r="C31" i="7"/>
  <c r="D30" i="7"/>
  <c r="L29" i="7"/>
  <c r="AM29" i="7"/>
  <c r="AN28" i="7"/>
  <c r="AA29" i="7"/>
  <c r="AB28" i="7"/>
  <c r="AD30" i="7"/>
  <c r="AE29" i="7"/>
  <c r="AP31" i="7"/>
  <c r="AQ30" i="7"/>
  <c r="I32" i="7"/>
  <c r="J31" i="7"/>
  <c r="AJ37" i="7" l="1"/>
  <c r="AK36" i="7"/>
  <c r="AA30" i="7"/>
  <c r="AB29" i="7"/>
  <c r="AP32" i="7"/>
  <c r="AQ31" i="7"/>
  <c r="C32" i="7"/>
  <c r="D31" i="7"/>
  <c r="AM30" i="7"/>
  <c r="AN29" i="7"/>
  <c r="L30" i="7"/>
  <c r="I33" i="7"/>
  <c r="J32" i="7"/>
  <c r="AD31" i="7"/>
  <c r="AE30" i="7"/>
  <c r="X31" i="7"/>
  <c r="Y30" i="7"/>
  <c r="AK37" i="7" l="1"/>
  <c r="AJ38" i="7"/>
  <c r="AK38" i="7" s="1"/>
  <c r="I34" i="7"/>
  <c r="J34" i="7" s="1"/>
  <c r="J33" i="7"/>
  <c r="L31" i="7"/>
  <c r="C33" i="7"/>
  <c r="D32" i="7"/>
  <c r="AM31" i="7"/>
  <c r="AN30" i="7"/>
  <c r="X32" i="7"/>
  <c r="Y31" i="7"/>
  <c r="AD32" i="7"/>
  <c r="AE31" i="7"/>
  <c r="AP33" i="7"/>
  <c r="AQ32" i="7"/>
  <c r="AA31" i="7"/>
  <c r="AB30" i="7"/>
  <c r="C34" i="7" l="1"/>
  <c r="D33" i="7"/>
  <c r="L32" i="7"/>
  <c r="AD33" i="7"/>
  <c r="AE32" i="7"/>
  <c r="AM32" i="7"/>
  <c r="AN31" i="7"/>
  <c r="X33" i="7"/>
  <c r="Y32" i="7"/>
  <c r="AA32" i="7"/>
  <c r="AB31" i="7"/>
  <c r="AP34" i="7"/>
  <c r="AQ33" i="7"/>
  <c r="AQ34" i="7" l="1"/>
  <c r="AP35" i="7"/>
  <c r="D34" i="7"/>
  <c r="C35" i="7"/>
  <c r="X34" i="7"/>
  <c r="Y34" i="7" s="1"/>
  <c r="Y33" i="7"/>
  <c r="AM33" i="7"/>
  <c r="AN32" i="7"/>
  <c r="L33" i="7"/>
  <c r="AD34" i="7"/>
  <c r="AE33" i="7"/>
  <c r="AA33" i="7"/>
  <c r="AB32" i="7"/>
  <c r="AP36" i="7" l="1"/>
  <c r="AQ35" i="7"/>
  <c r="AE34" i="7"/>
  <c r="AD35" i="7"/>
  <c r="C36" i="7"/>
  <c r="D35" i="7"/>
  <c r="AA34" i="7"/>
  <c r="AB33" i="7"/>
  <c r="AM34" i="7"/>
  <c r="AN33" i="7"/>
  <c r="L34" i="7"/>
  <c r="AQ36" i="7" l="1"/>
  <c r="AP37" i="7"/>
  <c r="AN34" i="7"/>
  <c r="AM35" i="7"/>
  <c r="AD36" i="7"/>
  <c r="AE35" i="7"/>
  <c r="AB34" i="7"/>
  <c r="AA35" i="7"/>
  <c r="C37" i="7"/>
  <c r="D36" i="7"/>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4" i="1"/>
  <c r="AJ5" i="1"/>
  <c r="AJ6" i="1"/>
  <c r="AJ7" i="1"/>
  <c r="AK7" i="1" s="1"/>
  <c r="AJ8" i="1"/>
  <c r="AJ9" i="1"/>
  <c r="AJ10" i="1"/>
  <c r="AK10" i="1" s="1"/>
  <c r="AJ11" i="1"/>
  <c r="AK11" i="1" s="1"/>
  <c r="AJ12" i="1"/>
  <c r="AK12" i="1" s="1"/>
  <c r="AJ13" i="1"/>
  <c r="AK13" i="1" s="1"/>
  <c r="AJ14" i="1"/>
  <c r="AK14" i="1" s="1"/>
  <c r="AJ15" i="1"/>
  <c r="AK15" i="1" s="1"/>
  <c r="AJ16" i="1"/>
  <c r="AK16" i="1" s="1"/>
  <c r="AJ17" i="1"/>
  <c r="AJ18" i="1"/>
  <c r="AK18" i="1" s="1"/>
  <c r="AJ19" i="1"/>
  <c r="AK19" i="1" s="1"/>
  <c r="AJ20" i="1"/>
  <c r="AJ21" i="1"/>
  <c r="AK21" i="1" s="1"/>
  <c r="AJ22" i="1"/>
  <c r="AJ23" i="1"/>
  <c r="AJ24" i="1"/>
  <c r="AK24" i="1" s="1"/>
  <c r="AJ25" i="1"/>
  <c r="AK25" i="1" s="1"/>
  <c r="AJ26" i="1"/>
  <c r="AK26" i="1" s="1"/>
  <c r="AJ27" i="1"/>
  <c r="AK27" i="1" s="1"/>
  <c r="AJ28" i="1"/>
  <c r="AK28" i="1" s="1"/>
  <c r="AJ29" i="1"/>
  <c r="AJ30" i="1"/>
  <c r="AK30" i="1" s="1"/>
  <c r="AJ31" i="1"/>
  <c r="AJ32" i="1"/>
  <c r="AJ33" i="1"/>
  <c r="AK33" i="1" s="1"/>
  <c r="AJ34" i="1"/>
  <c r="AK34" i="1" s="1"/>
  <c r="AJ35" i="1"/>
  <c r="AK35" i="1" s="1"/>
  <c r="AJ36" i="1"/>
  <c r="AK36" i="1" s="1"/>
  <c r="AJ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4" i="1"/>
  <c r="X5" i="1"/>
  <c r="X6" i="1"/>
  <c r="Y6" i="1" s="1"/>
  <c r="X7" i="1"/>
  <c r="Y7" i="1" s="1"/>
  <c r="X8" i="1"/>
  <c r="X9" i="1"/>
  <c r="X10" i="1"/>
  <c r="Y10" i="1" s="1"/>
  <c r="X11" i="1"/>
  <c r="Y11" i="1" s="1"/>
  <c r="X12" i="1"/>
  <c r="Y12" i="1" s="1"/>
  <c r="X13" i="1"/>
  <c r="Y13" i="1" s="1"/>
  <c r="X14" i="1"/>
  <c r="Y14" i="1" s="1"/>
  <c r="X15" i="1"/>
  <c r="Y15" i="1" s="1"/>
  <c r="X16" i="1"/>
  <c r="Y16" i="1" s="1"/>
  <c r="X17" i="1"/>
  <c r="X18" i="1"/>
  <c r="X19" i="1"/>
  <c r="Y19" i="1" s="1"/>
  <c r="X20" i="1"/>
  <c r="X21" i="1"/>
  <c r="Y21" i="1" s="1"/>
  <c r="X22" i="1"/>
  <c r="X23" i="1"/>
  <c r="Y23" i="1" s="1"/>
  <c r="X24" i="1"/>
  <c r="Y24" i="1" s="1"/>
  <c r="X25" i="1"/>
  <c r="Y25" i="1" s="1"/>
  <c r="X26" i="1"/>
  <c r="Y26" i="1" s="1"/>
  <c r="X27" i="1"/>
  <c r="Y27" i="1" s="1"/>
  <c r="X28" i="1"/>
  <c r="Y28" i="1" s="1"/>
  <c r="X29" i="1"/>
  <c r="X30" i="1"/>
  <c r="X31" i="1"/>
  <c r="Y31" i="1" s="1"/>
  <c r="X32" i="1"/>
  <c r="X33" i="1"/>
  <c r="Y33" i="1" s="1"/>
  <c r="X34" i="1"/>
  <c r="Y34" i="1" s="1"/>
  <c r="X35" i="1"/>
  <c r="Y35" i="1" s="1"/>
  <c r="X36" i="1"/>
  <c r="Y36" i="1" s="1"/>
  <c r="X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4"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I36" i="1"/>
  <c r="I35" i="1"/>
  <c r="I34" i="1"/>
  <c r="I33" i="1"/>
  <c r="I32" i="1"/>
  <c r="I31" i="1"/>
  <c r="J31" i="1" s="1"/>
  <c r="I30" i="1"/>
  <c r="I29" i="1"/>
  <c r="I28" i="1"/>
  <c r="I27" i="1"/>
  <c r="I26" i="1"/>
  <c r="I25" i="1"/>
  <c r="J25" i="1" s="1"/>
  <c r="I24" i="1"/>
  <c r="I23" i="1"/>
  <c r="I22" i="1"/>
  <c r="I21" i="1"/>
  <c r="I20" i="1"/>
  <c r="I19" i="1"/>
  <c r="J19" i="1" s="1"/>
  <c r="I18" i="1"/>
  <c r="I17" i="1"/>
  <c r="I16" i="1"/>
  <c r="I15" i="1"/>
  <c r="I14" i="1"/>
  <c r="I13" i="1"/>
  <c r="J13" i="1" s="1"/>
  <c r="I12" i="1"/>
  <c r="I11" i="1"/>
  <c r="I10" i="1"/>
  <c r="I9" i="1"/>
  <c r="I8" i="1"/>
  <c r="I7" i="1"/>
  <c r="J7" i="1" s="1"/>
  <c r="I6" i="1"/>
  <c r="I5" i="1"/>
  <c r="I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4" i="1"/>
  <c r="AP38" i="7" l="1"/>
  <c r="AQ38" i="7" s="1"/>
  <c r="AQ37" i="7"/>
  <c r="AN35" i="7"/>
  <c r="AM36" i="7"/>
  <c r="AE36" i="7"/>
  <c r="AD37" i="7"/>
  <c r="AB35" i="7"/>
  <c r="AA36" i="7"/>
  <c r="C38" i="7"/>
  <c r="D38" i="7" s="1"/>
  <c r="D37" i="7"/>
  <c r="AK23" i="1"/>
  <c r="Q4" i="8"/>
  <c r="Q8" i="8"/>
  <c r="Q11" i="8"/>
  <c r="L8" i="8"/>
  <c r="L9" i="8" s="1"/>
  <c r="L11" i="8"/>
  <c r="L4" i="8"/>
  <c r="L7" i="8" s="1"/>
  <c r="P4" i="8"/>
  <c r="P7" i="8" s="1"/>
  <c r="P11" i="8"/>
  <c r="P8" i="8"/>
  <c r="P9" i="8" s="1"/>
  <c r="J4" i="8"/>
  <c r="J7" i="8" s="1"/>
  <c r="J11" i="8"/>
  <c r="J8" i="8"/>
  <c r="J9" i="8" s="1"/>
  <c r="E11" i="8"/>
  <c r="E8" i="8"/>
  <c r="E9" i="8" s="1"/>
  <c r="E4" i="8"/>
  <c r="E7" i="8" s="1"/>
  <c r="I8" i="8"/>
  <c r="I9" i="8" s="1"/>
  <c r="I11" i="8"/>
  <c r="I4" i="8"/>
  <c r="I7" i="8" s="1"/>
  <c r="H8" i="8"/>
  <c r="H9" i="8" s="1"/>
  <c r="H11" i="8"/>
  <c r="H4" i="8"/>
  <c r="H7" i="8" s="1"/>
  <c r="F4" i="8"/>
  <c r="F7" i="8" s="1"/>
  <c r="F8" i="8"/>
  <c r="F9" i="8" s="1"/>
  <c r="F11" i="8"/>
  <c r="M4" i="8"/>
  <c r="M11" i="8"/>
  <c r="M8" i="8"/>
  <c r="B8" i="8"/>
  <c r="B9" i="8" s="1"/>
  <c r="B4" i="8"/>
  <c r="B7" i="8" s="1"/>
  <c r="B11" i="8"/>
  <c r="N8" i="8"/>
  <c r="N9" i="8" s="1"/>
  <c r="N11" i="8"/>
  <c r="N4" i="8"/>
  <c r="N7" i="8" s="1"/>
  <c r="D11" i="8"/>
  <c r="D8" i="8"/>
  <c r="D9" i="8" s="1"/>
  <c r="D4" i="8"/>
  <c r="D7" i="8" s="1"/>
  <c r="C8" i="8"/>
  <c r="C9" i="8" s="1"/>
  <c r="C11" i="8"/>
  <c r="C4" i="8"/>
  <c r="G8" i="8"/>
  <c r="G11" i="8"/>
  <c r="G4" i="8"/>
  <c r="K8" i="8"/>
  <c r="K9" i="8" s="1"/>
  <c r="K11" i="8"/>
  <c r="K4" i="8"/>
  <c r="O4" i="8"/>
  <c r="O7" i="8" s="1"/>
  <c r="O11" i="8"/>
  <c r="O8" i="8"/>
  <c r="O9" i="8" s="1"/>
  <c r="AK22" i="1"/>
  <c r="AK31" i="1"/>
  <c r="Y9" i="1"/>
  <c r="AK9" i="1"/>
  <c r="C7" i="8"/>
  <c r="G7" i="8"/>
  <c r="G9" i="8"/>
  <c r="K7" i="8"/>
  <c r="D12" i="1"/>
  <c r="J23" i="1"/>
  <c r="Y22" i="1"/>
  <c r="D36" i="1"/>
  <c r="D24" i="1"/>
  <c r="J11" i="1"/>
  <c r="J35" i="1"/>
  <c r="P36" i="1"/>
  <c r="P24" i="1"/>
  <c r="P12" i="1"/>
  <c r="AB36" i="1"/>
  <c r="AB24" i="1"/>
  <c r="AB12" i="1"/>
  <c r="AN36" i="1"/>
  <c r="AN24" i="1"/>
  <c r="AN12" i="1"/>
  <c r="D35" i="1"/>
  <c r="D23" i="1"/>
  <c r="D11" i="1"/>
  <c r="P35" i="1"/>
  <c r="P23" i="1"/>
  <c r="P11" i="1"/>
  <c r="M4" i="1"/>
  <c r="Y4" i="1"/>
  <c r="AK4" i="1"/>
  <c r="M7" i="8"/>
  <c r="M9" i="8"/>
  <c r="Q7" i="8"/>
  <c r="G36" i="1"/>
  <c r="G24" i="1"/>
  <c r="G12" i="1"/>
  <c r="S36" i="1"/>
  <c r="S24" i="1"/>
  <c r="AE36" i="1"/>
  <c r="AQ36" i="1"/>
  <c r="AQ12" i="1"/>
  <c r="M18" i="1"/>
  <c r="D4" i="1"/>
  <c r="D25" i="1"/>
  <c r="D13" i="1"/>
  <c r="M13" i="1"/>
  <c r="M25" i="1"/>
  <c r="P4" i="1"/>
  <c r="P25" i="1"/>
  <c r="P13" i="1"/>
  <c r="AB4" i="1"/>
  <c r="AB25" i="1"/>
  <c r="AB13" i="1"/>
  <c r="AN4" i="1"/>
  <c r="AN25" i="1"/>
  <c r="AN13" i="1"/>
  <c r="J12" i="1"/>
  <c r="J24" i="1"/>
  <c r="J36" i="1"/>
  <c r="AB35" i="1"/>
  <c r="AB23" i="1"/>
  <c r="AB11" i="1"/>
  <c r="AN35" i="1"/>
  <c r="AN23" i="1"/>
  <c r="AN11" i="1"/>
  <c r="J20" i="1"/>
  <c r="V21" i="1"/>
  <c r="AH33" i="1"/>
  <c r="AT21" i="1"/>
  <c r="V20" i="1"/>
  <c r="G10" i="1"/>
  <c r="S34" i="1"/>
  <c r="S10" i="1"/>
  <c r="V31" i="1"/>
  <c r="V19" i="1"/>
  <c r="V7" i="1"/>
  <c r="AE34" i="1"/>
  <c r="AE22" i="1"/>
  <c r="AE10" i="1"/>
  <c r="AH31" i="1"/>
  <c r="AH19" i="1"/>
  <c r="AH7" i="1"/>
  <c r="AQ34" i="1"/>
  <c r="AQ22" i="1"/>
  <c r="AQ10" i="1"/>
  <c r="AT31" i="1"/>
  <c r="AT19" i="1"/>
  <c r="AT7" i="1"/>
  <c r="J28" i="1"/>
  <c r="G33" i="1"/>
  <c r="G21" i="1"/>
  <c r="G9" i="1"/>
  <c r="M14" i="1"/>
  <c r="M26" i="1"/>
  <c r="S33" i="1"/>
  <c r="S21" i="1"/>
  <c r="S9" i="1"/>
  <c r="AE33" i="1"/>
  <c r="AE21" i="1"/>
  <c r="AE9" i="1"/>
  <c r="AQ33" i="1"/>
  <c r="AQ21" i="1"/>
  <c r="AQ9" i="1"/>
  <c r="M21" i="1"/>
  <c r="J8" i="1"/>
  <c r="AH9" i="1"/>
  <c r="AT33" i="1"/>
  <c r="AT9" i="1"/>
  <c r="V8" i="1"/>
  <c r="AH8" i="1"/>
  <c r="G34" i="1"/>
  <c r="J22" i="1"/>
  <c r="D34" i="1"/>
  <c r="P22" i="1"/>
  <c r="AB22" i="1"/>
  <c r="AN34" i="1"/>
  <c r="AN22" i="1"/>
  <c r="AN10" i="1"/>
  <c r="D33" i="1"/>
  <c r="P33" i="1"/>
  <c r="P21" i="1"/>
  <c r="P9" i="1"/>
  <c r="AB33" i="1"/>
  <c r="AB21" i="1"/>
  <c r="AB9" i="1"/>
  <c r="AN33" i="1"/>
  <c r="AN21" i="1"/>
  <c r="AN9" i="1"/>
  <c r="M9" i="1"/>
  <c r="M33" i="1"/>
  <c r="J32" i="1"/>
  <c r="V33" i="1"/>
  <c r="V9" i="1"/>
  <c r="AH21" i="1"/>
  <c r="J9" i="1"/>
  <c r="V32" i="1"/>
  <c r="AH32" i="1"/>
  <c r="AH20" i="1"/>
  <c r="AT20" i="1"/>
  <c r="G22" i="1"/>
  <c r="J10" i="1"/>
  <c r="J34" i="1"/>
  <c r="S22" i="1"/>
  <c r="D22" i="1"/>
  <c r="D10" i="1"/>
  <c r="P34" i="1"/>
  <c r="P10" i="1"/>
  <c r="AB34" i="1"/>
  <c r="AB10" i="1"/>
  <c r="D21" i="1"/>
  <c r="D9" i="1"/>
  <c r="J18" i="1"/>
  <c r="V23" i="1"/>
  <c r="V11" i="1"/>
  <c r="AH35" i="1"/>
  <c r="AH23" i="1"/>
  <c r="AH11" i="1"/>
  <c r="AT35" i="1"/>
  <c r="AT23" i="1"/>
  <c r="AT11" i="1"/>
  <c r="J16" i="1"/>
  <c r="V18" i="1"/>
  <c r="AH30" i="1"/>
  <c r="AH6" i="1"/>
  <c r="AT30" i="1"/>
  <c r="D15" i="1"/>
  <c r="G20" i="1"/>
  <c r="S20" i="1"/>
  <c r="AE8" i="1"/>
  <c r="AQ20" i="1"/>
  <c r="G19" i="1"/>
  <c r="S7" i="1"/>
  <c r="AE19" i="1"/>
  <c r="AQ7" i="1"/>
  <c r="G30" i="1"/>
  <c r="S6" i="1"/>
  <c r="AE6" i="1"/>
  <c r="AQ18" i="1"/>
  <c r="D8" i="1"/>
  <c r="P8" i="1"/>
  <c r="AB20" i="1"/>
  <c r="AN32" i="1"/>
  <c r="D7" i="1"/>
  <c r="P31" i="1"/>
  <c r="AB31" i="1"/>
  <c r="AB7" i="1"/>
  <c r="AN31" i="1"/>
  <c r="AN19" i="1"/>
  <c r="AN7" i="1"/>
  <c r="V30" i="1"/>
  <c r="V6" i="1"/>
  <c r="AH18" i="1"/>
  <c r="AT18" i="1"/>
  <c r="AT6" i="1"/>
  <c r="G32" i="1"/>
  <c r="G8" i="1"/>
  <c r="M15" i="1"/>
  <c r="M27" i="1"/>
  <c r="S32" i="1"/>
  <c r="S8" i="1"/>
  <c r="AE32" i="1"/>
  <c r="AE20" i="1"/>
  <c r="AQ32" i="1"/>
  <c r="AQ8" i="1"/>
  <c r="G31" i="1"/>
  <c r="G7" i="1"/>
  <c r="S31" i="1"/>
  <c r="S19" i="1"/>
  <c r="AE31" i="1"/>
  <c r="AE7" i="1"/>
  <c r="AQ31" i="1"/>
  <c r="AQ19" i="1"/>
  <c r="G18" i="1"/>
  <c r="G6" i="1"/>
  <c r="S30" i="1"/>
  <c r="S18" i="1"/>
  <c r="AE30" i="1"/>
  <c r="AE18" i="1"/>
  <c r="AQ30" i="1"/>
  <c r="AQ6" i="1"/>
  <c r="AQ24" i="1"/>
  <c r="AE12" i="1"/>
  <c r="D32" i="1"/>
  <c r="D20" i="1"/>
  <c r="P32" i="1"/>
  <c r="P20" i="1"/>
  <c r="AB32" i="1"/>
  <c r="AB8" i="1"/>
  <c r="AN20" i="1"/>
  <c r="AN8" i="1"/>
  <c r="V35" i="1"/>
  <c r="AQ23" i="1"/>
  <c r="D31" i="1"/>
  <c r="D19" i="1"/>
  <c r="M7" i="1"/>
  <c r="M19" i="1"/>
  <c r="M31" i="1"/>
  <c r="P19" i="1"/>
  <c r="P7" i="1"/>
  <c r="AB19" i="1"/>
  <c r="S12" i="1"/>
  <c r="AE24" i="1"/>
  <c r="J4" i="1"/>
  <c r="V25" i="1"/>
  <c r="AH25" i="1"/>
  <c r="AH13" i="1"/>
  <c r="AT25" i="1"/>
  <c r="V24" i="1"/>
  <c r="AH36" i="1"/>
  <c r="AH12" i="1"/>
  <c r="AT12" i="1"/>
  <c r="G4" i="1"/>
  <c r="V34" i="1"/>
  <c r="V22" i="1"/>
  <c r="V10" i="1"/>
  <c r="AE4" i="1"/>
  <c r="AE25" i="1"/>
  <c r="AE13" i="1"/>
  <c r="AH34" i="1"/>
  <c r="AH22" i="1"/>
  <c r="AH10" i="1"/>
  <c r="AQ4" i="1"/>
  <c r="AQ25" i="1"/>
  <c r="AQ13" i="1"/>
  <c r="AT34" i="1"/>
  <c r="AT22" i="1"/>
  <c r="AT10" i="1"/>
  <c r="AK20" i="1"/>
  <c r="AK8" i="1"/>
  <c r="P15" i="1"/>
  <c r="M16" i="1"/>
  <c r="V13" i="1"/>
  <c r="AH4" i="1"/>
  <c r="AT4" i="1"/>
  <c r="AT13" i="1"/>
  <c r="AE23" i="1"/>
  <c r="AT36" i="1"/>
  <c r="AT24" i="1"/>
  <c r="G25" i="1"/>
  <c r="M22" i="1"/>
  <c r="S4" i="1"/>
  <c r="S13" i="1"/>
  <c r="M11" i="1"/>
  <c r="M23" i="1"/>
  <c r="M35" i="1"/>
  <c r="V4" i="1"/>
  <c r="V36" i="1"/>
  <c r="V12" i="1"/>
  <c r="AH24" i="1"/>
  <c r="G13" i="1"/>
  <c r="M10" i="1"/>
  <c r="M34" i="1"/>
  <c r="S25" i="1"/>
  <c r="D26" i="1"/>
  <c r="D14" i="1"/>
  <c r="G35" i="1"/>
  <c r="G23" i="1"/>
  <c r="G11" i="1"/>
  <c r="J21" i="1"/>
  <c r="J33" i="1"/>
  <c r="M12" i="1"/>
  <c r="M24" i="1"/>
  <c r="M36" i="1"/>
  <c r="P26" i="1"/>
  <c r="P14" i="1"/>
  <c r="S35" i="1"/>
  <c r="S23" i="1"/>
  <c r="S11" i="1"/>
  <c r="AE35" i="1"/>
  <c r="AE11" i="1"/>
  <c r="AK29" i="1"/>
  <c r="AQ35" i="1"/>
  <c r="AQ11" i="1"/>
  <c r="AT32" i="1"/>
  <c r="AT8" i="1"/>
  <c r="AN17" i="1"/>
  <c r="AB17" i="1"/>
  <c r="P17" i="1"/>
  <c r="D17" i="1"/>
  <c r="V29" i="1"/>
  <c r="V17" i="1"/>
  <c r="V5" i="1"/>
  <c r="AH29" i="1"/>
  <c r="AH17" i="1"/>
  <c r="AH5" i="1"/>
  <c r="AT29" i="1"/>
  <c r="AT17" i="1"/>
  <c r="AT5" i="1"/>
  <c r="P27" i="1"/>
  <c r="AB27" i="1"/>
  <c r="M28" i="1"/>
  <c r="V28" i="1"/>
  <c r="V16" i="1"/>
  <c r="AH28" i="1"/>
  <c r="AH16" i="1"/>
  <c r="AT28" i="1"/>
  <c r="AT16" i="1"/>
  <c r="AQ26" i="1"/>
  <c r="AE26" i="1"/>
  <c r="S26" i="1"/>
  <c r="G26" i="1"/>
  <c r="AQ14" i="1"/>
  <c r="AE14" i="1"/>
  <c r="S14" i="1"/>
  <c r="G14" i="1"/>
  <c r="AB15" i="1"/>
  <c r="AN27" i="1"/>
  <c r="J14" i="1"/>
  <c r="J26" i="1"/>
  <c r="V27" i="1"/>
  <c r="V15" i="1"/>
  <c r="AH27" i="1"/>
  <c r="AH15" i="1"/>
  <c r="AT27" i="1"/>
  <c r="AT15" i="1"/>
  <c r="D27" i="1"/>
  <c r="AB14" i="1"/>
  <c r="AN26" i="1"/>
  <c r="G29" i="1"/>
  <c r="M17" i="1"/>
  <c r="AN15" i="1"/>
  <c r="Y17" i="1"/>
  <c r="AN29" i="1"/>
  <c r="AB29" i="1"/>
  <c r="P29" i="1"/>
  <c r="D29" i="1"/>
  <c r="M29" i="1"/>
  <c r="J29" i="1"/>
  <c r="AN5" i="1"/>
  <c r="AB5" i="1"/>
  <c r="P5" i="1"/>
  <c r="D5" i="1"/>
  <c r="M5" i="1"/>
  <c r="J5" i="1"/>
  <c r="Y29" i="1"/>
  <c r="Y5" i="1"/>
  <c r="AB26" i="1"/>
  <c r="AK17" i="1"/>
  <c r="AK5" i="1"/>
  <c r="AN14" i="1"/>
  <c r="Y30" i="1"/>
  <c r="M30" i="1"/>
  <c r="J30" i="1"/>
  <c r="Y18" i="1"/>
  <c r="M6" i="1"/>
  <c r="J6" i="1"/>
  <c r="AK6" i="1"/>
  <c r="J17" i="1"/>
  <c r="G5" i="1"/>
  <c r="J27" i="1"/>
  <c r="S29" i="1"/>
  <c r="S5" i="1"/>
  <c r="V14" i="1"/>
  <c r="AE17" i="1"/>
  <c r="AH26" i="1"/>
  <c r="AQ29" i="1"/>
  <c r="AQ5" i="1"/>
  <c r="D30" i="1"/>
  <c r="D18" i="1"/>
  <c r="D6" i="1"/>
  <c r="G27" i="1"/>
  <c r="G15" i="1"/>
  <c r="P30" i="1"/>
  <c r="P18" i="1"/>
  <c r="P6" i="1"/>
  <c r="S27" i="1"/>
  <c r="S15" i="1"/>
  <c r="AB30" i="1"/>
  <c r="AB18" i="1"/>
  <c r="AB6" i="1"/>
  <c r="AE27" i="1"/>
  <c r="AE15" i="1"/>
  <c r="AN30" i="1"/>
  <c r="AN18" i="1"/>
  <c r="AN6" i="1"/>
  <c r="AQ27" i="1"/>
  <c r="AQ15" i="1"/>
  <c r="D28" i="1"/>
  <c r="D16" i="1"/>
  <c r="P28" i="1"/>
  <c r="P16" i="1"/>
  <c r="AB28" i="1"/>
  <c r="AB16" i="1"/>
  <c r="AN28" i="1"/>
  <c r="AN16" i="1"/>
  <c r="G17" i="1"/>
  <c r="J15" i="1"/>
  <c r="S17" i="1"/>
  <c r="V26" i="1"/>
  <c r="AE29" i="1"/>
  <c r="AE5" i="1"/>
  <c r="AH14" i="1"/>
  <c r="AQ17" i="1"/>
  <c r="AT26" i="1"/>
  <c r="AT14" i="1"/>
  <c r="G28" i="1"/>
  <c r="G16" i="1"/>
  <c r="S28" i="1"/>
  <c r="S16" i="1"/>
  <c r="AE28" i="1"/>
  <c r="AE16" i="1"/>
  <c r="AQ28" i="1"/>
  <c r="AQ16" i="1"/>
  <c r="M32" i="1"/>
  <c r="M20" i="1"/>
  <c r="M8" i="1"/>
  <c r="Y32" i="1"/>
  <c r="Y20" i="1"/>
  <c r="Y8" i="1"/>
  <c r="AK32" i="1"/>
  <c r="AN36" i="7" l="1"/>
  <c r="AM37" i="7"/>
  <c r="AD38" i="7"/>
  <c r="AE38" i="7" s="1"/>
  <c r="AE37" i="7"/>
  <c r="AB36" i="7"/>
  <c r="AA37" i="7"/>
  <c r="L6" i="8"/>
  <c r="J6" i="8"/>
  <c r="J10" i="8" s="1"/>
  <c r="I6" i="8"/>
  <c r="I10" i="8" s="1"/>
  <c r="G6" i="8"/>
  <c r="G10" i="8" s="1"/>
  <c r="K6" i="8"/>
  <c r="K10" i="8" s="1"/>
  <c r="M6" i="8"/>
  <c r="M10" i="8" s="1"/>
  <c r="C6" i="8"/>
  <c r="C10" i="8" s="1"/>
  <c r="F6" i="8"/>
  <c r="F10" i="8" s="1"/>
  <c r="E6" i="8"/>
  <c r="E10" i="8" s="1"/>
  <c r="B6" i="8"/>
  <c r="B10" i="8" s="1"/>
  <c r="N6" i="8"/>
  <c r="N10" i="8" s="1"/>
  <c r="D6" i="8"/>
  <c r="D10" i="8" s="1"/>
  <c r="H6" i="8"/>
  <c r="H10" i="8" s="1"/>
  <c r="P6" i="8"/>
  <c r="P10" i="8" s="1"/>
  <c r="O6" i="8"/>
  <c r="O10" i="8"/>
  <c r="L10" i="8"/>
  <c r="AN37" i="7" l="1"/>
  <c r="AM38" i="7"/>
  <c r="AN38" i="7" s="1"/>
  <c r="AA38" i="7"/>
  <c r="AB38" i="7" s="1"/>
  <c r="AB37" i="7"/>
</calcChain>
</file>

<file path=xl/sharedStrings.xml><?xml version="1.0" encoding="utf-8"?>
<sst xmlns="http://schemas.openxmlformats.org/spreadsheetml/2006/main" count="29466" uniqueCount="1769">
  <si>
    <t>AFRICAPITAL EQUITY</t>
  </si>
  <si>
    <t>FCP CAPITAL PARTICIPATIONS</t>
  </si>
  <si>
    <t>FCP Capital Trust Equity</t>
  </si>
  <si>
    <t>FCP CFG PERFORMANCE</t>
  </si>
  <si>
    <t xml:space="preserve">FCP IRGAM ACTIONS </t>
  </si>
  <si>
    <t>ALPHA DYNAMIC FUND</t>
  </si>
  <si>
    <t>HORIZON EPARGNE</t>
  </si>
  <si>
    <t>FCP KENZ ACTIONS</t>
  </si>
  <si>
    <t>FCP OPTIMA PERFORMANCE</t>
  </si>
  <si>
    <t>FCP CAM INVESTISSEMENT</t>
  </si>
  <si>
    <t>STERLING EQUITY</t>
  </si>
  <si>
    <t>CKG ISR SELECTION</t>
  </si>
  <si>
    <t>ATTIJARI VALEURS ESG</t>
  </si>
  <si>
    <t>AD MOROCCAN EQUITY FUND</t>
  </si>
  <si>
    <t>AFG DYNAMIC FUND</t>
  </si>
  <si>
    <t>MASI RB (Benchmark)</t>
  </si>
  <si>
    <t>Date</t>
  </si>
  <si>
    <t>VL</t>
  </si>
  <si>
    <t>Code</t>
  </si>
  <si>
    <t>Intitulé</t>
  </si>
  <si>
    <t>Perf</t>
  </si>
  <si>
    <t>Ecart perf / MASI</t>
  </si>
  <si>
    <t>Volatilité Annualisée</t>
  </si>
  <si>
    <t>Ratio Sharp</t>
  </si>
  <si>
    <t>Perf YTD</t>
  </si>
  <si>
    <t>Bêta</t>
  </si>
  <si>
    <t>Treynor</t>
  </si>
  <si>
    <t>Ratio d'Information</t>
  </si>
  <si>
    <t>VaR 95</t>
  </si>
  <si>
    <t>VL_B</t>
  </si>
  <si>
    <t>Peak</t>
  </si>
  <si>
    <t>DD</t>
  </si>
  <si>
    <t>VL_E</t>
  </si>
  <si>
    <t>VL_H</t>
  </si>
  <si>
    <t>VL_K</t>
  </si>
  <si>
    <t>VL_N</t>
  </si>
  <si>
    <t>VL_Q</t>
  </si>
  <si>
    <t>VL_T</t>
  </si>
  <si>
    <t>VL_W</t>
  </si>
  <si>
    <t>VL_Z</t>
  </si>
  <si>
    <t>VL_AC</t>
  </si>
  <si>
    <t>VL_AF</t>
  </si>
  <si>
    <t>VL_AI</t>
  </si>
  <si>
    <t>VL_AL</t>
  </si>
  <si>
    <t>VL_AO</t>
  </si>
  <si>
    <t>VL_AR</t>
  </si>
  <si>
    <t>Perf YTD An</t>
  </si>
  <si>
    <t>Trakig Error Annualisée</t>
  </si>
  <si>
    <t>Taux sans risque</t>
  </si>
  <si>
    <t>Fonds</t>
  </si>
  <si>
    <t>Volatilité</t>
  </si>
  <si>
    <t>Sharpe</t>
  </si>
  <si>
    <t>Beta</t>
  </si>
  <si>
    <t>IR</t>
  </si>
  <si>
    <t>VaR95</t>
  </si>
  <si>
    <t>Rang</t>
  </si>
  <si>
    <t>Description</t>
  </si>
  <si>
    <t>Nombre_Parts</t>
  </si>
  <si>
    <t>CMP_VL_Net</t>
  </si>
  <si>
    <t>Engagement_net</t>
  </si>
  <si>
    <t>PMV Nette</t>
  </si>
  <si>
    <t>Perf_Valo_S/S-1</t>
  </si>
  <si>
    <t>Valorisation</t>
  </si>
  <si>
    <t>FCP STERLING EQUITY</t>
  </si>
  <si>
    <t>FCP ATTIJARI VALEURS ESG</t>
  </si>
  <si>
    <t>FCP AFRICAPITAL EQUITY</t>
  </si>
  <si>
    <t>FCP AD MOROCCAN EQUITY FUND</t>
  </si>
  <si>
    <t>FCP CAPITAL ISR</t>
  </si>
  <si>
    <t>FCP QUANTUM OPTIMUM CROISSANCE</t>
  </si>
  <si>
    <t xml:space="preserve">FCP TWIN PERFORMANCE </t>
  </si>
  <si>
    <t>FCP ALPHA DYNAMIC FUND</t>
  </si>
  <si>
    <t>FCP WINEO ACTIONS</t>
  </si>
  <si>
    <t>CODE ISIN</t>
  </si>
  <si>
    <t>Code Maroclear</t>
  </si>
  <si>
    <t>OPCVM</t>
  </si>
  <si>
    <t>Société de Gestion</t>
  </si>
  <si>
    <t>Nature juridique</t>
  </si>
  <si>
    <t>Classification</t>
  </si>
  <si>
    <t>Sensibilité</t>
  </si>
  <si>
    <t>Indice Bentchmark</t>
  </si>
  <si>
    <t>Périodicité VL</t>
  </si>
  <si>
    <t>Souscripteurs</t>
  </si>
  <si>
    <t>Affectation des résultats</t>
  </si>
  <si>
    <t>Commission de souscription</t>
  </si>
  <si>
    <t xml:space="preserve"> Commission de rachat</t>
  </si>
  <si>
    <t>Frais de gestion</t>
  </si>
  <si>
    <t>Dépositaire</t>
  </si>
  <si>
    <t>Réseau placeur</t>
  </si>
  <si>
    <t>AN</t>
  </si>
  <si>
    <t>YTD</t>
  </si>
  <si>
    <t>1 jour</t>
  </si>
  <si>
    <t>1 semaine</t>
  </si>
  <si>
    <t>1 mois</t>
  </si>
  <si>
    <t>3 mois</t>
  </si>
  <si>
    <t>6 mois</t>
  </si>
  <si>
    <t>1 an</t>
  </si>
  <si>
    <t>2 ans</t>
  </si>
  <si>
    <t>3 ans</t>
  </si>
  <si>
    <t>5 ans</t>
  </si>
  <si>
    <t>MA0000030132</t>
  </si>
  <si>
    <t>BMCI TRESORERIE</t>
  </si>
  <si>
    <t>CIH CAPITAL MANAGEMENT</t>
  </si>
  <si>
    <t>SICAV</t>
  </si>
  <si>
    <t>MONÉTAIRE</t>
  </si>
  <si>
    <t>[0  0,5[</t>
  </si>
  <si>
    <t>TMJ(jj)</t>
  </si>
  <si>
    <t>QUOTIDIENNE</t>
  </si>
  <si>
    <t>FGP</t>
  </si>
  <si>
    <t>CAPITALISANT</t>
  </si>
  <si>
    <t>BMCI</t>
  </si>
  <si>
    <t>MA0000030280</t>
  </si>
  <si>
    <t>CDG TAWFIR</t>
  </si>
  <si>
    <t>CDG CAPITAL GESTION</t>
  </si>
  <si>
    <t>OMLT</t>
  </si>
  <si>
    <t>[3  7[</t>
  </si>
  <si>
    <t>MBI GLOBAL</t>
  </si>
  <si>
    <t>CDG CAPITAL</t>
  </si>
  <si>
    <t>MA0000030298</t>
  </si>
  <si>
    <t>SICAV OBLIGATIONS PÉRENNITÉ</t>
  </si>
  <si>
    <t>[1,1  16[</t>
  </si>
  <si>
    <t>MBI MT</t>
  </si>
  <si>
    <t>FNPP</t>
  </si>
  <si>
    <t>MA0000030306</t>
  </si>
  <si>
    <t>CDG TRESORERIE</t>
  </si>
  <si>
    <t>50% MBI CT + 50% TMP</t>
  </si>
  <si>
    <t>MA0000030371</t>
  </si>
  <si>
    <t>CIMR TRESO PLUS</t>
  </si>
  <si>
    <t>SAHAM CAPITAL GESTION</t>
  </si>
  <si>
    <t>OCT</t>
  </si>
  <si>
    <t>]0,5  1,1]</t>
  </si>
  <si>
    <t>MBI CT</t>
  </si>
  <si>
    <t>SAHAM BANK</t>
  </si>
  <si>
    <t>MA0000030413</t>
  </si>
  <si>
    <t>BMCI CASH</t>
  </si>
  <si>
    <t>[0,6  1,1[</t>
  </si>
  <si>
    <t>MA0000030470</t>
  </si>
  <si>
    <t>CFG CROISSANCE</t>
  </si>
  <si>
    <t>CFG GESTION</t>
  </si>
  <si>
    <t>DIVERSIFIÉ</t>
  </si>
  <si>
    <t>-</t>
  </si>
  <si>
    <t>50% CFG 25 FLOTTANT + 50% CFG BONDS CT</t>
  </si>
  <si>
    <t>CFG BANK</t>
  </si>
  <si>
    <t>CFG GESTION; CFG BANK</t>
  </si>
  <si>
    <t>MA0000030488</t>
  </si>
  <si>
    <t>IRAD</t>
  </si>
  <si>
    <t>BMCE CAPITAL GESTION</t>
  </si>
  <si>
    <t>&lt;0,5</t>
  </si>
  <si>
    <t>Taux Repo au jour le jour</t>
  </si>
  <si>
    <t>BANK OF AFRICA</t>
  </si>
  <si>
    <t>MA0000030496</t>
  </si>
  <si>
    <t>SICAVENIR</t>
  </si>
  <si>
    <t>]3  7]</t>
  </si>
  <si>
    <t>MBI Global</t>
  </si>
  <si>
    <t>MA0000030504</t>
  </si>
  <si>
    <t>MAROC VALEURS</t>
  </si>
  <si>
    <t>ACTIONS</t>
  </si>
  <si>
    <t>MASI</t>
  </si>
  <si>
    <t>MA0000030512</t>
  </si>
  <si>
    <t>HORIZON EXPANSION</t>
  </si>
  <si>
    <t>UPLINE CAPITAL MANAGEMENT</t>
  </si>
  <si>
    <t>40% TMP + 60% MASI</t>
  </si>
  <si>
    <t>BCP</t>
  </si>
  <si>
    <t>MA0000030520</t>
  </si>
  <si>
    <t>ATTIJARI DIVERSIFIE</t>
  </si>
  <si>
    <t>WAFA GESTION</t>
  </si>
  <si>
    <t>30% MASI + 70% MBI MT</t>
  </si>
  <si>
    <t>ATTIJARIWAFA BANK</t>
  </si>
  <si>
    <t>MA0000030553</t>
  </si>
  <si>
    <t>ATTIJARI TRESORERIE</t>
  </si>
  <si>
    <t>TMP</t>
  </si>
  <si>
    <t>MA0000030579</t>
  </si>
  <si>
    <t>CDM OPTIMUM</t>
  </si>
  <si>
    <t>50% MBI MLT + 50% MASI RENTABILITE</t>
  </si>
  <si>
    <t>CDM</t>
  </si>
  <si>
    <t>MA0000030587</t>
  </si>
  <si>
    <t>CDM GENERATION</t>
  </si>
  <si>
    <t>[3  5[</t>
  </si>
  <si>
    <t>65% MBI MT + 35% MBI MLT</t>
  </si>
  <si>
    <t>MA0000030595</t>
  </si>
  <si>
    <t>CDM TRESOR PLUS</t>
  </si>
  <si>
    <t>DISTRIBUANT</t>
  </si>
  <si>
    <t>MA0000030603</t>
  </si>
  <si>
    <t>CDM CASH</t>
  </si>
  <si>
    <t>40% TMP + 60% MBI CT</t>
  </si>
  <si>
    <t>MA0000030736</t>
  </si>
  <si>
    <t>BMCI TRESO PLUS</t>
  </si>
  <si>
    <t>MA0000030777</t>
  </si>
  <si>
    <t>HORIZON LIQUIDITE</t>
  </si>
  <si>
    <t>MONIA</t>
  </si>
  <si>
    <t>MA0000030785</t>
  </si>
  <si>
    <t>HORIZON OBLIG PLUS</t>
  </si>
  <si>
    <t>]2,5  6,5]</t>
  </si>
  <si>
    <t>MA0000035594</t>
  </si>
  <si>
    <t>HORIZON BALANCED FUND</t>
  </si>
  <si>
    <t>FCP</t>
  </si>
  <si>
    <t>50% MBI GLOBAL + 50% MASI</t>
  </si>
  <si>
    <t>MA0000035677</t>
  </si>
  <si>
    <t>CDG HORIZONS</t>
  </si>
  <si>
    <t>]1,1  5,1]</t>
  </si>
  <si>
    <t>50% MBI MLT + 50% MBI MT</t>
  </si>
  <si>
    <t>MA0000035735</t>
  </si>
  <si>
    <t>STAFF ACTION</t>
  </si>
  <si>
    <t>CFG 25 FLOTTANT</t>
  </si>
  <si>
    <t>MA0000035743</t>
  </si>
  <si>
    <t>CFG PERFORMANCE</t>
  </si>
  <si>
    <t>MA0000035784</t>
  </si>
  <si>
    <t>CFG VALEURS</t>
  </si>
  <si>
    <t>MA0000035792</t>
  </si>
  <si>
    <t>CFG RENDEMENT</t>
  </si>
  <si>
    <t>[2   6[</t>
  </si>
  <si>
    <t>CFG BONDS CT</t>
  </si>
  <si>
    <t>MA0000035826</t>
  </si>
  <si>
    <t>CFG LIQUIDITE</t>
  </si>
  <si>
    <t>]0,5; 1,1]</t>
  </si>
  <si>
    <t>MA0000035834</t>
  </si>
  <si>
    <t>CFG SECURITE</t>
  </si>
  <si>
    <t>]0 0,5]</t>
  </si>
  <si>
    <t>TMP INTERBANCAIRE</t>
  </si>
  <si>
    <t>MA0000035842</t>
  </si>
  <si>
    <t>FCP CAPITAL BALANCE</t>
  </si>
  <si>
    <t>50% MASI + 50% MBI Global</t>
  </si>
  <si>
    <t>MA0000035867</t>
  </si>
  <si>
    <t>FCP CAPITAL IMTIYAZ CROISSANCE</t>
  </si>
  <si>
    <t>30% MASI + 70% MBI</t>
  </si>
  <si>
    <t>MA0000035875</t>
  </si>
  <si>
    <t>MA0000035883</t>
  </si>
  <si>
    <t>CAPITAL DIVIDENDES PLUS</t>
  </si>
  <si>
    <t>MIXTE</t>
  </si>
  <si>
    <t>MA0000035917</t>
  </si>
  <si>
    <t>CAPITAL TRESOR</t>
  </si>
  <si>
    <t>[2    6[</t>
  </si>
  <si>
    <t>40% MBI MLT + 60% MBI MT</t>
  </si>
  <si>
    <t>MA0000035925</t>
  </si>
  <si>
    <t>FCP CAPITAL DYNAMIQUE</t>
  </si>
  <si>
    <t>MA0000035933</t>
  </si>
  <si>
    <t>FCP CAPITAL INSTITUTIONS</t>
  </si>
  <si>
    <t>MA0000035941</t>
  </si>
  <si>
    <t>FCP CAPITAL IMTIYAZ SECURITE</t>
  </si>
  <si>
    <t>]2  6]</t>
  </si>
  <si>
    <t>MA0000035974</t>
  </si>
  <si>
    <t>EMERGENCE MONEY MARKET FUND</t>
  </si>
  <si>
    <t>VALORIS MANAGEMENT</t>
  </si>
  <si>
    <t>MA0000036006</t>
  </si>
  <si>
    <t>UPLINE TRESORERIE</t>
  </si>
  <si>
    <t>]0  0,5]</t>
  </si>
  <si>
    <t>100% TMP</t>
  </si>
  <si>
    <t>MA0000036014</t>
  </si>
  <si>
    <t>UPLINE CASH</t>
  </si>
  <si>
    <t>MA0000036048</t>
  </si>
  <si>
    <t>ATTIJARI MONETAIRE PLUS</t>
  </si>
  <si>
    <t>[0,5  1,1[</t>
  </si>
  <si>
    <t>MA0000036063</t>
  </si>
  <si>
    <t>ATTIJARI ACTIONS</t>
  </si>
  <si>
    <t>MA0000036147</t>
  </si>
  <si>
    <t>CDM SECURITE PLUS</t>
  </si>
  <si>
    <t>MA0000036154</t>
  </si>
  <si>
    <t>FCP CDM LIQUIDITES</t>
  </si>
  <si>
    <t>[0  1,1[</t>
  </si>
  <si>
    <t>80% MBI CT + 20% MBI MT</t>
  </si>
  <si>
    <t>MA0000036196</t>
  </si>
  <si>
    <t>FCP CAM LIQUIDITE</t>
  </si>
  <si>
    <t>MAROGEST</t>
  </si>
  <si>
    <t>CIH BANK</t>
  </si>
  <si>
    <t>MA0000036220</t>
  </si>
  <si>
    <t>FCP CAPITAL PROTECTION</t>
  </si>
  <si>
    <t>MA0000036238</t>
  </si>
  <si>
    <t>FCP CAPITAL MONETAIRE</t>
  </si>
  <si>
    <t>[0  0,25[</t>
  </si>
  <si>
    <t>MA0000036246</t>
  </si>
  <si>
    <t>CDG MONETAIRE PLUS</t>
  </si>
  <si>
    <t>85% MBI CT + 15% MBI MT</t>
  </si>
  <si>
    <t>MA0000036261</t>
  </si>
  <si>
    <t>CAPITAL IMTIYAZ LIQUIDITE</t>
  </si>
  <si>
    <t>MA0000036287</t>
  </si>
  <si>
    <t>EMERGENCE BOND FUND</t>
  </si>
  <si>
    <t>]0.5  1.1]</t>
  </si>
  <si>
    <t>MA0000036303</t>
  </si>
  <si>
    <t>FCP CAPITAL ACTIONS</t>
  </si>
  <si>
    <t>MA0000036311</t>
  </si>
  <si>
    <t>FCP CAPITAL SELECTION</t>
  </si>
  <si>
    <t>MADEX</t>
  </si>
  <si>
    <t>MA0000036329</t>
  </si>
  <si>
    <t>FCP CAPITAL TERME</t>
  </si>
  <si>
    <t>80% MBI GLOBAL + 20% MASI</t>
  </si>
  <si>
    <t>MA0000036345</t>
  </si>
  <si>
    <t>CFG INSTIBONDS</t>
  </si>
  <si>
    <t>]1,5  5,5]</t>
  </si>
  <si>
    <t>MA0000036352</t>
  </si>
  <si>
    <t>FCP CAM TRESO PLUS</t>
  </si>
  <si>
    <t>]0,5 1,1]</t>
  </si>
  <si>
    <t>85% MBI CT + 15 % MBI MT</t>
  </si>
  <si>
    <t>CIH</t>
  </si>
  <si>
    <t>MA0000036402</t>
  </si>
  <si>
    <t>UPLINE EQUILIBRE</t>
  </si>
  <si>
    <t>75% MBI GLOBAL + 25% MASI 20</t>
  </si>
  <si>
    <t>MA0000036493</t>
  </si>
  <si>
    <t>FCP CAPITAL MAGHREB</t>
  </si>
  <si>
    <t>MA0000036501</t>
  </si>
  <si>
    <t>FCP CAPITAL MULTI-GESTION</t>
  </si>
  <si>
    <t>MA0000036576</t>
  </si>
  <si>
    <t>UPLINE VALEURS PLUS</t>
  </si>
  <si>
    <t>MA0000036584</t>
  </si>
  <si>
    <t>HORIZON NOVA</t>
  </si>
  <si>
    <t>MA0000036592</t>
  </si>
  <si>
    <t>FCP CAPITAL IMMOBILIER</t>
  </si>
  <si>
    <t>10% Indice Sectoriel Immobilier + 10 % Indice Sectoriel Batiments et Matériaux de Construction + 80% MASI</t>
  </si>
  <si>
    <t>MA0000036600</t>
  </si>
  <si>
    <t>ALIF I</t>
  </si>
  <si>
    <t>]3,1   7,1]</t>
  </si>
  <si>
    <t>50% MBI MT + 50% MBI MLT</t>
  </si>
  <si>
    <t>MA0000036618</t>
  </si>
  <si>
    <t>UPLINE PERENNITE</t>
  </si>
  <si>
    <t>MA0000036659</t>
  </si>
  <si>
    <t>ATTIJARI LIQUIDITE</t>
  </si>
  <si>
    <t>MA0000036774</t>
  </si>
  <si>
    <t>AFRICAPITAL LIQUIDITY</t>
  </si>
  <si>
    <t>AFRICAPITAL MANAGEMENT</t>
  </si>
  <si>
    <t>Repo jj capitalisé</t>
  </si>
  <si>
    <t>MA0000036873</t>
  </si>
  <si>
    <t>AFRICAPITAL CASH</t>
  </si>
  <si>
    <t>MA0000036907</t>
  </si>
  <si>
    <t>FCP IRGAM MONETAIRE</t>
  </si>
  <si>
    <t>IRG ASSET MANAGEMENT</t>
  </si>
  <si>
    <t>80% MONIA + 20% MBI CT</t>
  </si>
  <si>
    <t>MA0000036915</t>
  </si>
  <si>
    <t>FCP IRGAM OBLIGATAIRE</t>
  </si>
  <si>
    <t>[3,5  7,5]</t>
  </si>
  <si>
    <t>MBI MLT</t>
  </si>
  <si>
    <t>MA0000036923</t>
  </si>
  <si>
    <t>FCP IRGAM ACTIONS</t>
  </si>
  <si>
    <t>MASI FLOTTANT</t>
  </si>
  <si>
    <t>MA0000036972</t>
  </si>
  <si>
    <t>CFG PREVOYANCE</t>
  </si>
  <si>
    <t>]1.1  8]</t>
  </si>
  <si>
    <t>MA0000037046</t>
  </si>
  <si>
    <t>AXA MONETAIRE</t>
  </si>
  <si>
    <t>&lt;=0,5</t>
  </si>
  <si>
    <t>TMI(jj)</t>
  </si>
  <si>
    <t>MA0000037061</t>
  </si>
  <si>
    <t>FCP CAPITAL PLUS</t>
  </si>
  <si>
    <t>MA0000037095</t>
  </si>
  <si>
    <t>AD CASH</t>
  </si>
  <si>
    <t>AD CAPITAL ASSET MANAGEMENT</t>
  </si>
  <si>
    <t>[0  0.5[</t>
  </si>
  <si>
    <t>AD CAPITAL ASSET MANAGEMENT; AD CAPITAL GROUP</t>
  </si>
  <si>
    <t>MA0000037186</t>
  </si>
  <si>
    <t>FCP ALIF II</t>
  </si>
  <si>
    <t>]1,1 10]</t>
  </si>
  <si>
    <t>MA0000037202</t>
  </si>
  <si>
    <t>ATLAS EQUILIBRE</t>
  </si>
  <si>
    <t>ATLAS CAPITAL MANAGEMENT</t>
  </si>
  <si>
    <t>MA0000037251</t>
  </si>
  <si>
    <t>FCP MAROGEST CASH</t>
  </si>
  <si>
    <t>MA0000037327</t>
  </si>
  <si>
    <t>CAPITAL TRUST MONÉTAIRE</t>
  </si>
  <si>
    <t>CAPITAL TRUST GESTION</t>
  </si>
  <si>
    <t>&lt;= 0,5</t>
  </si>
  <si>
    <t>MA0000037335</t>
  </si>
  <si>
    <t>CMR ACTIONS</t>
  </si>
  <si>
    <t>MA0000037350</t>
  </si>
  <si>
    <t>UPLINE CAPITAL GARANTI</t>
  </si>
  <si>
    <t>CONTRACTUEL</t>
  </si>
  <si>
    <t>MA0000037368</t>
  </si>
  <si>
    <t>UPLINE HORIZON</t>
  </si>
  <si>
    <t>MA0000037376</t>
  </si>
  <si>
    <t>UPLINE OBLIG PLUS</t>
  </si>
  <si>
    <t>]1,2  5,2]</t>
  </si>
  <si>
    <t>50% MBI CT + 50% MBI MLT</t>
  </si>
  <si>
    <t>MA0000037384</t>
  </si>
  <si>
    <t>UPLINE OPPORTUNITES</t>
  </si>
  <si>
    <t>80% MBI + 20% MASI</t>
  </si>
  <si>
    <t>MA0000037392</t>
  </si>
  <si>
    <t>FCP CAPITAL OBLIGATIONS BANQUES</t>
  </si>
  <si>
    <t>90% MBI CT + 10% MBI MT</t>
  </si>
  <si>
    <t>MA0000037400</t>
  </si>
  <si>
    <t>CFG TRADER</t>
  </si>
  <si>
    <t>MA0000037442</t>
  </si>
  <si>
    <t>FCP CAPITAL IMTIYAZ TRESORERIE</t>
  </si>
  <si>
    <t>[0,25  0,5]</t>
  </si>
  <si>
    <t>MONIA CAPITALISE</t>
  </si>
  <si>
    <t>MA0000037459</t>
  </si>
  <si>
    <t>SECURITE TRESO PLUS</t>
  </si>
  <si>
    <t>MA0000037483</t>
  </si>
  <si>
    <t>CAPITAL TRUST OBLIG COURT TERME</t>
  </si>
  <si>
    <t>MA0000037517</t>
  </si>
  <si>
    <t>CFG TRESOCORP</t>
  </si>
  <si>
    <t>CFG BONDS MONETAIRE</t>
  </si>
  <si>
    <t>MA0000037558</t>
  </si>
  <si>
    <t>CIMR MONETAIRE PLUS</t>
  </si>
  <si>
    <t>]0.5 1.1]</t>
  </si>
  <si>
    <t>MA0000037566</t>
  </si>
  <si>
    <t>CIMR MONETAIRE</t>
  </si>
  <si>
    <t>[0  0,5]</t>
  </si>
  <si>
    <t>MA0000037616</t>
  </si>
  <si>
    <t>FCP EMERGENCE BANCAIRES</t>
  </si>
  <si>
    <t>MA0000037624</t>
  </si>
  <si>
    <t>AD YIELD FUND</t>
  </si>
  <si>
    <t>MA0000037632</t>
  </si>
  <si>
    <t>AD FIXED INCOME FUND</t>
  </si>
  <si>
    <t>MA0000037673</t>
  </si>
  <si>
    <t>FCP CAPITAL MONETAIRE PLUS</t>
  </si>
  <si>
    <t>]0  0,5[</t>
  </si>
  <si>
    <t>MA0000037715</t>
  </si>
  <si>
    <t>CAPITAL RENDEMENT</t>
  </si>
  <si>
    <t>MA0000037723</t>
  </si>
  <si>
    <t>FCP CAPITAL COMBO</t>
  </si>
  <si>
    <t>]1,1 5,1]</t>
  </si>
  <si>
    <t>50% MBI CT + 50% MBI MT</t>
  </si>
  <si>
    <t>MA0000037749</t>
  </si>
  <si>
    <t>FCP CAPITAL GLOBAL MACRO</t>
  </si>
  <si>
    <t>MA0000037756</t>
  </si>
  <si>
    <t>FCP CAPITAL AFRIQUE</t>
  </si>
  <si>
    <t>MA0000037798</t>
  </si>
  <si>
    <t>CDM OBLIG PLUS</t>
  </si>
  <si>
    <t>Wafa Gestion</t>
  </si>
  <si>
    <t>MA0000037814</t>
  </si>
  <si>
    <t>CFG CASH SECURE</t>
  </si>
  <si>
    <t>MA0000037889</t>
  </si>
  <si>
    <t>FCP IRGAM OBLIBANQUES</t>
  </si>
  <si>
    <t>MA0000037947</t>
  </si>
  <si>
    <t>FCP CAPITAL LONG/SHORT</t>
  </si>
  <si>
    <t>MONIA Capitalisé +50 pts de base</t>
  </si>
  <si>
    <t>MA0000037954</t>
  </si>
  <si>
    <t>CAPITAL TRUST TRÉSORERIE</t>
  </si>
  <si>
    <t>Taux Repo</t>
  </si>
  <si>
    <t>MA0000037962</t>
  </si>
  <si>
    <t>CAPITAL TRUST CASH PLUS</t>
  </si>
  <si>
    <t>MA0000038002</t>
  </si>
  <si>
    <t>CFG LIQUID BONDS</t>
  </si>
  <si>
    <t>MA0000038051</t>
  </si>
  <si>
    <t>CAPITAL TRUST OBLIG PLUS</t>
  </si>
  <si>
    <t>]2   6]</t>
  </si>
  <si>
    <t>70% MBI MT + 30% MBI MLT</t>
  </si>
  <si>
    <t>Capital Trust Gestion</t>
  </si>
  <si>
    <t>MA0000038077</t>
  </si>
  <si>
    <t>CAPITAL TRUST ÉQUILIBRE</t>
  </si>
  <si>
    <t>70% MBI Global + 30% MASI</t>
  </si>
  <si>
    <t>MA0000038101</t>
  </si>
  <si>
    <t>FCP ALIF IV</t>
  </si>
  <si>
    <t>]1,1   10]</t>
  </si>
  <si>
    <t>50 % MBI MT + 50% MBI MLT</t>
  </si>
  <si>
    <t>MA0000038119</t>
  </si>
  <si>
    <t>FCP EMERGENCE TRESOR PLUS</t>
  </si>
  <si>
    <t>MA0000038127</t>
  </si>
  <si>
    <t>FCP EMERGENCE TRESOR</t>
  </si>
  <si>
    <t>[0   0,5]</t>
  </si>
  <si>
    <t>TMP au jour le jour</t>
  </si>
  <si>
    <t>MA0000038143</t>
  </si>
  <si>
    <t>CFG Profil Equilibré</t>
  </si>
  <si>
    <t>25% CFG 25 FLOTTANT + 75% MBI MT</t>
  </si>
  <si>
    <t>MA0000038150</t>
  </si>
  <si>
    <t>CFG Profil Offensif</t>
  </si>
  <si>
    <t>80% CFG 25 FLOTTANT + 20% MBI GLOBAL</t>
  </si>
  <si>
    <t>MA0000038168</t>
  </si>
  <si>
    <t>CFG PROFIL PRUDENT</t>
  </si>
  <si>
    <t>]1,1   2]</t>
  </si>
  <si>
    <t>95% MBI MT + 5% CFG 25 FLOTTANT</t>
  </si>
  <si>
    <t>MA0000038176</t>
  </si>
  <si>
    <t>CFG Profil Conservateur</t>
  </si>
  <si>
    <t>]1,1   4[</t>
  </si>
  <si>
    <t>MA0000038184</t>
  </si>
  <si>
    <t>CFG Profil Dynamique</t>
  </si>
  <si>
    <t>60% MBI GLOBAL + 40% CFG 25</t>
  </si>
  <si>
    <t>MA0000038200</t>
  </si>
  <si>
    <t>FCP EMERGENCE OBLIRENDEMENT</t>
  </si>
  <si>
    <t>]1,1   5,1]</t>
  </si>
  <si>
    <t>VALORIS MANAGEMENT;CAPITAL GESTION GROUP</t>
  </si>
  <si>
    <t>MA0000038218</t>
  </si>
  <si>
    <t>FCP CMR EQUITIES</t>
  </si>
  <si>
    <t>MA0000038234</t>
  </si>
  <si>
    <t>ALIF III</t>
  </si>
  <si>
    <t>50 MBI MT + 50% MBI MLT</t>
  </si>
  <si>
    <t>MA0000038259</t>
  </si>
  <si>
    <t>CAPITAL TRUST CROISSANCE</t>
  </si>
  <si>
    <t>75% MBI GLOBAL + 25% MASI</t>
  </si>
  <si>
    <t>CAPITAL TRUST GESTION; CAPITAL TRUST SECURITIES; CAPITAL TRUST</t>
  </si>
  <si>
    <t>MA0000038267</t>
  </si>
  <si>
    <t>CAPITAL TRUST OBLIG PREMIUM</t>
  </si>
  <si>
    <t>90% MBI MT + 10%  MBI MLT</t>
  </si>
  <si>
    <t>MA0000038283</t>
  </si>
  <si>
    <t>CAPITAL TRUST OPPORTUNITÉ</t>
  </si>
  <si>
    <t>MA0000038309</t>
  </si>
  <si>
    <t>CFG SECURE BONDS</t>
  </si>
  <si>
    <t>MA0000038317</t>
  </si>
  <si>
    <t>CFG SOVEREIGN BONDS</t>
  </si>
  <si>
    <t>MA0000038333</t>
  </si>
  <si>
    <t>IRGAM SECURIFINANCE</t>
  </si>
  <si>
    <t>]0   0,5]</t>
  </si>
  <si>
    <t>MA0000038358</t>
  </si>
  <si>
    <t>IRGAM BALANCE</t>
  </si>
  <si>
    <t>50% MASI + 50% MBI GLOBAL</t>
  </si>
  <si>
    <t>MA0000038366</t>
  </si>
  <si>
    <t>FCP CAPITAL OBLIGATIONS</t>
  </si>
  <si>
    <t>]3   7]</t>
  </si>
  <si>
    <t>BMCE CAPITAL GESTION; BANK OF AFRICA</t>
  </si>
  <si>
    <t>MA0000038374</t>
  </si>
  <si>
    <t>FCP CAPITAL OPPORTUNITE</t>
  </si>
  <si>
    <t>75% MBI + 25% MASI.</t>
  </si>
  <si>
    <t>MA0000038382</t>
  </si>
  <si>
    <t>FCP CAPITAL OBLIGATIONS BANQUES PLUS</t>
  </si>
  <si>
    <t>MA0000038390</t>
  </si>
  <si>
    <t>FCP CAPITAL DIVERSIFIES</t>
  </si>
  <si>
    <t>MA0000038416</t>
  </si>
  <si>
    <t>FCP ALPHA GLOBAL</t>
  </si>
  <si>
    <t>RED MED ASSET MANAGEMENT</t>
  </si>
  <si>
    <t>MA0000038432</t>
  </si>
  <si>
    <t>FCP AFRICAPITAL CASH PLUS</t>
  </si>
  <si>
    <t>MA0000038440</t>
  </si>
  <si>
    <t>FCP ALPHA MONETAIRE PROTECTION</t>
  </si>
  <si>
    <t>MBI MONETAIRE</t>
  </si>
  <si>
    <t>MA0000038507</t>
  </si>
  <si>
    <t>UPLINE HORIZON DYNAMIQUE</t>
  </si>
  <si>
    <t>75% MBI CT + 25% MBI MT</t>
  </si>
  <si>
    <t>CRÉDIT POPULAIRE DU MAROC</t>
  </si>
  <si>
    <t>MA0000038523</t>
  </si>
  <si>
    <t>CAPITAL TRUST SÉRÉNITÉ</t>
  </si>
  <si>
    <t>CAPITAL TRUST GESTION; CAPITAL TRUST SECURITIES</t>
  </si>
  <si>
    <t>MA0000038531</t>
  </si>
  <si>
    <t>CAPITAL TRUST SECURIPLUS</t>
  </si>
  <si>
    <t>MA0000038556</t>
  </si>
  <si>
    <t>UPLINE PATRIMOINE</t>
  </si>
  <si>
    <t>75% MBI + 25% MASI RB</t>
  </si>
  <si>
    <t>MA0000038606</t>
  </si>
  <si>
    <t>TWIN CASH</t>
  </si>
  <si>
    <t>TWIN CAPITAL GESTION</t>
  </si>
  <si>
    <t>TWIN CAPITAL GESTION; CFG BANK</t>
  </si>
  <si>
    <t>MA0000038655</t>
  </si>
  <si>
    <t>TWIN TREASURY</t>
  </si>
  <si>
    <t>TWIN CAPITAL GESTION; CIH BANK</t>
  </si>
  <si>
    <t>MA0000038739</t>
  </si>
  <si>
    <t>ALIF V</t>
  </si>
  <si>
    <t>]1,1  10]</t>
  </si>
  <si>
    <t>MA0000038754</t>
  </si>
  <si>
    <t>FCP EMERGENCE OBLIG COURT TERME</t>
  </si>
  <si>
    <t>Valoris Management; Capital Gestion Group</t>
  </si>
  <si>
    <t>MA0000038762</t>
  </si>
  <si>
    <t>FCP EMERGENCE TRESORERIE</t>
  </si>
  <si>
    <t>MA0000038770</t>
  </si>
  <si>
    <t>FCP EMERGENCE OBLIHORIZON</t>
  </si>
  <si>
    <t>MA0000038812</t>
  </si>
  <si>
    <t>FCP SERENITE CT</t>
  </si>
  <si>
    <t>MA0000038820</t>
  </si>
  <si>
    <t>DAILY EQUITY FUND</t>
  </si>
  <si>
    <t>100% MASI RB</t>
  </si>
  <si>
    <t>CDG Capital Gestion</t>
  </si>
  <si>
    <t>MA0000038846</t>
  </si>
  <si>
    <t>R-MIXT SELECTION</t>
  </si>
  <si>
    <t>45% MBI MLT + 30%  MBI MT  + 25% MASI RB</t>
  </si>
  <si>
    <t>CDG</t>
  </si>
  <si>
    <t>MA0000038853</t>
  </si>
  <si>
    <t>R-MIXT COUVERTURE</t>
  </si>
  <si>
    <t>45% MBI MLT + 30%  MBI MT  + 25% MASI Rentabilité</t>
  </si>
  <si>
    <t>MA0000038861</t>
  </si>
  <si>
    <t>R-MIXT PERFORMANCE</t>
  </si>
  <si>
    <t>45% MBI MLT + 30% MBI MT + 25% MASI Rentabilité</t>
  </si>
  <si>
    <t>MA0000038879</t>
  </si>
  <si>
    <t>R-MIXT CROISSANCE</t>
  </si>
  <si>
    <t>45% MBI MLT + 30% MBI MT + 25% MASI RB</t>
  </si>
  <si>
    <t>MA0000038895</t>
  </si>
  <si>
    <t>CFG INSTICASH</t>
  </si>
  <si>
    <t>MA0000038903</t>
  </si>
  <si>
    <t>CAPITAL TRUST BONDS</t>
  </si>
  <si>
    <t>]1,1   8]</t>
  </si>
  <si>
    <t>MA0000038929</t>
  </si>
  <si>
    <t>FCP OCT DYNAMIQUE</t>
  </si>
  <si>
    <t>MA0000038945</t>
  </si>
  <si>
    <t>FCP MONETAIRE DYNAMIQUE</t>
  </si>
  <si>
    <t>50% MONIA + 50% MBI CT</t>
  </si>
  <si>
    <t>MA0000038952</t>
  </si>
  <si>
    <t>AFG CASH MANAGEMENT</t>
  </si>
  <si>
    <t>AFG ASSET MANAGEMENT</t>
  </si>
  <si>
    <t>MA0000038960</t>
  </si>
  <si>
    <t>AFG LIQUIDITY FUND</t>
  </si>
  <si>
    <t>MA0000038978</t>
  </si>
  <si>
    <t>AFG INCOME FUND</t>
  </si>
  <si>
    <t>MA0000038986</t>
  </si>
  <si>
    <t>AFG OPTIMAL FUND</t>
  </si>
  <si>
    <t>70% MBI GLOBAL + 30% MASI</t>
  </si>
  <si>
    <t>MA0000038994</t>
  </si>
  <si>
    <t>MA0000039000</t>
  </si>
  <si>
    <t>UPLINE RETAIL SERENITE PLUS</t>
  </si>
  <si>
    <t>GROUPE BANQUE POPULAIRE</t>
  </si>
  <si>
    <t>MA0000039018</t>
  </si>
  <si>
    <t>UPLINE RETAIL SERENITE</t>
  </si>
  <si>
    <t>MA0000039034</t>
  </si>
  <si>
    <t>FH2 ACTIONS</t>
  </si>
  <si>
    <t>MA0000039059</t>
  </si>
  <si>
    <t>WG VALEURS</t>
  </si>
  <si>
    <t>MASI RB</t>
  </si>
  <si>
    <t>MA0000039075</t>
  </si>
  <si>
    <t>FCP OBLIG OPPORTUNITES</t>
  </si>
  <si>
    <t>MA0000039091</t>
  </si>
  <si>
    <t>CAPITAL TRUST EQUITY</t>
  </si>
  <si>
    <t>MA0000039117</t>
  </si>
  <si>
    <t>CAM OBLIBANQUES</t>
  </si>
  <si>
    <t>CAM; MSIN; CIH; MAROGEST</t>
  </si>
  <si>
    <t>MA0000039125</t>
  </si>
  <si>
    <t>CAM OBLIRENDEMENT</t>
  </si>
  <si>
    <t>100% MBI MT</t>
  </si>
  <si>
    <t>MA0000039141</t>
  </si>
  <si>
    <t>AD SELECT BANQUES</t>
  </si>
  <si>
    <t>MA0000039166</t>
  </si>
  <si>
    <t>CAPITAL TRUST PATRIMOINE</t>
  </si>
  <si>
    <t>25% MASI + 30% MBI GLOBAL + 45% MBI MLT</t>
  </si>
  <si>
    <t>MA0000039174</t>
  </si>
  <si>
    <t>CAPITAL TRUST HORIZON</t>
  </si>
  <si>
    <t>MA0000039216</t>
  </si>
  <si>
    <t>75% MBI GLOBAL + 25% MASI ESG</t>
  </si>
  <si>
    <t>MA0000039232</t>
  </si>
  <si>
    <t>CAPITAL RENDEMENT PLUS</t>
  </si>
  <si>
    <t>]1,1   5]</t>
  </si>
  <si>
    <t>MA0000039281</t>
  </si>
  <si>
    <t>BMCI PREMIUM SHORT BOND DIST</t>
  </si>
  <si>
    <t>MA0000039315</t>
  </si>
  <si>
    <t>CFG OPPORTUNITÉS</t>
  </si>
  <si>
    <t>MA0000039323</t>
  </si>
  <si>
    <t>CFG Diversifié</t>
  </si>
  <si>
    <t>80% MBI GLOBAL + 20% MASI RN</t>
  </si>
  <si>
    <t>MA0000039331</t>
  </si>
  <si>
    <t>UPLINE CROISSANCE</t>
  </si>
  <si>
    <t>70% MBI + 30% MASI RB</t>
  </si>
  <si>
    <t>MA0000039356</t>
  </si>
  <si>
    <t>FCP EMERGENCE PATRIMOINE</t>
  </si>
  <si>
    <t>80% MBI GLOBAL + 20% MASI RB</t>
  </si>
  <si>
    <t>MA0000039364</t>
  </si>
  <si>
    <t>PROFIL FLEXIBLE</t>
  </si>
  <si>
    <t>75% MASI + 25% MBI MT</t>
  </si>
  <si>
    <t>WAFA GESTION; ATTIJARIWAFA BANK</t>
  </si>
  <si>
    <t>MA0000039372</t>
  </si>
  <si>
    <t>AFG T-BOND FUND</t>
  </si>
  <si>
    <t>MA0000039414</t>
  </si>
  <si>
    <t>FCP EMERGENCE ACTIONS</t>
  </si>
  <si>
    <t>MASI 20</t>
  </si>
  <si>
    <t>VALORIS GROUP;VALORIS MANAGEMENT</t>
  </si>
  <si>
    <t>MA0000039430</t>
  </si>
  <si>
    <t>FCP SANLAM OBLIGATIONS</t>
  </si>
  <si>
    <t>MA0000039448</t>
  </si>
  <si>
    <t>AFG GOV BOND FUND</t>
  </si>
  <si>
    <t>]4  8]</t>
  </si>
  <si>
    <t>MA0000039455</t>
  </si>
  <si>
    <t>AFG FLEXIBLE FUND</t>
  </si>
  <si>
    <t>75% MBI GLOBAL + 25% MASI RB</t>
  </si>
  <si>
    <t>MA0000039463</t>
  </si>
  <si>
    <t>ATLAS LIQUIDITE</t>
  </si>
  <si>
    <t>0,5 ; 1,1]</t>
  </si>
  <si>
    <t>MA0000039471</t>
  </si>
  <si>
    <t>AZ TAWFIR</t>
  </si>
  <si>
    <t>]1,1  13]</t>
  </si>
  <si>
    <t>MA0000039497</t>
  </si>
  <si>
    <t>CAPITAL IMTIYAZ GARANTI</t>
  </si>
  <si>
    <t>MA0000039513</t>
  </si>
  <si>
    <t>FCP MAROGEST BONDS</t>
  </si>
  <si>
    <t>]1,1   8,1]</t>
  </si>
  <si>
    <t>100% MBI GLOBAL</t>
  </si>
  <si>
    <t>MA0000039547</t>
  </si>
  <si>
    <t>FCP ALPHA BONDS</t>
  </si>
  <si>
    <t>MA0000039570</t>
  </si>
  <si>
    <t>AFG ACTIVE BOND FUND</t>
  </si>
  <si>
    <t>95% MBI GLOBAL + 5% MASI</t>
  </si>
  <si>
    <t>BANQUE CENTRALE POPULAIRE</t>
  </si>
  <si>
    <t>MA0000039604</t>
  </si>
  <si>
    <t>FCP EMERGENCE OPTIMUM</t>
  </si>
  <si>
    <t>60% MBI + 40% MASI</t>
  </si>
  <si>
    <t>CREDIT DU MAROC</t>
  </si>
  <si>
    <t>MA0000039620</t>
  </si>
  <si>
    <t>FCP FH2 OBLIGATAIRE DP</t>
  </si>
  <si>
    <t>[1,1 5]</t>
  </si>
  <si>
    <t>90% MBI MT + 10% MBI MLT + 50 pbs</t>
  </si>
  <si>
    <t>MA0000039638</t>
  </si>
  <si>
    <t>FCP AFRICAPITAL RENDEMENT</t>
  </si>
  <si>
    <t>[2  6]</t>
  </si>
  <si>
    <t>MA0000039653</t>
  </si>
  <si>
    <t>FCP ALPHA OBLIGATAIRE</t>
  </si>
  <si>
    <t>RED MED ASSET MANAGEMENT;RED MED SECURITIES</t>
  </si>
  <si>
    <t>MA0000039661</t>
  </si>
  <si>
    <t>FCP EMERGENCE HARMONY FUND</t>
  </si>
  <si>
    <t>[1,1  10]</t>
  </si>
  <si>
    <t>MA0000039679</t>
  </si>
  <si>
    <t>FCP OPTIMA EQUILIBRE</t>
  </si>
  <si>
    <t>ALPHAVEST ASSET MANAGEMENT</t>
  </si>
  <si>
    <t>60% MBI GLOBAL + 40% MASI</t>
  </si>
  <si>
    <t>MA0000039687</t>
  </si>
  <si>
    <t>FCP OPTIMA MONETAIRE</t>
  </si>
  <si>
    <t>MA0000039695</t>
  </si>
  <si>
    <t>FCP OPTIMA OBLIGATAIRE</t>
  </si>
  <si>
    <t>[4  8]</t>
  </si>
  <si>
    <t>MA0000039703</t>
  </si>
  <si>
    <t>FCP OPTIMA SOUVERAIN</t>
  </si>
  <si>
    <t>MA0000039711</t>
  </si>
  <si>
    <t>FCP OPTIMA DYNAMIQUE</t>
  </si>
  <si>
    <t>[0,5  1,1]</t>
  </si>
  <si>
    <t>MA0000039729</t>
  </si>
  <si>
    <t>MA0000039737</t>
  </si>
  <si>
    <t>FCP ALPHA INVEST</t>
  </si>
  <si>
    <t>40% MASI RB + 60% MBI GLOBAL</t>
  </si>
  <si>
    <t>MA0000039745</t>
  </si>
  <si>
    <t>FONDS CIH D'IMPACT SOCIAL</t>
  </si>
  <si>
    <t>CIH CAPITAL MANAGEMENT; CIH BANK</t>
  </si>
  <si>
    <t>MA0000039752</t>
  </si>
  <si>
    <t>AFG BALANCED FUND</t>
  </si>
  <si>
    <t>MA0000039778</t>
  </si>
  <si>
    <t>CMIM PERFORMANCE</t>
  </si>
  <si>
    <t>]1,1   7]</t>
  </si>
  <si>
    <t>MA0000039786</t>
  </si>
  <si>
    <t>FCP AFRICAPITAL TRESORERIE</t>
  </si>
  <si>
    <t>TMP Interbancaire</t>
  </si>
  <si>
    <t>MA0000039802</t>
  </si>
  <si>
    <t>CFG OBLIGATAIRE PLUS</t>
  </si>
  <si>
    <t>MA0000039828</t>
  </si>
  <si>
    <t>SN ACTIONS</t>
  </si>
  <si>
    <t>MA0000039836</t>
  </si>
  <si>
    <t>STERLING BOND</t>
  </si>
  <si>
    <t>STERLING ASSET MANAGEMENT</t>
  </si>
  <si>
    <t>MA0000039844</t>
  </si>
  <si>
    <t>MA0000039851</t>
  </si>
  <si>
    <t>STERLING SHORT TERM BOND</t>
  </si>
  <si>
    <t>MA0000039869</t>
  </si>
  <si>
    <t>QUANTUM OPTIMUM CT</t>
  </si>
  <si>
    <t>QUANTUM CAPITAL GESTION</t>
  </si>
  <si>
    <t>[0,5 1,1]</t>
  </si>
  <si>
    <t>MA0000039877</t>
  </si>
  <si>
    <t>QUANTUM OBLIGATION PLUS</t>
  </si>
  <si>
    <t>MA0000039885</t>
  </si>
  <si>
    <t>QUANTUM OPTIMUM CROISSANCE</t>
  </si>
  <si>
    <t>MA0000039893</t>
  </si>
  <si>
    <t>FCP ALPHA BALANCE</t>
  </si>
  <si>
    <t>RED MED ASSET MANAGEMENT; RED MED SECURITIES; RED MED CAPITAL</t>
  </si>
  <si>
    <t>MA0000039901</t>
  </si>
  <si>
    <t>FCP ALPHA EQUITY</t>
  </si>
  <si>
    <t>MA0000039919</t>
  </si>
  <si>
    <t>FCP ALPHA OPPORTUNITE</t>
  </si>
  <si>
    <t>[6  10]</t>
  </si>
  <si>
    <t>50% MBI MLT + 50% MBI LT</t>
  </si>
  <si>
    <t>MA0000039927</t>
  </si>
  <si>
    <t>TWIN PERFORMANCE</t>
  </si>
  <si>
    <t>MA0000039935</t>
  </si>
  <si>
    <t>TWIN LIQUID BANK</t>
  </si>
  <si>
    <t>MA0000039943</t>
  </si>
  <si>
    <t>FCP STERLING CASH</t>
  </si>
  <si>
    <t>MA0000039950</t>
  </si>
  <si>
    <t>FCP STERLING DYNAMIC</t>
  </si>
  <si>
    <t>70% MBI + 30% MASI</t>
  </si>
  <si>
    <t>MA0000039968</t>
  </si>
  <si>
    <t>AFG ALLOCATION FUND</t>
  </si>
  <si>
    <t>MA0000039984</t>
  </si>
  <si>
    <t>FCP QUANTUM OPTIMUM DIVERSIFIE</t>
  </si>
  <si>
    <t>MA0000039992</t>
  </si>
  <si>
    <t>FCP ALPHAVEST SECUR RENDEMENT</t>
  </si>
  <si>
    <t>[1,1  7]</t>
  </si>
  <si>
    <t>MA0000040016</t>
  </si>
  <si>
    <t>UPLINE RENDEMENT</t>
  </si>
  <si>
    <t>MA0000040024</t>
  </si>
  <si>
    <t>UPLINE OBLIG</t>
  </si>
  <si>
    <t>MA0000040040</t>
  </si>
  <si>
    <t>UPLINE ACTIONS</t>
  </si>
  <si>
    <t>MA0000040065</t>
  </si>
  <si>
    <t>KENZ RENDEMENT</t>
  </si>
  <si>
    <t>50% MASI + 50% MBI</t>
  </si>
  <si>
    <t>MA0000040107</t>
  </si>
  <si>
    <t>AL AMAL</t>
  </si>
  <si>
    <t>MA0000040123</t>
  </si>
  <si>
    <t>ALISTITMAR CHAABI TRESORERIE</t>
  </si>
  <si>
    <t>MA0000040149</t>
  </si>
  <si>
    <t>KENZ PLUS</t>
  </si>
  <si>
    <t>MA0000040180</t>
  </si>
  <si>
    <t>OBLIDYNAMIC</t>
  </si>
  <si>
    <t>MA0000040214</t>
  </si>
  <si>
    <t>PATRIMOINE OBLIGATIONS</t>
  </si>
  <si>
    <t>MA0000040248</t>
  </si>
  <si>
    <t>CAP OBLIGATIONS</t>
  </si>
  <si>
    <t>MA0000040271</t>
  </si>
  <si>
    <t>CAP MONETAIRE PREMIERE</t>
  </si>
  <si>
    <t>[0,1  0,5[</t>
  </si>
  <si>
    <t>MA0000040313</t>
  </si>
  <si>
    <t>FCP CAP INSTITUTIONS</t>
  </si>
  <si>
    <t>MA0000040339</t>
  </si>
  <si>
    <t>ATTIJARI MONETAIRE JOUR</t>
  </si>
  <si>
    <t>MA0000040347</t>
  </si>
  <si>
    <t>PATRIMOINE ACTIONS</t>
  </si>
  <si>
    <t>MA0000040388</t>
  </si>
  <si>
    <t>WG OBLIGATIONS</t>
  </si>
  <si>
    <t>[1.1  5[</t>
  </si>
  <si>
    <t>MA0000040396</t>
  </si>
  <si>
    <t>OBLITOP</t>
  </si>
  <si>
    <t>MA0000040412</t>
  </si>
  <si>
    <t>AL IDDIKHAR CHAABI MOUTAWASSIT AL MADA</t>
  </si>
  <si>
    <t>30% MBI MT + 70% MBI MLT</t>
  </si>
  <si>
    <t>MA0000040420</t>
  </si>
  <si>
    <t>AL IDDIKHAR CHAABI TAWIL AL MADA</t>
  </si>
  <si>
    <t>80% MBI MLT + 20% MBI LT</t>
  </si>
  <si>
    <t>MA0000040438</t>
  </si>
  <si>
    <t>AL IDDIKHAR CHAABI KASSIR AL MADA</t>
  </si>
  <si>
    <t>MA0000040446</t>
  </si>
  <si>
    <t>CDG CASH</t>
  </si>
  <si>
    <t>80% TMP + 20% MBI CT</t>
  </si>
  <si>
    <t>MA0000040503</t>
  </si>
  <si>
    <t>FCP CKG BONDS</t>
  </si>
  <si>
    <t>CDG CAPITAL GESTION; CDG</t>
  </si>
  <si>
    <t>MA0000040552</t>
  </si>
  <si>
    <t>UPLINE BONDS</t>
  </si>
  <si>
    <t>MA0000040594</t>
  </si>
  <si>
    <t>CDG DYNAMIC COURT TERME</t>
  </si>
  <si>
    <t>MA0000040610</t>
  </si>
  <si>
    <t>FH2 ACTIONS II</t>
  </si>
  <si>
    <t>MA0000040636</t>
  </si>
  <si>
    <t>CDG MONEY PREMIUM</t>
  </si>
  <si>
    <t>60% TMP + 40% MBI CT</t>
  </si>
  <si>
    <t>MA0000040677</t>
  </si>
  <si>
    <t>FCP INSTITUTIONS</t>
  </si>
  <si>
    <t>MA0000040768</t>
  </si>
  <si>
    <t>FCP OBLIG COURT TERME</t>
  </si>
  <si>
    <t>MA0000040776</t>
  </si>
  <si>
    <t>FCP LIQUIDITES</t>
  </si>
  <si>
    <t>70% TMP + 30% MBI CT</t>
  </si>
  <si>
    <t>MA0000040792</t>
  </si>
  <si>
    <t>FCP ALLOCATIONS</t>
  </si>
  <si>
    <t>55% MBI Global +45% Masi RB</t>
  </si>
  <si>
    <t>MA0000041022</t>
  </si>
  <si>
    <t>FCP ALPHA MONETAIRE</t>
  </si>
  <si>
    <t>MA0000041097</t>
  </si>
  <si>
    <t>RMA TRESO PLUS</t>
  </si>
  <si>
    <t>RMA ASSET MANAGEMENT</t>
  </si>
  <si>
    <t>&lt; 0,5</t>
  </si>
  <si>
    <t>MA0000041113</t>
  </si>
  <si>
    <t>CMR ASHOUM</t>
  </si>
  <si>
    <t>MA0000041121</t>
  </si>
  <si>
    <t>FCP IRGAM MONETAIRE PLUS</t>
  </si>
  <si>
    <t>MA0000041154</t>
  </si>
  <si>
    <t>CDG OBLIG SÉCURITÉ</t>
  </si>
  <si>
    <t>MA0000041162</t>
  </si>
  <si>
    <t>AL BARID TRESORERIE</t>
  </si>
  <si>
    <t>50% TMP + 50% MBI CT</t>
  </si>
  <si>
    <t>AL BARID BANK</t>
  </si>
  <si>
    <t>MA0000041196</t>
  </si>
  <si>
    <t>CDG SERENITE</t>
  </si>
  <si>
    <t>MA0000041238</t>
  </si>
  <si>
    <t>RMA RENDEMENT CT</t>
  </si>
  <si>
    <t>MA0000041261</t>
  </si>
  <si>
    <t>FCP ALPHA SECURE FUND</t>
  </si>
  <si>
    <t>MBI</t>
  </si>
  <si>
    <t>MA0000041279</t>
  </si>
  <si>
    <t>CIMR CASH DYNAMIQUE</t>
  </si>
  <si>
    <t>&gt; 0,5</t>
  </si>
  <si>
    <t>MA0000041295</t>
  </si>
  <si>
    <t>CDG OPTIMUM</t>
  </si>
  <si>
    <t>MA0000041303</t>
  </si>
  <si>
    <t>CDM MONETAIRE PLUS</t>
  </si>
  <si>
    <t>MA0000041311</t>
  </si>
  <si>
    <t>FCP CAM MONÉTAIRE</t>
  </si>
  <si>
    <t>30% MBI CT + 70% TMP</t>
  </si>
  <si>
    <t>MA0000041329</t>
  </si>
  <si>
    <t>CAM OBLIGATIONS</t>
  </si>
  <si>
    <t>[2.5  6.5[</t>
  </si>
  <si>
    <t>MA0000041337</t>
  </si>
  <si>
    <t>CAM ACTIONS</t>
  </si>
  <si>
    <t>MA0000041386</t>
  </si>
  <si>
    <t>WG MONETAIRE</t>
  </si>
  <si>
    <t>TMP MARCHE INTERBANCAIRE</t>
  </si>
  <si>
    <t>MA0000041394</t>
  </si>
  <si>
    <t>FCP ALPHA BANQUES FUND</t>
  </si>
  <si>
    <t>MA0000041402</t>
  </si>
  <si>
    <t>IRGAM SECURIPLUS</t>
  </si>
  <si>
    <t>MA0000041501</t>
  </si>
  <si>
    <t>LIBERIS SERENITE</t>
  </si>
  <si>
    <t>MA0000041519</t>
  </si>
  <si>
    <t>CDM OBLIGATIONS</t>
  </si>
  <si>
    <t>]1,1  5]</t>
  </si>
  <si>
    <t>MA0000041592</t>
  </si>
  <si>
    <t>FCP ALIF VI</t>
  </si>
  <si>
    <t>MA0000041600</t>
  </si>
  <si>
    <t>FCP MONETAIRE PREMIUM</t>
  </si>
  <si>
    <t>MA0000041618</t>
  </si>
  <si>
    <t>FCP TRESORERIE PLUS</t>
  </si>
  <si>
    <t>MA0000041667</t>
  </si>
  <si>
    <t>R-MIXT OPTIMUM</t>
  </si>
  <si>
    <t>45% MBI MLT + 30% MBI MT + 25% MASI RENTABILITE</t>
  </si>
  <si>
    <t>MA0000041683</t>
  </si>
  <si>
    <t>HORIZON CASH PLUS</t>
  </si>
  <si>
    <t>MA0000041691</t>
  </si>
  <si>
    <t>HORIZON CAPITAL GARANTI</t>
  </si>
  <si>
    <t>MA0000041709</t>
  </si>
  <si>
    <t>MA0000041717</t>
  </si>
  <si>
    <t>HORIZON COURT TERME</t>
  </si>
  <si>
    <t>MA0000041725</t>
  </si>
  <si>
    <t>INVEST EQUILIBRE</t>
  </si>
  <si>
    <t>80% MBI MT + 20% MASI</t>
  </si>
  <si>
    <t>MA0000041733</t>
  </si>
  <si>
    <t>HORIZON FLEXIBLE</t>
  </si>
  <si>
    <t>MA0000041741</t>
  </si>
  <si>
    <t>HORIZON PREMIUM</t>
  </si>
  <si>
    <t>MA0000041816</t>
  </si>
  <si>
    <t>BMCI PREMIUM MONEY MARKET</t>
  </si>
  <si>
    <t>MA0000041840</t>
  </si>
  <si>
    <t>BMCI PREMIUM SHORT TERM BOND</t>
  </si>
  <si>
    <t>MA0000041857</t>
  </si>
  <si>
    <t>BMCI PREMIUM OPPORTUNITY I</t>
  </si>
  <si>
    <t>50% MASI Rentabilite nette + 50% MBI CT</t>
  </si>
  <si>
    <t>MA0000041873</t>
  </si>
  <si>
    <t>BMCI PREMIUM EQUITY GROWTH</t>
  </si>
  <si>
    <t>MA0000041899</t>
  </si>
  <si>
    <t>BMCI MONETAIRE PLUS</t>
  </si>
  <si>
    <t>MA0000041931</t>
  </si>
  <si>
    <t>HORIZON TREASURY FUND</t>
  </si>
  <si>
    <t>75% MONIA + 25% MBI CT</t>
  </si>
  <si>
    <t>MA0000041964</t>
  </si>
  <si>
    <t>SOCIAL IMPACT FUND</t>
  </si>
  <si>
    <t>MA0000041972</t>
  </si>
  <si>
    <t>WINEO AL AMINE</t>
  </si>
  <si>
    <t>WINEO GESTION</t>
  </si>
  <si>
    <t>MA0000041998</t>
  </si>
  <si>
    <t>WINEO CASH</t>
  </si>
  <si>
    <t>MA0000042020</t>
  </si>
  <si>
    <t>WINEO OBLIG CT</t>
  </si>
  <si>
    <t>[0.5  1.1[</t>
  </si>
  <si>
    <t>MA0000042046</t>
  </si>
  <si>
    <t>ATLAS TRESORERIE</t>
  </si>
  <si>
    <t>MA0000042053</t>
  </si>
  <si>
    <t>ATLAS MONEBANQUES</t>
  </si>
  <si>
    <t>MA0000042061</t>
  </si>
  <si>
    <t>ATLAS OBLIGBANCAIRES</t>
  </si>
  <si>
    <t>MA0000042111</t>
  </si>
  <si>
    <t>ATTIJARI MIXED DISTRIBUTION</t>
  </si>
  <si>
    <t>70% MBI MT + 30% MASI</t>
  </si>
  <si>
    <t>MA0000042129</t>
  </si>
  <si>
    <t>ATTIJARI FIXED INCOME DISTRIBUTION</t>
  </si>
  <si>
    <t>[5  9[</t>
  </si>
  <si>
    <t>MA0000042145</t>
  </si>
  <si>
    <t>ATTIJARI CASH GARANTI</t>
  </si>
  <si>
    <t>MA0000042152</t>
  </si>
  <si>
    <t xml:space="preserve">FCP EMERGENCE MONÉTAIRE PLUS </t>
  </si>
  <si>
    <t>VALORIS MANAGEMENT;VALORIS GROUP</t>
  </si>
  <si>
    <t>MA0000042160</t>
  </si>
  <si>
    <t>EMERGENCE EQUITY FUND</t>
  </si>
  <si>
    <t>MA0000042178</t>
  </si>
  <si>
    <t>EMERGENCE MONÉTAIRE</t>
  </si>
  <si>
    <t>MA0000042186</t>
  </si>
  <si>
    <t>EMERGENCE RENDEMENT BANQUES</t>
  </si>
  <si>
    <t>MA0000042202</t>
  </si>
  <si>
    <t>EMERGENCE ÉQUILIBRE</t>
  </si>
  <si>
    <t>80% MBI Global + 20% MASI</t>
  </si>
  <si>
    <t>VALORIS MANAGEMENT,VALORIS GROUP</t>
  </si>
  <si>
    <t>MA0000042210</t>
  </si>
  <si>
    <t>EMERGENCE RENDEMENT PLUS</t>
  </si>
  <si>
    <t>(3  7)</t>
  </si>
  <si>
    <t>MA0000042228</t>
  </si>
  <si>
    <t>FCP CKG GARANTI</t>
  </si>
  <si>
    <t>MA0000042236</t>
  </si>
  <si>
    <t>FSEC I CT</t>
  </si>
  <si>
    <t>MA0000042244</t>
  </si>
  <si>
    <t>FSEC II OMLT</t>
  </si>
  <si>
    <t>MA0000042368</t>
  </si>
  <si>
    <t>UNIVERS OBLIGATIONS</t>
  </si>
  <si>
    <t>50% MBI MLT +50% MBI MT</t>
  </si>
  <si>
    <t>MA0000042392</t>
  </si>
  <si>
    <t>WG RENDEMENT</t>
  </si>
  <si>
    <t>30% MASI RENTABILITE + 70% MBI GLOBAL</t>
  </si>
  <si>
    <t>MA0000042418</t>
  </si>
  <si>
    <t>WG BOND FUND</t>
  </si>
  <si>
    <t>]1,1 9]</t>
  </si>
  <si>
    <t>MA0000042434</t>
  </si>
  <si>
    <t>CIH CASH</t>
  </si>
  <si>
    <t>80% MBI CT + 20% TMP</t>
  </si>
  <si>
    <t>MA0000042459</t>
  </si>
  <si>
    <t>CIH MONETAIRE PLUS</t>
  </si>
  <si>
    <t>80% MBI CT +20 MBI MT</t>
  </si>
  <si>
    <t>MA0000042483</t>
  </si>
  <si>
    <t>CIH TRESORERIE</t>
  </si>
  <si>
    <t>MA0000042491</t>
  </si>
  <si>
    <t>WINEO OCT PLUS</t>
  </si>
  <si>
    <t>MA0000042574</t>
  </si>
  <si>
    <t>HORIZON OBLI BANQUES</t>
  </si>
  <si>
    <t>MA0000042608</t>
  </si>
  <si>
    <t>INSTIMONETAIRE</t>
  </si>
  <si>
    <t>MA0000042632</t>
  </si>
  <si>
    <t>WINEO EQUINOXE</t>
  </si>
  <si>
    <t>50% MBI + 50% MASI</t>
  </si>
  <si>
    <t>MA0000042657</t>
  </si>
  <si>
    <t>FCP HORIZON DIVERSIFIE</t>
  </si>
  <si>
    <t>SAHAM CAPITAL GESTION; SAHAM BANK</t>
  </si>
  <si>
    <t>MA0000042665</t>
  </si>
  <si>
    <t>FCP HORIZON ACTIONS</t>
  </si>
  <si>
    <t>MA0000300022</t>
  </si>
  <si>
    <t>STERLING SECUR RENDEMENT</t>
  </si>
  <si>
    <t>MA0000300030</t>
  </si>
  <si>
    <t>AD CAPITAL DYNAMIC BOND</t>
  </si>
  <si>
    <t>[3  7]</t>
  </si>
  <si>
    <t>MA0000300048</t>
  </si>
  <si>
    <t>AD CAPITAL MULTISTRATEGIE</t>
  </si>
  <si>
    <t>MA0000300055</t>
  </si>
  <si>
    <t>AD CAPITAL OBLIGATAIRE PLUS</t>
  </si>
  <si>
    <t>MA0000300071</t>
  </si>
  <si>
    <t>TWIN SECUR RENDEMENT</t>
  </si>
  <si>
    <t>MA0000300097</t>
  </si>
  <si>
    <t>FCP QUANTUM SECUR RENDEMENT</t>
  </si>
  <si>
    <t>[1,1,  7]</t>
  </si>
  <si>
    <t>Tableau des performances hebdomadaires au 28-08-2026</t>
  </si>
  <si>
    <t>MA0000030058</t>
  </si>
  <si>
    <t>BMCI COSMOS</t>
  </si>
  <si>
    <t>HEBDOMADAIRE</t>
  </si>
  <si>
    <t>MA0000030066</t>
  </si>
  <si>
    <t>BMCI EPARGNE OBLIGATIONS</t>
  </si>
  <si>
    <t>MA0000030215</t>
  </si>
  <si>
    <t>CDG IZDIHAR</t>
  </si>
  <si>
    <t>77% MBI GLOBAL + 23% CFG 25 FLOTTANT</t>
  </si>
  <si>
    <t>MA0000030363</t>
  </si>
  <si>
    <t>BMCI EPARGNE CROISSANCE</t>
  </si>
  <si>
    <t>60% MASI + 40% MBI MT</t>
  </si>
  <si>
    <t>MA0000030397</t>
  </si>
  <si>
    <t>CDG BARID</t>
  </si>
  <si>
    <t>MA0000030405</t>
  </si>
  <si>
    <t>SICAV MAROC CROISSANCE</t>
  </si>
  <si>
    <t>MA0000030538</t>
  </si>
  <si>
    <t>ATTIJARI PATRIMOINE MULTIGESTION</t>
  </si>
  <si>
    <t>40% MASI + 60% MBI MT</t>
  </si>
  <si>
    <t>MA0000030546</t>
  </si>
  <si>
    <t>ATTIJARI OBLIGATIONS</t>
  </si>
  <si>
    <t>[1,1  5[</t>
  </si>
  <si>
    <t>MA0000030561</t>
  </si>
  <si>
    <t>CIMR ATTADAMOUN</t>
  </si>
  <si>
    <t>MA0000030611</t>
  </si>
  <si>
    <t>CDM EXPANSION</t>
  </si>
  <si>
    <t>MA0000030629</t>
  </si>
  <si>
    <t>C.I.M.R IDDIKHAR</t>
  </si>
  <si>
    <t>MA0000030637</t>
  </si>
  <si>
    <t>CIMR AJIAL</t>
  </si>
  <si>
    <t>[5,5  9,5[</t>
  </si>
  <si>
    <t>MA0000030645</t>
  </si>
  <si>
    <t>ATTIJARI PATRIMOINE VALEURS</t>
  </si>
  <si>
    <t>MA0000030678</t>
  </si>
  <si>
    <t>PALMARES FINANCIERES</t>
  </si>
  <si>
    <t>70% MBI GLOBAL + 30% MASI RB</t>
  </si>
  <si>
    <t>MA0000030686</t>
  </si>
  <si>
    <t>FRUCTI VALEURS</t>
  </si>
  <si>
    <t>50% MASI + 50% MBI MT</t>
  </si>
  <si>
    <t>MA0000030694</t>
  </si>
  <si>
    <t>ATTIJARI PATRIMOINE DIVERSIFIE</t>
  </si>
  <si>
    <t>MA0000030702</t>
  </si>
  <si>
    <t>ATTIJARI PATRIMOINE TAUX</t>
  </si>
  <si>
    <t>MA0000030710</t>
  </si>
  <si>
    <t>ATTIJARI SELECTION</t>
  </si>
  <si>
    <t>40% MASI +60% MBI MT</t>
  </si>
  <si>
    <t>MA0000030728</t>
  </si>
  <si>
    <t>CIMR PREVOYANCE</t>
  </si>
  <si>
    <t>[1,5  10[</t>
  </si>
  <si>
    <t>MA0000030744</t>
  </si>
  <si>
    <t>CDG CROISSANCE</t>
  </si>
  <si>
    <t>20% MBI GLOBAL + 80% CFG 25 FLOTTANT</t>
  </si>
  <si>
    <t>MA0000030751</t>
  </si>
  <si>
    <t>CDG PATRIMOINE</t>
  </si>
  <si>
    <t>65% MBI GLOBAL + 35% CFG 25 FLOTTANT</t>
  </si>
  <si>
    <t>MA0000030769</t>
  </si>
  <si>
    <t>LEGACY ACCUMULATION FUND</t>
  </si>
  <si>
    <t>85% MBI + 15% MASI</t>
  </si>
  <si>
    <t>MA0000030793</t>
  </si>
  <si>
    <t>HORIZON CROISSANCE</t>
  </si>
  <si>
    <t>MA0000030801</t>
  </si>
  <si>
    <t>HORIZON PERSPECTIVES</t>
  </si>
  <si>
    <t>60% MBI MT + 40% MASI</t>
  </si>
  <si>
    <t>MA0000030827</t>
  </si>
  <si>
    <t>WG DIVERSIFIE</t>
  </si>
  <si>
    <t>75% MBI MT + 25% MASI RB</t>
  </si>
  <si>
    <t>MA0000030835</t>
  </si>
  <si>
    <t>WG CROISSANCE</t>
  </si>
  <si>
    <t>75% MBI MT + 25% MASI</t>
  </si>
  <si>
    <t>MA0000035073</t>
  </si>
  <si>
    <t>CDG SECUR</t>
  </si>
  <si>
    <t>]1,1  7]</t>
  </si>
  <si>
    <t>60% MBI MLT + 40% MBI MT</t>
  </si>
  <si>
    <t>MA0000035081</t>
  </si>
  <si>
    <t>FCP CAM DYNAMIQUE</t>
  </si>
  <si>
    <t>MA0000035099</t>
  </si>
  <si>
    <t>FCP CAM EPARGNE</t>
  </si>
  <si>
    <t>[3,5  7,5[</t>
  </si>
  <si>
    <t>MA0000035164</t>
  </si>
  <si>
    <t>MA0000035180</t>
  </si>
  <si>
    <t>SANAD ACTIONS</t>
  </si>
  <si>
    <t>MA0000035198</t>
  </si>
  <si>
    <t>SANAD OBLIGATAIRE</t>
  </si>
  <si>
    <t>MA0000035206</t>
  </si>
  <si>
    <t>ATLANTA OBLIGATIONS</t>
  </si>
  <si>
    <t>MA0000035438</t>
  </si>
  <si>
    <t>SECURITE DEVELOPPEMENT</t>
  </si>
  <si>
    <t>MA0000035453</t>
  </si>
  <si>
    <t>SCR INTEGRALE</t>
  </si>
  <si>
    <t>MA0000035461</t>
  </si>
  <si>
    <t>SCR OBLIGATIONS</t>
  </si>
  <si>
    <t>]1,1  9]</t>
  </si>
  <si>
    <t>MA0000035487</t>
  </si>
  <si>
    <t>CDG ACTIONS</t>
  </si>
  <si>
    <t>MA0000035495</t>
  </si>
  <si>
    <t>AL IKRAM</t>
  </si>
  <si>
    <t>MA0000035503</t>
  </si>
  <si>
    <t>CASACTIONS</t>
  </si>
  <si>
    <t>MA0000035511</t>
  </si>
  <si>
    <t>AVENIR ACTIONS</t>
  </si>
  <si>
    <t>MA0000035529</t>
  </si>
  <si>
    <t>AXA HORIZON</t>
  </si>
  <si>
    <t>MA0000035537</t>
  </si>
  <si>
    <t>CIMR THARWA</t>
  </si>
  <si>
    <t>MASI RN</t>
  </si>
  <si>
    <t>MA0000035545</t>
  </si>
  <si>
    <t>BMCI INVEST</t>
  </si>
  <si>
    <t>MA0000035552</t>
  </si>
  <si>
    <t>AXA AVENIR</t>
  </si>
  <si>
    <t>80% MBI GLOBAL + 25% MASI RN</t>
  </si>
  <si>
    <t>MA0000035651</t>
  </si>
  <si>
    <t>ATLAS PREMIUM</t>
  </si>
  <si>
    <t>MA0000035685</t>
  </si>
  <si>
    <t>AVENIR OBLIGATION</t>
  </si>
  <si>
    <t>[4  8[</t>
  </si>
  <si>
    <t>CFG BONDS MT</t>
  </si>
  <si>
    <t>MA0000035693</t>
  </si>
  <si>
    <t>AVENIR PREMIERE</t>
  </si>
  <si>
    <t>]1,1  8]</t>
  </si>
  <si>
    <t>MA0000035701</t>
  </si>
  <si>
    <t>PATRIMOINE AVENIR</t>
  </si>
  <si>
    <t>MA0000035727</t>
  </si>
  <si>
    <t>CFG AVENIR</t>
  </si>
  <si>
    <t>20% CFG 25 FLOTTANT + 80% CFG BONDS CT</t>
  </si>
  <si>
    <t>MA0000035750</t>
  </si>
  <si>
    <t>AXA PERFORMANCE</t>
  </si>
  <si>
    <t>MA0000035768</t>
  </si>
  <si>
    <t>CFG EMERGENCE</t>
  </si>
  <si>
    <t>MA0000035800</t>
  </si>
  <si>
    <t>CAA RENDEMENT</t>
  </si>
  <si>
    <t>MA0000035891</t>
  </si>
  <si>
    <t>FCP MEDERSAT.COM</t>
  </si>
  <si>
    <t>MA0000035909</t>
  </si>
  <si>
    <t>FCP CAPITAL OPTIMISATION</t>
  </si>
  <si>
    <t>[1,1  12[</t>
  </si>
  <si>
    <t>MA0000035958</t>
  </si>
  <si>
    <t>FCP CAPITAL INDICE</t>
  </si>
  <si>
    <t>MA0000035990</t>
  </si>
  <si>
    <t>EMERGENCE FUND</t>
  </si>
  <si>
    <t>]1,1  5,1[</t>
  </si>
  <si>
    <t>MA0000036022</t>
  </si>
  <si>
    <t>ATTIJARI SOLIDARITE</t>
  </si>
  <si>
    <t>MA0000036055</t>
  </si>
  <si>
    <t>CAT EQUILIBRE</t>
  </si>
  <si>
    <t>MA0000036089</t>
  </si>
  <si>
    <t>ATTIJARI FINANCES CORP VALEURS</t>
  </si>
  <si>
    <t>MA0000036097</t>
  </si>
  <si>
    <t>CAPITAL PERFORMANCE</t>
  </si>
  <si>
    <t>75% MBI MT + 25% MASI RENTABILITE</t>
  </si>
  <si>
    <t>MA0000036188</t>
  </si>
  <si>
    <t>FCP MAROC RENDEMENT</t>
  </si>
  <si>
    <t>MA0000036204</t>
  </si>
  <si>
    <t>CIMR MOUBADARA</t>
  </si>
  <si>
    <t>MA0000036253</t>
  </si>
  <si>
    <t xml:space="preserve">AVENIR PREVOYANCE </t>
  </si>
  <si>
    <t>MA0000036295</t>
  </si>
  <si>
    <t>AZ OBLIGATIONS</t>
  </si>
  <si>
    <t>[1,1  13]</t>
  </si>
  <si>
    <t>MA0000036378</t>
  </si>
  <si>
    <t>AVENIR CROISSANCE</t>
  </si>
  <si>
    <t>MA0000036394</t>
  </si>
  <si>
    <t>FCP CAPITAL TAALIM</t>
  </si>
  <si>
    <t>95% MBI MLT + 5% MASI</t>
  </si>
  <si>
    <t>MA0000036436</t>
  </si>
  <si>
    <t>EMERGENCE CAPITAL</t>
  </si>
  <si>
    <t>[1,1  5,1[</t>
  </si>
  <si>
    <t>MA0000036444</t>
  </si>
  <si>
    <t>AL IJTIMAI PATRIMOINE</t>
  </si>
  <si>
    <t>[1,1  7,1[</t>
  </si>
  <si>
    <t>MA0000036485</t>
  </si>
  <si>
    <t>CAT ACTIONS</t>
  </si>
  <si>
    <t>MA0000036519</t>
  </si>
  <si>
    <t>FCP AL IJTIMAI SECURITE</t>
  </si>
  <si>
    <t>[1,1  7[</t>
  </si>
  <si>
    <t>MA0000036527</t>
  </si>
  <si>
    <t>AL IJTIMAI INMAA</t>
  </si>
  <si>
    <t>MA0000036535</t>
  </si>
  <si>
    <t>AL IJTIMAI SOLIDARITE</t>
  </si>
  <si>
    <t>MA0000036543</t>
  </si>
  <si>
    <t>AL IJTIMAI AVENIR</t>
  </si>
  <si>
    <t>MA0000036550</t>
  </si>
  <si>
    <t>AL IJTIMAI ADDAMANE</t>
  </si>
  <si>
    <t>MA0000036568</t>
  </si>
  <si>
    <t>UPLINE AVENIR</t>
  </si>
  <si>
    <t>]1,1  12]</t>
  </si>
  <si>
    <t>95% MBI + 5% MASI</t>
  </si>
  <si>
    <t>MA0000036626</t>
  </si>
  <si>
    <t>EMERGENCE PERFORMANCE</t>
  </si>
  <si>
    <t>MA0000036634</t>
  </si>
  <si>
    <t>EMERGENCE CROISSANCE</t>
  </si>
  <si>
    <t>MA0000036642</t>
  </si>
  <si>
    <t>AXA EPARGNE</t>
  </si>
  <si>
    <t>MA0000036667</t>
  </si>
  <si>
    <t>AXA CROISSANCE</t>
  </si>
  <si>
    <t>MA0000036675</t>
  </si>
  <si>
    <t>FCP CAPITAL OPTIMUM</t>
  </si>
  <si>
    <t>70% MBII GLOBAL + 30% MASI RB</t>
  </si>
  <si>
    <t>MA0000036683</t>
  </si>
  <si>
    <t>FCP MAROC INSTITUTIONS</t>
  </si>
  <si>
    <t>[5,1  9,1[</t>
  </si>
  <si>
    <t>MBI LT</t>
  </si>
  <si>
    <t>MA0000036691</t>
  </si>
  <si>
    <t>FCP MAROC CREANCES</t>
  </si>
  <si>
    <t>MA0000036709</t>
  </si>
  <si>
    <t>MBS RENDEMENT</t>
  </si>
  <si>
    <t>MA0000036758</t>
  </si>
  <si>
    <t>CFG CONSTRUCTION</t>
  </si>
  <si>
    <t>MA0000036782</t>
  </si>
  <si>
    <t>AFRICAPITAL SECURITE</t>
  </si>
  <si>
    <t>60% MASI + 40% MBI</t>
  </si>
  <si>
    <t>MA0000036790</t>
  </si>
  <si>
    <t>MA0000036832</t>
  </si>
  <si>
    <t>FCP MOUSTAQBAL CRP</t>
  </si>
  <si>
    <t>MA0000036840</t>
  </si>
  <si>
    <t>AFAK CRP</t>
  </si>
  <si>
    <t>37,5% MBI MLT + 37,5% MBI MT + 25% MASI RB</t>
  </si>
  <si>
    <t>MA0000036865</t>
  </si>
  <si>
    <t>AFRICAPITAL BONDS</t>
  </si>
  <si>
    <t>]1.1  5.1]</t>
  </si>
  <si>
    <t>MA0000036899</t>
  </si>
  <si>
    <t>SECURITE RENDEMENT</t>
  </si>
  <si>
    <t>MA0000036931</t>
  </si>
  <si>
    <t>FCP CIMR TANMYA</t>
  </si>
  <si>
    <t>MASI RENTABILITE</t>
  </si>
  <si>
    <t>MA0000036998</t>
  </si>
  <si>
    <t>BOND OPTIMUM</t>
  </si>
  <si>
    <t>MA0000037004</t>
  </si>
  <si>
    <t>SAFAE</t>
  </si>
  <si>
    <t>MA0000037038</t>
  </si>
  <si>
    <t>CFG CORPORATE BONDS</t>
  </si>
  <si>
    <t>MA0000037079</t>
  </si>
  <si>
    <t>MA0000037087</t>
  </si>
  <si>
    <t>AD BONDS</t>
  </si>
  <si>
    <t>MA0000037103</t>
  </si>
  <si>
    <t>IRGAM STRATEGIE</t>
  </si>
  <si>
    <t>MA0000037145</t>
  </si>
  <si>
    <t>CAT DIVERSIFIE</t>
  </si>
  <si>
    <t>85% MBI GLOBAL + 15% MASI</t>
  </si>
  <si>
    <t>MA0000037152</t>
  </si>
  <si>
    <t>OBLIGATAIRE PREMIUM</t>
  </si>
  <si>
    <t>MA0000037178</t>
  </si>
  <si>
    <t>EMERGENCE OBLIGATIONS</t>
  </si>
  <si>
    <t>MA0000037194</t>
  </si>
  <si>
    <t>ATLAS AMBITION</t>
  </si>
  <si>
    <t>MA0000037210</t>
  </si>
  <si>
    <t>ATLAS SERENITE</t>
  </si>
  <si>
    <t>MA0000037301</t>
  </si>
  <si>
    <t>MAROC OPPORTUNITE</t>
  </si>
  <si>
    <t>MA0000037319</t>
  </si>
  <si>
    <t>CAPITAL TRUST OBLIGATAIRE</t>
  </si>
  <si>
    <t>MA0000037343</t>
  </si>
  <si>
    <t>UPLINE RENDEMENT PLUS</t>
  </si>
  <si>
    <t>MA0000037426</t>
  </si>
  <si>
    <t>CIMR PATRIMOINE</t>
  </si>
  <si>
    <t>MA0000037434</t>
  </si>
  <si>
    <t>ATLAS SELECTION</t>
  </si>
  <si>
    <t>MA0000037467</t>
  </si>
  <si>
    <t>FCP MSIN ACTIONS</t>
  </si>
  <si>
    <t>MA0000037475</t>
  </si>
  <si>
    <t>EMERGENCE SÉRÉNITÉ</t>
  </si>
  <si>
    <t>MA0000037491</t>
  </si>
  <si>
    <t>INSTIOBLIGATIONS</t>
  </si>
  <si>
    <t>[2  6[</t>
  </si>
  <si>
    <t>MA0000037509</t>
  </si>
  <si>
    <t>INSTIOBLIGATIONS ETAT</t>
  </si>
  <si>
    <t>MA0000037541</t>
  </si>
  <si>
    <t>CFG RENTABILITE</t>
  </si>
  <si>
    <t>MA0000037574</t>
  </si>
  <si>
    <t>CMR BONDS</t>
  </si>
  <si>
    <t>100% MBI MT + 35 pbs</t>
  </si>
  <si>
    <t>MA0000037582</t>
  </si>
  <si>
    <t>CMR SANADATE</t>
  </si>
  <si>
    <t>50% MBI MT + 50% MBI MLT + 25pbs</t>
  </si>
  <si>
    <t>MA0000037590</t>
  </si>
  <si>
    <t>CMR OBLIGATIONS</t>
  </si>
  <si>
    <t>100% MBI MT + 25 pbs</t>
  </si>
  <si>
    <t>MA0000037640</t>
  </si>
  <si>
    <t>AD BALANCED FUND</t>
  </si>
  <si>
    <t>50% MASI + 50% MBI MLT</t>
  </si>
  <si>
    <t>MA0000037657</t>
  </si>
  <si>
    <t>CAPITAL TRUST ACTIONS</t>
  </si>
  <si>
    <t>MA0000037665</t>
  </si>
  <si>
    <t>WINEO AMANA</t>
  </si>
  <si>
    <t>MA0000037681</t>
  </si>
  <si>
    <t>FCP CAPITAL CAT</t>
  </si>
  <si>
    <t>MA0000037707</t>
  </si>
  <si>
    <t>BMCI ISR</t>
  </si>
  <si>
    <t>50% MBI MT + 50% MASI</t>
  </si>
  <si>
    <t>MA0000037806</t>
  </si>
  <si>
    <t>FCP ATLANTASANAD OBLITRESOR</t>
  </si>
  <si>
    <t>MA0000037822</t>
  </si>
  <si>
    <t>SMART FUND</t>
  </si>
  <si>
    <t>BDT 52 SEMAINES</t>
  </si>
  <si>
    <t>CFG GROUP</t>
  </si>
  <si>
    <t>MA0000037830</t>
  </si>
  <si>
    <t>CAPITAL TRUST INSTITUTIONS</t>
  </si>
  <si>
    <t>MA0000037871</t>
  </si>
  <si>
    <t>IRGAM OBLIRENDEMENT</t>
  </si>
  <si>
    <t>]1,5 5,5]</t>
  </si>
  <si>
    <t>MA0000037939</t>
  </si>
  <si>
    <t>ATTIJARI FINANCES CORP RENDEMENT</t>
  </si>
  <si>
    <t>75% MBI MLT + 25% MASI</t>
  </si>
  <si>
    <t>MA0000037988</t>
  </si>
  <si>
    <t>CAPITAL TRUST DIVERSIFIÉ</t>
  </si>
  <si>
    <t>MA0000037996</t>
  </si>
  <si>
    <t>CAPITAL TRUST RENDEMENT</t>
  </si>
  <si>
    <t>MA0000038069</t>
  </si>
  <si>
    <t>CAPITAL TRUST DYNAMIQUE</t>
  </si>
  <si>
    <t>MA0000038093</t>
  </si>
  <si>
    <t>FCP EMERGENCE DIVERSIFIÉ</t>
  </si>
  <si>
    <t>MA0000038135</t>
  </si>
  <si>
    <t>FCP CAPITAL EQUILIBRE</t>
  </si>
  <si>
    <t>75%MBI + 25% MASI</t>
  </si>
  <si>
    <t>MA0000038226</t>
  </si>
  <si>
    <t>INTIMAE-FM</t>
  </si>
  <si>
    <t>60% MBI MT+25% MBI LT+15% MASI RB</t>
  </si>
  <si>
    <t>MA0000038242</t>
  </si>
  <si>
    <t>FCP AMAN-FM</t>
  </si>
  <si>
    <t>60% MBI MT+ 25% MBI LT + 15% MASI RB</t>
  </si>
  <si>
    <t>MA0000038275</t>
  </si>
  <si>
    <t>CAPITAL TRUST ALLOCATION</t>
  </si>
  <si>
    <t>20% MASI + 80% MBI</t>
  </si>
  <si>
    <t>MA0000038291</t>
  </si>
  <si>
    <t>ATLAS PERFORMANCE</t>
  </si>
  <si>
    <t>25% MASI RB + 75 % MBI Global</t>
  </si>
  <si>
    <t>MA0000038341</t>
  </si>
  <si>
    <t>OBLIG INSTITUTIONS</t>
  </si>
  <si>
    <t>[3,1  7,1[</t>
  </si>
  <si>
    <t>MA0000038408</t>
  </si>
  <si>
    <t>FCP ALPHA PERFORMANCE FUND</t>
  </si>
  <si>
    <t>MA0000038424</t>
  </si>
  <si>
    <t>FCP AFRICAPITAL DIVERSIFIE</t>
  </si>
  <si>
    <t>50% MBI MLT + 50% MASI</t>
  </si>
  <si>
    <t>MA0000038499</t>
  </si>
  <si>
    <t>UPLINE SECURE PLUS</t>
  </si>
  <si>
    <t>MA0000038515</t>
  </si>
  <si>
    <t>UPLINE OBLIG DYNAMIQUE</t>
  </si>
  <si>
    <t>65% TMP + 35% MBI MT</t>
  </si>
  <si>
    <t>MA0000038549</t>
  </si>
  <si>
    <t>CAPITAL TRUST HARMONIE</t>
  </si>
  <si>
    <t>MA0000038564</t>
  </si>
  <si>
    <t>FCP EMERGENCE SELECTION</t>
  </si>
  <si>
    <t>MA0000038572</t>
  </si>
  <si>
    <t>FCP EMERGENCE ALLOCATION</t>
  </si>
  <si>
    <t>MA0000038580</t>
  </si>
  <si>
    <t>CAPITAL TRUST PERFORMANCE</t>
  </si>
  <si>
    <t>40% INDICE SECTORIEL BANQUES + 60% MBI GLOBAL</t>
  </si>
  <si>
    <t>MA0000038598</t>
  </si>
  <si>
    <t>FH2 OBLIGATAIRE DYNAMIQUE</t>
  </si>
  <si>
    <t>]1,1   7,1]</t>
  </si>
  <si>
    <t>MA0000038614</t>
  </si>
  <si>
    <t>TWIN BOND</t>
  </si>
  <si>
    <t>MA0000038622</t>
  </si>
  <si>
    <t>CT SECUR RENDEMENT</t>
  </si>
  <si>
    <t>]1,1    7]</t>
  </si>
  <si>
    <t>MA0000038630</t>
  </si>
  <si>
    <t>AC SECUR RENDEMENT</t>
  </si>
  <si>
    <t>MA0000038648</t>
  </si>
  <si>
    <t>FCP RM SECUR RENDEMENT</t>
  </si>
  <si>
    <t>MA0000038663</t>
  </si>
  <si>
    <t>IRG SECUR RENDEMENT</t>
  </si>
  <si>
    <t>MA0000038671</t>
  </si>
  <si>
    <t>FCP CAPITAL OBLIGATIONS PLUS</t>
  </si>
  <si>
    <t>]1,1  2,1]</t>
  </si>
  <si>
    <t>MA0000038689</t>
  </si>
  <si>
    <t>FCP CAPITAL SECURITE</t>
  </si>
  <si>
    <t>MA0000038697</t>
  </si>
  <si>
    <t>FCP CAPITAL SERENITE</t>
  </si>
  <si>
    <t>MA0000038705</t>
  </si>
  <si>
    <t>FCP AL KHEIR</t>
  </si>
  <si>
    <t>MA0000038713</t>
  </si>
  <si>
    <t>OBLIGATAIRE PLUS</t>
  </si>
  <si>
    <t>MA0000038721</t>
  </si>
  <si>
    <t>LMV EQUITY INVEST</t>
  </si>
  <si>
    <t>MA0000038788</t>
  </si>
  <si>
    <t>FCP EV CAT</t>
  </si>
  <si>
    <t>MA0000038796</t>
  </si>
  <si>
    <t>AWALI</t>
  </si>
  <si>
    <t>MA0000038804</t>
  </si>
  <si>
    <t>MUTUELLE PREVOYANCE PLUS - MPBP</t>
  </si>
  <si>
    <t>MA0000038838</t>
  </si>
  <si>
    <t>AXA PERSPECTIVES</t>
  </si>
  <si>
    <t>60% MBI GLOBAL + 40% MASI RB</t>
  </si>
  <si>
    <t>MA0000038887</t>
  </si>
  <si>
    <t>WG CAPITAL</t>
  </si>
  <si>
    <t>MA0000038911</t>
  </si>
  <si>
    <t>UPLINE DIVERSIFIE</t>
  </si>
  <si>
    <t>MA0000038937</t>
  </si>
  <si>
    <t>FCP ALPHA RENDEMENT</t>
  </si>
  <si>
    <t>MA0000039026</t>
  </si>
  <si>
    <t>FCP CAPITAL ACTIONS PREMIUM</t>
  </si>
  <si>
    <t>MA0000039067</t>
  </si>
  <si>
    <t>WG TAYSSIR</t>
  </si>
  <si>
    <t>MA0000039083</t>
  </si>
  <si>
    <t>FCP OBLIG LONG TERM</t>
  </si>
  <si>
    <t>80% MBI MLT+20% MBI LT</t>
  </si>
  <si>
    <t>MA0000039109</t>
  </si>
  <si>
    <t>UPLINE PROTECTION DYNAMIQUE</t>
  </si>
  <si>
    <t>BANQUE POPULAIRE</t>
  </si>
  <si>
    <t>MA0000039133</t>
  </si>
  <si>
    <t>ESG 10</t>
  </si>
  <si>
    <t>MA0000039158</t>
  </si>
  <si>
    <t>AD COMPACT OBLIGATAIRE</t>
  </si>
  <si>
    <t>MA0000039182</t>
  </si>
  <si>
    <t>AD SECUR RENDEMENT</t>
  </si>
  <si>
    <t>MA0000039190</t>
  </si>
  <si>
    <t>TWIN BOND TRESOR</t>
  </si>
  <si>
    <t>MA0000039208</t>
  </si>
  <si>
    <t>TWIN OPPORTUNITY</t>
  </si>
  <si>
    <t>MA0000039224</t>
  </si>
  <si>
    <t>IRGAM ALLOCATION</t>
  </si>
  <si>
    <t>40 % MASI RB + 60 % MBI GLOBAL</t>
  </si>
  <si>
    <t>MA0000039240</t>
  </si>
  <si>
    <t>AFG SECUR RENDEMENT</t>
  </si>
  <si>
    <t>MA0000039299</t>
  </si>
  <si>
    <t>WINEO SECUR RENDEMENT</t>
  </si>
  <si>
    <t>MA0000039349</t>
  </si>
  <si>
    <t>UPLINE SECURITIES PERFORMANCE</t>
  </si>
  <si>
    <t>MA0000039380</t>
  </si>
  <si>
    <t>ATLAS HARMONIE</t>
  </si>
  <si>
    <t>]1,1; 8]</t>
  </si>
  <si>
    <t>MA0000039398</t>
  </si>
  <si>
    <t>IRGAM DISTRIEQUILIBRE</t>
  </si>
  <si>
    <t>30% MASI FLOTTANT + 70% MBI GLOBAL</t>
  </si>
  <si>
    <t>MA0000039406</t>
  </si>
  <si>
    <t>IRGAM DISTRIEQUITY</t>
  </si>
  <si>
    <t>MA0000039422</t>
  </si>
  <si>
    <t>FCP EMERGENCE PERSPECTIVES</t>
  </si>
  <si>
    <t>MA0000039489</t>
  </si>
  <si>
    <t>UNIVERS DIVERSIFIE</t>
  </si>
  <si>
    <t>30% MASI RB + 70% MBI MLT</t>
  </si>
  <si>
    <t>MA0000039505</t>
  </si>
  <si>
    <t>GENERATION PERFORMANCE</t>
  </si>
  <si>
    <t>]1,1   12]</t>
  </si>
  <si>
    <t>MBI GLOBAL + 50 pbs</t>
  </si>
  <si>
    <t>MA0000039521</t>
  </si>
  <si>
    <t>MAROGEST SECUR RENDEMENT</t>
  </si>
  <si>
    <t>MA0000039539</t>
  </si>
  <si>
    <t>ATTIJARI PRIVATE FUND</t>
  </si>
  <si>
    <t>50% MASI RB + 50% MBI GLOBAL</t>
  </si>
  <si>
    <t>MA0000039554</t>
  </si>
  <si>
    <t>AD HARMONIE DIVERSIFIÉ</t>
  </si>
  <si>
    <t>MA0000039596</t>
  </si>
  <si>
    <t>FH2 OBLIGATAIRE DYNAMIQUE II</t>
  </si>
  <si>
    <t>MA0000039612</t>
  </si>
  <si>
    <t>CCM SECUR RENDEMENT</t>
  </si>
  <si>
    <t>[1,1 7]</t>
  </si>
  <si>
    <t>MA0000039760</t>
  </si>
  <si>
    <t>FCP WG INVEST</t>
  </si>
  <si>
    <t>50% MBI GLOBAL + 50% MASI RENTABILITE</t>
  </si>
  <si>
    <t>MA0000039794</t>
  </si>
  <si>
    <t>FCP AFRICAPITAL DYNAMIQUE</t>
  </si>
  <si>
    <t>MA0000039810</t>
  </si>
  <si>
    <t>AXA PÉRENNITÉ</t>
  </si>
  <si>
    <t>60% MBI + 40% MASI RB</t>
  </si>
  <si>
    <t>MA0000040008</t>
  </si>
  <si>
    <t>CNIA ASSURE</t>
  </si>
  <si>
    <t>MA0000040057</t>
  </si>
  <si>
    <t>ALISTITMAR CHAABI</t>
  </si>
  <si>
    <t>MA0000040073</t>
  </si>
  <si>
    <t>ALISTITMAR CHAABI ACTIONS</t>
  </si>
  <si>
    <t>MA0000040081</t>
  </si>
  <si>
    <t>KENZ ACTIONS</t>
  </si>
  <si>
    <t>MA0000040099</t>
  </si>
  <si>
    <t>ASSANAD CHAABI</t>
  </si>
  <si>
    <t>]4   8]</t>
  </si>
  <si>
    <t>MA0000040115</t>
  </si>
  <si>
    <t>KENZ OBLIGATIONS</t>
  </si>
  <si>
    <t>MA0000040131</t>
  </si>
  <si>
    <t>FCP UPLINE BALANCED FUND</t>
  </si>
  <si>
    <t>MA0000040156</t>
  </si>
  <si>
    <t>ATTIJARI AL MOUCHARAKA</t>
  </si>
  <si>
    <t>MA0000040164</t>
  </si>
  <si>
    <t>PROFIL SERENITE</t>
  </si>
  <si>
    <t>5% MASI + 95% MBI MT</t>
  </si>
  <si>
    <t>MA0000040172</t>
  </si>
  <si>
    <t>PROFIL HARMONIE</t>
  </si>
  <si>
    <t>MA0000040198</t>
  </si>
  <si>
    <t>PATRIMOINE AL MOUSSAHAMA</t>
  </si>
  <si>
    <t>MA0000040222</t>
  </si>
  <si>
    <t>WAFA ASSURANCE SECURITE</t>
  </si>
  <si>
    <t>MA0000040255</t>
  </si>
  <si>
    <t>PROFIL DYNAMIQUE</t>
  </si>
  <si>
    <t>MA0000040263</t>
  </si>
  <si>
    <t>ATTIJARI SECURITE</t>
  </si>
  <si>
    <t>MA0000040289</t>
  </si>
  <si>
    <t>GROUPE MCMA-MAMDA OPTIMISATION</t>
  </si>
  <si>
    <t>]4,5 8,5]</t>
  </si>
  <si>
    <t>MA0000040297</t>
  </si>
  <si>
    <t>WAFA ASSURANCE STRATEGIE</t>
  </si>
  <si>
    <t>70% MASI + 30% MBI MT</t>
  </si>
  <si>
    <t>MA0000040305</t>
  </si>
  <si>
    <t>WAFA ASSURANCE OPTIMISATION</t>
  </si>
  <si>
    <t>50% CFG 25 FLOTTANT + 50% MBI MT</t>
  </si>
  <si>
    <t>MA0000040362</t>
  </si>
  <si>
    <t>FCP CAT VALEURS</t>
  </si>
  <si>
    <t>]5  9]</t>
  </si>
  <si>
    <t>MA0000040370</t>
  </si>
  <si>
    <t>WAFA ASSURANCE EXPANSION</t>
  </si>
  <si>
    <t>MA0000040453</t>
  </si>
  <si>
    <t>ATLANTA PERFORMANCE</t>
  </si>
  <si>
    <t>MA0000040461</t>
  </si>
  <si>
    <t>CDG OBLIGATIONS</t>
  </si>
  <si>
    <t>40% MBI MT + 60% MBI MLT</t>
  </si>
  <si>
    <t>MA0000040495</t>
  </si>
  <si>
    <t>CAP SECURIVALO</t>
  </si>
  <si>
    <t>MA0000040529</t>
  </si>
  <si>
    <t>FH2 OBLIGATAIRE DYNAMIQUE III</t>
  </si>
  <si>
    <t>MA0000040545</t>
  </si>
  <si>
    <t>CDG OBLIG PLUS</t>
  </si>
  <si>
    <t>MA0000040578</t>
  </si>
  <si>
    <t>CDG RENDEMENT</t>
  </si>
  <si>
    <t>MA0000040586</t>
  </si>
  <si>
    <t>FCP EDUCATION</t>
  </si>
  <si>
    <t>MA0000040602</t>
  </si>
  <si>
    <t>CDG BONDS DYNAMIQUE</t>
  </si>
  <si>
    <t>MA0000040644</t>
  </si>
  <si>
    <t>CAT EVOLUTION</t>
  </si>
  <si>
    <t>MA0000040651</t>
  </si>
  <si>
    <t>ATLANTA AVENIR</t>
  </si>
  <si>
    <t>MA0000040669</t>
  </si>
  <si>
    <t>AXA OBLIG</t>
  </si>
  <si>
    <t>MA0000040693</t>
  </si>
  <si>
    <t>CDG OBLIG SELECTION</t>
  </si>
  <si>
    <t>80% MBI MT + 20% MBI MLT</t>
  </si>
  <si>
    <t>MA0000040701</t>
  </si>
  <si>
    <t>CNIA AVENIR</t>
  </si>
  <si>
    <t>MA0000040719</t>
  </si>
  <si>
    <t>RMA DYNAMIQUE</t>
  </si>
  <si>
    <t>MA0000040727</t>
  </si>
  <si>
    <t>RMA EQUITY MARKET</t>
  </si>
  <si>
    <t>MA0000040735</t>
  </si>
  <si>
    <t>RMA EXPANSION</t>
  </si>
  <si>
    <t>MA0000040743</t>
  </si>
  <si>
    <t>RMA OBLIGATIONS</t>
  </si>
  <si>
    <t>]6  10]</t>
  </si>
  <si>
    <t>MA0000040750</t>
  </si>
  <si>
    <t>FCP OPPORTUNITES</t>
  </si>
  <si>
    <t>MA0000040784</t>
  </si>
  <si>
    <t>FCP SECURITE</t>
  </si>
  <si>
    <t>[2,5  6,5[</t>
  </si>
  <si>
    <t>MA0000040818</t>
  </si>
  <si>
    <t>AL IDDIKHAR CHAABI ACTIONS</t>
  </si>
  <si>
    <t>MA0000040826</t>
  </si>
  <si>
    <t>AL BADIL CHAABI ASSHOUM</t>
  </si>
  <si>
    <t>MA0000040842</t>
  </si>
  <si>
    <t>CDG MULTIGESTION</t>
  </si>
  <si>
    <t>MA0000040859</t>
  </si>
  <si>
    <t>CDG OBLIG PREMIUM</t>
  </si>
  <si>
    <t>MA0000040941</t>
  </si>
  <si>
    <t>RMA RENDEMENT PLUS</t>
  </si>
  <si>
    <t>MA0000040958</t>
  </si>
  <si>
    <t>RMA MULTISTRATEGIES</t>
  </si>
  <si>
    <t>MA0000040966</t>
  </si>
  <si>
    <t>RMA PERFORMANCE</t>
  </si>
  <si>
    <t>MA0000040974</t>
  </si>
  <si>
    <t>FORCE MUTUELLE</t>
  </si>
  <si>
    <t>MA0000040982</t>
  </si>
  <si>
    <t>CDG CITOYENNETE</t>
  </si>
  <si>
    <t>MA0000040990</t>
  </si>
  <si>
    <t>AL IJTIMAI SERENITE</t>
  </si>
  <si>
    <t>MA0000041006</t>
  </si>
  <si>
    <t>MA0000041014</t>
  </si>
  <si>
    <t>FCP ALPHA INCOME FUND</t>
  </si>
  <si>
    <t>[1,5  5,5[</t>
  </si>
  <si>
    <t>MA0000041030</t>
  </si>
  <si>
    <t>DAR AD-DAMANE FUND</t>
  </si>
  <si>
    <t>MA0000041048</t>
  </si>
  <si>
    <t>CDG SMALL &amp; MID CAP</t>
  </si>
  <si>
    <t>95% MASI FLOTTANT + 5% MSCI Europe Small Cap.</t>
  </si>
  <si>
    <t>MA0000041089</t>
  </si>
  <si>
    <t>RMA DIVERSIFIE</t>
  </si>
  <si>
    <t>MA0000041139</t>
  </si>
  <si>
    <t>FCP ATTIJARI GOLD</t>
  </si>
  <si>
    <t>LONDON GOLD FIXING (USD)</t>
  </si>
  <si>
    <t>MA0000041170</t>
  </si>
  <si>
    <t>AL BARID ISTITMAR</t>
  </si>
  <si>
    <t>[1.1  5.1[</t>
  </si>
  <si>
    <t>MA0000041188</t>
  </si>
  <si>
    <t>SANAD PERFORMANCE</t>
  </si>
  <si>
    <t>MA0000041246</t>
  </si>
  <si>
    <t>RMA RENDEMENT MT</t>
  </si>
  <si>
    <t>MA0000041253</t>
  </si>
  <si>
    <t>RMA CORPORATE BOND</t>
  </si>
  <si>
    <t>MA0000041287</t>
  </si>
  <si>
    <t>SANAD SERENITY</t>
  </si>
  <si>
    <t>MA0000041410</t>
  </si>
  <si>
    <t>IRGAM SECURIBANCAIRES</t>
  </si>
  <si>
    <t>MA0000041436</t>
  </si>
  <si>
    <t>CDM PROFIL DYNAMISME</t>
  </si>
  <si>
    <t>90% MASI + 10% MBI MLT</t>
  </si>
  <si>
    <t>MA0000041444</t>
  </si>
  <si>
    <t>CDM PROFIL EQUILIBRE</t>
  </si>
  <si>
    <t>60% MBI MLT + 40% MASI RENTABILITE</t>
  </si>
  <si>
    <t>MA0000041451</t>
  </si>
  <si>
    <t>CDM PROFIL SERENITE</t>
  </si>
  <si>
    <t>95% MBI + 5% MASI RENTABILITE</t>
  </si>
  <si>
    <t>MA0000041477</t>
  </si>
  <si>
    <t>ATTIJARI DIVIDEND FUND</t>
  </si>
  <si>
    <t>MA0000041527</t>
  </si>
  <si>
    <t>CDG PERFORMANCE</t>
  </si>
  <si>
    <t>MA0000041550</t>
  </si>
  <si>
    <t>ATTAKAFOUL</t>
  </si>
  <si>
    <t>MA0000041568</t>
  </si>
  <si>
    <t>HORIZON DISTRIPERF</t>
  </si>
  <si>
    <t>85% MBI MT + 15 % MASI</t>
  </si>
  <si>
    <t>MA0000041626</t>
  </si>
  <si>
    <t>FCP OBLIG PERENITE</t>
  </si>
  <si>
    <t>MA0000041634</t>
  </si>
  <si>
    <t>FCP OBLIGATIONS OPTIMUM</t>
  </si>
  <si>
    <t>MA0000041659</t>
  </si>
  <si>
    <t>PRESCOLAIRE</t>
  </si>
  <si>
    <t>95% MBI MLT + 5% MASI FLOTTANT</t>
  </si>
  <si>
    <t>MA0000041675</t>
  </si>
  <si>
    <t>HORIZON OBLIG OPTIMAL</t>
  </si>
  <si>
    <t>[3   7[</t>
  </si>
  <si>
    <t>MA0000041774</t>
  </si>
  <si>
    <t>WG EQUITY FUND</t>
  </si>
  <si>
    <t>MA0000041782</t>
  </si>
  <si>
    <t>WG OPPORTUNITES</t>
  </si>
  <si>
    <t>80% MBI MT + 20% MASI RB</t>
  </si>
  <si>
    <t>MA0000041824</t>
  </si>
  <si>
    <t>BMCI PREMIUM LONG TERM BOND</t>
  </si>
  <si>
    <t>MA0000041832</t>
  </si>
  <si>
    <t>BMCI PREMIUM MEDIUM TERM BOND</t>
  </si>
  <si>
    <t>MA0000041865</t>
  </si>
  <si>
    <t>BMCI PREMIUM OPPORTUNITY II</t>
  </si>
  <si>
    <t>50% MASI Rentabilite Nette + 50% MBI Court Terme</t>
  </si>
  <si>
    <t>MA0000041881</t>
  </si>
  <si>
    <t>BMCI PREMIUM EQUITY INCOME</t>
  </si>
  <si>
    <t>MA0000041949</t>
  </si>
  <si>
    <t>HORIZON OBLIG TRESOR</t>
  </si>
  <si>
    <t>[3,1   7,1[</t>
  </si>
  <si>
    <t>MA0000041956</t>
  </si>
  <si>
    <t>HORIZON MID &amp; SMALL CAP</t>
  </si>
  <si>
    <t>MA0000041980</t>
  </si>
  <si>
    <t>WINEO ACTIONS</t>
  </si>
  <si>
    <t>MA0000042004</t>
  </si>
  <si>
    <t>WINEO DELTA</t>
  </si>
  <si>
    <t>MA0000042012</t>
  </si>
  <si>
    <t>WINEO OBLIG</t>
  </si>
  <si>
    <t>MA0000042038</t>
  </si>
  <si>
    <t>WINEO OBLIG SECURITE</t>
  </si>
  <si>
    <t>MA0000042079</t>
  </si>
  <si>
    <t>ATLAS PERENNITE</t>
  </si>
  <si>
    <t>]3,5 7,5]</t>
  </si>
  <si>
    <t>50% MBI MT + 50%MBI MLT</t>
  </si>
  <si>
    <t>MA0000042087</t>
  </si>
  <si>
    <t>ATLAS CROISSANCE</t>
  </si>
  <si>
    <t>MA0000042095</t>
  </si>
  <si>
    <t>ATLAS OPTIMISATION</t>
  </si>
  <si>
    <t>MA0000042103</t>
  </si>
  <si>
    <t>AL IJTIMAI PROTECTION</t>
  </si>
  <si>
    <t>MA0000042137</t>
  </si>
  <si>
    <t>ESG 10 INDEX</t>
  </si>
  <si>
    <t>MA0000042194</t>
  </si>
  <si>
    <t>PATRIMOINE CROISSANCE</t>
  </si>
  <si>
    <t>25% MASI RB + 75% MBI MLT</t>
  </si>
  <si>
    <t>MA0000042251</t>
  </si>
  <si>
    <t>WG SERENITE</t>
  </si>
  <si>
    <t>40% MASI RB + 60% MBI MT</t>
  </si>
  <si>
    <t>MA0000042269</t>
  </si>
  <si>
    <t>WG BALANCED</t>
  </si>
  <si>
    <t>50% MASI RB + 50% MBI MT</t>
  </si>
  <si>
    <t>MA0000042277</t>
  </si>
  <si>
    <t>WG PERFORMANCE</t>
  </si>
  <si>
    <t>15% MASI + 85% MBI MT</t>
  </si>
  <si>
    <t>MA0000042285</t>
  </si>
  <si>
    <t>HORIZON AVENIR</t>
  </si>
  <si>
    <t>MA0000042293</t>
  </si>
  <si>
    <t>WG ACTIONS</t>
  </si>
  <si>
    <t>MA0000042301</t>
  </si>
  <si>
    <t>PATRIMOINE MULTIVALEURS</t>
  </si>
  <si>
    <t>85% MASI RB + 15% MBI MT</t>
  </si>
  <si>
    <t>MA0000042319</t>
  </si>
  <si>
    <t>WG LOW VOLATILITY FACTOR FUND</t>
  </si>
  <si>
    <t>MA0000042327</t>
  </si>
  <si>
    <t>WG VALUE FACTOR FUND</t>
  </si>
  <si>
    <t>MA0000042335</t>
  </si>
  <si>
    <t>WG MOMENTUM FACTOR FUND</t>
  </si>
  <si>
    <t>MA0000042350</t>
  </si>
  <si>
    <t>CKG ACTIONS IDIKHAR</t>
  </si>
  <si>
    <t>MA0000042376</t>
  </si>
  <si>
    <t>WG FRUCTI PATRIMOINE</t>
  </si>
  <si>
    <t>20% MASI RB + 80% MBI GLOBAL</t>
  </si>
  <si>
    <t>MA0000042384</t>
  </si>
  <si>
    <t>OBLIFUTUR</t>
  </si>
  <si>
    <t>MA0000042400</t>
  </si>
  <si>
    <t>CAP SECURICOURT</t>
  </si>
  <si>
    <t>MA0000042426</t>
  </si>
  <si>
    <t>CIH ACTIONS</t>
  </si>
  <si>
    <t>MA0000042442</t>
  </si>
  <si>
    <t>CIH EPARGNE</t>
  </si>
  <si>
    <t>60 % MBI GLOBAL + 40% MASI</t>
  </si>
  <si>
    <t>MA0000042467</t>
  </si>
  <si>
    <t>CIH OBLIGATIONS</t>
  </si>
  <si>
    <t>MA0000042475</t>
  </si>
  <si>
    <t>CIH PATRIMOINE</t>
  </si>
  <si>
    <t>MA0000042509</t>
  </si>
  <si>
    <t>FH2 OBLIGATAIRE DYNAMIQUE IV</t>
  </si>
  <si>
    <t>]1,1  7,1]</t>
  </si>
  <si>
    <t>MA0000042517</t>
  </si>
  <si>
    <t>WINEO DIVIDENDES ET CROISSANCE</t>
  </si>
  <si>
    <t>MA0000042525</t>
  </si>
  <si>
    <t>WG HORIZON</t>
  </si>
  <si>
    <t>MA0000042533</t>
  </si>
  <si>
    <t>AWG CAPITAL CROISSANCE</t>
  </si>
  <si>
    <t>MA0000042541</t>
  </si>
  <si>
    <t>WG EPARGNE</t>
  </si>
  <si>
    <t>90% MASI RB + 10% MBI GLOBAL</t>
  </si>
  <si>
    <t>MA0000042558</t>
  </si>
  <si>
    <t>WG DYNAMIC</t>
  </si>
  <si>
    <t>MA0000042566</t>
  </si>
  <si>
    <t>CMIM SERENITE</t>
  </si>
  <si>
    <t>]1,1  10,1]</t>
  </si>
  <si>
    <t>MA0000042582</t>
  </si>
  <si>
    <t>HORIZON EQUITY VALUE</t>
  </si>
  <si>
    <t>MA0000042590</t>
  </si>
  <si>
    <t>HORIZON AL BARAKA</t>
  </si>
  <si>
    <t>Tableau des performances hebdomadaires au 24-08-2026</t>
  </si>
  <si>
    <t>Perf Annualisée</t>
  </si>
  <si>
    <t>Tracking Error</t>
  </si>
  <si>
    <t>Perf_Valo_Engt</t>
  </si>
  <si>
    <t>VL_04_09</t>
  </si>
  <si>
    <t>Valo_28_08</t>
  </si>
  <si>
    <t>VL_28_08</t>
  </si>
  <si>
    <t>Valo_04_09</t>
  </si>
  <si>
    <t>Dénomination</t>
  </si>
  <si>
    <t>Engagement</t>
  </si>
  <si>
    <t>PMV</t>
  </si>
  <si>
    <t>Perf hebdo</t>
  </si>
  <si>
    <t>Perf depuis souscription</t>
  </si>
  <si>
    <t>Date d'engagement</t>
  </si>
  <si>
    <t>TRI de placement</t>
  </si>
  <si>
    <t>1 455,21</t>
  </si>
  <si>
    <t>1 606,92</t>
  </si>
  <si>
    <t>Tableau des performances hebdomadaires au 04-09-2026</t>
  </si>
  <si>
    <t>Tableau des performances quotidiennes au 31-12-2025</t>
  </si>
  <si>
    <t>Ecart de Perf YTD</t>
  </si>
  <si>
    <t>Synthèse du classement des OPCVM Actions du RPC au regard des principaux KPIs</t>
  </si>
  <si>
    <t>Catégorie d'analyse</t>
  </si>
  <si>
    <t>Constat principal</t>
  </si>
  <si>
    <t>Enseignement</t>
  </si>
  <si>
    <t>Lecture globale du classement</t>
  </si>
  <si>
    <t>Fonds les plus résilients</t>
  </si>
  <si>
    <t>ATTIJARI VALEURS ESG, FCP IRGAM ACTIONS et STERLING EQUITY se distinguent par leur capacité à maintenir des performances positives tout en conservant des indicateurs de risque maîtrisés.</t>
  </si>
  <si>
    <t>Meilleure performance annualisée (12 %), meilleur Sharpe (0,52) et meilleur Information Ratio (2,42).</t>
  </si>
  <si>
    <t>Performance annualisée supérieure à 7 %, Sharpe positif et bêta proche de l'unité.</t>
  </si>
  <si>
    <t>Volatilité la plus faible du groupe de tête (16,8 %) avec un bêta inférieur à 1.</t>
  </si>
  <si>
    <t>Fonds pénalisés par le contexte de marché</t>
  </si>
  <si>
    <t>CFG PERFORMANCE, Capital Trust Equity, AD Moroccan Equity Fund et CAM Investissement affichent des Sharpe négatifs malgré des bêtas proches du marché.</t>
  </si>
  <si>
    <t>Cas de FCP CAPITAL PARTICIPATIONS</t>
  </si>
  <si>
    <t>Plus faible performance YTD (-12,1 %) mais bêta proche du marché (0,93).</t>
  </si>
  <si>
    <t>Les fonds les plus actifs (CAM Investissement, AD Moroccan Equity Fund, Capital Participations) affichent des Tracking Errors élevés (5,7 % à 6,9 %).</t>
  </si>
  <si>
    <t>Analyse du bêta</t>
  </si>
  <si>
    <t>La majorité des fonds présente un bêta compris entre 0,90 et 1,10.</t>
  </si>
  <si>
    <t>Seul ATTIJARI VALEURS ESG conserve un niveau élevé de création d'alpha. La majorité des fonds affiche désormais des Information Ratios négatifs.</t>
  </si>
  <si>
    <t>Lecture stratégique</t>
  </si>
  <si>
    <t>La plupart des fonds ont démontré leur capacité à créer de l'alpha entre fin 2024 et février 2026.</t>
  </si>
  <si>
    <t>Message clé</t>
  </si>
  <si>
    <t>L'analyse des KPIs montre que la difficulté actuelle des OPCVM actions à surperformer leurs benchmarks est moins liée à une détérioration des compétences de gestion qu'à un changement profond du régime de marché. Les performances sont aujourd'hui largement concentrées sur un nombre limité de valeurs, principalement minières, dont la progression a été davantage alimentée par les flux que par les fondamentaux. Dans cet environnement, plusieurs fonds continuent néanmoins de démontrer des qualités importantes en matière de gestion du risque et de création de valeur ajustée du risque. Par conséquent, l'évaluation de la stratégie OPCVM Actions du RPC doit continuer à privilégier la création d'alpha depuis l'origine des investissements fin 2024 plutôt que la seule photographie des performances YTD 2026</t>
  </si>
  <si>
    <t xml:space="preserve">Ces fonds démontrent une capacité de création d'alpha même dans un marché fortement perturbé par les flux. </t>
  </si>
  <si>
    <t xml:space="preserve">Il constitue le fonds présentant la meilleure combinaison entre rendement, maîtrise du risque et création d'alpha. </t>
  </si>
  <si>
    <t>Le fonds a mieux résisté que la moyenne des OPCVM actions au changement de régime du marché.</t>
  </si>
  <si>
    <t>Profil défensif intéressant offrant un bon compromis entre performance et maîtrise du risque.</t>
  </si>
  <si>
    <t xml:space="preserve">La sous-performance semble davantage liée à l'environnement de marché qu'à une dégradation des processus de gestion. </t>
  </si>
  <si>
    <t xml:space="preserve">La dégradation des KPIs observée depuis mars 2026 apparaît davantage conjoncturelle que structurelle. </t>
  </si>
  <si>
    <t>Les faibles niveaux d'alpha observés reflètent principalement un marché dominé par les flux et la concentration sectorielle.</t>
  </si>
  <si>
    <t xml:space="preserve">Les écarts de performance proviennent essentiellement des choix de sélection de titres et non d'une différence majeure d'exposition au marché. </t>
  </si>
  <si>
    <t xml:space="preserve">Ils assument une véritable prise de risque active. La dégradation récente de l'alpha est principalement liée au nouvel environnement de marché. </t>
  </si>
  <si>
    <t xml:space="preserve">La sous-performance provient principalement du stock-picking et non d'un mauvais contrôle du risque ou d'un positionnement défensif. </t>
  </si>
  <si>
    <t xml:space="preserve"> Ratio d'Information</t>
  </si>
  <si>
    <t xml:space="preserve">La hiérarchie des fonds basée uniquement sur la performance depuis le début de l'année ne permet pas d'apprécier pleinement la qualité de la gestion ni la valeur ajoutée réelle des gérants. Une analyse fondée sur les indicateurs de risque, de rendement ajusté du risque et de création d'alpha sur une durée suffisante offre une lecture plus pertinente des performances des OPCVM dans le contexte de marché actuel.
</t>
  </si>
  <si>
    <t>Dans cette perspective, l'évaluation des fonds doit privilégier leur capacité à générer durablement de l'alpha et à optimiser le couple rendement-risque plutôt que la seule performance YTD.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</si>
</sst>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0\ _€_-;\-* #,##0.00\ _€_-;_-* &quot;-&quot;??\ _€_-;_-@_-"/>
  </numFmts>
  <fonts count="25"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sz val="11"/>
      <color rgb="FF000000"/>
      <name val="Calibri"/>
      <family val="2"/>
      <scheme val="minor"/>
    </font>
    <font>
      <sz val="8"/>
      <name val="Calibri"/>
      <family val="2"/>
      <scheme val="minor"/>
    </font>
    <font>
      <b/>
      <sz val="11"/>
      <color theme="1"/>
      <name val="Calibri"/>
      <family val="2"/>
      <scheme val="minor"/>
    </font>
    <font>
      <b/>
      <sz val="12"/>
      <name val="Poppins"/>
    </font>
    <font>
      <sz val="8"/>
      <name val="Poppins"/>
    </font>
    <font>
      <sz val="11"/>
      <color theme="1"/>
      <name val="Poppins"/>
    </font>
    <font>
      <sz val="10"/>
      <name val="Poppins"/>
    </font>
    <font>
      <b/>
      <sz val="8"/>
      <name val="Poppins"/>
    </font>
    <font>
      <sz val="8"/>
      <color indexed="8"/>
      <name val="Poppins"/>
    </font>
    <font>
      <sz val="8"/>
      <color indexed="8"/>
      <name val="Calibri"/>
      <family val="2"/>
    </font>
    <font>
      <b/>
      <sz val="12"/>
      <color theme="0"/>
      <name val="Poppins"/>
    </font>
    <font>
      <b/>
      <sz val="8"/>
      <color theme="0"/>
      <name val="Poppins"/>
    </font>
    <font>
      <b/>
      <sz val="11"/>
      <color theme="1"/>
      <name val="DIN Pro Regular"/>
      <family val="2"/>
    </font>
    <font>
      <sz val="11"/>
      <color theme="1"/>
      <name val="DIN Pro Regular"/>
      <family val="2"/>
    </font>
    <font>
      <b/>
      <sz val="11"/>
      <color theme="0"/>
      <name val="DIN Pro Regular"/>
      <family val="2"/>
    </font>
    <font>
      <b/>
      <sz val="7"/>
      <color rgb="FFFFFFFF"/>
      <name val="DINPro-Bold"/>
      <family val="3"/>
    </font>
    <font>
      <sz val="7"/>
      <color rgb="FF000000"/>
      <name val="DINPro-Bold"/>
      <family val="3"/>
    </font>
    <font>
      <b/>
      <sz val="11"/>
      <color theme="0"/>
      <name val="Calibri"/>
      <family val="2"/>
      <scheme val="minor"/>
    </font>
    <font>
      <b/>
      <sz val="13.5"/>
      <color theme="1"/>
      <name val="DIN Pro Regular"/>
      <family val="2"/>
    </font>
    <font>
      <b/>
      <sz val="10"/>
      <color rgb="FFFFFFFF"/>
      <name val="DINPro-Bold"/>
      <family val="3"/>
    </font>
    <font>
      <sz val="10"/>
      <color rgb="FF000000"/>
      <name val="DINPro-Bold"/>
      <family val="3"/>
    </font>
  </fonts>
  <fills count="13">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5" tint="0.79998168889431442"/>
        <bgColor indexed="64"/>
      </patternFill>
    </fill>
    <fill>
      <patternFill patternType="solid">
        <fgColor theme="0"/>
        <bgColor indexed="64"/>
      </patternFill>
    </fill>
    <fill>
      <patternFill patternType="solid">
        <fgColor indexed="47"/>
        <bgColor indexed="64"/>
      </patternFill>
    </fill>
    <fill>
      <patternFill patternType="solid">
        <fgColor rgb="FF003366"/>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F5F5F5"/>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rgb="FF003366"/>
      </left>
      <right style="double">
        <color rgb="FF003366"/>
      </right>
      <top style="double">
        <color rgb="FFFFFFFF"/>
      </top>
      <bottom style="thin">
        <color rgb="FFC0C0C0"/>
      </bottom>
      <diagonal/>
    </border>
    <border>
      <left style="double">
        <color rgb="FFFFFFFF"/>
      </left>
      <right style="double">
        <color rgb="FFFFFFFF"/>
      </right>
      <top style="thin">
        <color rgb="FFC0C0C0"/>
      </top>
      <bottom style="thin">
        <color rgb="FFC0C0C0"/>
      </bottom>
      <diagonal/>
    </border>
    <border>
      <left style="double">
        <color rgb="FFFFFFFF"/>
      </left>
      <right/>
      <top style="thin">
        <color rgb="FFC0C0C0"/>
      </top>
      <bottom style="thin">
        <color rgb="FFC0C0C0"/>
      </bottom>
      <diagonal/>
    </border>
    <border>
      <left style="double">
        <color rgb="FFFFFFFF"/>
      </left>
      <right style="double">
        <color rgb="FFFFFFFF"/>
      </right>
      <top style="thin">
        <color rgb="FFC0C0C0"/>
      </top>
      <bottom style="double">
        <color rgb="FFFFFFFF"/>
      </bottom>
      <diagonal/>
    </border>
    <border>
      <left style="double">
        <color rgb="FFFFFFFF"/>
      </left>
      <right/>
      <top style="thin">
        <color rgb="FFC0C0C0"/>
      </top>
      <bottom style="double">
        <color rgb="FFFFFFFF"/>
      </bottom>
      <diagonal/>
    </border>
    <border>
      <left style="double">
        <color rgb="FFFFFFFF"/>
      </left>
      <right style="double">
        <color rgb="FFFFFFFF"/>
      </right>
      <top style="double">
        <color rgb="FFFFFFFF"/>
      </top>
      <bottom style="thin">
        <color rgb="FFC0C0C0"/>
      </bottom>
      <diagonal/>
    </border>
    <border>
      <left style="double">
        <color rgb="FFFFFFFF"/>
      </left>
      <right/>
      <top style="double">
        <color rgb="FFFFFFFF"/>
      </top>
      <bottom style="thin">
        <color rgb="FFC0C0C0"/>
      </bottom>
      <diagonal/>
    </border>
    <border>
      <left/>
      <right style="double">
        <color rgb="FFFFFFFF"/>
      </right>
      <top style="double">
        <color rgb="FFFFFFFF"/>
      </top>
      <bottom style="thin">
        <color rgb="FFC0C0C0"/>
      </bottom>
      <diagonal/>
    </border>
    <border>
      <left style="medium">
        <color rgb="FFE6E6E6"/>
      </left>
      <right style="medium">
        <color rgb="FFE6E6E6"/>
      </right>
      <top style="medium">
        <color rgb="FFE6E6E6"/>
      </top>
      <bottom style="medium">
        <color rgb="FFE6E6E6"/>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cellStyleXfs>
  <cellXfs count="126">
    <xf numFmtId="0" fontId="0" fillId="0" borderId="0" xfId="0"/>
    <xf numFmtId="0" fontId="0" fillId="0" borderId="0" xfId="0" applyAlignment="1">
      <alignment horizontal="center" vertical="center" wrapText="1"/>
    </xf>
    <xf numFmtId="14" fontId="0" fillId="0" borderId="0" xfId="0" applyNumberFormat="1" applyAlignment="1">
      <alignment horizontal="center" vertical="center" wrapText="1"/>
    </xf>
    <xf numFmtId="43" fontId="0" fillId="0" borderId="0" xfId="1"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horizontal="center" vertical="center" wrapText="1"/>
    </xf>
    <xf numFmtId="10" fontId="0" fillId="0" borderId="0" xfId="2" applyNumberFormat="1" applyFont="1" applyAlignment="1">
      <alignment horizontal="center" vertical="center" wrapText="1"/>
    </xf>
    <xf numFmtId="0" fontId="2" fillId="3" borderId="0" xfId="0" applyFont="1" applyFill="1" applyAlignment="1">
      <alignment vertical="center" wrapText="1"/>
    </xf>
    <xf numFmtId="10" fontId="0" fillId="0" borderId="0" xfId="0" applyNumberFormat="1" applyAlignment="1">
      <alignment horizontal="center" vertical="center" wrapText="1"/>
    </xf>
    <xf numFmtId="165" fontId="0" fillId="0" borderId="0" xfId="0" applyNumberFormat="1" applyAlignment="1">
      <alignment horizontal="center" vertical="center" wrapText="1"/>
    </xf>
    <xf numFmtId="0" fontId="4" fillId="0" borderId="0" xfId="0" applyFont="1"/>
    <xf numFmtId="43" fontId="1" fillId="0" borderId="0" xfId="1"/>
    <xf numFmtId="10" fontId="1" fillId="0" borderId="0" xfId="2" applyNumberFormat="1" applyAlignment="1">
      <alignment horizontal="center"/>
    </xf>
    <xf numFmtId="164" fontId="1" fillId="0" borderId="0" xfId="2" applyNumberFormat="1" applyAlignment="1">
      <alignment horizontal="center"/>
    </xf>
    <xf numFmtId="0" fontId="0" fillId="0" borderId="0" xfId="0" applyAlignment="1">
      <alignment horizontal="center"/>
    </xf>
    <xf numFmtId="10" fontId="0" fillId="5" borderId="0" xfId="2" applyNumberFormat="1" applyFont="1" applyFill="1" applyAlignment="1">
      <alignment horizontal="center" vertical="center" wrapText="1"/>
    </xf>
    <xf numFmtId="14" fontId="0" fillId="4" borderId="0" xfId="0" applyNumberFormat="1" applyFill="1" applyAlignment="1">
      <alignment vertical="center" wrapText="1"/>
    </xf>
    <xf numFmtId="0" fontId="0" fillId="4" borderId="0" xfId="0" applyFill="1" applyAlignment="1">
      <alignment vertical="center" wrapText="1"/>
    </xf>
    <xf numFmtId="43" fontId="0" fillId="0" borderId="0" xfId="1" applyFont="1"/>
    <xf numFmtId="0" fontId="11" fillId="6" borderId="1" xfId="5" applyFont="1" applyFill="1" applyBorder="1" applyAlignment="1">
      <alignment horizontal="center" vertical="center" wrapText="1"/>
    </xf>
    <xf numFmtId="0" fontId="11" fillId="6" borderId="1" xfId="5" applyFont="1" applyFill="1" applyBorder="1" applyAlignment="1">
      <alignment horizontal="center" vertical="center" wrapText="1" shrinkToFit="1"/>
    </xf>
    <xf numFmtId="0" fontId="11" fillId="6" borderId="1" xfId="0" applyFont="1" applyFill="1" applyBorder="1" applyAlignment="1">
      <alignment horizontal="center" vertical="center" wrapText="1"/>
    </xf>
    <xf numFmtId="0" fontId="6" fillId="0" borderId="0" xfId="0" applyFont="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2" fillId="0" borderId="1" xfId="0" applyFont="1" applyBorder="1" applyAlignment="1">
      <alignment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10" fontId="8" fillId="0" borderId="1" xfId="5" applyNumberFormat="1" applyFont="1" applyBorder="1" applyAlignment="1">
      <alignment horizontal="center" vertical="center" wrapText="1" shrinkToFit="1"/>
    </xf>
    <xf numFmtId="0" fontId="8" fillId="0" borderId="1" xfId="0" applyFont="1" applyBorder="1" applyAlignment="1">
      <alignment vertical="center" wrapText="1"/>
    </xf>
    <xf numFmtId="4" fontId="8" fillId="0" borderId="1" xfId="0" applyNumberFormat="1" applyFont="1" applyBorder="1" applyAlignment="1">
      <alignment horizontal="center" vertical="center" wrapText="1"/>
    </xf>
    <xf numFmtId="10" fontId="8" fillId="0" borderId="1" xfId="0" applyNumberFormat="1" applyFont="1" applyBorder="1" applyAlignment="1">
      <alignment horizontal="center" vertical="center" wrapText="1"/>
    </xf>
    <xf numFmtId="0" fontId="13" fillId="0" borderId="0" xfId="0" applyFont="1" applyAlignment="1">
      <alignment vertical="center"/>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12" fillId="0" borderId="2" xfId="0" applyFont="1" applyBorder="1" applyAlignment="1">
      <alignment vertical="center"/>
    </xf>
    <xf numFmtId="0" fontId="12" fillId="0" borderId="2" xfId="0" applyFont="1" applyBorder="1" applyAlignment="1">
      <alignment horizontal="left" vertical="center"/>
    </xf>
    <xf numFmtId="0" fontId="12" fillId="0" borderId="2" xfId="0" applyFont="1" applyBorder="1" applyAlignment="1">
      <alignment horizontal="center" vertical="center"/>
    </xf>
    <xf numFmtId="10" fontId="8" fillId="0" borderId="2" xfId="5" applyNumberFormat="1" applyFont="1" applyBorder="1" applyAlignment="1">
      <alignment horizontal="center" vertical="center" wrapText="1" shrinkToFit="1"/>
    </xf>
    <xf numFmtId="0" fontId="8" fillId="0" borderId="2" xfId="0" applyFont="1" applyBorder="1" applyAlignment="1">
      <alignment vertical="center" wrapText="1"/>
    </xf>
    <xf numFmtId="4" fontId="8" fillId="0" borderId="2" xfId="0" applyNumberFormat="1" applyFont="1" applyBorder="1" applyAlignment="1">
      <alignment horizontal="center" vertical="center" wrapText="1"/>
    </xf>
    <xf numFmtId="10" fontId="8" fillId="0" borderId="2" xfId="0" applyNumberFormat="1" applyFont="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9" fillId="0" borderId="0" xfId="0" applyFont="1" applyAlignment="1">
      <alignment horizontal="left"/>
    </xf>
    <xf numFmtId="0" fontId="9" fillId="0" borderId="0" xfId="0" applyFont="1"/>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xf numFmtId="0" fontId="8" fillId="0" borderId="1" xfId="0" applyNumberFormat="1" applyFont="1" applyBorder="1" applyAlignment="1">
      <alignment horizontal="center" vertical="center" wrapText="1"/>
    </xf>
    <xf numFmtId="14" fontId="0" fillId="0" borderId="0" xfId="0" applyNumberFormat="1"/>
    <xf numFmtId="0" fontId="15" fillId="7" borderId="1" xfId="5" applyFont="1" applyFill="1" applyBorder="1" applyAlignment="1">
      <alignment horizontal="center" vertical="center" wrapText="1"/>
    </xf>
    <xf numFmtId="0" fontId="15" fillId="7" borderId="1" xfId="5" applyFont="1" applyFill="1" applyBorder="1" applyAlignment="1">
      <alignment horizontal="center" vertical="center" wrapText="1" shrinkToFit="1"/>
    </xf>
    <xf numFmtId="0" fontId="15" fillId="7" borderId="1" xfId="0" applyFont="1" applyFill="1" applyBorder="1" applyAlignment="1">
      <alignment horizontal="center" vertical="center" wrapText="1"/>
    </xf>
    <xf numFmtId="43" fontId="0" fillId="8" borderId="0" xfId="1" applyFont="1" applyFill="1" applyAlignment="1">
      <alignment horizontal="center" vertical="center" wrapText="1"/>
    </xf>
    <xf numFmtId="10" fontId="0" fillId="8" borderId="0" xfId="2" applyNumberFormat="1" applyFont="1" applyFill="1" applyAlignment="1">
      <alignment horizontal="center" vertical="center" wrapText="1"/>
    </xf>
    <xf numFmtId="0" fontId="16" fillId="0" borderId="0" xfId="0" applyFont="1" applyAlignment="1">
      <alignment horizontal="center" vertical="center" wrapText="1"/>
    </xf>
    <xf numFmtId="43" fontId="16" fillId="0" borderId="0" xfId="1" applyFont="1" applyAlignment="1">
      <alignment horizontal="center" vertical="center" wrapText="1"/>
    </xf>
    <xf numFmtId="0" fontId="17" fillId="0" borderId="0" xfId="0" applyFont="1" applyAlignment="1">
      <alignment horizontal="center" vertical="center" wrapText="1"/>
    </xf>
    <xf numFmtId="43" fontId="17" fillId="0" borderId="0" xfId="1" applyFont="1" applyAlignment="1">
      <alignment horizontal="center" vertical="center" wrapText="1"/>
    </xf>
    <xf numFmtId="10" fontId="17" fillId="0" borderId="0" xfId="2" applyNumberFormat="1" applyFont="1" applyAlignment="1">
      <alignment horizontal="center" vertical="center" wrapText="1"/>
    </xf>
    <xf numFmtId="164" fontId="16" fillId="0" borderId="0" xfId="2" applyNumberFormat="1" applyFont="1" applyAlignment="1">
      <alignment horizontal="center" vertical="center" wrapText="1"/>
    </xf>
    <xf numFmtId="0" fontId="18" fillId="2" borderId="0" xfId="0" applyFont="1" applyFill="1" applyAlignment="1">
      <alignment horizontal="center" vertical="center" wrapText="1"/>
    </xf>
    <xf numFmtId="43" fontId="18" fillId="2" borderId="0" xfId="1" applyFont="1" applyFill="1" applyAlignment="1">
      <alignment horizontal="center" vertical="center" wrapText="1"/>
    </xf>
    <xf numFmtId="10" fontId="18" fillId="2" borderId="0" xfId="2" applyNumberFormat="1" applyFont="1" applyFill="1" applyAlignment="1">
      <alignment horizontal="center" vertical="center" wrapText="1"/>
    </xf>
    <xf numFmtId="43" fontId="16" fillId="9" borderId="0" xfId="1" applyFont="1" applyFill="1" applyAlignment="1">
      <alignment horizontal="center" vertical="center" wrapText="1"/>
    </xf>
    <xf numFmtId="164" fontId="16" fillId="9" borderId="0" xfId="2" applyNumberFormat="1" applyFont="1" applyFill="1" applyAlignment="1">
      <alignment horizontal="center" vertical="center" wrapText="1"/>
    </xf>
    <xf numFmtId="0" fontId="16" fillId="9" borderId="0" xfId="0" applyFont="1" applyFill="1" applyAlignment="1">
      <alignment horizontal="center" vertical="center" wrapText="1"/>
    </xf>
    <xf numFmtId="0" fontId="19" fillId="7" borderId="3" xfId="0" applyFont="1" applyFill="1" applyBorder="1" applyAlignment="1">
      <alignment horizontal="center" vertical="center" wrapText="1" readingOrder="1"/>
    </xf>
    <xf numFmtId="0" fontId="20" fillId="0" borderId="4" xfId="0" applyFont="1" applyBorder="1" applyAlignment="1">
      <alignment horizontal="left" vertical="center" wrapText="1" readingOrder="1"/>
    </xf>
    <xf numFmtId="0" fontId="20" fillId="0" borderId="4" xfId="0" applyFont="1" applyBorder="1" applyAlignment="1">
      <alignment horizontal="right" vertical="center" wrapText="1" readingOrder="1"/>
    </xf>
    <xf numFmtId="10" fontId="20" fillId="0" borderId="4" xfId="0" applyNumberFormat="1" applyFont="1" applyBorder="1" applyAlignment="1">
      <alignment horizontal="center" vertical="center" wrapText="1" readingOrder="1"/>
    </xf>
    <xf numFmtId="14" fontId="20" fillId="0" borderId="4" xfId="0" applyNumberFormat="1" applyFont="1" applyBorder="1" applyAlignment="1">
      <alignment horizontal="center" vertical="center" wrapText="1" readingOrder="1"/>
    </xf>
    <xf numFmtId="10" fontId="20" fillId="0" borderId="5" xfId="0" applyNumberFormat="1" applyFont="1" applyBorder="1" applyAlignment="1">
      <alignment horizontal="center" vertical="center" wrapText="1" readingOrder="1"/>
    </xf>
    <xf numFmtId="0" fontId="20" fillId="0" borderId="6" xfId="0" applyFont="1" applyBorder="1" applyAlignment="1">
      <alignment horizontal="left" vertical="center" wrapText="1" readingOrder="1"/>
    </xf>
    <xf numFmtId="0" fontId="20" fillId="0" borderId="6" xfId="0" applyFont="1" applyBorder="1" applyAlignment="1">
      <alignment horizontal="right" vertical="center" wrapText="1" readingOrder="1"/>
    </xf>
    <xf numFmtId="10" fontId="20" fillId="0" borderId="6" xfId="0" applyNumberFormat="1" applyFont="1" applyBorder="1" applyAlignment="1">
      <alignment horizontal="center" vertical="center" wrapText="1" readingOrder="1"/>
    </xf>
    <xf numFmtId="14" fontId="20" fillId="0" borderId="6" xfId="0" applyNumberFormat="1" applyFont="1" applyBorder="1" applyAlignment="1">
      <alignment horizontal="center" vertical="center" wrapText="1" readingOrder="1"/>
    </xf>
    <xf numFmtId="10" fontId="20" fillId="0" borderId="7" xfId="0" applyNumberFormat="1" applyFont="1" applyBorder="1" applyAlignment="1">
      <alignment horizontal="center" vertical="center" wrapText="1" readingOrder="1"/>
    </xf>
    <xf numFmtId="0" fontId="19" fillId="7" borderId="8" xfId="0" applyFont="1" applyFill="1" applyBorder="1" applyAlignment="1">
      <alignment horizontal="right" vertical="center" wrapText="1" readingOrder="1"/>
    </xf>
    <xf numFmtId="10" fontId="19" fillId="7" borderId="8" xfId="0" applyNumberFormat="1" applyFont="1" applyFill="1" applyBorder="1" applyAlignment="1">
      <alignment horizontal="center" vertical="center" wrapText="1" readingOrder="1"/>
    </xf>
    <xf numFmtId="0" fontId="19" fillId="7" borderId="8" xfId="0" applyFont="1" applyFill="1" applyBorder="1" applyAlignment="1">
      <alignment horizontal="center" vertical="center" wrapText="1" readingOrder="1"/>
    </xf>
    <xf numFmtId="0" fontId="16" fillId="8" borderId="0" xfId="0" applyFont="1" applyFill="1" applyAlignment="1">
      <alignment horizontal="center" vertical="center" wrapText="1"/>
    </xf>
    <xf numFmtId="43" fontId="16" fillId="8" borderId="0" xfId="1" applyFont="1" applyFill="1" applyAlignment="1">
      <alignment horizontal="center" vertical="center" wrapText="1"/>
    </xf>
    <xf numFmtId="0" fontId="14" fillId="7" borderId="0" xfId="5" applyFont="1" applyFill="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9" fillId="0" borderId="0" xfId="0" applyFont="1" applyAlignment="1">
      <alignment horizontal="left"/>
    </xf>
    <xf numFmtId="0" fontId="9" fillId="0" borderId="0" xfId="0" applyFont="1"/>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xf numFmtId="0" fontId="7" fillId="6" borderId="0" xfId="5" applyFont="1" applyFill="1" applyAlignment="1">
      <alignment horizontal="center" vertical="center" wrapText="1"/>
    </xf>
    <xf numFmtId="0" fontId="2" fillId="3" borderId="0" xfId="0" applyFont="1" applyFill="1" applyAlignment="1">
      <alignment horizontal="center" vertical="center" wrapText="1"/>
    </xf>
    <xf numFmtId="0" fontId="19" fillId="7" borderId="9" xfId="0" applyFont="1" applyFill="1" applyBorder="1" applyAlignment="1">
      <alignment horizontal="center" vertical="center" wrapText="1" readingOrder="1"/>
    </xf>
    <xf numFmtId="0" fontId="19" fillId="7" borderId="10" xfId="0" applyFont="1" applyFill="1" applyBorder="1" applyAlignment="1">
      <alignment horizontal="center" vertical="center" wrapText="1" readingOrder="1"/>
    </xf>
    <xf numFmtId="14" fontId="0" fillId="0" borderId="0" xfId="0" applyNumberFormat="1" applyAlignment="1">
      <alignment horizontal="center"/>
    </xf>
    <xf numFmtId="0" fontId="21" fillId="2" borderId="0" xfId="0" applyFont="1" applyFill="1" applyAlignment="1">
      <alignment horizontal="center" vertical="center" wrapText="1"/>
    </xf>
    <xf numFmtId="0" fontId="6" fillId="0" borderId="0" xfId="0" applyFont="1" applyAlignment="1">
      <alignment horizontal="center" vertical="center" wrapText="1"/>
    </xf>
    <xf numFmtId="164" fontId="6" fillId="0" borderId="0" xfId="2" applyNumberFormat="1" applyFont="1" applyAlignment="1">
      <alignment horizontal="center" vertical="center" wrapText="1"/>
    </xf>
    <xf numFmtId="10" fontId="6" fillId="0" borderId="0" xfId="2" applyNumberFormat="1" applyFont="1" applyAlignment="1">
      <alignment horizontal="center" vertical="center" wrapText="1"/>
    </xf>
    <xf numFmtId="43" fontId="6" fillId="0" borderId="0" xfId="1" applyFont="1" applyAlignment="1">
      <alignment horizontal="center" vertical="center" wrapText="1"/>
    </xf>
    <xf numFmtId="43" fontId="6" fillId="0" borderId="0" xfId="1" applyNumberFormat="1" applyFont="1" applyAlignment="1">
      <alignment horizontal="center" vertical="center" wrapText="1"/>
    </xf>
    <xf numFmtId="0" fontId="6" fillId="10" borderId="0" xfId="0" applyFont="1" applyFill="1" applyAlignment="1">
      <alignment horizontal="center" vertical="center" wrapText="1"/>
    </xf>
    <xf numFmtId="10" fontId="6" fillId="10" borderId="0" xfId="2" applyNumberFormat="1" applyFont="1" applyFill="1" applyAlignment="1">
      <alignment horizontal="center" vertical="center" wrapText="1"/>
    </xf>
    <xf numFmtId="43" fontId="6" fillId="10" borderId="0" xfId="1" applyFont="1" applyFill="1" applyAlignment="1">
      <alignment horizontal="center" vertical="center" wrapText="1"/>
    </xf>
    <xf numFmtId="9" fontId="6" fillId="10" borderId="0" xfId="2" applyFont="1" applyFill="1" applyAlignment="1">
      <alignment horizontal="center" vertical="center" wrapText="1"/>
    </xf>
    <xf numFmtId="0" fontId="16" fillId="11" borderId="11" xfId="0" applyFont="1" applyFill="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Fill="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horizontal="justify" vertical="center" wrapText="1"/>
    </xf>
    <xf numFmtId="0" fontId="17" fillId="0" borderId="0" xfId="0" applyFont="1" applyAlignment="1">
      <alignment horizontal="justify" vertical="center" wrapText="1"/>
    </xf>
    <xf numFmtId="0" fontId="18" fillId="2" borderId="11" xfId="0" applyFont="1" applyFill="1" applyBorder="1" applyAlignment="1">
      <alignment horizontal="center" vertical="center" wrapText="1"/>
    </xf>
    <xf numFmtId="0" fontId="0" fillId="0" borderId="0" xfId="0" applyAlignment="1">
      <alignment horizontal="center" vertical="center"/>
    </xf>
    <xf numFmtId="0" fontId="17" fillId="0" borderId="0" xfId="0" applyFont="1" applyAlignment="1">
      <alignment horizontal="center" vertical="center"/>
    </xf>
    <xf numFmtId="0" fontId="23" fillId="7" borderId="3" xfId="0" applyFont="1" applyFill="1" applyBorder="1" applyAlignment="1">
      <alignment horizontal="center" vertical="center" wrapText="1" readingOrder="1"/>
    </xf>
    <xf numFmtId="0" fontId="24" fillId="0" borderId="4" xfId="0" applyFont="1" applyBorder="1" applyAlignment="1">
      <alignment horizontal="left" vertical="center" wrapText="1" readingOrder="1"/>
    </xf>
    <xf numFmtId="10" fontId="24" fillId="0" borderId="4" xfId="0" applyNumberFormat="1" applyFont="1" applyBorder="1" applyAlignment="1">
      <alignment horizontal="center" vertical="center" wrapText="1" readingOrder="1"/>
    </xf>
    <xf numFmtId="0" fontId="24" fillId="0" borderId="6" xfId="0" applyFont="1" applyBorder="1" applyAlignment="1">
      <alignment horizontal="left" vertical="center" wrapText="1" readingOrder="1"/>
    </xf>
    <xf numFmtId="10" fontId="24" fillId="0" borderId="6" xfId="0" applyNumberFormat="1" applyFont="1" applyBorder="1" applyAlignment="1">
      <alignment horizontal="center" vertical="center" wrapText="1" readingOrder="1"/>
    </xf>
    <xf numFmtId="0" fontId="24" fillId="0" borderId="9" xfId="0" applyFont="1" applyBorder="1" applyAlignment="1">
      <alignment horizontal="left" vertical="center" wrapText="1" readingOrder="1"/>
    </xf>
    <xf numFmtId="10" fontId="24" fillId="0" borderId="8" xfId="0" applyNumberFormat="1" applyFont="1" applyBorder="1" applyAlignment="1">
      <alignment horizontal="center" vertical="center" wrapText="1" readingOrder="1"/>
    </xf>
    <xf numFmtId="0" fontId="24" fillId="12" borderId="4" xfId="0" applyFont="1" applyFill="1" applyBorder="1" applyAlignment="1">
      <alignment horizontal="left" vertical="center" wrapText="1" readingOrder="1"/>
    </xf>
    <xf numFmtId="10" fontId="24" fillId="12" borderId="4" xfId="0" applyNumberFormat="1" applyFont="1" applyFill="1" applyBorder="1" applyAlignment="1">
      <alignment horizontal="center" vertical="center" wrapText="1" readingOrder="1"/>
    </xf>
  </cellXfs>
  <cellStyles count="6">
    <cellStyle name="Milliers" xfId="1" builtinId="3"/>
    <cellStyle name="Normal" xfId="0" builtinId="0"/>
    <cellStyle name="Normal 10 2 2 2" xfId="4" xr:uid="{1FDEB8B6-5F18-406E-B56E-6423BB613FBE}"/>
    <cellStyle name="Normal 66" xfId="3" xr:uid="{32582BAB-9A1E-4F90-B6BD-2A9E56A6E45A}"/>
    <cellStyle name="Normal_Tabl perf 14_2002" xfId="5" xr:uid="{B73C88FB-2E4C-4D38-9B42-AD8DC5C661E5}"/>
    <cellStyle name="Pourcentage" xfId="2" builtinId="5"/>
  </cellStyles>
  <dxfs count="138">
    <dxf>
      <font>
        <color rgb="FF006100"/>
      </font>
      <fill>
        <patternFill>
          <bgColor rgb="FFC6EFCE"/>
        </patternFill>
      </fill>
    </dxf>
    <dxf>
      <font>
        <color rgb="FF9C0006"/>
      </font>
      <fill>
        <patternFill>
          <bgColor rgb="FFFFC7CE"/>
        </patternFill>
      </fill>
    </dxf>
    <dxf>
      <font>
        <condense val="0"/>
        <extend val="0"/>
        <color auto="1"/>
      </font>
    </dxf>
    <dxf>
      <font>
        <condense val="0"/>
        <extend val="0"/>
        <color auto="1"/>
      </font>
    </dxf>
    <dxf>
      <font>
        <condense val="0"/>
        <extend val="0"/>
        <color auto="1"/>
      </font>
    </dxf>
    <dxf>
      <font>
        <condense val="0"/>
        <extend val="0"/>
        <color auto="1"/>
      </font>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8"/>
        <color auto="1"/>
        <name val="Poppins"/>
      </font>
      <alignment horizontal="center" vertical="center" wrapText="1"/>
    </dxf>
    <dxf>
      <border outline="0">
        <bottom style="thin">
          <color indexed="64"/>
        </bottom>
      </border>
    </dxf>
    <dxf>
      <font>
        <b/>
        <strike val="0"/>
        <condense val="0"/>
        <extend val="0"/>
        <outline val="0"/>
        <shadow val="0"/>
        <vertAlign val="baseline"/>
        <sz val="8"/>
        <color auto="1"/>
        <name val="Poppins"/>
      </font>
      <fill>
        <patternFill patternType="solid">
          <fgColor indexed="64"/>
          <bgColor indexed="47"/>
        </patternFill>
      </fill>
      <alignment horizontal="center" vertical="center" wrapText="1" shrinkToFit="1"/>
      <border outline="0">
        <left style="thin">
          <color indexed="64"/>
        </left>
        <right style="thin">
          <color indexed="64"/>
        </right>
        <top/>
        <bottom/>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8"/>
        <color auto="1"/>
        <name val="Poppins"/>
      </font>
      <alignment horizontal="center" vertical="center" wrapText="1"/>
    </dxf>
    <dxf>
      <border outline="0">
        <bottom style="thin">
          <color indexed="64"/>
        </bottom>
      </border>
    </dxf>
    <dxf>
      <font>
        <b/>
        <strike val="0"/>
        <condense val="0"/>
        <extend val="0"/>
        <outline val="0"/>
        <shadow val="0"/>
        <vertAlign val="baseline"/>
        <sz val="8"/>
        <color theme="0"/>
        <name val="Poppins"/>
      </font>
      <fill>
        <patternFill patternType="solid">
          <fgColor indexed="64"/>
          <bgColor rgb="FF003366"/>
        </patternFill>
      </fill>
      <alignment horizontal="center" vertical="center" wrapText="1" shrinkToFit="1"/>
      <border outline="0">
        <left style="thin">
          <color indexed="64"/>
        </left>
        <right style="thin">
          <color indexed="64"/>
        </right>
        <top/>
        <bottom/>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8"/>
        <color auto="1"/>
        <name val="Poppins"/>
      </font>
      <alignment horizontal="center" vertical="center" wrapText="1"/>
    </dxf>
    <dxf>
      <border outline="0">
        <bottom style="thin">
          <color indexed="64"/>
        </bottom>
      </border>
    </dxf>
    <dxf>
      <font>
        <b/>
        <strike val="0"/>
        <condense val="0"/>
        <extend val="0"/>
        <outline val="0"/>
        <shadow val="0"/>
        <vertAlign val="baseline"/>
        <sz val="8"/>
        <color theme="0"/>
        <name val="Poppins"/>
      </font>
      <fill>
        <patternFill patternType="solid">
          <fgColor indexed="64"/>
          <bgColor rgb="FF003366"/>
        </patternFill>
      </fill>
      <alignment horizontal="center" vertical="center" wrapText="1" shrinkToFit="1"/>
      <border outline="0">
        <left style="thin">
          <color indexed="64"/>
        </left>
        <right style="thin">
          <color indexed="64"/>
        </right>
        <top/>
        <bottom/>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4" formatCode="#,##0.00"/>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numFmt numFmtId="14" formatCode="0.00%"/>
      <alignment horizontal="center" vertical="center" wrapText="1" shrinkToFi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indexed="8"/>
        <name val="Poppins"/>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8"/>
        <color auto="1"/>
        <name val="Poppins"/>
      </font>
      <alignment horizontal="center" vertical="center" wrapText="1"/>
      <border>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8"/>
        <color auto="1"/>
        <name val="Poppins"/>
      </font>
      <alignment horizontal="center" vertical="center" wrapText="1"/>
    </dxf>
    <dxf>
      <border outline="0">
        <bottom style="thin">
          <color indexed="64"/>
        </bottom>
      </border>
    </dxf>
    <dxf>
      <font>
        <b/>
        <strike val="0"/>
        <condense val="0"/>
        <extend val="0"/>
        <outline val="0"/>
        <shadow val="0"/>
        <vertAlign val="baseline"/>
        <sz val="8"/>
        <color theme="0"/>
        <name val="Poppins"/>
      </font>
      <fill>
        <patternFill patternType="solid">
          <fgColor indexed="64"/>
          <bgColor rgb="FF003366"/>
        </patternFill>
      </fill>
      <alignment horizontal="center" vertical="center" wrapText="1" shrinkToFi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560359</xdr:colOff>
      <xdr:row>19</xdr:row>
      <xdr:rowOff>152360</xdr:rowOff>
    </xdr:from>
    <xdr:to>
      <xdr:col>16</xdr:col>
      <xdr:colOff>36050</xdr:colOff>
      <xdr:row>34</xdr:row>
      <xdr:rowOff>99263</xdr:rowOff>
    </xdr:to>
    <xdr:pic>
      <xdr:nvPicPr>
        <xdr:cNvPr id="3" name="Image 2">
          <a:extLst>
            <a:ext uri="{FF2B5EF4-FFF2-40B4-BE49-F238E27FC236}">
              <a16:creationId xmlns:a16="http://schemas.microsoft.com/office/drawing/2014/main" id="{E2EDDEF0-0418-485A-8899-252AD6739B58}"/>
            </a:ext>
          </a:extLst>
        </xdr:cNvPr>
        <xdr:cNvPicPr>
          <a:picLocks noChangeAspect="1"/>
        </xdr:cNvPicPr>
      </xdr:nvPicPr>
      <xdr:blipFill>
        <a:blip xmlns:r="http://schemas.openxmlformats.org/officeDocument/2006/relationships" r:embed="rId1"/>
        <a:stretch>
          <a:fillRect/>
        </a:stretch>
      </xdr:blipFill>
      <xdr:spPr>
        <a:xfrm>
          <a:off x="11990359" y="3962360"/>
          <a:ext cx="8181541" cy="280440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30B72B-E128-4EF9-9368-DEEBEFEF837E}" name="Tableau1" displayName="Tableau1" ref="A2:AB1002" totalsRowShown="0" headerRowDxfId="137" dataDxfId="135" headerRowBorderDxfId="136" tableBorderDxfId="134" totalsRowBorderDxfId="133" headerRowCellStyle="Normal_Tabl perf 14_2002">
  <autoFilter ref="A2:AB1002" xr:uid="{D830B72B-E128-4EF9-9368-DEEBEFEF837E}"/>
  <tableColumns count="28">
    <tableColumn id="2" xr3:uid="{7436C863-B7D7-4C4F-AFB7-B24B4A61B1C2}" name="CODE ISIN" dataDxfId="132"/>
    <tableColumn id="3" xr3:uid="{1B999FB9-7BDA-4FC8-83DB-745FDD9C6504}" name="Code Maroclear" dataDxfId="131"/>
    <tableColumn id="4" xr3:uid="{DF3D995B-9E4D-441B-B49F-C1D99706E1ED}" name="OPCVM" dataDxfId="130"/>
    <tableColumn id="5" xr3:uid="{A9430092-0F06-4895-A5B7-DB685D8A63E8}" name="Société de Gestion" dataDxfId="129"/>
    <tableColumn id="6" xr3:uid="{98FE8400-69A4-48A8-AA5B-053301801868}" name="Nature juridique" dataDxfId="128"/>
    <tableColumn id="7" xr3:uid="{89A8DC0E-A8A2-444A-A995-5B9F4230B3CC}" name="Classification" dataDxfId="127"/>
    <tableColumn id="8" xr3:uid="{870C2EBF-9DD0-4EA7-A721-634B802AA843}" name="Sensibilité" dataDxfId="126"/>
    <tableColumn id="9" xr3:uid="{9578AE85-0599-464A-8C28-88E916B9C624}" name="Indice Bentchmark" dataDxfId="125"/>
    <tableColumn id="10" xr3:uid="{F8CB11C2-4342-415F-A3FE-ADF9267DF34F}" name="Périodicité VL" dataDxfId="124"/>
    <tableColumn id="11" xr3:uid="{40ACE8C6-5081-49F6-9278-AABDA63D21A9}" name="Souscripteurs" dataDxfId="123"/>
    <tableColumn id="12" xr3:uid="{B161EC4D-6FE9-4787-B01C-733BCB4E9BD8}" name="Affectation des résultats" dataDxfId="122"/>
    <tableColumn id="13" xr3:uid="{A3A43DEC-7C29-41A4-9071-C13AE79209D6}" name="Commission de souscription" dataDxfId="121" dataCellStyle="Normal_Tabl perf 14_2002"/>
    <tableColumn id="14" xr3:uid="{4E42EE1F-B8EC-404A-B3AF-5548A04F310D}" name=" Commission de rachat" dataDxfId="120" dataCellStyle="Normal_Tabl perf 14_2002"/>
    <tableColumn id="15" xr3:uid="{B484BF51-A6E3-499D-8C29-E0B47494DC93}" name="Frais de gestion" dataDxfId="119" dataCellStyle="Normal_Tabl perf 14_2002"/>
    <tableColumn id="16" xr3:uid="{4A58EE1C-EE77-4D76-A96F-BE057759EFA9}" name="Dépositaire" dataDxfId="118"/>
    <tableColumn id="17" xr3:uid="{28C6AC47-02C5-43C7-B8DC-23F369E2BF06}" name="Réseau placeur" dataDxfId="117"/>
    <tableColumn id="18" xr3:uid="{721BD2E3-7D2C-4805-BAE8-093A376891DD}" name="AN" dataDxfId="116"/>
    <tableColumn id="19" xr3:uid="{6EA28917-2920-4B2A-A149-057C9A4211C4}" name="VL" dataDxfId="115"/>
    <tableColumn id="20" xr3:uid="{DE9DC3CF-AEAE-4223-937F-663A6CE11EC1}" name="YTD" dataDxfId="114"/>
    <tableColumn id="21" xr3:uid="{8ED2BB6E-6448-4657-B29B-7EE693CC2671}" name="1 jour" dataDxfId="113"/>
    <tableColumn id="22" xr3:uid="{26B0A65D-5055-4B1D-A4C2-3D37755E8E29}" name="1 semaine" dataDxfId="112"/>
    <tableColumn id="23" xr3:uid="{44610E33-4397-4B12-8C2B-35D7B14BBCB8}" name="1 mois" dataDxfId="111"/>
    <tableColumn id="24" xr3:uid="{AF8B42E7-3789-4512-BD2B-89748323ECF8}" name="3 mois" dataDxfId="110"/>
    <tableColumn id="25" xr3:uid="{49EA4F80-328A-48F2-8F04-F87A7665F7E9}" name="6 mois" dataDxfId="109"/>
    <tableColumn id="26" xr3:uid="{9C1DF69F-77F5-44DF-87CE-7CDA57E52B27}" name="1 an" dataDxfId="108"/>
    <tableColumn id="27" xr3:uid="{012EFB44-854A-4EFB-9FD9-3EFBF9560E42}" name="2 ans" dataDxfId="107"/>
    <tableColumn id="28" xr3:uid="{6051C778-017B-4A2F-B09E-564D1D64908B}" name="3 ans" dataDxfId="106"/>
    <tableColumn id="29" xr3:uid="{A57EC035-AAFA-4FF6-94E9-FEB913637B28}" name="5 ans" dataDxfId="10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2F7438-3EB1-4445-992D-8E20AB5F6F98}" name="Tableau13" displayName="Tableau13" ref="A2:AB1002" totalsRowShown="0" headerRowDxfId="104" dataDxfId="102" headerRowBorderDxfId="103" tableBorderDxfId="101" totalsRowBorderDxfId="100" headerRowCellStyle="Normal_Tabl perf 14_2002">
  <autoFilter ref="A2:AB1002" xr:uid="{DC2F7438-3EB1-4445-992D-8E20AB5F6F98}"/>
  <tableColumns count="28">
    <tableColumn id="2" xr3:uid="{82392788-F7FD-445A-98AA-D87B5B41097B}" name="CODE ISIN" dataDxfId="99"/>
    <tableColumn id="3" xr3:uid="{FF8D4B76-242B-4062-8814-7BBBA3C550DD}" name="Code Maroclear" dataDxfId="98"/>
    <tableColumn id="4" xr3:uid="{ADE83CBF-7A7A-471F-AA78-AA58582593B2}" name="OPCVM" dataDxfId="97"/>
    <tableColumn id="5" xr3:uid="{876DC8E5-D07E-4FDF-B9D8-590126ADC387}" name="Société de Gestion" dataDxfId="96"/>
    <tableColumn id="6" xr3:uid="{66FAE3CE-3D39-4F83-A5E5-B9989D10ABB9}" name="Nature juridique" dataDxfId="95"/>
    <tableColumn id="7" xr3:uid="{6EC0F9A3-B47C-4152-8BCB-E23374CCFBBD}" name="Classification" dataDxfId="94"/>
    <tableColumn id="8" xr3:uid="{420A693C-F11F-4A68-A380-6DB8388F4A12}" name="Sensibilité" dataDxfId="93"/>
    <tableColumn id="9" xr3:uid="{00497BCD-13C4-4449-8A56-51C76D55D41B}" name="Indice Bentchmark" dataDxfId="92"/>
    <tableColumn id="10" xr3:uid="{9FDDDDBC-B3D5-430D-9E52-36FBFC86E02C}" name="Périodicité VL" dataDxfId="91"/>
    <tableColumn id="11" xr3:uid="{D7C6294E-2B96-4BD4-A435-278FB9B4D7C9}" name="Souscripteurs" dataDxfId="90"/>
    <tableColumn id="12" xr3:uid="{40A87907-11EE-4A26-AC8B-158D78262B37}" name="Affectation des résultats" dataDxfId="89"/>
    <tableColumn id="13" xr3:uid="{DC173C88-03FE-497B-A591-8747C823DF29}" name="Commission de souscription" dataDxfId="88" dataCellStyle="Normal_Tabl perf 14_2002"/>
    <tableColumn id="14" xr3:uid="{05E75CEF-AA0B-4E08-8950-B2FF5CE56176}" name=" Commission de rachat" dataDxfId="87" dataCellStyle="Normal_Tabl perf 14_2002"/>
    <tableColumn id="15" xr3:uid="{964F5447-0FDA-4696-8079-8E6E27DBE84E}" name="Frais de gestion" dataDxfId="86" dataCellStyle="Normal_Tabl perf 14_2002"/>
    <tableColumn id="16" xr3:uid="{B026C183-018A-47E4-9EBB-370B7F3AEAB0}" name="Dépositaire" dataDxfId="85"/>
    <tableColumn id="17" xr3:uid="{EFCB4263-5C28-400A-BF2F-796A194DB8DC}" name="Réseau placeur" dataDxfId="84"/>
    <tableColumn id="18" xr3:uid="{5E270F75-C514-4BAE-BF2A-96328BBD1C81}" name="AN" dataDxfId="83"/>
    <tableColumn id="19" xr3:uid="{92388693-9CC6-46BF-A31B-BCAFA13654FB}" name="VL" dataDxfId="82"/>
    <tableColumn id="20" xr3:uid="{D29CA4DD-F0B8-4936-8B20-C7C0F695193C}" name="YTD" dataDxfId="81"/>
    <tableColumn id="21" xr3:uid="{2A74B5D3-8D1C-4AEA-A077-4E8C4C967A58}" name="1 jour" dataDxfId="80"/>
    <tableColumn id="22" xr3:uid="{6A43FCBF-3942-4AE1-9706-A79846C39EDF}" name="1 semaine" dataDxfId="79"/>
    <tableColumn id="23" xr3:uid="{A268F550-E959-43EB-BBAB-588C59309B50}" name="1 mois" dataDxfId="78"/>
    <tableColumn id="24" xr3:uid="{01BC3C39-878B-456E-806D-B1CE13A2638B}" name="3 mois" dataDxfId="77"/>
    <tableColumn id="25" xr3:uid="{8B7BB475-3B1F-453F-95A2-B19E2C457BE2}" name="6 mois" dataDxfId="76"/>
    <tableColumn id="26" xr3:uid="{A19A8206-677B-419C-BB9D-10B5ACDD29D0}" name="1 an" dataDxfId="75"/>
    <tableColumn id="27" xr3:uid="{73B54324-FD8F-439A-8C95-B231B8C46C3E}" name="2 ans" dataDxfId="74"/>
    <tableColumn id="28" xr3:uid="{7549A203-B823-42DE-8331-F0AF667F0B26}" name="3 ans" dataDxfId="73"/>
    <tableColumn id="29" xr3:uid="{217179FC-14D8-435F-963D-BA3C7AB395C7}" name="5 ans" dataDxfId="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16B697-D18C-4DF4-917D-D1FEDCB7A29E}" name="Tableau14" displayName="Tableau14" ref="A2:AB1002" totalsRowShown="0" headerRowDxfId="71" dataDxfId="69" headerRowBorderDxfId="70" tableBorderDxfId="68" totalsRowBorderDxfId="67" headerRowCellStyle="Normal_Tabl perf 14_2002">
  <autoFilter ref="A2:AB1002" xr:uid="{2216B697-D18C-4DF4-917D-D1FEDCB7A29E}"/>
  <tableColumns count="28">
    <tableColumn id="2" xr3:uid="{F75BE20F-7538-4FBC-9D01-3ED49E2AFE1A}" name="CODE ISIN" dataDxfId="66"/>
    <tableColumn id="3" xr3:uid="{955B962B-924D-48A7-89CA-5121042C8F12}" name="Code Maroclear" dataDxfId="65"/>
    <tableColumn id="4" xr3:uid="{D55576D4-8C95-40C1-8879-2E170555EE39}" name="OPCVM" dataDxfId="64"/>
    <tableColumn id="5" xr3:uid="{C08560E4-5E96-4846-A6E8-8EE640B0FE56}" name="Société de Gestion" dataDxfId="63"/>
    <tableColumn id="6" xr3:uid="{5667E874-52CF-4C15-AC5C-3D87DB5DE01C}" name="Nature juridique" dataDxfId="62"/>
    <tableColumn id="7" xr3:uid="{65075EE9-3EBE-4A2F-BF98-FF9F2FB339A6}" name="Classification" dataDxfId="61"/>
    <tableColumn id="8" xr3:uid="{4E2CAA46-37F8-4667-81C4-729512D1F3EE}" name="Sensibilité" dataDxfId="60"/>
    <tableColumn id="9" xr3:uid="{7B079E01-7B74-4790-AF82-A1B40B4B3E19}" name="Indice Bentchmark" dataDxfId="59"/>
    <tableColumn id="10" xr3:uid="{B4C8981C-A6CE-45CD-B999-38B97ECA7400}" name="Périodicité VL" dataDxfId="58"/>
    <tableColumn id="11" xr3:uid="{53AFD7ED-E68C-4CF1-807A-1F2267533255}" name="Souscripteurs" dataDxfId="57"/>
    <tableColumn id="12" xr3:uid="{2F2C5940-8BB7-49DD-9304-7FEB23D86B67}" name="Affectation des résultats" dataDxfId="56"/>
    <tableColumn id="13" xr3:uid="{C7FB712C-C948-4BF8-A1ED-F82119160083}" name="Commission de souscription" dataDxfId="55" dataCellStyle="Normal_Tabl perf 14_2002"/>
    <tableColumn id="14" xr3:uid="{72844355-501B-4EB7-953A-7704242DC0B7}" name=" Commission de rachat" dataDxfId="54" dataCellStyle="Normal_Tabl perf 14_2002"/>
    <tableColumn id="15" xr3:uid="{1DE0A2BF-DFFC-486C-BCC9-B629F60D6721}" name="Frais de gestion" dataDxfId="53" dataCellStyle="Normal_Tabl perf 14_2002"/>
    <tableColumn id="16" xr3:uid="{BA1C99F1-48D1-4436-9D78-416757C9C279}" name="Dépositaire" dataDxfId="52"/>
    <tableColumn id="17" xr3:uid="{3ACF724F-A557-4787-B1D5-937FDF8A5727}" name="Réseau placeur" dataDxfId="51"/>
    <tableColumn id="18" xr3:uid="{B8123E08-9E36-4FC2-B8F9-3B4EA2FB0ADF}" name="AN" dataDxfId="50"/>
    <tableColumn id="19" xr3:uid="{9DE85D22-03CF-4055-975F-FD4D135F6332}" name="VL" dataDxfId="49"/>
    <tableColumn id="20" xr3:uid="{6DA503B2-D20F-4466-9403-25FDCDD88559}" name="YTD" dataDxfId="48"/>
    <tableColumn id="21" xr3:uid="{1CC9031D-AA4B-41E2-84CB-8291CA0B7673}" name="1 jour" dataDxfId="47"/>
    <tableColumn id="22" xr3:uid="{6C4066F9-104B-428D-95A0-44179C8A62B4}" name="1 semaine" dataDxfId="46"/>
    <tableColumn id="23" xr3:uid="{99E8AD82-8D9F-467C-8C08-E8F0BEEACE13}" name="1 mois" dataDxfId="45"/>
    <tableColumn id="24" xr3:uid="{B1C0A747-D8DD-4906-B5AF-2180363F61C8}" name="3 mois" dataDxfId="44"/>
    <tableColumn id="25" xr3:uid="{5FE88DCE-5308-49A0-ACE5-133ED567CF12}" name="6 mois" dataDxfId="43"/>
    <tableColumn id="26" xr3:uid="{1CCF06EB-4A14-45A8-882A-5F0BD19E7880}" name="1 an" dataDxfId="42"/>
    <tableColumn id="27" xr3:uid="{D123D834-B2B2-4B76-9956-872D27120DFB}" name="2 ans" dataDxfId="41"/>
    <tableColumn id="28" xr3:uid="{9171CB76-9640-4DBF-A42C-09A6D54741E0}" name="3 ans" dataDxfId="40"/>
    <tableColumn id="29" xr3:uid="{9E18781D-6441-42D1-9A88-6CB67623CE05}" name="5 ans" dataDxfId="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C2968D-2466-4FB0-8B04-D65EB2BC3DB3}" name="Tableau16" displayName="Tableau16" ref="A2:AB1002" totalsRowShown="0" headerRowDxfId="38" dataDxfId="36" headerRowBorderDxfId="37" tableBorderDxfId="35" totalsRowBorderDxfId="34" headerRowCellStyle="Normal_Tabl perf 14_2002">
  <autoFilter ref="A2:AB1002" xr:uid="{3CC2968D-2466-4FB0-8B04-D65EB2BC3DB3}"/>
  <tableColumns count="28">
    <tableColumn id="2" xr3:uid="{71B7AF64-785F-4A1D-AE06-1C66AF1679FC}" name="CODE ISIN" dataDxfId="33"/>
    <tableColumn id="3" xr3:uid="{229070FB-C217-4BBD-B091-568CE01BCCB3}" name="Code Maroclear" dataDxfId="32"/>
    <tableColumn id="4" xr3:uid="{7785C5F8-3CF0-4F65-A3C5-1CEC333C10D1}" name="OPCVM" dataDxfId="31"/>
    <tableColumn id="5" xr3:uid="{CD058E36-0578-48A6-8D19-184DC5D511AB}" name="Société de Gestion" dataDxfId="30"/>
    <tableColumn id="6" xr3:uid="{ED0E7908-45C2-4634-850A-3FB9E9F53E82}" name="Nature juridique" dataDxfId="29"/>
    <tableColumn id="7" xr3:uid="{6EE5DCDB-E77F-4A21-937C-722EA42B55B1}" name="Classification" dataDxfId="28"/>
    <tableColumn id="8" xr3:uid="{35DA4533-0F64-4590-8B55-D006F98AF63B}" name="Sensibilité" dataDxfId="27"/>
    <tableColumn id="9" xr3:uid="{142F623D-B176-4419-8DAB-E8C699CEF2D3}" name="Indice Bentchmark" dataDxfId="26"/>
    <tableColumn id="10" xr3:uid="{885072FE-355C-499B-B8B9-2F6875CAD816}" name="Périodicité VL" dataDxfId="25"/>
    <tableColumn id="11" xr3:uid="{716494C9-83A6-42F5-B2A1-420B86F6B420}" name="Souscripteurs" dataDxfId="24"/>
    <tableColumn id="12" xr3:uid="{BE80C556-A678-4186-9554-16C3F445BD54}" name="Affectation des résultats" dataDxfId="23"/>
    <tableColumn id="13" xr3:uid="{77DC1277-9FE0-494B-8072-11132FD43957}" name="Commission de souscription" dataDxfId="22" dataCellStyle="Normal_Tabl perf 14_2002"/>
    <tableColumn id="14" xr3:uid="{F329BE41-C858-41FA-BFF1-0920EDCDE583}" name=" Commission de rachat" dataDxfId="21" dataCellStyle="Normal_Tabl perf 14_2002"/>
    <tableColumn id="15" xr3:uid="{2DA43679-0D32-4670-8F04-505A762A43A5}" name="Frais de gestion" dataDxfId="20" dataCellStyle="Normal_Tabl perf 14_2002"/>
    <tableColumn id="16" xr3:uid="{37B58ABF-1015-4007-A284-9C521ED7231E}" name="Dépositaire" dataDxfId="19"/>
    <tableColumn id="17" xr3:uid="{4556E288-07AC-45F1-ABC3-24DF4E5AE0C5}" name="Réseau placeur" dataDxfId="18"/>
    <tableColumn id="18" xr3:uid="{CC94A845-3BAC-42A7-8B07-CDB525B0B710}" name="AN" dataDxfId="17"/>
    <tableColumn id="19" xr3:uid="{0195CB3E-BBDF-4049-B9AA-8DC39CBBB846}" name="VL" dataDxfId="16"/>
    <tableColumn id="20" xr3:uid="{DD41E4D9-D174-4C5A-A6F0-E7FB60DC6780}" name="YTD" dataDxfId="15"/>
    <tableColumn id="21" xr3:uid="{B1B9BC44-710A-4881-885D-3D97C4A37EED}" name="1 jour" dataDxfId="14"/>
    <tableColumn id="22" xr3:uid="{E905609A-5E80-48D0-8077-0C2B14036E95}" name="1 semaine" dataDxfId="13"/>
    <tableColumn id="23" xr3:uid="{65D26137-1313-4669-9ACF-502D8655E64B}" name="1 mois" dataDxfId="12"/>
    <tableColumn id="24" xr3:uid="{F80C7395-6A30-4A7F-9F02-04672B38F237}" name="3 mois" dataDxfId="11"/>
    <tableColumn id="25" xr3:uid="{C25C5776-F250-4AB9-A4C4-38676628A5A1}" name="6 mois" dataDxfId="10"/>
    <tableColumn id="26" xr3:uid="{96014CF1-E211-4689-A350-960EC3733510}" name="1 an" dataDxfId="9"/>
    <tableColumn id="27" xr3:uid="{3B44CF1F-568D-47C0-9D27-3342AA62F35D}" name="2 ans" dataDxfId="8"/>
    <tableColumn id="28" xr3:uid="{1CC91639-5CE2-4D8A-AB00-4F78950E7590}" name="3 ans" dataDxfId="7"/>
    <tableColumn id="29" xr3:uid="{A2BEED80-6DBA-479F-82C7-20E122BED626}" name="5 ans" dataDxfId="6"/>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9EBE-9417-4F62-B54F-467D53288227}">
  <dimension ref="A1:AB1002"/>
  <sheetViews>
    <sheetView topLeftCell="A13" workbookViewId="0">
      <selection activeCell="B3" sqref="B3:C629"/>
    </sheetView>
  </sheetViews>
  <sheetFormatPr baseColWidth="10" defaultRowHeight="21.75" x14ac:dyDescent="0.6"/>
  <cols>
    <col min="1" max="1" width="13.85546875" bestFit="1" customWidth="1"/>
    <col min="2" max="2" width="19" style="43" customWidth="1"/>
    <col min="3" max="3" width="40.42578125" style="44" bestFit="1" customWidth="1"/>
    <col min="4" max="4" width="25.85546875" style="45" bestFit="1" customWidth="1"/>
    <col min="5" max="5" width="20" style="46" customWidth="1"/>
    <col min="6" max="6" width="17.42578125" style="46" customWidth="1"/>
    <col min="7" max="7" width="20.140625" style="46" customWidth="1"/>
    <col min="8" max="8" width="42" style="46" customWidth="1"/>
    <col min="9" max="9" width="17.140625" style="47" customWidth="1"/>
    <col min="10" max="10" width="17.42578125" style="48" customWidth="1"/>
    <col min="11" max="11" width="27" style="48" customWidth="1"/>
    <col min="12" max="12" width="30.140625" style="48" customWidth="1"/>
    <col min="13" max="13" width="25.5703125" style="46" customWidth="1"/>
    <col min="14" max="14" width="19.140625" style="46" customWidth="1"/>
    <col min="15" max="15" width="18.85546875" style="46" customWidth="1"/>
    <col min="16" max="16" width="44.28515625" style="45" customWidth="1"/>
    <col min="17" max="17" width="15.28515625" style="46" bestFit="1" customWidth="1"/>
    <col min="18" max="18" width="13.140625" style="46" bestFit="1" customWidth="1"/>
    <col min="19" max="20" width="12.42578125" style="46" bestFit="1" customWidth="1"/>
    <col min="21" max="21" width="13" style="49" bestFit="1" customWidth="1"/>
    <col min="22" max="24" width="10.42578125" style="46" bestFit="1" customWidth="1"/>
    <col min="25" max="25" width="9" style="46" bestFit="1" customWidth="1"/>
    <col min="26" max="27" width="9.85546875" style="46" bestFit="1" customWidth="1"/>
    <col min="28" max="28" width="11.5703125" style="46" bestFit="1" customWidth="1"/>
  </cols>
  <sheetData>
    <row r="1" spans="1:28" ht="24" customHeight="1" x14ac:dyDescent="0.6">
      <c r="A1" s="85" t="s">
        <v>1731</v>
      </c>
      <c r="B1" s="86"/>
      <c r="C1" s="87"/>
      <c r="D1" s="88"/>
      <c r="E1" s="89"/>
      <c r="F1" s="89"/>
      <c r="G1" s="89"/>
      <c r="H1" s="89"/>
      <c r="I1" s="90"/>
      <c r="J1" s="91"/>
      <c r="K1" s="91"/>
      <c r="L1" s="91"/>
      <c r="M1" s="89"/>
      <c r="N1" s="89"/>
      <c r="O1" s="89"/>
      <c r="P1" s="88"/>
      <c r="Q1" s="89"/>
      <c r="R1" s="89"/>
      <c r="S1" s="89"/>
      <c r="T1" s="89"/>
      <c r="U1" s="92"/>
      <c r="V1" s="89"/>
      <c r="W1" s="89"/>
      <c r="X1" s="89"/>
      <c r="Y1" s="89"/>
      <c r="Z1" s="89"/>
      <c r="AA1" s="89"/>
      <c r="AB1" s="89"/>
    </row>
    <row r="2" spans="1:28" s="23" customFormat="1" ht="15" customHeight="1" x14ac:dyDescent="0.25">
      <c r="A2" s="52" t="s">
        <v>72</v>
      </c>
      <c r="B2" s="52" t="s">
        <v>73</v>
      </c>
      <c r="C2" s="53" t="s">
        <v>74</v>
      </c>
      <c r="D2" s="52" t="s">
        <v>75</v>
      </c>
      <c r="E2" s="52" t="s">
        <v>76</v>
      </c>
      <c r="F2" s="52" t="s">
        <v>77</v>
      </c>
      <c r="G2" s="52" t="s">
        <v>78</v>
      </c>
      <c r="H2" s="52" t="s">
        <v>79</v>
      </c>
      <c r="I2" s="52" t="s">
        <v>80</v>
      </c>
      <c r="J2" s="52" t="s">
        <v>81</v>
      </c>
      <c r="K2" s="52" t="s">
        <v>82</v>
      </c>
      <c r="L2" s="52" t="s">
        <v>83</v>
      </c>
      <c r="M2" s="52" t="s">
        <v>84</v>
      </c>
      <c r="N2" s="52" t="s">
        <v>85</v>
      </c>
      <c r="O2" s="52" t="s">
        <v>86</v>
      </c>
      <c r="P2" s="52" t="s">
        <v>87</v>
      </c>
      <c r="Q2" s="54" t="s">
        <v>88</v>
      </c>
      <c r="R2" s="54" t="s">
        <v>17</v>
      </c>
      <c r="S2" s="53" t="s">
        <v>89</v>
      </c>
      <c r="T2" s="53" t="s">
        <v>90</v>
      </c>
      <c r="U2" s="53" t="s">
        <v>91</v>
      </c>
      <c r="V2" s="53" t="s">
        <v>92</v>
      </c>
      <c r="W2" s="53" t="s">
        <v>93</v>
      </c>
      <c r="X2" s="53" t="s">
        <v>94</v>
      </c>
      <c r="Y2" s="53" t="s">
        <v>95</v>
      </c>
      <c r="Z2" s="53" t="s">
        <v>96</v>
      </c>
      <c r="AA2" s="53" t="s">
        <v>97</v>
      </c>
      <c r="AB2" s="53" t="s">
        <v>98</v>
      </c>
    </row>
    <row r="3" spans="1:28" s="33" customFormat="1" ht="15.6" customHeight="1" x14ac:dyDescent="0.25">
      <c r="A3" s="24" t="s">
        <v>996</v>
      </c>
      <c r="B3" s="50">
        <v>3005</v>
      </c>
      <c r="C3" s="25" t="s">
        <v>997</v>
      </c>
      <c r="D3" s="25" t="s">
        <v>101</v>
      </c>
      <c r="E3" s="25" t="s">
        <v>102</v>
      </c>
      <c r="F3" s="25" t="s">
        <v>155</v>
      </c>
      <c r="G3" s="26" t="s">
        <v>139</v>
      </c>
      <c r="H3" s="27" t="s">
        <v>156</v>
      </c>
      <c r="I3" s="24" t="s">
        <v>998</v>
      </c>
      <c r="J3" s="24" t="s">
        <v>107</v>
      </c>
      <c r="K3" s="28" t="s">
        <v>108</v>
      </c>
      <c r="L3" s="29">
        <v>0.02</v>
      </c>
      <c r="M3" s="29">
        <v>7.4999999999999997E-3</v>
      </c>
      <c r="N3" s="29">
        <v>0.02</v>
      </c>
      <c r="O3" s="27" t="s">
        <v>109</v>
      </c>
      <c r="P3" s="30" t="s">
        <v>101</v>
      </c>
      <c r="Q3" s="31">
        <v>29912657.18</v>
      </c>
      <c r="R3" s="31">
        <v>446</v>
      </c>
      <c r="S3" s="32">
        <v>2.2818000000000001E-2</v>
      </c>
      <c r="T3" s="32" t="s">
        <v>139</v>
      </c>
      <c r="U3" s="32">
        <v>-4.8859999999999997E-3</v>
      </c>
      <c r="V3" s="32">
        <v>-5.8299999999999997E-4</v>
      </c>
      <c r="W3" s="32">
        <v>4.0549000000000002E-2</v>
      </c>
      <c r="X3" s="32">
        <v>0.114109</v>
      </c>
      <c r="Y3" s="32">
        <v>-7.9785999999999996E-2</v>
      </c>
      <c r="Z3" s="32">
        <v>0.361458</v>
      </c>
      <c r="AA3" s="32">
        <v>0.60345099999999996</v>
      </c>
      <c r="AB3" s="32">
        <v>0.51829800000000004</v>
      </c>
    </row>
    <row r="4" spans="1:28" ht="15.6" customHeight="1" x14ac:dyDescent="0.25">
      <c r="A4" s="24" t="s">
        <v>999</v>
      </c>
      <c r="B4" s="50">
        <v>3006</v>
      </c>
      <c r="C4" s="25" t="s">
        <v>1000</v>
      </c>
      <c r="D4" s="25" t="s">
        <v>101</v>
      </c>
      <c r="E4" s="25" t="s">
        <v>102</v>
      </c>
      <c r="F4" s="25" t="s">
        <v>113</v>
      </c>
      <c r="G4" s="26" t="s">
        <v>114</v>
      </c>
      <c r="H4" s="27" t="s">
        <v>327</v>
      </c>
      <c r="I4" s="24" t="s">
        <v>998</v>
      </c>
      <c r="J4" s="24" t="s">
        <v>107</v>
      </c>
      <c r="K4" s="28" t="s">
        <v>108</v>
      </c>
      <c r="L4" s="29">
        <v>5.0000000000000001E-3</v>
      </c>
      <c r="M4" s="29">
        <v>2.5000000000000001E-3</v>
      </c>
      <c r="N4" s="29">
        <v>9.300000000000001E-3</v>
      </c>
      <c r="O4" s="27" t="s">
        <v>109</v>
      </c>
      <c r="P4" s="30" t="s">
        <v>101</v>
      </c>
      <c r="Q4" s="31">
        <v>116056586.08</v>
      </c>
      <c r="R4" s="31">
        <v>274.32</v>
      </c>
      <c r="S4" s="32">
        <v>-8.5660000000000007E-3</v>
      </c>
      <c r="T4" s="32" t="s">
        <v>139</v>
      </c>
      <c r="U4" s="32">
        <v>-1.274E-3</v>
      </c>
      <c r="V4" s="32">
        <v>1.6800000000000001E-3</v>
      </c>
      <c r="W4" s="32">
        <v>3.2179999999999999E-3</v>
      </c>
      <c r="X4" s="32">
        <v>2.92E-4</v>
      </c>
      <c r="Y4" s="32">
        <v>-1.2029E-2</v>
      </c>
      <c r="Z4" s="32">
        <v>5.9151000000000002E-2</v>
      </c>
      <c r="AA4" s="32">
        <v>0.15820100000000001</v>
      </c>
      <c r="AB4" s="32">
        <v>9.1082999999999997E-2</v>
      </c>
    </row>
    <row r="5" spans="1:28" ht="15.6" customHeight="1" x14ac:dyDescent="0.25">
      <c r="A5" s="24" t="s">
        <v>99</v>
      </c>
      <c r="B5" s="50">
        <v>3013</v>
      </c>
      <c r="C5" s="25" t="s">
        <v>100</v>
      </c>
      <c r="D5" s="25" t="s">
        <v>101</v>
      </c>
      <c r="E5" s="25" t="s">
        <v>102</v>
      </c>
      <c r="F5" s="25" t="s">
        <v>103</v>
      </c>
      <c r="G5" s="26" t="s">
        <v>104</v>
      </c>
      <c r="H5" s="27" t="s">
        <v>105</v>
      </c>
      <c r="I5" s="24" t="s">
        <v>106</v>
      </c>
      <c r="J5" s="24" t="s">
        <v>107</v>
      </c>
      <c r="K5" s="28" t="s">
        <v>108</v>
      </c>
      <c r="L5" s="29">
        <v>1.2500000000000001E-2</v>
      </c>
      <c r="M5" s="29">
        <v>5.0000000000000001E-3</v>
      </c>
      <c r="N5" s="29">
        <v>1.95E-2</v>
      </c>
      <c r="O5" s="27" t="s">
        <v>109</v>
      </c>
      <c r="P5" s="30" t="s">
        <v>101</v>
      </c>
      <c r="Q5" s="31">
        <v>163913134.36000001</v>
      </c>
      <c r="R5" s="31">
        <v>123521.58</v>
      </c>
      <c r="S5" s="32">
        <v>1.0522999999999999E-2</v>
      </c>
      <c r="T5" s="32" t="s">
        <v>139</v>
      </c>
      <c r="U5" s="32">
        <v>1.9100000000000001E-4</v>
      </c>
      <c r="V5" s="32">
        <v>1.09E-3</v>
      </c>
      <c r="W5" s="32">
        <v>3.6740000000000002E-3</v>
      </c>
      <c r="X5" s="32">
        <v>7.5709999999999996E-3</v>
      </c>
      <c r="Y5" s="32">
        <v>1.4885000000000001E-2</v>
      </c>
      <c r="Z5" s="32">
        <v>3.2863999999999997E-2</v>
      </c>
      <c r="AA5" s="32">
        <v>5.6679E-2</v>
      </c>
      <c r="AB5" s="32">
        <v>8.3921999999999997E-2</v>
      </c>
    </row>
    <row r="6" spans="1:28" ht="15.6" customHeight="1" x14ac:dyDescent="0.25">
      <c r="A6" s="24" t="s">
        <v>1001</v>
      </c>
      <c r="B6" s="50">
        <v>3021</v>
      </c>
      <c r="C6" s="25" t="s">
        <v>1002</v>
      </c>
      <c r="D6" s="25" t="s">
        <v>112</v>
      </c>
      <c r="E6" s="25" t="s">
        <v>102</v>
      </c>
      <c r="F6" s="25" t="s">
        <v>138</v>
      </c>
      <c r="G6" s="26" t="s">
        <v>139</v>
      </c>
      <c r="H6" s="27" t="s">
        <v>1003</v>
      </c>
      <c r="I6" s="24" t="s">
        <v>998</v>
      </c>
      <c r="J6" s="24" t="s">
        <v>107</v>
      </c>
      <c r="K6" s="28" t="s">
        <v>108</v>
      </c>
      <c r="L6" s="29">
        <v>3.0000000000000001E-3</v>
      </c>
      <c r="M6" s="29">
        <v>2.5000000000000001E-3</v>
      </c>
      <c r="N6" s="29">
        <v>0.02</v>
      </c>
      <c r="O6" s="27" t="s">
        <v>116</v>
      </c>
      <c r="P6" s="30" t="s">
        <v>112</v>
      </c>
      <c r="Q6" s="31">
        <v>1303141559.3599999</v>
      </c>
      <c r="R6" s="31">
        <v>4122.96</v>
      </c>
      <c r="S6" s="32">
        <v>-3.9826E-2</v>
      </c>
      <c r="T6" s="32" t="s">
        <v>139</v>
      </c>
      <c r="U6" s="32">
        <v>-6.1130000000000004E-3</v>
      </c>
      <c r="V6" s="32">
        <v>-7.5989999999999999E-3</v>
      </c>
      <c r="W6" s="32">
        <v>1.0411E-2</v>
      </c>
      <c r="X6" s="32">
        <v>1.0312E-2</v>
      </c>
      <c r="Y6" s="32">
        <v>-0.101456</v>
      </c>
      <c r="Z6" s="32">
        <v>0.119001</v>
      </c>
      <c r="AA6" s="32">
        <v>0.26624999999999999</v>
      </c>
      <c r="AB6" s="32">
        <v>0.17686199999999999</v>
      </c>
    </row>
    <row r="7" spans="1:28" ht="15.6" customHeight="1" x14ac:dyDescent="0.25">
      <c r="A7" s="24" t="s">
        <v>110</v>
      </c>
      <c r="B7" s="50">
        <v>3028</v>
      </c>
      <c r="C7" s="25" t="s">
        <v>111</v>
      </c>
      <c r="D7" s="25" t="s">
        <v>112</v>
      </c>
      <c r="E7" s="25" t="s">
        <v>102</v>
      </c>
      <c r="F7" s="25" t="s">
        <v>113</v>
      </c>
      <c r="G7" s="26" t="s">
        <v>114</v>
      </c>
      <c r="H7" s="27" t="s">
        <v>115</v>
      </c>
      <c r="I7" s="24" t="s">
        <v>106</v>
      </c>
      <c r="J7" s="24" t="s">
        <v>107</v>
      </c>
      <c r="K7" s="28" t="s">
        <v>108</v>
      </c>
      <c r="L7" s="29">
        <v>5.0000000000000001E-3</v>
      </c>
      <c r="M7" s="29">
        <v>0</v>
      </c>
      <c r="N7" s="29">
        <v>0.02</v>
      </c>
      <c r="O7" s="27" t="s">
        <v>116</v>
      </c>
      <c r="P7" s="30" t="s">
        <v>112</v>
      </c>
      <c r="Q7" s="31">
        <v>1782996422.3</v>
      </c>
      <c r="R7" s="31">
        <v>3473.73</v>
      </c>
      <c r="S7" s="32">
        <v>-1.116E-3</v>
      </c>
      <c r="T7" s="32" t="s">
        <v>139</v>
      </c>
      <c r="U7" s="32">
        <v>-1.8389999999999999E-3</v>
      </c>
      <c r="V7" s="32">
        <v>2.016E-3</v>
      </c>
      <c r="W7" s="32">
        <v>6.4549999999999998E-3</v>
      </c>
      <c r="X7" s="32">
        <v>7.705E-3</v>
      </c>
      <c r="Y7" s="32">
        <v>-8.234E-3</v>
      </c>
      <c r="Z7" s="32">
        <v>7.2694999999999996E-2</v>
      </c>
      <c r="AA7" s="32">
        <v>0.16799</v>
      </c>
      <c r="AB7" s="32">
        <v>0.10381600000000001</v>
      </c>
    </row>
    <row r="8" spans="1:28" ht="15.6" customHeight="1" x14ac:dyDescent="0.25">
      <c r="A8" s="24" t="s">
        <v>117</v>
      </c>
      <c r="B8" s="50">
        <v>3029</v>
      </c>
      <c r="C8" s="25" t="s">
        <v>118</v>
      </c>
      <c r="D8" s="25" t="s">
        <v>112</v>
      </c>
      <c r="E8" s="25" t="s">
        <v>102</v>
      </c>
      <c r="F8" s="25" t="s">
        <v>113</v>
      </c>
      <c r="G8" s="26" t="s">
        <v>119</v>
      </c>
      <c r="H8" s="27" t="s">
        <v>120</v>
      </c>
      <c r="I8" s="24" t="s">
        <v>106</v>
      </c>
      <c r="J8" s="24" t="s">
        <v>121</v>
      </c>
      <c r="K8" s="28" t="s">
        <v>108</v>
      </c>
      <c r="L8" s="29">
        <v>0.03</v>
      </c>
      <c r="M8" s="29">
        <v>1.4999999999999999E-2</v>
      </c>
      <c r="N8" s="29">
        <v>0.02</v>
      </c>
      <c r="O8" s="27" t="s">
        <v>116</v>
      </c>
      <c r="P8" s="30" t="s">
        <v>112</v>
      </c>
      <c r="Q8" s="31">
        <v>6275492096.8599997</v>
      </c>
      <c r="R8" s="31">
        <v>3297.68</v>
      </c>
      <c r="S8" s="32">
        <v>-5.4530000000000004E-3</v>
      </c>
      <c r="T8" s="32" t="s">
        <v>139</v>
      </c>
      <c r="U8" s="32">
        <v>-1.7290000000000001E-3</v>
      </c>
      <c r="V8" s="32">
        <v>1.2600000000000001E-3</v>
      </c>
      <c r="W8" s="32">
        <v>5.0289999999999996E-3</v>
      </c>
      <c r="X8" s="32">
        <v>8.3879999999999996E-3</v>
      </c>
      <c r="Y8" s="32">
        <v>-4.9129999999999998E-3</v>
      </c>
      <c r="Z8" s="32">
        <v>4.8106999999999997E-2</v>
      </c>
      <c r="AA8" s="32">
        <v>0.103918</v>
      </c>
      <c r="AB8" s="32">
        <v>0.118062</v>
      </c>
    </row>
    <row r="9" spans="1:28" ht="15.6" customHeight="1" x14ac:dyDescent="0.25">
      <c r="A9" s="24" t="s">
        <v>122</v>
      </c>
      <c r="B9" s="50">
        <v>3030</v>
      </c>
      <c r="C9" s="25" t="s">
        <v>123</v>
      </c>
      <c r="D9" s="25" t="s">
        <v>112</v>
      </c>
      <c r="E9" s="25" t="s">
        <v>102</v>
      </c>
      <c r="F9" s="25" t="s">
        <v>103</v>
      </c>
      <c r="G9" s="26" t="s">
        <v>104</v>
      </c>
      <c r="H9" s="27" t="s">
        <v>124</v>
      </c>
      <c r="I9" s="24" t="s">
        <v>106</v>
      </c>
      <c r="J9" s="24" t="s">
        <v>107</v>
      </c>
      <c r="K9" s="28" t="s">
        <v>108</v>
      </c>
      <c r="L9" s="29">
        <v>0</v>
      </c>
      <c r="M9" s="29">
        <v>0</v>
      </c>
      <c r="N9" s="29">
        <v>0.02</v>
      </c>
      <c r="O9" s="27" t="s">
        <v>116</v>
      </c>
      <c r="P9" s="30" t="s">
        <v>112</v>
      </c>
      <c r="Q9" s="31">
        <v>4535789542.6400003</v>
      </c>
      <c r="R9" s="31">
        <v>2280.17</v>
      </c>
      <c r="S9" s="32">
        <v>1.8825000000000001E-2</v>
      </c>
      <c r="T9" s="32" t="s">
        <v>139</v>
      </c>
      <c r="U9" s="32">
        <v>4.2999999999999999E-4</v>
      </c>
      <c r="V9" s="32">
        <v>2.0660000000000001E-3</v>
      </c>
      <c r="W9" s="32">
        <v>6.9290000000000003E-3</v>
      </c>
      <c r="X9" s="32">
        <v>1.4166E-2</v>
      </c>
      <c r="Y9" s="32">
        <v>2.6535E-2</v>
      </c>
      <c r="Z9" s="32">
        <v>5.6670999999999999E-2</v>
      </c>
      <c r="AA9" s="32">
        <v>9.3780000000000002E-2</v>
      </c>
      <c r="AB9" s="32">
        <v>0.13850799999999999</v>
      </c>
    </row>
    <row r="10" spans="1:28" ht="15.6" customHeight="1" x14ac:dyDescent="0.25">
      <c r="A10" s="24" t="s">
        <v>1004</v>
      </c>
      <c r="B10" s="50">
        <v>3036</v>
      </c>
      <c r="C10" s="25" t="s">
        <v>1005</v>
      </c>
      <c r="D10" s="25" t="s">
        <v>101</v>
      </c>
      <c r="E10" s="25" t="s">
        <v>102</v>
      </c>
      <c r="F10" s="25" t="s">
        <v>138</v>
      </c>
      <c r="G10" s="26" t="s">
        <v>139</v>
      </c>
      <c r="H10" s="27" t="s">
        <v>1006</v>
      </c>
      <c r="I10" s="24" t="s">
        <v>998</v>
      </c>
      <c r="J10" s="24" t="s">
        <v>107</v>
      </c>
      <c r="K10" s="28" t="s">
        <v>108</v>
      </c>
      <c r="L10" s="29">
        <v>1.2500000000000001E-2</v>
      </c>
      <c r="M10" s="29">
        <v>5.0000000000000001E-3</v>
      </c>
      <c r="N10" s="29">
        <v>1.95E-2</v>
      </c>
      <c r="O10" s="27" t="s">
        <v>109</v>
      </c>
      <c r="P10" s="30" t="s">
        <v>101</v>
      </c>
      <c r="Q10" s="31">
        <v>268538076.75999999</v>
      </c>
      <c r="R10" s="31">
        <v>165.02</v>
      </c>
      <c r="S10" s="32">
        <v>-1.8556E-2</v>
      </c>
      <c r="T10" s="32" t="s">
        <v>139</v>
      </c>
      <c r="U10" s="32">
        <v>-2.539E-3</v>
      </c>
      <c r="V10" s="32">
        <v>6.6699999999999995E-4</v>
      </c>
      <c r="W10" s="32">
        <v>1.4821000000000001E-2</v>
      </c>
      <c r="X10" s="32">
        <v>1.7951000000000002E-2</v>
      </c>
      <c r="Y10" s="32">
        <v>-4.8711999999999998E-2</v>
      </c>
      <c r="Z10" s="32">
        <v>0.12841900000000001</v>
      </c>
      <c r="AA10" s="32">
        <v>0.26879900000000001</v>
      </c>
      <c r="AB10" s="32">
        <v>0.270949</v>
      </c>
    </row>
    <row r="11" spans="1:28" ht="15.6" customHeight="1" x14ac:dyDescent="0.25">
      <c r="A11" s="24" t="s">
        <v>125</v>
      </c>
      <c r="B11" s="50">
        <v>3037</v>
      </c>
      <c r="C11" s="25" t="s">
        <v>126</v>
      </c>
      <c r="D11" s="25" t="s">
        <v>127</v>
      </c>
      <c r="E11" s="25" t="s">
        <v>102</v>
      </c>
      <c r="F11" s="25" t="s">
        <v>128</v>
      </c>
      <c r="G11" s="26" t="s">
        <v>129</v>
      </c>
      <c r="H11" s="27" t="s">
        <v>130</v>
      </c>
      <c r="I11" s="24" t="s">
        <v>106</v>
      </c>
      <c r="J11" s="24" t="s">
        <v>121</v>
      </c>
      <c r="K11" s="28" t="s">
        <v>108</v>
      </c>
      <c r="L11" s="29">
        <v>0</v>
      </c>
      <c r="M11" s="29">
        <v>0</v>
      </c>
      <c r="N11" s="29">
        <v>0.02</v>
      </c>
      <c r="O11" s="27" t="s">
        <v>131</v>
      </c>
      <c r="P11" s="30" t="s">
        <v>131</v>
      </c>
      <c r="Q11" s="31">
        <v>137091347.65000001</v>
      </c>
      <c r="R11" s="31">
        <v>403209.84</v>
      </c>
      <c r="S11" s="32">
        <v>1.626E-2</v>
      </c>
      <c r="T11" s="32" t="s">
        <v>139</v>
      </c>
      <c r="U11" s="32">
        <v>1.4E-5</v>
      </c>
      <c r="V11" s="32">
        <v>1.604E-3</v>
      </c>
      <c r="W11" s="32">
        <v>5.9119999999999997E-3</v>
      </c>
      <c r="X11" s="32">
        <v>1.2494E-2</v>
      </c>
      <c r="Y11" s="32">
        <v>2.1415E-2</v>
      </c>
      <c r="Z11" s="32">
        <v>5.0540000000000002E-2</v>
      </c>
      <c r="AA11" s="32">
        <v>8.8419999999999999E-2</v>
      </c>
      <c r="AB11" s="32">
        <v>0.13186400000000001</v>
      </c>
    </row>
    <row r="12" spans="1:28" ht="15.6" customHeight="1" x14ac:dyDescent="0.25">
      <c r="A12" s="24" t="s">
        <v>1007</v>
      </c>
      <c r="B12" s="50">
        <v>3039</v>
      </c>
      <c r="C12" s="25" t="s">
        <v>1008</v>
      </c>
      <c r="D12" s="25" t="s">
        <v>112</v>
      </c>
      <c r="E12" s="25" t="s">
        <v>102</v>
      </c>
      <c r="F12" s="25" t="s">
        <v>113</v>
      </c>
      <c r="G12" s="26" t="s">
        <v>114</v>
      </c>
      <c r="H12" s="27" t="s">
        <v>139</v>
      </c>
      <c r="I12" s="24" t="s">
        <v>998</v>
      </c>
      <c r="J12" s="24" t="s">
        <v>121</v>
      </c>
      <c r="K12" s="28" t="s">
        <v>108</v>
      </c>
      <c r="L12" s="29">
        <v>5.0000000000000001E-3</v>
      </c>
      <c r="M12" s="29">
        <v>0</v>
      </c>
      <c r="N12" s="29">
        <v>0.02</v>
      </c>
      <c r="O12" s="27" t="s">
        <v>548</v>
      </c>
      <c r="P12" s="30" t="s">
        <v>112</v>
      </c>
      <c r="Q12" s="31">
        <v>3397466087.79</v>
      </c>
      <c r="R12" s="31">
        <v>3728.81</v>
      </c>
      <c r="S12" s="32">
        <v>-7.0299999999999998E-3</v>
      </c>
      <c r="T12" s="32" t="s">
        <v>139</v>
      </c>
      <c r="U12" s="32">
        <v>-2.0149999999999999E-3</v>
      </c>
      <c r="V12" s="32">
        <v>1.5280000000000001E-3</v>
      </c>
      <c r="W12" s="32">
        <v>6.2909999999999997E-3</v>
      </c>
      <c r="X12" s="32">
        <v>6.0080000000000003E-3</v>
      </c>
      <c r="Y12" s="32">
        <v>-1.8311000000000001E-2</v>
      </c>
      <c r="Z12" s="32">
        <v>7.0055000000000006E-2</v>
      </c>
      <c r="AA12" s="32">
        <v>0.181589</v>
      </c>
      <c r="AB12" s="32">
        <v>7.5219999999999995E-2</v>
      </c>
    </row>
    <row r="13" spans="1:28" ht="15.6" customHeight="1" x14ac:dyDescent="0.25">
      <c r="A13" s="24" t="s">
        <v>1009</v>
      </c>
      <c r="B13" s="50">
        <v>3040</v>
      </c>
      <c r="C13" s="25" t="s">
        <v>1010</v>
      </c>
      <c r="D13" s="25" t="s">
        <v>261</v>
      </c>
      <c r="E13" s="25" t="s">
        <v>102</v>
      </c>
      <c r="F13" s="25" t="s">
        <v>138</v>
      </c>
      <c r="G13" s="26" t="s">
        <v>139</v>
      </c>
      <c r="H13" s="27" t="s">
        <v>139</v>
      </c>
      <c r="I13" s="24" t="s">
        <v>998</v>
      </c>
      <c r="J13" s="24" t="s">
        <v>107</v>
      </c>
      <c r="K13" s="28" t="s">
        <v>108</v>
      </c>
      <c r="L13" s="29">
        <v>0.02</v>
      </c>
      <c r="M13" s="29">
        <v>5.0000000000000001E-3</v>
      </c>
      <c r="N13" s="29">
        <v>0.02</v>
      </c>
      <c r="O13" s="27" t="s">
        <v>262</v>
      </c>
      <c r="P13" s="30" t="s">
        <v>261</v>
      </c>
      <c r="Q13" s="31">
        <v>304216169.60000002</v>
      </c>
      <c r="R13" s="31">
        <v>5184.32</v>
      </c>
      <c r="S13" s="32">
        <v>-4.4115000000000001E-2</v>
      </c>
      <c r="T13" s="32" t="s">
        <v>139</v>
      </c>
      <c r="U13" s="32">
        <v>-5.6239999999999997E-3</v>
      </c>
      <c r="V13" s="32">
        <v>-7.5059999999999997E-3</v>
      </c>
      <c r="W13" s="32">
        <v>2.1513000000000001E-2</v>
      </c>
      <c r="X13" s="32">
        <v>2.0265999999999999E-2</v>
      </c>
      <c r="Y13" s="32">
        <v>-0.106697</v>
      </c>
      <c r="Z13" s="32">
        <v>0.14039099999999999</v>
      </c>
      <c r="AA13" s="32">
        <v>0.34881899999999999</v>
      </c>
      <c r="AB13" s="32">
        <v>0.33189800000000003</v>
      </c>
    </row>
    <row r="14" spans="1:28" ht="15.6" customHeight="1" x14ac:dyDescent="0.25">
      <c r="A14" s="24" t="s">
        <v>132</v>
      </c>
      <c r="B14" s="50">
        <v>3041</v>
      </c>
      <c r="C14" s="25" t="s">
        <v>133</v>
      </c>
      <c r="D14" s="25" t="s">
        <v>101</v>
      </c>
      <c r="E14" s="25" t="s">
        <v>102</v>
      </c>
      <c r="F14" s="25" t="s">
        <v>128</v>
      </c>
      <c r="G14" s="26" t="s">
        <v>134</v>
      </c>
      <c r="H14" s="27" t="s">
        <v>130</v>
      </c>
      <c r="I14" s="24" t="s">
        <v>106</v>
      </c>
      <c r="J14" s="24" t="s">
        <v>107</v>
      </c>
      <c r="K14" s="28" t="s">
        <v>108</v>
      </c>
      <c r="L14" s="29">
        <v>0</v>
      </c>
      <c r="M14" s="29">
        <v>0</v>
      </c>
      <c r="N14" s="29">
        <v>6.7000000000000002E-3</v>
      </c>
      <c r="O14" s="27" t="s">
        <v>109</v>
      </c>
      <c r="P14" s="30" t="s">
        <v>101</v>
      </c>
      <c r="Q14" s="31">
        <v>31345674.010000002</v>
      </c>
      <c r="R14" s="31">
        <v>196.49</v>
      </c>
      <c r="S14" s="32">
        <v>2.1152000000000001E-2</v>
      </c>
      <c r="T14" s="32" t="s">
        <v>139</v>
      </c>
      <c r="U14" s="32">
        <v>-2.04E-4</v>
      </c>
      <c r="V14" s="32">
        <v>1.325E-3</v>
      </c>
      <c r="W14" s="32">
        <v>7.744E-3</v>
      </c>
      <c r="X14" s="32">
        <v>1.8505000000000001E-2</v>
      </c>
      <c r="Y14" s="32">
        <v>3.0308000000000002E-2</v>
      </c>
      <c r="Z14" s="32">
        <v>6.2107999999999997E-2</v>
      </c>
      <c r="AA14" s="32">
        <v>9.3312000000000006E-2</v>
      </c>
      <c r="AB14" s="32">
        <v>0.115596</v>
      </c>
    </row>
    <row r="15" spans="1:28" ht="15.6" customHeight="1" x14ac:dyDescent="0.25">
      <c r="A15" s="24" t="s">
        <v>135</v>
      </c>
      <c r="B15" s="50">
        <v>3047</v>
      </c>
      <c r="C15" s="25" t="s">
        <v>136</v>
      </c>
      <c r="D15" s="25" t="s">
        <v>137</v>
      </c>
      <c r="E15" s="25" t="s">
        <v>102</v>
      </c>
      <c r="F15" s="25" t="s">
        <v>138</v>
      </c>
      <c r="G15" s="26" t="s">
        <v>139</v>
      </c>
      <c r="H15" s="27" t="s">
        <v>140</v>
      </c>
      <c r="I15" s="24" t="s">
        <v>106</v>
      </c>
      <c r="J15" s="24" t="s">
        <v>107</v>
      </c>
      <c r="K15" s="28" t="s">
        <v>108</v>
      </c>
      <c r="L15" s="29">
        <v>2E-3</v>
      </c>
      <c r="M15" s="29">
        <v>2E-3</v>
      </c>
      <c r="N15" s="29">
        <v>1.4999999999999999E-2</v>
      </c>
      <c r="O15" s="27" t="s">
        <v>141</v>
      </c>
      <c r="P15" s="30" t="s">
        <v>142</v>
      </c>
      <c r="Q15" s="31">
        <v>1730831845.9453399</v>
      </c>
      <c r="R15" s="31">
        <v>9639.35</v>
      </c>
      <c r="S15" s="32">
        <v>-1.4256E-2</v>
      </c>
      <c r="T15" s="32" t="s">
        <v>139</v>
      </c>
      <c r="U15" s="32">
        <v>-4.5529999999999998E-3</v>
      </c>
      <c r="V15" s="32">
        <v>-4.2339999999999999E-3</v>
      </c>
      <c r="W15" s="32">
        <v>1.2836999999999999E-2</v>
      </c>
      <c r="X15" s="32">
        <v>5.3109999999999997E-2</v>
      </c>
      <c r="Y15" s="32">
        <v>-9.1169E-2</v>
      </c>
      <c r="Z15" s="32">
        <v>0.17569699999999999</v>
      </c>
      <c r="AA15" s="32">
        <v>0.331924</v>
      </c>
      <c r="AB15" s="32">
        <v>0.25014799999999998</v>
      </c>
    </row>
    <row r="16" spans="1:28" ht="15.6" customHeight="1" x14ac:dyDescent="0.25">
      <c r="A16" s="24" t="s">
        <v>143</v>
      </c>
      <c r="B16" s="50">
        <v>3048</v>
      </c>
      <c r="C16" s="25" t="s">
        <v>144</v>
      </c>
      <c r="D16" s="25" t="s">
        <v>145</v>
      </c>
      <c r="E16" s="25" t="s">
        <v>102</v>
      </c>
      <c r="F16" s="25" t="s">
        <v>103</v>
      </c>
      <c r="G16" s="26" t="s">
        <v>146</v>
      </c>
      <c r="H16" s="27" t="s">
        <v>147</v>
      </c>
      <c r="I16" s="24" t="s">
        <v>106</v>
      </c>
      <c r="J16" s="24" t="s">
        <v>107</v>
      </c>
      <c r="K16" s="28" t="s">
        <v>108</v>
      </c>
      <c r="L16" s="29">
        <v>0</v>
      </c>
      <c r="M16" s="29">
        <v>0</v>
      </c>
      <c r="N16" s="29">
        <v>1.4999999999999999E-2</v>
      </c>
      <c r="O16" s="27" t="s">
        <v>148</v>
      </c>
      <c r="P16" s="30" t="s">
        <v>145</v>
      </c>
      <c r="Q16" s="31">
        <v>4857284805.8599997</v>
      </c>
      <c r="R16" s="31">
        <v>2798.12</v>
      </c>
      <c r="S16" s="32">
        <v>1.9269999999999999E-2</v>
      </c>
      <c r="T16" s="32" t="s">
        <v>139</v>
      </c>
      <c r="U16" s="32">
        <v>2.04E-4</v>
      </c>
      <c r="V16" s="32">
        <v>1.8220000000000001E-3</v>
      </c>
      <c r="W16" s="32">
        <v>7.7320000000000002E-3</v>
      </c>
      <c r="X16" s="32">
        <v>1.4664999999999999E-2</v>
      </c>
      <c r="Y16" s="32">
        <v>2.6749999999999999E-2</v>
      </c>
      <c r="Z16" s="32">
        <v>5.7846000000000002E-2</v>
      </c>
      <c r="AA16" s="32">
        <v>9.5519000000000007E-2</v>
      </c>
      <c r="AB16" s="32">
        <v>0.144594</v>
      </c>
    </row>
    <row r="17" spans="1:28" ht="15.6" customHeight="1" x14ac:dyDescent="0.25">
      <c r="A17" s="24" t="s">
        <v>149</v>
      </c>
      <c r="B17" s="50">
        <v>3049</v>
      </c>
      <c r="C17" s="25" t="s">
        <v>150</v>
      </c>
      <c r="D17" s="25" t="s">
        <v>145</v>
      </c>
      <c r="E17" s="25" t="s">
        <v>102</v>
      </c>
      <c r="F17" s="25" t="s">
        <v>113</v>
      </c>
      <c r="G17" s="26" t="s">
        <v>151</v>
      </c>
      <c r="H17" s="27" t="s">
        <v>152</v>
      </c>
      <c r="I17" s="24" t="s">
        <v>106</v>
      </c>
      <c r="J17" s="24" t="s">
        <v>107</v>
      </c>
      <c r="K17" s="28" t="s">
        <v>108</v>
      </c>
      <c r="L17" s="29">
        <v>0.02</v>
      </c>
      <c r="M17" s="29">
        <v>0.02</v>
      </c>
      <c r="N17" s="29">
        <v>0.02</v>
      </c>
      <c r="O17" s="27" t="s">
        <v>148</v>
      </c>
      <c r="P17" s="30" t="s">
        <v>145</v>
      </c>
      <c r="Q17" s="31">
        <v>126475179.33</v>
      </c>
      <c r="R17" s="31">
        <v>4935.03</v>
      </c>
      <c r="S17" s="32">
        <v>-2.036E-3</v>
      </c>
      <c r="T17" s="32" t="s">
        <v>139</v>
      </c>
      <c r="U17" s="32">
        <v>-1.5399999999999999E-3</v>
      </c>
      <c r="V17" s="32">
        <v>1.3010000000000001E-3</v>
      </c>
      <c r="W17" s="32">
        <v>4.4250000000000001E-3</v>
      </c>
      <c r="X17" s="32">
        <v>2.7469999999999999E-3</v>
      </c>
      <c r="Y17" s="32">
        <v>7.9100000000000004E-4</v>
      </c>
      <c r="Z17" s="32">
        <v>7.2371000000000005E-2</v>
      </c>
      <c r="AA17" s="32">
        <v>0.17463200000000001</v>
      </c>
      <c r="AB17" s="32">
        <v>8.9865E-2</v>
      </c>
    </row>
    <row r="18" spans="1:28" ht="15.6" customHeight="1" x14ac:dyDescent="0.25">
      <c r="A18" s="24" t="s">
        <v>153</v>
      </c>
      <c r="B18" s="50">
        <v>3050</v>
      </c>
      <c r="C18" s="25" t="s">
        <v>154</v>
      </c>
      <c r="D18" s="25" t="s">
        <v>145</v>
      </c>
      <c r="E18" s="25" t="s">
        <v>102</v>
      </c>
      <c r="F18" s="25" t="s">
        <v>155</v>
      </c>
      <c r="G18" s="26" t="s">
        <v>139</v>
      </c>
      <c r="H18" s="27" t="s">
        <v>156</v>
      </c>
      <c r="I18" s="24" t="s">
        <v>106</v>
      </c>
      <c r="J18" s="24" t="s">
        <v>107</v>
      </c>
      <c r="K18" s="28" t="s">
        <v>108</v>
      </c>
      <c r="L18" s="29">
        <v>0.02</v>
      </c>
      <c r="M18" s="29">
        <v>0.01</v>
      </c>
      <c r="N18" s="29">
        <v>0.02</v>
      </c>
      <c r="O18" s="27" t="s">
        <v>148</v>
      </c>
      <c r="P18" s="30" t="s">
        <v>145</v>
      </c>
      <c r="Q18" s="31">
        <v>615454049.65999997</v>
      </c>
      <c r="R18" s="31">
        <v>7865.42</v>
      </c>
      <c r="S18" s="32">
        <v>1.593E-3</v>
      </c>
      <c r="T18" s="32" t="s">
        <v>139</v>
      </c>
      <c r="U18" s="32">
        <v>-5.3870000000000003E-3</v>
      </c>
      <c r="V18" s="32">
        <v>-3.9760000000000004E-3</v>
      </c>
      <c r="W18" s="32">
        <v>3.3360000000000001E-2</v>
      </c>
      <c r="X18" s="32">
        <v>0.10484599999999999</v>
      </c>
      <c r="Y18" s="32">
        <v>-0.103114</v>
      </c>
      <c r="Z18" s="32">
        <v>0.27364500000000003</v>
      </c>
      <c r="AA18" s="32">
        <v>0.52590599999999998</v>
      </c>
      <c r="AB18" s="32">
        <v>0.48592600000000002</v>
      </c>
    </row>
    <row r="19" spans="1:28" ht="15.6" customHeight="1" x14ac:dyDescent="0.25">
      <c r="A19" s="24" t="s">
        <v>157</v>
      </c>
      <c r="B19" s="50">
        <v>3051</v>
      </c>
      <c r="C19" s="25" t="s">
        <v>158</v>
      </c>
      <c r="D19" s="25" t="s">
        <v>159</v>
      </c>
      <c r="E19" s="25" t="s">
        <v>102</v>
      </c>
      <c r="F19" s="25" t="s">
        <v>138</v>
      </c>
      <c r="G19" s="26" t="s">
        <v>139</v>
      </c>
      <c r="H19" s="27" t="s">
        <v>160</v>
      </c>
      <c r="I19" s="24" t="s">
        <v>106</v>
      </c>
      <c r="J19" s="24" t="s">
        <v>107</v>
      </c>
      <c r="K19" s="28" t="s">
        <v>108</v>
      </c>
      <c r="L19" s="29">
        <v>0.01</v>
      </c>
      <c r="M19" s="29">
        <v>5.0000000000000001E-3</v>
      </c>
      <c r="N19" s="29">
        <v>0.02</v>
      </c>
      <c r="O19" s="27" t="s">
        <v>161</v>
      </c>
      <c r="P19" s="30" t="s">
        <v>159</v>
      </c>
      <c r="Q19" s="31">
        <v>4711257.7300000004</v>
      </c>
      <c r="R19" s="31">
        <v>42829.62</v>
      </c>
      <c r="S19" s="32">
        <v>7.9070000000000008E-3</v>
      </c>
      <c r="T19" s="32" t="s">
        <v>139</v>
      </c>
      <c r="U19" s="32">
        <v>-5.2129999999999998E-3</v>
      </c>
      <c r="V19" s="32">
        <v>-3.4359999999999998E-3</v>
      </c>
      <c r="W19" s="32">
        <v>1.7203E-2</v>
      </c>
      <c r="X19" s="32">
        <v>6.0406000000000001E-2</v>
      </c>
      <c r="Y19" s="32">
        <v>-4.6396E-2</v>
      </c>
      <c r="Z19" s="32">
        <v>0.189442</v>
      </c>
      <c r="AA19" s="32">
        <v>0.321996</v>
      </c>
      <c r="AB19" s="32">
        <v>0.29508899999999999</v>
      </c>
    </row>
    <row r="20" spans="1:28" ht="15.6" customHeight="1" x14ac:dyDescent="0.25">
      <c r="A20" s="24" t="s">
        <v>162</v>
      </c>
      <c r="B20" s="50">
        <v>3052</v>
      </c>
      <c r="C20" s="25" t="s">
        <v>163</v>
      </c>
      <c r="D20" s="25" t="s">
        <v>164</v>
      </c>
      <c r="E20" s="25" t="s">
        <v>102</v>
      </c>
      <c r="F20" s="25" t="s">
        <v>138</v>
      </c>
      <c r="G20" s="26" t="s">
        <v>139</v>
      </c>
      <c r="H20" s="27" t="s">
        <v>165</v>
      </c>
      <c r="I20" s="24" t="s">
        <v>106</v>
      </c>
      <c r="J20" s="24" t="s">
        <v>107</v>
      </c>
      <c r="K20" s="28" t="s">
        <v>108</v>
      </c>
      <c r="L20" s="29">
        <v>0.03</v>
      </c>
      <c r="M20" s="29">
        <v>1.4999999999999999E-2</v>
      </c>
      <c r="N20" s="29">
        <v>0.02</v>
      </c>
      <c r="O20" s="27" t="s">
        <v>166</v>
      </c>
      <c r="P20" s="30" t="s">
        <v>164</v>
      </c>
      <c r="Q20" s="31">
        <v>5173167009.1000004</v>
      </c>
      <c r="R20" s="31">
        <v>785.42</v>
      </c>
      <c r="S20" s="32">
        <v>9.2044000000000001E-2</v>
      </c>
      <c r="T20" s="32" t="s">
        <v>139</v>
      </c>
      <c r="U20" s="32">
        <v>-4.1590000000000004E-3</v>
      </c>
      <c r="V20" s="32">
        <v>3.9500000000000004E-3</v>
      </c>
      <c r="W20" s="32">
        <v>1.7977E-2</v>
      </c>
      <c r="X20" s="32">
        <v>0.108192</v>
      </c>
      <c r="Y20" s="32">
        <v>4.2029999999999998E-2</v>
      </c>
      <c r="Z20" s="32">
        <v>0.25687300000000002</v>
      </c>
      <c r="AA20" s="32">
        <v>0.41550300000000001</v>
      </c>
      <c r="AB20" s="32">
        <v>0.36419200000000002</v>
      </c>
    </row>
    <row r="21" spans="1:28" ht="15.6" customHeight="1" x14ac:dyDescent="0.25">
      <c r="A21" s="24" t="s">
        <v>1011</v>
      </c>
      <c r="B21" s="50">
        <v>3053</v>
      </c>
      <c r="C21" s="25" t="s">
        <v>1012</v>
      </c>
      <c r="D21" s="25" t="s">
        <v>164</v>
      </c>
      <c r="E21" s="25" t="s">
        <v>102</v>
      </c>
      <c r="F21" s="25" t="s">
        <v>138</v>
      </c>
      <c r="G21" s="26" t="s">
        <v>139</v>
      </c>
      <c r="H21" s="27" t="s">
        <v>1013</v>
      </c>
      <c r="I21" s="24" t="s">
        <v>998</v>
      </c>
      <c r="J21" s="24" t="s">
        <v>107</v>
      </c>
      <c r="K21" s="28" t="s">
        <v>108</v>
      </c>
      <c r="L21" s="29">
        <v>0.03</v>
      </c>
      <c r="M21" s="29">
        <v>1.4999999999999999E-2</v>
      </c>
      <c r="N21" s="29">
        <v>0.02</v>
      </c>
      <c r="O21" s="27" t="s">
        <v>166</v>
      </c>
      <c r="P21" s="30" t="s">
        <v>164</v>
      </c>
      <c r="Q21" s="31">
        <v>22892555.760000002</v>
      </c>
      <c r="R21" s="31">
        <v>4899.95</v>
      </c>
      <c r="S21" s="32">
        <v>5.2457999999999998E-2</v>
      </c>
      <c r="T21" s="32" t="s">
        <v>139</v>
      </c>
      <c r="U21" s="32">
        <v>-3.7940000000000001E-3</v>
      </c>
      <c r="V21" s="32">
        <v>1.8259999999999999E-3</v>
      </c>
      <c r="W21" s="32">
        <v>2.6988999999999999E-2</v>
      </c>
      <c r="X21" s="32">
        <v>9.9538000000000001E-2</v>
      </c>
      <c r="Y21" s="32">
        <v>-1.4969E-2</v>
      </c>
      <c r="Z21" s="32">
        <v>0.25955299999999998</v>
      </c>
      <c r="AA21" s="32">
        <v>0.39736300000000002</v>
      </c>
      <c r="AB21" s="32">
        <v>0.32179200000000002</v>
      </c>
    </row>
    <row r="22" spans="1:28" ht="15.6" customHeight="1" x14ac:dyDescent="0.25">
      <c r="A22" s="24" t="s">
        <v>1014</v>
      </c>
      <c r="B22" s="50">
        <v>3054</v>
      </c>
      <c r="C22" s="25" t="s">
        <v>1015</v>
      </c>
      <c r="D22" s="25" t="s">
        <v>164</v>
      </c>
      <c r="E22" s="25" t="s">
        <v>102</v>
      </c>
      <c r="F22" s="25" t="s">
        <v>113</v>
      </c>
      <c r="G22" s="26" t="s">
        <v>1016</v>
      </c>
      <c r="H22" s="27" t="s">
        <v>120</v>
      </c>
      <c r="I22" s="24" t="s">
        <v>998</v>
      </c>
      <c r="J22" s="24" t="s">
        <v>107</v>
      </c>
      <c r="K22" s="28" t="s">
        <v>108</v>
      </c>
      <c r="L22" s="29">
        <v>0.03</v>
      </c>
      <c r="M22" s="29">
        <v>1.4999999999999999E-2</v>
      </c>
      <c r="N22" s="29">
        <v>0.02</v>
      </c>
      <c r="O22" s="27" t="s">
        <v>166</v>
      </c>
      <c r="P22" s="30" t="s">
        <v>164</v>
      </c>
      <c r="Q22" s="31">
        <v>376977297.98000002</v>
      </c>
      <c r="R22" s="31">
        <v>318.45</v>
      </c>
      <c r="S22" s="32">
        <v>8.9980000000000008E-3</v>
      </c>
      <c r="T22" s="32" t="s">
        <v>139</v>
      </c>
      <c r="U22" s="32">
        <v>-1.1919999999999999E-3</v>
      </c>
      <c r="V22" s="32">
        <v>2.7079999999999999E-3</v>
      </c>
      <c r="W22" s="32">
        <v>9.3179999999999999E-3</v>
      </c>
      <c r="X22" s="32">
        <v>1.3816999999999999E-2</v>
      </c>
      <c r="Y22" s="32">
        <v>8.711E-3</v>
      </c>
      <c r="Z22" s="32">
        <v>6.8481E-2</v>
      </c>
      <c r="AA22" s="32">
        <v>0.12328</v>
      </c>
      <c r="AB22" s="32">
        <v>0.12602099999999999</v>
      </c>
    </row>
    <row r="23" spans="1:28" ht="15.6" customHeight="1" x14ac:dyDescent="0.25">
      <c r="A23" s="24" t="s">
        <v>167</v>
      </c>
      <c r="B23" s="50">
        <v>3055</v>
      </c>
      <c r="C23" s="25" t="s">
        <v>168</v>
      </c>
      <c r="D23" s="25" t="s">
        <v>164</v>
      </c>
      <c r="E23" s="25" t="s">
        <v>102</v>
      </c>
      <c r="F23" s="25" t="s">
        <v>103</v>
      </c>
      <c r="G23" s="26" t="s">
        <v>104</v>
      </c>
      <c r="H23" s="27" t="s">
        <v>169</v>
      </c>
      <c r="I23" s="24" t="s">
        <v>106</v>
      </c>
      <c r="J23" s="24" t="s">
        <v>107</v>
      </c>
      <c r="K23" s="28" t="s">
        <v>108</v>
      </c>
      <c r="L23" s="29">
        <v>0</v>
      </c>
      <c r="M23" s="29">
        <v>0</v>
      </c>
      <c r="N23" s="29">
        <v>0.02</v>
      </c>
      <c r="O23" s="27" t="s">
        <v>166</v>
      </c>
      <c r="P23" s="30" t="s">
        <v>164</v>
      </c>
      <c r="Q23" s="31">
        <v>3455909147.4200001</v>
      </c>
      <c r="R23" s="31">
        <v>5693.29</v>
      </c>
      <c r="S23" s="32">
        <v>1.4219000000000001E-2</v>
      </c>
      <c r="T23" s="32" t="s">
        <v>139</v>
      </c>
      <c r="U23" s="32">
        <v>1.11E-4</v>
      </c>
      <c r="V23" s="32">
        <v>1.3879999999999999E-3</v>
      </c>
      <c r="W23" s="32">
        <v>4.9639999999999997E-3</v>
      </c>
      <c r="X23" s="32">
        <v>1.0540000000000001E-2</v>
      </c>
      <c r="Y23" s="32">
        <v>1.9938999999999998E-2</v>
      </c>
      <c r="Z23" s="32">
        <v>4.3874000000000003E-2</v>
      </c>
      <c r="AA23" s="32">
        <v>7.3524999999999993E-2</v>
      </c>
      <c r="AB23" s="32">
        <v>0.10775999999999999</v>
      </c>
    </row>
    <row r="24" spans="1:28" ht="15.6" customHeight="1" x14ac:dyDescent="0.25">
      <c r="A24" s="24" t="s">
        <v>1017</v>
      </c>
      <c r="B24" s="50">
        <v>3056</v>
      </c>
      <c r="C24" s="25" t="s">
        <v>1018</v>
      </c>
      <c r="D24" s="25" t="s">
        <v>159</v>
      </c>
      <c r="E24" s="25" t="s">
        <v>102</v>
      </c>
      <c r="F24" s="25" t="s">
        <v>113</v>
      </c>
      <c r="G24" s="26" t="s">
        <v>531</v>
      </c>
      <c r="H24" s="27" t="s">
        <v>115</v>
      </c>
      <c r="I24" s="24" t="s">
        <v>998</v>
      </c>
      <c r="J24" s="24" t="s">
        <v>121</v>
      </c>
      <c r="K24" s="28" t="s">
        <v>108</v>
      </c>
      <c r="L24" s="29">
        <v>0</v>
      </c>
      <c r="M24" s="29">
        <v>0</v>
      </c>
      <c r="N24" s="29">
        <v>0.02</v>
      </c>
      <c r="O24" s="27" t="s">
        <v>173</v>
      </c>
      <c r="P24" s="30" t="s">
        <v>159</v>
      </c>
      <c r="Q24" s="31">
        <v>6934482413.8599997</v>
      </c>
      <c r="R24" s="31">
        <v>961386.72</v>
      </c>
      <c r="S24" s="32">
        <v>-1.5629999999999999E-3</v>
      </c>
      <c r="T24" s="32" t="s">
        <v>139</v>
      </c>
      <c r="U24" s="32">
        <v>-1.14E-3</v>
      </c>
      <c r="V24" s="32">
        <v>2.359E-3</v>
      </c>
      <c r="W24" s="32">
        <v>4.4889999999999999E-3</v>
      </c>
      <c r="X24" s="32">
        <v>3.8530000000000001E-3</v>
      </c>
      <c r="Y24" s="32">
        <v>-7.0759999999999998E-3</v>
      </c>
      <c r="Z24" s="32">
        <v>8.1130999999999995E-2</v>
      </c>
      <c r="AA24" s="32">
        <v>0.19308400000000001</v>
      </c>
      <c r="AB24" s="32">
        <v>0.150981</v>
      </c>
    </row>
    <row r="25" spans="1:28" ht="15.6" customHeight="1" x14ac:dyDescent="0.25">
      <c r="A25" s="24" t="s">
        <v>170</v>
      </c>
      <c r="B25" s="50">
        <v>3057</v>
      </c>
      <c r="C25" s="25" t="s">
        <v>171</v>
      </c>
      <c r="D25" s="25" t="s">
        <v>164</v>
      </c>
      <c r="E25" s="25" t="s">
        <v>102</v>
      </c>
      <c r="F25" s="25" t="s">
        <v>138</v>
      </c>
      <c r="G25" s="26" t="s">
        <v>139</v>
      </c>
      <c r="H25" s="27" t="s">
        <v>172</v>
      </c>
      <c r="I25" s="24" t="s">
        <v>106</v>
      </c>
      <c r="J25" s="24" t="s">
        <v>107</v>
      </c>
      <c r="K25" s="28" t="s">
        <v>108</v>
      </c>
      <c r="L25" s="29">
        <v>0.03</v>
      </c>
      <c r="M25" s="29">
        <v>1.4999999999999999E-2</v>
      </c>
      <c r="N25" s="29">
        <v>0.02</v>
      </c>
      <c r="O25" s="27" t="s">
        <v>173</v>
      </c>
      <c r="P25" s="30" t="s">
        <v>164</v>
      </c>
      <c r="Q25" s="31">
        <v>542420851.77999997</v>
      </c>
      <c r="R25" s="31">
        <v>7201.84</v>
      </c>
      <c r="S25" s="32">
        <v>4.9652000000000002E-2</v>
      </c>
      <c r="T25" s="32" t="s">
        <v>139</v>
      </c>
      <c r="U25" s="32">
        <v>-5.5979999999999997E-3</v>
      </c>
      <c r="V25" s="32">
        <v>4.5710000000000004E-3</v>
      </c>
      <c r="W25" s="32">
        <v>2.5732000000000001E-2</v>
      </c>
      <c r="X25" s="32">
        <v>9.3156000000000003E-2</v>
      </c>
      <c r="Y25" s="32">
        <v>-4.6160000000000003E-3</v>
      </c>
      <c r="Z25" s="32">
        <v>0.24520700000000001</v>
      </c>
      <c r="AA25" s="32">
        <v>0.414964</v>
      </c>
      <c r="AB25" s="32">
        <v>0.34023900000000001</v>
      </c>
    </row>
    <row r="26" spans="1:28" ht="15.6" customHeight="1" x14ac:dyDescent="0.25">
      <c r="A26" s="24" t="s">
        <v>174</v>
      </c>
      <c r="B26" s="50">
        <v>3058</v>
      </c>
      <c r="C26" s="25" t="s">
        <v>175</v>
      </c>
      <c r="D26" s="25" t="s">
        <v>164</v>
      </c>
      <c r="E26" s="25" t="s">
        <v>102</v>
      </c>
      <c r="F26" s="25" t="s">
        <v>113</v>
      </c>
      <c r="G26" s="26" t="s">
        <v>176</v>
      </c>
      <c r="H26" s="27" t="s">
        <v>177</v>
      </c>
      <c r="I26" s="24" t="s">
        <v>106</v>
      </c>
      <c r="J26" s="24" t="s">
        <v>107</v>
      </c>
      <c r="K26" s="28" t="s">
        <v>108</v>
      </c>
      <c r="L26" s="29">
        <v>0.03</v>
      </c>
      <c r="M26" s="29">
        <v>1.4999999999999999E-2</v>
      </c>
      <c r="N26" s="29">
        <v>0.02</v>
      </c>
      <c r="O26" s="27" t="s">
        <v>173</v>
      </c>
      <c r="P26" s="30" t="s">
        <v>164</v>
      </c>
      <c r="Q26" s="31">
        <v>967013966.41999996</v>
      </c>
      <c r="R26" s="31">
        <v>3622.16</v>
      </c>
      <c r="S26" s="32">
        <v>4.058E-3</v>
      </c>
      <c r="T26" s="32" t="s">
        <v>139</v>
      </c>
      <c r="U26" s="32">
        <v>-2.0439999999999998E-3</v>
      </c>
      <c r="V26" s="32">
        <v>2.336E-3</v>
      </c>
      <c r="W26" s="32">
        <v>8.2950000000000003E-3</v>
      </c>
      <c r="X26" s="32">
        <v>1.2133E-2</v>
      </c>
      <c r="Y26" s="32">
        <v>-4.398E-3</v>
      </c>
      <c r="Z26" s="32">
        <v>6.5319000000000002E-2</v>
      </c>
      <c r="AA26" s="32">
        <v>0.15986700000000001</v>
      </c>
      <c r="AB26" s="32">
        <v>0.11624900000000001</v>
      </c>
    </row>
    <row r="27" spans="1:28" ht="15.6" customHeight="1" x14ac:dyDescent="0.25">
      <c r="A27" s="24" t="s">
        <v>178</v>
      </c>
      <c r="B27" s="50">
        <v>3059</v>
      </c>
      <c r="C27" s="25" t="s">
        <v>179</v>
      </c>
      <c r="D27" s="25" t="s">
        <v>164</v>
      </c>
      <c r="E27" s="25" t="s">
        <v>102</v>
      </c>
      <c r="F27" s="25" t="s">
        <v>128</v>
      </c>
      <c r="G27" s="26" t="s">
        <v>129</v>
      </c>
      <c r="H27" s="27" t="s">
        <v>130</v>
      </c>
      <c r="I27" s="24" t="s">
        <v>106</v>
      </c>
      <c r="J27" s="24" t="s">
        <v>107</v>
      </c>
      <c r="K27" s="28" t="s">
        <v>180</v>
      </c>
      <c r="L27" s="29">
        <v>0.03</v>
      </c>
      <c r="M27" s="29">
        <v>1.4999999999999999E-2</v>
      </c>
      <c r="N27" s="29">
        <v>0.02</v>
      </c>
      <c r="O27" s="27" t="s">
        <v>173</v>
      </c>
      <c r="P27" s="30" t="s">
        <v>164</v>
      </c>
      <c r="Q27" s="31">
        <v>236529584.50999999</v>
      </c>
      <c r="R27" s="31">
        <v>1746.35</v>
      </c>
      <c r="S27" s="32">
        <v>1.8624000000000002E-2</v>
      </c>
      <c r="T27" s="32" t="s">
        <v>139</v>
      </c>
      <c r="U27" s="32">
        <v>3.4E-5</v>
      </c>
      <c r="V27" s="32">
        <v>1.951E-3</v>
      </c>
      <c r="W27" s="32">
        <v>6.9649999999999998E-3</v>
      </c>
      <c r="X27" s="32">
        <v>1.4671E-2</v>
      </c>
      <c r="Y27" s="32">
        <v>2.5190000000000001E-2</v>
      </c>
      <c r="Z27" s="32">
        <v>5.7086999999999999E-2</v>
      </c>
      <c r="AA27" s="32">
        <v>9.8430000000000004E-2</v>
      </c>
      <c r="AB27" s="32">
        <v>0.14043600000000001</v>
      </c>
    </row>
    <row r="28" spans="1:28" ht="15.6" customHeight="1" x14ac:dyDescent="0.25">
      <c r="A28" s="24" t="s">
        <v>181</v>
      </c>
      <c r="B28" s="50">
        <v>3060</v>
      </c>
      <c r="C28" s="25" t="s">
        <v>182</v>
      </c>
      <c r="D28" s="25" t="s">
        <v>164</v>
      </c>
      <c r="E28" s="25" t="s">
        <v>102</v>
      </c>
      <c r="F28" s="25" t="s">
        <v>103</v>
      </c>
      <c r="G28" s="26" t="s">
        <v>104</v>
      </c>
      <c r="H28" s="27" t="s">
        <v>183</v>
      </c>
      <c r="I28" s="24" t="s">
        <v>106</v>
      </c>
      <c r="J28" s="24" t="s">
        <v>107</v>
      </c>
      <c r="K28" s="28" t="s">
        <v>108</v>
      </c>
      <c r="L28" s="29">
        <v>0.03</v>
      </c>
      <c r="M28" s="29">
        <v>1.4999999999999999E-2</v>
      </c>
      <c r="N28" s="29">
        <v>1.4999999999999999E-2</v>
      </c>
      <c r="O28" s="27" t="s">
        <v>173</v>
      </c>
      <c r="P28" s="30" t="s">
        <v>164</v>
      </c>
      <c r="Q28" s="31">
        <v>1785856082.7</v>
      </c>
      <c r="R28" s="31">
        <v>6001.45</v>
      </c>
      <c r="S28" s="32">
        <v>1.4969E-2</v>
      </c>
      <c r="T28" s="32" t="s">
        <v>139</v>
      </c>
      <c r="U28" s="32">
        <v>1.3300000000000001E-4</v>
      </c>
      <c r="V28" s="32">
        <v>1.4599999999999999E-3</v>
      </c>
      <c r="W28" s="32">
        <v>5.1590000000000004E-3</v>
      </c>
      <c r="X28" s="32">
        <v>1.0988E-2</v>
      </c>
      <c r="Y28" s="32">
        <v>2.1194999999999999E-2</v>
      </c>
      <c r="Z28" s="32">
        <v>4.7080999999999998E-2</v>
      </c>
      <c r="AA28" s="32">
        <v>7.9175999999999996E-2</v>
      </c>
      <c r="AB28" s="32">
        <v>0.117077</v>
      </c>
    </row>
    <row r="29" spans="1:28" ht="15.6" customHeight="1" x14ac:dyDescent="0.25">
      <c r="A29" s="24" t="s">
        <v>1019</v>
      </c>
      <c r="B29" s="50">
        <v>3061</v>
      </c>
      <c r="C29" s="25" t="s">
        <v>1020</v>
      </c>
      <c r="D29" s="25" t="s">
        <v>164</v>
      </c>
      <c r="E29" s="25" t="s">
        <v>102</v>
      </c>
      <c r="F29" s="25" t="s">
        <v>155</v>
      </c>
      <c r="G29" s="26" t="s">
        <v>139</v>
      </c>
      <c r="H29" s="27" t="s">
        <v>280</v>
      </c>
      <c r="I29" s="24" t="s">
        <v>998</v>
      </c>
      <c r="J29" s="24" t="s">
        <v>107</v>
      </c>
      <c r="K29" s="28" t="s">
        <v>108</v>
      </c>
      <c r="L29" s="29">
        <v>0.03</v>
      </c>
      <c r="M29" s="29">
        <v>1.4999999999999999E-2</v>
      </c>
      <c r="N29" s="29">
        <v>0.02</v>
      </c>
      <c r="O29" s="27" t="s">
        <v>173</v>
      </c>
      <c r="P29" s="30" t="s">
        <v>164</v>
      </c>
      <c r="Q29" s="31">
        <v>452694877.22000003</v>
      </c>
      <c r="R29" s="31">
        <v>8144.92</v>
      </c>
      <c r="S29" s="32">
        <v>6.4573000000000005E-2</v>
      </c>
      <c r="T29" s="32" t="s">
        <v>139</v>
      </c>
      <c r="U29" s="32">
        <v>-4.5729999999999998E-3</v>
      </c>
      <c r="V29" s="32">
        <v>5.2800000000000004E-4</v>
      </c>
      <c r="W29" s="32">
        <v>4.2870999999999999E-2</v>
      </c>
      <c r="X29" s="32">
        <v>0.14666799999999999</v>
      </c>
      <c r="Y29" s="32">
        <v>-3.0550999999999998E-2</v>
      </c>
      <c r="Z29" s="32">
        <v>0.37975100000000001</v>
      </c>
      <c r="AA29" s="32">
        <v>0.61351</v>
      </c>
      <c r="AB29" s="32">
        <v>0.50670599999999999</v>
      </c>
    </row>
    <row r="30" spans="1:28" ht="15.6" customHeight="1" x14ac:dyDescent="0.25">
      <c r="A30" s="24" t="s">
        <v>1021</v>
      </c>
      <c r="B30" s="50">
        <v>3062</v>
      </c>
      <c r="C30" s="25" t="s">
        <v>1022</v>
      </c>
      <c r="D30" s="25" t="s">
        <v>127</v>
      </c>
      <c r="E30" s="25" t="s">
        <v>102</v>
      </c>
      <c r="F30" s="25" t="s">
        <v>113</v>
      </c>
      <c r="G30" s="26" t="s">
        <v>531</v>
      </c>
      <c r="H30" s="27" t="s">
        <v>327</v>
      </c>
      <c r="I30" s="24" t="s">
        <v>998</v>
      </c>
      <c r="J30" s="24" t="s">
        <v>121</v>
      </c>
      <c r="K30" s="28" t="s">
        <v>108</v>
      </c>
      <c r="L30" s="29">
        <v>0.03</v>
      </c>
      <c r="M30" s="29">
        <v>1.4999999999999999E-2</v>
      </c>
      <c r="N30" s="29">
        <v>0.02</v>
      </c>
      <c r="O30" s="27" t="s">
        <v>131</v>
      </c>
      <c r="P30" s="30" t="s">
        <v>131</v>
      </c>
      <c r="Q30" s="31">
        <v>6184174503.4399996</v>
      </c>
      <c r="R30" s="31">
        <v>986469.05</v>
      </c>
      <c r="S30" s="32">
        <v>-1.122E-3</v>
      </c>
      <c r="T30" s="32" t="s">
        <v>139</v>
      </c>
      <c r="U30" s="32">
        <v>-1.238E-3</v>
      </c>
      <c r="V30" s="32">
        <v>2.3730000000000001E-3</v>
      </c>
      <c r="W30" s="32">
        <v>4.7410000000000004E-3</v>
      </c>
      <c r="X30" s="32">
        <v>3.5360000000000001E-3</v>
      </c>
      <c r="Y30" s="32">
        <v>-6.9410000000000001E-3</v>
      </c>
      <c r="Z30" s="32">
        <v>7.0599999999999996E-2</v>
      </c>
      <c r="AA30" s="32">
        <v>0.175071</v>
      </c>
      <c r="AB30" s="32">
        <v>0.150394</v>
      </c>
    </row>
    <row r="31" spans="1:28" ht="15.6" customHeight="1" x14ac:dyDescent="0.25">
      <c r="A31" s="24" t="s">
        <v>1023</v>
      </c>
      <c r="B31" s="50">
        <v>3063</v>
      </c>
      <c r="C31" s="25" t="s">
        <v>1024</v>
      </c>
      <c r="D31" s="25" t="s">
        <v>164</v>
      </c>
      <c r="E31" s="25" t="s">
        <v>102</v>
      </c>
      <c r="F31" s="25" t="s">
        <v>113</v>
      </c>
      <c r="G31" s="26" t="s">
        <v>1025</v>
      </c>
      <c r="H31" s="27" t="s">
        <v>789</v>
      </c>
      <c r="I31" s="24" t="s">
        <v>998</v>
      </c>
      <c r="J31" s="24" t="s">
        <v>121</v>
      </c>
      <c r="K31" s="28" t="s">
        <v>108</v>
      </c>
      <c r="L31" s="29">
        <v>0.03</v>
      </c>
      <c r="M31" s="29">
        <v>1.4999999999999999E-2</v>
      </c>
      <c r="N31" s="29">
        <v>0.02</v>
      </c>
      <c r="O31" s="27" t="s">
        <v>148</v>
      </c>
      <c r="P31" s="30" t="s">
        <v>164</v>
      </c>
      <c r="Q31" s="31">
        <v>4008709445.6199999</v>
      </c>
      <c r="R31" s="31">
        <v>1045295.81</v>
      </c>
      <c r="S31" s="32">
        <v>3.9800000000000002E-4</v>
      </c>
      <c r="T31" s="32" t="s">
        <v>139</v>
      </c>
      <c r="U31" s="32">
        <v>-2.758E-3</v>
      </c>
      <c r="V31" s="32">
        <v>7.1599999999999995E-4</v>
      </c>
      <c r="W31" s="32">
        <v>-1.4289999999999999E-3</v>
      </c>
      <c r="X31" s="32">
        <v>6.9690000000000004E-3</v>
      </c>
      <c r="Y31" s="32">
        <v>2.4052E-2</v>
      </c>
      <c r="Z31" s="32">
        <v>8.8835999999999998E-2</v>
      </c>
      <c r="AA31" s="32">
        <v>0.180924</v>
      </c>
      <c r="AB31" s="32">
        <v>0.20108100000000001</v>
      </c>
    </row>
    <row r="32" spans="1:28" ht="15.6" customHeight="1" x14ac:dyDescent="0.25">
      <c r="A32" s="24" t="s">
        <v>1026</v>
      </c>
      <c r="B32" s="50">
        <v>3064</v>
      </c>
      <c r="C32" s="25" t="s">
        <v>1027</v>
      </c>
      <c r="D32" s="25" t="s">
        <v>164</v>
      </c>
      <c r="E32" s="25" t="s">
        <v>102</v>
      </c>
      <c r="F32" s="25" t="s">
        <v>155</v>
      </c>
      <c r="G32" s="26" t="s">
        <v>139</v>
      </c>
      <c r="H32" s="27" t="s">
        <v>156</v>
      </c>
      <c r="I32" s="24" t="s">
        <v>998</v>
      </c>
      <c r="J32" s="24" t="s">
        <v>107</v>
      </c>
      <c r="K32" s="28" t="s">
        <v>108</v>
      </c>
      <c r="L32" s="29">
        <v>0.03</v>
      </c>
      <c r="M32" s="29">
        <v>1.4999999999999999E-2</v>
      </c>
      <c r="N32" s="29">
        <v>0.02</v>
      </c>
      <c r="O32" s="27" t="s">
        <v>166</v>
      </c>
      <c r="P32" s="30" t="s">
        <v>164</v>
      </c>
      <c r="Q32" s="31">
        <v>1226624261.99</v>
      </c>
      <c r="R32" s="31">
        <v>125.25</v>
      </c>
      <c r="S32" s="32">
        <v>5.5981999999999997E-2</v>
      </c>
      <c r="T32" s="32" t="s">
        <v>139</v>
      </c>
      <c r="U32" s="32">
        <v>-5.6369999999999996E-3</v>
      </c>
      <c r="V32" s="32">
        <v>3.9899999999999999E-4</v>
      </c>
      <c r="W32" s="32">
        <v>3.7009E-2</v>
      </c>
      <c r="X32" s="32">
        <v>0.14185400000000001</v>
      </c>
      <c r="Y32" s="32">
        <v>-4.8397000000000003E-2</v>
      </c>
      <c r="Z32" s="32">
        <v>0.32975900000000002</v>
      </c>
      <c r="AA32" s="32">
        <v>0.52187099999999997</v>
      </c>
      <c r="AB32" s="32">
        <v>0.39073999999999998</v>
      </c>
    </row>
    <row r="33" spans="1:28" ht="15.6" customHeight="1" x14ac:dyDescent="0.25">
      <c r="A33" s="24" t="s">
        <v>1028</v>
      </c>
      <c r="B33" s="50">
        <v>3067</v>
      </c>
      <c r="C33" s="25" t="s">
        <v>1029</v>
      </c>
      <c r="D33" s="25" t="s">
        <v>164</v>
      </c>
      <c r="E33" s="25" t="s">
        <v>102</v>
      </c>
      <c r="F33" s="25" t="s">
        <v>138</v>
      </c>
      <c r="G33" s="26" t="s">
        <v>139</v>
      </c>
      <c r="H33" s="27" t="s">
        <v>1030</v>
      </c>
      <c r="I33" s="24" t="s">
        <v>998</v>
      </c>
      <c r="J33" s="24" t="s">
        <v>121</v>
      </c>
      <c r="K33" s="28" t="s">
        <v>108</v>
      </c>
      <c r="L33" s="29">
        <v>0.03</v>
      </c>
      <c r="M33" s="29">
        <v>1.4999999999999999E-2</v>
      </c>
      <c r="N33" s="29">
        <v>0.02</v>
      </c>
      <c r="O33" s="27" t="s">
        <v>166</v>
      </c>
      <c r="P33" s="30" t="s">
        <v>164</v>
      </c>
      <c r="Q33" s="31">
        <v>650368520.17999995</v>
      </c>
      <c r="R33" s="31">
        <v>38394.74</v>
      </c>
      <c r="S33" s="32">
        <v>3.5020999999999997E-2</v>
      </c>
      <c r="T33" s="32" t="s">
        <v>139</v>
      </c>
      <c r="U33" s="32">
        <v>-3.9029999999999998E-3</v>
      </c>
      <c r="V33" s="32">
        <v>5.8939999999999999E-3</v>
      </c>
      <c r="W33" s="32">
        <v>2.4837000000000001E-2</v>
      </c>
      <c r="X33" s="32">
        <v>6.3738000000000003E-2</v>
      </c>
      <c r="Y33" s="32">
        <v>2.4000000000000001E-5</v>
      </c>
      <c r="Z33" s="32">
        <v>0.221247</v>
      </c>
      <c r="AA33" s="32">
        <v>0.38697799999999999</v>
      </c>
      <c r="AB33" s="32">
        <v>0.36657600000000001</v>
      </c>
    </row>
    <row r="34" spans="1:28" ht="15.6" customHeight="1" x14ac:dyDescent="0.25">
      <c r="A34" s="24" t="s">
        <v>1031</v>
      </c>
      <c r="B34" s="50">
        <v>3068</v>
      </c>
      <c r="C34" s="25" t="s">
        <v>1032</v>
      </c>
      <c r="D34" s="25" t="s">
        <v>164</v>
      </c>
      <c r="E34" s="25" t="s">
        <v>102</v>
      </c>
      <c r="F34" s="25" t="s">
        <v>138</v>
      </c>
      <c r="G34" s="26" t="s">
        <v>139</v>
      </c>
      <c r="H34" s="27" t="s">
        <v>1033</v>
      </c>
      <c r="I34" s="24" t="s">
        <v>998</v>
      </c>
      <c r="J34" s="24" t="s">
        <v>121</v>
      </c>
      <c r="K34" s="28" t="s">
        <v>108</v>
      </c>
      <c r="L34" s="29">
        <v>5.0000000000000001E-3</v>
      </c>
      <c r="M34" s="29">
        <v>2.5000000000000001E-3</v>
      </c>
      <c r="N34" s="29">
        <v>0.01</v>
      </c>
      <c r="O34" s="27" t="s">
        <v>166</v>
      </c>
      <c r="P34" s="30" t="s">
        <v>164</v>
      </c>
      <c r="Q34" s="31">
        <v>22490605.739999998</v>
      </c>
      <c r="R34" s="31">
        <v>572.37</v>
      </c>
      <c r="S34" s="32">
        <v>6.8724999999999994E-2</v>
      </c>
      <c r="T34" s="32" t="s">
        <v>139</v>
      </c>
      <c r="U34" s="32">
        <v>-6.1640000000000002E-3</v>
      </c>
      <c r="V34" s="32">
        <v>4.1580000000000002E-3</v>
      </c>
      <c r="W34" s="32">
        <v>2.6117000000000001E-2</v>
      </c>
      <c r="X34" s="32">
        <v>0.110559</v>
      </c>
      <c r="Y34" s="32">
        <v>1.9467999999999999E-2</v>
      </c>
      <c r="Z34" s="32">
        <v>0.31766</v>
      </c>
      <c r="AA34" s="32">
        <v>0.52449299999999999</v>
      </c>
      <c r="AB34" s="32">
        <v>0.52064299999999997</v>
      </c>
    </row>
    <row r="35" spans="1:28" ht="15.6" customHeight="1" x14ac:dyDescent="0.25">
      <c r="A35" s="24" t="s">
        <v>1034</v>
      </c>
      <c r="B35" s="50">
        <v>3069</v>
      </c>
      <c r="C35" s="25" t="s">
        <v>1035</v>
      </c>
      <c r="D35" s="25" t="s">
        <v>164</v>
      </c>
      <c r="E35" s="25" t="s">
        <v>102</v>
      </c>
      <c r="F35" s="25" t="s">
        <v>138</v>
      </c>
      <c r="G35" s="26" t="s">
        <v>139</v>
      </c>
      <c r="H35" s="27" t="s">
        <v>1033</v>
      </c>
      <c r="I35" s="24" t="s">
        <v>998</v>
      </c>
      <c r="J35" s="24" t="s">
        <v>107</v>
      </c>
      <c r="K35" s="28" t="s">
        <v>108</v>
      </c>
      <c r="L35" s="29">
        <v>0.03</v>
      </c>
      <c r="M35" s="29">
        <v>1.4999999999999999E-2</v>
      </c>
      <c r="N35" s="29">
        <v>0.02</v>
      </c>
      <c r="O35" s="27" t="s">
        <v>166</v>
      </c>
      <c r="P35" s="30" t="s">
        <v>164</v>
      </c>
      <c r="Q35" s="31">
        <v>55820153.649999999</v>
      </c>
      <c r="R35" s="31">
        <v>5585.93</v>
      </c>
      <c r="S35" s="32">
        <v>1.7212000000000002E-2</v>
      </c>
      <c r="T35" s="32" t="s">
        <v>139</v>
      </c>
      <c r="U35" s="32">
        <v>-4.1130000000000003E-3</v>
      </c>
      <c r="V35" s="32">
        <v>1.194E-3</v>
      </c>
      <c r="W35" s="32">
        <v>2.3491000000000001E-2</v>
      </c>
      <c r="X35" s="32">
        <v>7.1379999999999999E-2</v>
      </c>
      <c r="Y35" s="32">
        <v>-5.2622000000000002E-2</v>
      </c>
      <c r="Z35" s="32">
        <v>0.180172</v>
      </c>
      <c r="AA35" s="32">
        <v>0.35533100000000001</v>
      </c>
      <c r="AB35" s="32">
        <v>0.28429599999999999</v>
      </c>
    </row>
    <row r="36" spans="1:28" ht="15.6" customHeight="1" x14ac:dyDescent="0.25">
      <c r="A36" s="24" t="s">
        <v>1036</v>
      </c>
      <c r="B36" s="50">
        <v>3070</v>
      </c>
      <c r="C36" s="25" t="s">
        <v>1037</v>
      </c>
      <c r="D36" s="25" t="s">
        <v>164</v>
      </c>
      <c r="E36" s="25" t="s">
        <v>102</v>
      </c>
      <c r="F36" s="25" t="s">
        <v>113</v>
      </c>
      <c r="G36" s="26" t="s">
        <v>1016</v>
      </c>
      <c r="H36" s="27" t="s">
        <v>120</v>
      </c>
      <c r="I36" s="24" t="s">
        <v>998</v>
      </c>
      <c r="J36" s="24" t="s">
        <v>107</v>
      </c>
      <c r="K36" s="28" t="s">
        <v>108</v>
      </c>
      <c r="L36" s="29">
        <v>0.03</v>
      </c>
      <c r="M36" s="29">
        <v>1.4999999999999999E-2</v>
      </c>
      <c r="N36" s="29">
        <v>0.02</v>
      </c>
      <c r="O36" s="27" t="s">
        <v>166</v>
      </c>
      <c r="P36" s="30" t="s">
        <v>164</v>
      </c>
      <c r="Q36" s="31">
        <v>145590882.94</v>
      </c>
      <c r="R36" s="31">
        <v>3941.6</v>
      </c>
      <c r="S36" s="32">
        <v>1.7179999999999999E-3</v>
      </c>
      <c r="T36" s="32" t="s">
        <v>139</v>
      </c>
      <c r="U36" s="32">
        <v>-1.73E-3</v>
      </c>
      <c r="V36" s="32">
        <v>1.263E-3</v>
      </c>
      <c r="W36" s="32">
        <v>4.6930000000000001E-3</v>
      </c>
      <c r="X36" s="32">
        <v>5.9880000000000003E-3</v>
      </c>
      <c r="Y36" s="32">
        <v>-5.2069999999999998E-3</v>
      </c>
      <c r="Z36" s="32">
        <v>3.9128000000000003E-2</v>
      </c>
      <c r="AA36" s="32">
        <v>0.101926</v>
      </c>
      <c r="AB36" s="32">
        <v>7.8696000000000002E-2</v>
      </c>
    </row>
    <row r="37" spans="1:28" ht="15.6" customHeight="1" x14ac:dyDescent="0.25">
      <c r="A37" s="24" t="s">
        <v>1038</v>
      </c>
      <c r="B37" s="50">
        <v>3071</v>
      </c>
      <c r="C37" s="25" t="s">
        <v>1039</v>
      </c>
      <c r="D37" s="25" t="s">
        <v>164</v>
      </c>
      <c r="E37" s="25" t="s">
        <v>102</v>
      </c>
      <c r="F37" s="25" t="s">
        <v>138</v>
      </c>
      <c r="G37" s="26" t="s">
        <v>139</v>
      </c>
      <c r="H37" s="27" t="s">
        <v>1040</v>
      </c>
      <c r="I37" s="24" t="s">
        <v>998</v>
      </c>
      <c r="J37" s="24" t="s">
        <v>107</v>
      </c>
      <c r="K37" s="28" t="s">
        <v>108</v>
      </c>
      <c r="L37" s="29">
        <v>0.03</v>
      </c>
      <c r="M37" s="29">
        <v>1.4999999999999999E-2</v>
      </c>
      <c r="N37" s="29">
        <v>0.02</v>
      </c>
      <c r="O37" s="27" t="s">
        <v>166</v>
      </c>
      <c r="P37" s="30" t="s">
        <v>164</v>
      </c>
      <c r="Q37" s="31">
        <v>53560985.039999999</v>
      </c>
      <c r="R37" s="31">
        <v>625.57000000000005</v>
      </c>
      <c r="S37" s="32">
        <v>4.6593999999999997E-2</v>
      </c>
      <c r="T37" s="32" t="s">
        <v>139</v>
      </c>
      <c r="U37" s="32">
        <v>-3.9490000000000003E-3</v>
      </c>
      <c r="V37" s="32">
        <v>1.008E-3</v>
      </c>
      <c r="W37" s="32">
        <v>2.316E-2</v>
      </c>
      <c r="X37" s="32">
        <v>8.5003999999999996E-2</v>
      </c>
      <c r="Y37" s="32">
        <v>-9.6880000000000004E-3</v>
      </c>
      <c r="Z37" s="32">
        <v>0.219887</v>
      </c>
      <c r="AA37" s="32">
        <v>0.34615099999999999</v>
      </c>
      <c r="AB37" s="32">
        <v>0.28826800000000002</v>
      </c>
    </row>
    <row r="38" spans="1:28" ht="15.6" customHeight="1" x14ac:dyDescent="0.25">
      <c r="A38" s="24" t="s">
        <v>1041</v>
      </c>
      <c r="B38" s="50">
        <v>3072</v>
      </c>
      <c r="C38" s="25" t="s">
        <v>1042</v>
      </c>
      <c r="D38" s="25" t="s">
        <v>164</v>
      </c>
      <c r="E38" s="25" t="s">
        <v>102</v>
      </c>
      <c r="F38" s="25" t="s">
        <v>113</v>
      </c>
      <c r="G38" s="26" t="s">
        <v>1043</v>
      </c>
      <c r="H38" s="27" t="s">
        <v>327</v>
      </c>
      <c r="I38" s="24" t="s">
        <v>998</v>
      </c>
      <c r="J38" s="24" t="s">
        <v>121</v>
      </c>
      <c r="K38" s="28" t="s">
        <v>108</v>
      </c>
      <c r="L38" s="29">
        <v>0.03</v>
      </c>
      <c r="M38" s="29">
        <v>1.4999999999999999E-2</v>
      </c>
      <c r="N38" s="29">
        <v>0.02</v>
      </c>
      <c r="O38" s="27" t="s">
        <v>166</v>
      </c>
      <c r="P38" s="30" t="s">
        <v>164</v>
      </c>
      <c r="Q38" s="31">
        <v>10436959325.59</v>
      </c>
      <c r="R38" s="31">
        <v>1314147.48</v>
      </c>
      <c r="S38" s="32">
        <v>-2.7300000000000002E-4</v>
      </c>
      <c r="T38" s="32" t="s">
        <v>139</v>
      </c>
      <c r="U38" s="32">
        <v>-1.242E-3</v>
      </c>
      <c r="V38" s="32">
        <v>2.568E-3</v>
      </c>
      <c r="W38" s="32">
        <v>5.274E-3</v>
      </c>
      <c r="X38" s="32">
        <v>3.2880000000000001E-3</v>
      </c>
      <c r="Y38" s="32">
        <v>-4.1830000000000001E-3</v>
      </c>
      <c r="Z38" s="32">
        <v>7.8714000000000006E-2</v>
      </c>
      <c r="AA38" s="32">
        <v>0.19423799999999999</v>
      </c>
      <c r="AB38" s="32">
        <v>0.16623299999999999</v>
      </c>
    </row>
    <row r="39" spans="1:28" ht="15.6" customHeight="1" x14ac:dyDescent="0.25">
      <c r="A39" s="24" t="s">
        <v>184</v>
      </c>
      <c r="B39" s="50">
        <v>3073</v>
      </c>
      <c r="C39" s="25" t="s">
        <v>185</v>
      </c>
      <c r="D39" s="25" t="s">
        <v>101</v>
      </c>
      <c r="E39" s="25" t="s">
        <v>102</v>
      </c>
      <c r="F39" s="25" t="s">
        <v>103</v>
      </c>
      <c r="G39" s="26" t="s">
        <v>134</v>
      </c>
      <c r="H39" s="27" t="s">
        <v>130</v>
      </c>
      <c r="I39" s="24" t="s">
        <v>106</v>
      </c>
      <c r="J39" s="24" t="s">
        <v>107</v>
      </c>
      <c r="K39" s="28" t="s">
        <v>108</v>
      </c>
      <c r="L39" s="29">
        <v>0</v>
      </c>
      <c r="M39" s="29">
        <v>0</v>
      </c>
      <c r="N39" s="29">
        <v>0.02</v>
      </c>
      <c r="O39" s="27" t="s">
        <v>109</v>
      </c>
      <c r="P39" s="30" t="s">
        <v>101</v>
      </c>
      <c r="Q39" s="31">
        <v>1619386945.3599999</v>
      </c>
      <c r="R39" s="31">
        <v>168.59</v>
      </c>
      <c r="S39" s="32">
        <v>1.4075000000000001E-2</v>
      </c>
      <c r="T39" s="32" t="s">
        <v>139</v>
      </c>
      <c r="U39" s="32">
        <v>1.7799999999999999E-4</v>
      </c>
      <c r="V39" s="32">
        <v>1.485E-3</v>
      </c>
      <c r="W39" s="32">
        <v>5.1869999999999998E-3</v>
      </c>
      <c r="X39" s="32">
        <v>1.061E-2</v>
      </c>
      <c r="Y39" s="32">
        <v>1.9841999999999999E-2</v>
      </c>
      <c r="Z39" s="32">
        <v>4.3836E-2</v>
      </c>
      <c r="AA39" s="32">
        <v>7.4779999999999999E-2</v>
      </c>
      <c r="AB39" s="32">
        <v>0.11236500000000001</v>
      </c>
    </row>
    <row r="40" spans="1:28" ht="15.6" customHeight="1" x14ac:dyDescent="0.25">
      <c r="A40" s="24" t="s">
        <v>1044</v>
      </c>
      <c r="B40" s="50">
        <v>3074</v>
      </c>
      <c r="C40" s="25" t="s">
        <v>1045</v>
      </c>
      <c r="D40" s="25" t="s">
        <v>112</v>
      </c>
      <c r="E40" s="25" t="s">
        <v>102</v>
      </c>
      <c r="F40" s="25" t="s">
        <v>155</v>
      </c>
      <c r="G40" s="26" t="s">
        <v>139</v>
      </c>
      <c r="H40" s="27" t="s">
        <v>1046</v>
      </c>
      <c r="I40" s="24" t="s">
        <v>998</v>
      </c>
      <c r="J40" s="24" t="s">
        <v>107</v>
      </c>
      <c r="K40" s="28" t="s">
        <v>108</v>
      </c>
      <c r="L40" s="29">
        <v>0.01</v>
      </c>
      <c r="M40" s="29">
        <v>0.01</v>
      </c>
      <c r="N40" s="29">
        <v>0.02</v>
      </c>
      <c r="O40" s="27" t="s">
        <v>116</v>
      </c>
      <c r="P40" s="30" t="s">
        <v>112</v>
      </c>
      <c r="Q40" s="31">
        <v>4610629.5</v>
      </c>
      <c r="R40" s="31">
        <v>9830.76</v>
      </c>
      <c r="S40" s="32">
        <v>-5.1532000000000001E-2</v>
      </c>
      <c r="T40" s="32" t="s">
        <v>139</v>
      </c>
      <c r="U40" s="32">
        <v>-2.7620000000000001E-3</v>
      </c>
      <c r="V40" s="32">
        <v>-6.3169999999999997E-3</v>
      </c>
      <c r="W40" s="32">
        <v>3.8732999999999997E-2</v>
      </c>
      <c r="X40" s="32">
        <v>5.5656999999999998E-2</v>
      </c>
      <c r="Y40" s="32">
        <v>-0.13822999999999999</v>
      </c>
      <c r="Z40" s="32">
        <v>0.184139</v>
      </c>
      <c r="AA40" s="32">
        <v>0.35045500000000002</v>
      </c>
      <c r="AB40" s="32">
        <v>0.29201500000000002</v>
      </c>
    </row>
    <row r="41" spans="1:28" ht="15.6" customHeight="1" x14ac:dyDescent="0.25">
      <c r="A41" s="24" t="s">
        <v>1047</v>
      </c>
      <c r="B41" s="50">
        <v>3075</v>
      </c>
      <c r="C41" s="25" t="s">
        <v>1048</v>
      </c>
      <c r="D41" s="25" t="s">
        <v>112</v>
      </c>
      <c r="E41" s="25" t="s">
        <v>102</v>
      </c>
      <c r="F41" s="25" t="s">
        <v>138</v>
      </c>
      <c r="G41" s="26" t="s">
        <v>139</v>
      </c>
      <c r="H41" s="27" t="s">
        <v>1049</v>
      </c>
      <c r="I41" s="24" t="s">
        <v>998</v>
      </c>
      <c r="J41" s="24" t="s">
        <v>107</v>
      </c>
      <c r="K41" s="28" t="s">
        <v>108</v>
      </c>
      <c r="L41" s="29">
        <v>0.01</v>
      </c>
      <c r="M41" s="29">
        <v>0.01</v>
      </c>
      <c r="N41" s="29">
        <v>0.02</v>
      </c>
      <c r="O41" s="27" t="s">
        <v>116</v>
      </c>
      <c r="P41" s="30" t="s">
        <v>112</v>
      </c>
      <c r="Q41" s="31">
        <v>2848167.62</v>
      </c>
      <c r="R41" s="31">
        <v>4388.54</v>
      </c>
      <c r="S41" s="32">
        <v>-3.1350000000000002E-3</v>
      </c>
      <c r="T41" s="32" t="s">
        <v>139</v>
      </c>
      <c r="U41" s="32">
        <v>-2.6519999999999998E-3</v>
      </c>
      <c r="V41" s="32">
        <v>1.25E-4</v>
      </c>
      <c r="W41" s="32">
        <v>9.3449999999999991E-3</v>
      </c>
      <c r="X41" s="32">
        <v>1.8728999999999999E-2</v>
      </c>
      <c r="Y41" s="32">
        <v>-2.2631999999999999E-2</v>
      </c>
      <c r="Z41" s="32">
        <v>5.1513000000000003E-2</v>
      </c>
      <c r="AA41" s="32">
        <v>0.104071</v>
      </c>
      <c r="AB41" s="32">
        <v>-7.3309999999999998E-3</v>
      </c>
    </row>
    <row r="42" spans="1:28" ht="15.6" customHeight="1" x14ac:dyDescent="0.25">
      <c r="A42" s="24" t="s">
        <v>1050</v>
      </c>
      <c r="B42" s="50">
        <v>3076</v>
      </c>
      <c r="C42" s="25" t="s">
        <v>1051</v>
      </c>
      <c r="D42" s="25" t="s">
        <v>241</v>
      </c>
      <c r="E42" s="25" t="s">
        <v>102</v>
      </c>
      <c r="F42" s="25" t="s">
        <v>138</v>
      </c>
      <c r="G42" s="26" t="s">
        <v>139</v>
      </c>
      <c r="H42" s="27" t="s">
        <v>1052</v>
      </c>
      <c r="I42" s="24" t="s">
        <v>998</v>
      </c>
      <c r="J42" s="24" t="s">
        <v>107</v>
      </c>
      <c r="K42" s="28" t="s">
        <v>108</v>
      </c>
      <c r="L42" s="29">
        <v>0.03</v>
      </c>
      <c r="M42" s="29">
        <v>1.4999999999999999E-2</v>
      </c>
      <c r="N42" s="29">
        <v>0.02</v>
      </c>
      <c r="O42" s="27" t="s">
        <v>148</v>
      </c>
      <c r="P42" s="30" t="s">
        <v>241</v>
      </c>
      <c r="Q42" s="31">
        <v>43293444.859999999</v>
      </c>
      <c r="R42" s="31">
        <v>1540.58</v>
      </c>
      <c r="S42" s="32">
        <v>5.6990000000000001E-3</v>
      </c>
      <c r="T42" s="32" t="s">
        <v>139</v>
      </c>
      <c r="U42" s="32">
        <v>-3.718E-3</v>
      </c>
      <c r="V42" s="32">
        <v>9.4200000000000002E-4</v>
      </c>
      <c r="W42" s="32">
        <v>1.0952E-2</v>
      </c>
      <c r="X42" s="32">
        <v>3.0137000000000001E-2</v>
      </c>
      <c r="Y42" s="32">
        <v>-2.5461000000000001E-2</v>
      </c>
      <c r="Z42" s="32">
        <v>0.16925899999999999</v>
      </c>
      <c r="AA42" s="32">
        <v>0.30752600000000002</v>
      </c>
      <c r="AB42" s="32">
        <v>0.30670599999999998</v>
      </c>
    </row>
    <row r="43" spans="1:28" ht="15.6" customHeight="1" x14ac:dyDescent="0.25">
      <c r="A43" s="24" t="s">
        <v>186</v>
      </c>
      <c r="B43" s="50">
        <v>3077</v>
      </c>
      <c r="C43" s="25" t="s">
        <v>187</v>
      </c>
      <c r="D43" s="25" t="s">
        <v>127</v>
      </c>
      <c r="E43" s="25" t="s">
        <v>102</v>
      </c>
      <c r="F43" s="25" t="s">
        <v>103</v>
      </c>
      <c r="G43" s="26" t="s">
        <v>104</v>
      </c>
      <c r="H43" s="27" t="s">
        <v>188</v>
      </c>
      <c r="I43" s="24" t="s">
        <v>106</v>
      </c>
      <c r="J43" s="24" t="s">
        <v>107</v>
      </c>
      <c r="K43" s="28" t="s">
        <v>108</v>
      </c>
      <c r="L43" s="29">
        <v>0</v>
      </c>
      <c r="M43" s="29">
        <v>0</v>
      </c>
      <c r="N43" s="29">
        <v>0.02</v>
      </c>
      <c r="O43" s="27" t="s">
        <v>131</v>
      </c>
      <c r="P43" s="30" t="s">
        <v>131</v>
      </c>
      <c r="Q43" s="31">
        <v>565172569.72000003</v>
      </c>
      <c r="R43" s="31">
        <v>216.39</v>
      </c>
      <c r="S43" s="32">
        <v>1.4772E-2</v>
      </c>
      <c r="T43" s="32" t="s">
        <v>139</v>
      </c>
      <c r="U43" s="32">
        <v>9.2E-5</v>
      </c>
      <c r="V43" s="32">
        <v>1.5269999999999999E-3</v>
      </c>
      <c r="W43" s="32">
        <v>5.2960000000000004E-3</v>
      </c>
      <c r="X43" s="32">
        <v>1.0978999999999999E-2</v>
      </c>
      <c r="Y43" s="32">
        <v>2.1285999999999999E-2</v>
      </c>
      <c r="Z43" s="32">
        <v>4.7488000000000002E-2</v>
      </c>
      <c r="AA43" s="32">
        <v>8.0005999999999994E-2</v>
      </c>
      <c r="AB43" s="32">
        <v>0.11923400000000001</v>
      </c>
    </row>
    <row r="44" spans="1:28" ht="15.6" customHeight="1" x14ac:dyDescent="0.25">
      <c r="A44" s="24" t="s">
        <v>189</v>
      </c>
      <c r="B44" s="50">
        <v>3078</v>
      </c>
      <c r="C44" s="25" t="s">
        <v>190</v>
      </c>
      <c r="D44" s="25" t="s">
        <v>127</v>
      </c>
      <c r="E44" s="25" t="s">
        <v>102</v>
      </c>
      <c r="F44" s="25" t="s">
        <v>113</v>
      </c>
      <c r="G44" s="26" t="s">
        <v>191</v>
      </c>
      <c r="H44" s="27" t="s">
        <v>120</v>
      </c>
      <c r="I44" s="24" t="s">
        <v>106</v>
      </c>
      <c r="J44" s="24" t="s">
        <v>107</v>
      </c>
      <c r="K44" s="28" t="s">
        <v>108</v>
      </c>
      <c r="L44" s="29">
        <v>5.0000000000000001E-3</v>
      </c>
      <c r="M44" s="29">
        <v>1E-3</v>
      </c>
      <c r="N44" s="29">
        <v>0.02</v>
      </c>
      <c r="O44" s="27" t="s">
        <v>131</v>
      </c>
      <c r="P44" s="30" t="s">
        <v>131</v>
      </c>
      <c r="Q44" s="31">
        <v>1233061020.7</v>
      </c>
      <c r="R44" s="31">
        <v>248.49</v>
      </c>
      <c r="S44" s="32">
        <v>-2.9290000000000002E-3</v>
      </c>
      <c r="T44" s="32" t="s">
        <v>139</v>
      </c>
      <c r="U44" s="32">
        <v>-1.6069999999999999E-3</v>
      </c>
      <c r="V44" s="32">
        <v>1.5319999999999999E-3</v>
      </c>
      <c r="W44" s="32">
        <v>5.5849999999999997E-3</v>
      </c>
      <c r="X44" s="32">
        <v>8.7690000000000008E-3</v>
      </c>
      <c r="Y44" s="32">
        <v>-1.4241999999999999E-2</v>
      </c>
      <c r="Z44" s="32">
        <v>5.9885000000000001E-2</v>
      </c>
      <c r="AA44" s="32">
        <v>0.14866199999999999</v>
      </c>
      <c r="AB44" s="32">
        <v>0.13215399999999999</v>
      </c>
    </row>
    <row r="45" spans="1:28" ht="15.6" customHeight="1" x14ac:dyDescent="0.25">
      <c r="A45" s="24" t="s">
        <v>1053</v>
      </c>
      <c r="B45" s="50">
        <v>3079</v>
      </c>
      <c r="C45" s="25" t="s">
        <v>1054</v>
      </c>
      <c r="D45" s="25" t="s">
        <v>127</v>
      </c>
      <c r="E45" s="25" t="s">
        <v>102</v>
      </c>
      <c r="F45" s="25" t="s">
        <v>155</v>
      </c>
      <c r="G45" s="26" t="s">
        <v>139</v>
      </c>
      <c r="H45" s="27" t="s">
        <v>156</v>
      </c>
      <c r="I45" s="24" t="s">
        <v>998</v>
      </c>
      <c r="J45" s="24" t="s">
        <v>107</v>
      </c>
      <c r="K45" s="28" t="s">
        <v>108</v>
      </c>
      <c r="L45" s="29">
        <v>0.02</v>
      </c>
      <c r="M45" s="29">
        <v>1.4999999999999999E-2</v>
      </c>
      <c r="N45" s="29">
        <v>0.02</v>
      </c>
      <c r="O45" s="27" t="s">
        <v>131</v>
      </c>
      <c r="P45" s="30" t="s">
        <v>131</v>
      </c>
      <c r="Q45" s="31">
        <v>60092164.909999996</v>
      </c>
      <c r="R45" s="31">
        <v>348.57</v>
      </c>
      <c r="S45" s="32">
        <v>-4.5409999999999999E-3</v>
      </c>
      <c r="T45" s="32" t="s">
        <v>139</v>
      </c>
      <c r="U45" s="32">
        <v>-7.0650000000000001E-3</v>
      </c>
      <c r="V45" s="32">
        <v>-5.3080000000000002E-3</v>
      </c>
      <c r="W45" s="32">
        <v>2.2289E-2</v>
      </c>
      <c r="X45" s="32">
        <v>9.9658999999999998E-2</v>
      </c>
      <c r="Y45" s="32">
        <v>-0.120794</v>
      </c>
      <c r="Z45" s="32">
        <v>0.26110699999999998</v>
      </c>
      <c r="AA45" s="32">
        <v>0.56386599999999998</v>
      </c>
      <c r="AB45" s="32">
        <v>0.46593499999999999</v>
      </c>
    </row>
    <row r="46" spans="1:28" ht="15.6" customHeight="1" x14ac:dyDescent="0.25">
      <c r="A46" s="24" t="s">
        <v>1055</v>
      </c>
      <c r="B46" s="50">
        <v>3080</v>
      </c>
      <c r="C46" s="25" t="s">
        <v>1056</v>
      </c>
      <c r="D46" s="25" t="s">
        <v>127</v>
      </c>
      <c r="E46" s="25" t="s">
        <v>102</v>
      </c>
      <c r="F46" s="25" t="s">
        <v>138</v>
      </c>
      <c r="G46" s="26" t="s">
        <v>139</v>
      </c>
      <c r="H46" s="27" t="s">
        <v>1057</v>
      </c>
      <c r="I46" s="24" t="s">
        <v>998</v>
      </c>
      <c r="J46" s="24" t="s">
        <v>107</v>
      </c>
      <c r="K46" s="28" t="s">
        <v>108</v>
      </c>
      <c r="L46" s="29">
        <v>0.02</v>
      </c>
      <c r="M46" s="29">
        <v>1.4999999999999999E-2</v>
      </c>
      <c r="N46" s="29">
        <v>0.02</v>
      </c>
      <c r="O46" s="27" t="s">
        <v>131</v>
      </c>
      <c r="P46" s="30" t="s">
        <v>131</v>
      </c>
      <c r="Q46" s="31">
        <v>265174743.93000001</v>
      </c>
      <c r="R46" s="31">
        <v>400.75</v>
      </c>
      <c r="S46" s="32">
        <v>-1.395E-3</v>
      </c>
      <c r="T46" s="32" t="s">
        <v>139</v>
      </c>
      <c r="U46" s="32">
        <v>-3.8779999999999999E-3</v>
      </c>
      <c r="V46" s="32">
        <v>-2.2899999999999999E-3</v>
      </c>
      <c r="W46" s="32">
        <v>1.0463999999999999E-2</v>
      </c>
      <c r="X46" s="32">
        <v>4.4953E-2</v>
      </c>
      <c r="Y46" s="32">
        <v>-5.8918999999999999E-2</v>
      </c>
      <c r="Z46" s="32">
        <v>0.15082000000000001</v>
      </c>
      <c r="AA46" s="32">
        <v>0.31449500000000002</v>
      </c>
      <c r="AB46" s="32">
        <v>0.27221400000000001</v>
      </c>
    </row>
    <row r="47" spans="1:28" ht="15.6" customHeight="1" x14ac:dyDescent="0.25">
      <c r="A47" s="24" t="s">
        <v>1058</v>
      </c>
      <c r="B47" s="50">
        <v>3082</v>
      </c>
      <c r="C47" s="25" t="s">
        <v>1059</v>
      </c>
      <c r="D47" s="25" t="s">
        <v>164</v>
      </c>
      <c r="E47" s="25" t="s">
        <v>102</v>
      </c>
      <c r="F47" s="25" t="s">
        <v>138</v>
      </c>
      <c r="G47" s="26" t="s">
        <v>139</v>
      </c>
      <c r="H47" s="27" t="s">
        <v>1060</v>
      </c>
      <c r="I47" s="24" t="s">
        <v>998</v>
      </c>
      <c r="J47" s="24" t="s">
        <v>107</v>
      </c>
      <c r="K47" s="28" t="s">
        <v>108</v>
      </c>
      <c r="L47" s="29">
        <v>0</v>
      </c>
      <c r="M47" s="29">
        <v>0</v>
      </c>
      <c r="N47" s="29">
        <v>0.02</v>
      </c>
      <c r="O47" s="27" t="s">
        <v>166</v>
      </c>
      <c r="P47" s="30" t="s">
        <v>164</v>
      </c>
      <c r="Q47" s="31">
        <v>162728449.97999999</v>
      </c>
      <c r="R47" s="31">
        <v>7100.15</v>
      </c>
      <c r="S47" s="32">
        <v>5.2587000000000002E-2</v>
      </c>
      <c r="T47" s="32" t="s">
        <v>139</v>
      </c>
      <c r="U47" s="32">
        <v>-4.777E-3</v>
      </c>
      <c r="V47" s="32">
        <v>2.666E-3</v>
      </c>
      <c r="W47" s="32">
        <v>2.8660999999999999E-2</v>
      </c>
      <c r="X47" s="32">
        <v>8.9233999999999994E-2</v>
      </c>
      <c r="Y47" s="32">
        <v>1.4260999999999999E-2</v>
      </c>
      <c r="Z47" s="32">
        <v>0.28665800000000002</v>
      </c>
      <c r="AA47" s="32">
        <v>0.47070800000000002</v>
      </c>
      <c r="AB47" s="32">
        <v>0.44808799999999999</v>
      </c>
    </row>
    <row r="48" spans="1:28" ht="15.6" customHeight="1" x14ac:dyDescent="0.25">
      <c r="A48" s="24" t="s">
        <v>1061</v>
      </c>
      <c r="B48" s="50">
        <v>3083</v>
      </c>
      <c r="C48" s="25" t="s">
        <v>1062</v>
      </c>
      <c r="D48" s="25" t="s">
        <v>164</v>
      </c>
      <c r="E48" s="25" t="s">
        <v>102</v>
      </c>
      <c r="F48" s="25" t="s">
        <v>138</v>
      </c>
      <c r="G48" s="26" t="s">
        <v>139</v>
      </c>
      <c r="H48" s="27" t="s">
        <v>1063</v>
      </c>
      <c r="I48" s="24" t="s">
        <v>998</v>
      </c>
      <c r="J48" s="24" t="s">
        <v>107</v>
      </c>
      <c r="K48" s="28" t="s">
        <v>108</v>
      </c>
      <c r="L48" s="29">
        <v>0</v>
      </c>
      <c r="M48" s="29">
        <v>0</v>
      </c>
      <c r="N48" s="29">
        <v>0.02</v>
      </c>
      <c r="O48" s="27" t="s">
        <v>166</v>
      </c>
      <c r="P48" s="30" t="s">
        <v>164</v>
      </c>
      <c r="Q48" s="31">
        <v>1115272049.5599999</v>
      </c>
      <c r="R48" s="31">
        <v>5602.33</v>
      </c>
      <c r="S48" s="32">
        <v>0.10548</v>
      </c>
      <c r="T48" s="32" t="s">
        <v>139</v>
      </c>
      <c r="U48" s="32">
        <v>-4.9319999999999998E-3</v>
      </c>
      <c r="V48" s="32">
        <v>5.5459999999999997E-3</v>
      </c>
      <c r="W48" s="32">
        <v>2.5172E-2</v>
      </c>
      <c r="X48" s="32">
        <v>0.12032900000000001</v>
      </c>
      <c r="Y48" s="32">
        <v>6.7054000000000002E-2</v>
      </c>
      <c r="Z48" s="32">
        <v>0.34091500000000002</v>
      </c>
      <c r="AA48" s="32">
        <v>0.50231599999999998</v>
      </c>
      <c r="AB48" s="32">
        <v>0.47347099999999998</v>
      </c>
    </row>
    <row r="49" spans="1:28" ht="15.6" customHeight="1" x14ac:dyDescent="0.25">
      <c r="A49" s="24" t="s">
        <v>1064</v>
      </c>
      <c r="B49" s="50">
        <v>3507</v>
      </c>
      <c r="C49" s="25" t="s">
        <v>1065</v>
      </c>
      <c r="D49" s="25" t="s">
        <v>112</v>
      </c>
      <c r="E49" s="25" t="s">
        <v>194</v>
      </c>
      <c r="F49" s="25" t="s">
        <v>113</v>
      </c>
      <c r="G49" s="26" t="s">
        <v>1066</v>
      </c>
      <c r="H49" s="27" t="s">
        <v>1067</v>
      </c>
      <c r="I49" s="24" t="s">
        <v>998</v>
      </c>
      <c r="J49" s="24" t="s">
        <v>121</v>
      </c>
      <c r="K49" s="28" t="s">
        <v>108</v>
      </c>
      <c r="L49" s="29">
        <v>0.03</v>
      </c>
      <c r="M49" s="29">
        <v>1.4999999999999999E-2</v>
      </c>
      <c r="N49" s="29">
        <v>0.02</v>
      </c>
      <c r="O49" s="27" t="s">
        <v>548</v>
      </c>
      <c r="P49" s="30" t="s">
        <v>112</v>
      </c>
      <c r="Q49" s="31">
        <v>4807878514.9300003</v>
      </c>
      <c r="R49" s="31">
        <v>4419.74</v>
      </c>
      <c r="S49" s="32">
        <v>-1.9980000000000002E-3</v>
      </c>
      <c r="T49" s="32" t="s">
        <v>139</v>
      </c>
      <c r="U49" s="32">
        <v>-1.8270000000000001E-3</v>
      </c>
      <c r="V49" s="32">
        <v>1.8879999999999999E-3</v>
      </c>
      <c r="W49" s="32">
        <v>6.0179999999999999E-3</v>
      </c>
      <c r="X49" s="32">
        <v>8.1980000000000004E-3</v>
      </c>
      <c r="Y49" s="32">
        <v>-1.2885000000000001E-2</v>
      </c>
      <c r="Z49" s="32">
        <v>8.7346999999999994E-2</v>
      </c>
      <c r="AA49" s="32">
        <v>0.202294</v>
      </c>
      <c r="AB49" s="32">
        <v>0.13101599999999999</v>
      </c>
    </row>
    <row r="50" spans="1:28" ht="15.6" customHeight="1" x14ac:dyDescent="0.25">
      <c r="A50" s="24" t="s">
        <v>1068</v>
      </c>
      <c r="B50" s="50">
        <v>3508</v>
      </c>
      <c r="C50" s="25" t="s">
        <v>1069</v>
      </c>
      <c r="D50" s="25" t="s">
        <v>261</v>
      </c>
      <c r="E50" s="25" t="s">
        <v>194</v>
      </c>
      <c r="F50" s="25" t="s">
        <v>155</v>
      </c>
      <c r="G50" s="26" t="s">
        <v>139</v>
      </c>
      <c r="H50" s="27" t="s">
        <v>156</v>
      </c>
      <c r="I50" s="24" t="s">
        <v>998</v>
      </c>
      <c r="J50" s="24" t="s">
        <v>107</v>
      </c>
      <c r="K50" s="28" t="s">
        <v>108</v>
      </c>
      <c r="L50" s="29">
        <v>0.02</v>
      </c>
      <c r="M50" s="29">
        <v>6.0000000000000001E-3</v>
      </c>
      <c r="N50" s="29">
        <v>0.02</v>
      </c>
      <c r="O50" s="27" t="s">
        <v>262</v>
      </c>
      <c r="P50" s="30" t="s">
        <v>261</v>
      </c>
      <c r="Q50" s="31">
        <v>125643394.02</v>
      </c>
      <c r="R50" s="31">
        <v>4514.03</v>
      </c>
      <c r="S50" s="32">
        <v>-6.0332999999999998E-2</v>
      </c>
      <c r="T50" s="32" t="s">
        <v>139</v>
      </c>
      <c r="U50" s="32">
        <v>-8.2520000000000007E-3</v>
      </c>
      <c r="V50" s="32">
        <v>-1.5412E-2</v>
      </c>
      <c r="W50" s="32">
        <v>3.5000000000000003E-2</v>
      </c>
      <c r="X50" s="32">
        <v>4.3049999999999998E-2</v>
      </c>
      <c r="Y50" s="32">
        <v>-0.161857</v>
      </c>
      <c r="Z50" s="32">
        <v>0.19409599999999999</v>
      </c>
      <c r="AA50" s="32">
        <v>0.45261000000000001</v>
      </c>
      <c r="AB50" s="32">
        <v>0.36169000000000001</v>
      </c>
    </row>
    <row r="51" spans="1:28" ht="15.6" customHeight="1" x14ac:dyDescent="0.25">
      <c r="A51" s="24" t="s">
        <v>1070</v>
      </c>
      <c r="B51" s="50">
        <v>3509</v>
      </c>
      <c r="C51" s="25" t="s">
        <v>1071</v>
      </c>
      <c r="D51" s="25" t="s">
        <v>261</v>
      </c>
      <c r="E51" s="25" t="s">
        <v>194</v>
      </c>
      <c r="F51" s="25" t="s">
        <v>113</v>
      </c>
      <c r="G51" s="26" t="s">
        <v>1072</v>
      </c>
      <c r="H51" s="27" t="s">
        <v>327</v>
      </c>
      <c r="I51" s="24" t="s">
        <v>998</v>
      </c>
      <c r="J51" s="24" t="s">
        <v>107</v>
      </c>
      <c r="K51" s="28" t="s">
        <v>108</v>
      </c>
      <c r="L51" s="29">
        <v>1.4999999999999999E-2</v>
      </c>
      <c r="M51" s="29">
        <v>3.0000000000000001E-3</v>
      </c>
      <c r="N51" s="29">
        <v>0.02</v>
      </c>
      <c r="O51" s="27" t="s">
        <v>262</v>
      </c>
      <c r="P51" s="30" t="s">
        <v>261</v>
      </c>
      <c r="Q51" s="31">
        <v>753255312.96000004</v>
      </c>
      <c r="R51" s="31">
        <v>3519.84</v>
      </c>
      <c r="S51" s="32">
        <v>-1.3025E-2</v>
      </c>
      <c r="T51" s="32" t="s">
        <v>139</v>
      </c>
      <c r="U51" s="32">
        <v>-2.6069999999999999E-3</v>
      </c>
      <c r="V51" s="32">
        <v>-5.9900000000000003E-4</v>
      </c>
      <c r="W51" s="32">
        <v>3.4550000000000002E-3</v>
      </c>
      <c r="X51" s="32">
        <v>2.8059999999999999E-3</v>
      </c>
      <c r="Y51" s="32">
        <v>-2.5666000000000001E-2</v>
      </c>
      <c r="Z51" s="32">
        <v>6.4546999999999993E-2</v>
      </c>
      <c r="AA51" s="32">
        <v>0.15860399999999999</v>
      </c>
      <c r="AB51" s="32">
        <v>8.8884000000000005E-2</v>
      </c>
    </row>
    <row r="52" spans="1:28" ht="15.6" customHeight="1" x14ac:dyDescent="0.25">
      <c r="A52" s="24" t="s">
        <v>1073</v>
      </c>
      <c r="B52" s="50">
        <v>3516</v>
      </c>
      <c r="C52" s="25" t="s">
        <v>9</v>
      </c>
      <c r="D52" s="25" t="s">
        <v>261</v>
      </c>
      <c r="E52" s="25" t="s">
        <v>194</v>
      </c>
      <c r="F52" s="25" t="s">
        <v>155</v>
      </c>
      <c r="G52" s="26" t="s">
        <v>139</v>
      </c>
      <c r="H52" s="27" t="s">
        <v>202</v>
      </c>
      <c r="I52" s="24" t="s">
        <v>998</v>
      </c>
      <c r="J52" s="24" t="s">
        <v>107</v>
      </c>
      <c r="K52" s="28" t="s">
        <v>108</v>
      </c>
      <c r="L52" s="29">
        <v>0.02</v>
      </c>
      <c r="M52" s="29">
        <v>6.0000000000000001E-3</v>
      </c>
      <c r="N52" s="29">
        <v>0.02</v>
      </c>
      <c r="O52" s="27" t="s">
        <v>262</v>
      </c>
      <c r="P52" s="30" t="s">
        <v>261</v>
      </c>
      <c r="Q52" s="31">
        <v>98240201.620000005</v>
      </c>
      <c r="R52" s="31">
        <v>4814.75</v>
      </c>
      <c r="S52" s="32">
        <v>-5.6924000000000002E-2</v>
      </c>
      <c r="T52" s="32" t="s">
        <v>139</v>
      </c>
      <c r="U52" s="32">
        <v>-8.7720000000000003E-3</v>
      </c>
      <c r="V52" s="32">
        <v>-1.5161000000000001E-2</v>
      </c>
      <c r="W52" s="32">
        <v>3.5028999999999998E-2</v>
      </c>
      <c r="X52" s="32">
        <v>3.8610999999999999E-2</v>
      </c>
      <c r="Y52" s="32">
        <v>-0.148484</v>
      </c>
      <c r="Z52" s="32">
        <v>0.38261899999999999</v>
      </c>
      <c r="AA52" s="32">
        <v>0.92335299999999998</v>
      </c>
      <c r="AB52" s="32">
        <v>0.831511</v>
      </c>
    </row>
    <row r="53" spans="1:28" ht="15.6" customHeight="1" x14ac:dyDescent="0.25">
      <c r="A53" s="24" t="s">
        <v>1074</v>
      </c>
      <c r="B53" s="50">
        <v>3518</v>
      </c>
      <c r="C53" s="25" t="s">
        <v>1075</v>
      </c>
      <c r="D53" s="25" t="s">
        <v>101</v>
      </c>
      <c r="E53" s="25" t="s">
        <v>194</v>
      </c>
      <c r="F53" s="25" t="s">
        <v>138</v>
      </c>
      <c r="G53" s="26" t="s">
        <v>139</v>
      </c>
      <c r="H53" s="27" t="s">
        <v>283</v>
      </c>
      <c r="I53" s="24" t="s">
        <v>998</v>
      </c>
      <c r="J53" s="24" t="s">
        <v>121</v>
      </c>
      <c r="K53" s="28" t="s">
        <v>180</v>
      </c>
      <c r="L53" s="29">
        <v>0.03</v>
      </c>
      <c r="M53" s="29">
        <v>1.4999999999999999E-2</v>
      </c>
      <c r="N53" s="29">
        <v>0.02</v>
      </c>
      <c r="O53" s="27" t="s">
        <v>109</v>
      </c>
      <c r="P53" s="30" t="s">
        <v>101</v>
      </c>
      <c r="Q53" s="31">
        <v>356116322.01999998</v>
      </c>
      <c r="R53" s="31">
        <v>136600.04999999999</v>
      </c>
      <c r="S53" s="32">
        <v>-2.8479999999999998E-3</v>
      </c>
      <c r="T53" s="32" t="s">
        <v>139</v>
      </c>
      <c r="U53" s="32">
        <v>-3.1120000000000002E-3</v>
      </c>
      <c r="V53" s="32">
        <v>-1.4920000000000001E-3</v>
      </c>
      <c r="W53" s="32">
        <v>1.7599E-2</v>
      </c>
      <c r="X53" s="32">
        <v>3.9025999999999998E-2</v>
      </c>
      <c r="Y53" s="32">
        <v>-4.5864000000000002E-2</v>
      </c>
      <c r="Z53" s="32">
        <v>0.126276</v>
      </c>
      <c r="AA53" s="32">
        <v>0.26247900000000002</v>
      </c>
      <c r="AB53" s="32">
        <v>0.241783</v>
      </c>
    </row>
    <row r="54" spans="1:28" ht="15.6" customHeight="1" x14ac:dyDescent="0.25">
      <c r="A54" s="24" t="s">
        <v>1076</v>
      </c>
      <c r="B54" s="50">
        <v>3519</v>
      </c>
      <c r="C54" s="25" t="s">
        <v>1077</v>
      </c>
      <c r="D54" s="25" t="s">
        <v>101</v>
      </c>
      <c r="E54" s="25" t="s">
        <v>194</v>
      </c>
      <c r="F54" s="25" t="s">
        <v>113</v>
      </c>
      <c r="G54" s="26" t="s">
        <v>647</v>
      </c>
      <c r="H54" s="27" t="s">
        <v>839</v>
      </c>
      <c r="I54" s="24" t="s">
        <v>998</v>
      </c>
      <c r="J54" s="24" t="s">
        <v>121</v>
      </c>
      <c r="K54" s="28" t="s">
        <v>108</v>
      </c>
      <c r="L54" s="29">
        <v>0.03</v>
      </c>
      <c r="M54" s="29">
        <v>1.4999999999999999E-2</v>
      </c>
      <c r="N54" s="29">
        <v>0.02</v>
      </c>
      <c r="O54" s="27" t="s">
        <v>109</v>
      </c>
      <c r="P54" s="30" t="s">
        <v>101</v>
      </c>
      <c r="Q54" s="31">
        <v>1508316.66</v>
      </c>
      <c r="R54" s="31">
        <v>1508316.66</v>
      </c>
      <c r="S54" s="32">
        <v>-1.2519000000000001E-2</v>
      </c>
      <c r="T54" s="32" t="s">
        <v>139</v>
      </c>
      <c r="U54" s="32">
        <v>-2.078E-3</v>
      </c>
      <c r="V54" s="32">
        <v>2.6800000000000001E-4</v>
      </c>
      <c r="W54" s="32">
        <v>2.0000000000000001E-4</v>
      </c>
      <c r="X54" s="32">
        <v>-4.7210000000000004E-3</v>
      </c>
      <c r="Y54" s="32">
        <v>-2.3469E-2</v>
      </c>
      <c r="Z54" s="32">
        <v>1.8263999999999999E-2</v>
      </c>
      <c r="AA54" s="32">
        <v>4.5485999999999999E-2</v>
      </c>
      <c r="AB54" s="32">
        <v>3.0159999999999999E-2</v>
      </c>
    </row>
    <row r="55" spans="1:28" ht="15.6" customHeight="1" x14ac:dyDescent="0.25">
      <c r="A55" s="24" t="s">
        <v>1078</v>
      </c>
      <c r="B55" s="50">
        <v>3520</v>
      </c>
      <c r="C55" s="25" t="s">
        <v>1079</v>
      </c>
      <c r="D55" s="25" t="s">
        <v>101</v>
      </c>
      <c r="E55" s="25" t="s">
        <v>194</v>
      </c>
      <c r="F55" s="25" t="s">
        <v>113</v>
      </c>
      <c r="G55" s="26" t="s">
        <v>647</v>
      </c>
      <c r="H55" s="27" t="s">
        <v>839</v>
      </c>
      <c r="I55" s="24" t="s">
        <v>998</v>
      </c>
      <c r="J55" s="24" t="s">
        <v>121</v>
      </c>
      <c r="K55" s="28" t="s">
        <v>108</v>
      </c>
      <c r="L55" s="29">
        <v>0.03</v>
      </c>
      <c r="M55" s="29">
        <v>1.4999999999999999E-2</v>
      </c>
      <c r="N55" s="29">
        <v>0.02</v>
      </c>
      <c r="O55" s="27" t="s">
        <v>109</v>
      </c>
      <c r="P55" s="30" t="s">
        <v>101</v>
      </c>
      <c r="Q55" s="31">
        <v>555108096.13</v>
      </c>
      <c r="R55" s="31">
        <v>2984452.13</v>
      </c>
      <c r="S55" s="32">
        <v>-8.0309999999999999E-3</v>
      </c>
      <c r="T55" s="32" t="s">
        <v>139</v>
      </c>
      <c r="U55" s="32">
        <v>-1.6900000000000001E-3</v>
      </c>
      <c r="V55" s="32">
        <v>1.4580000000000001E-3</v>
      </c>
      <c r="W55" s="32">
        <v>5.1799999999999997E-3</v>
      </c>
      <c r="X55" s="32">
        <v>4.1050000000000001E-3</v>
      </c>
      <c r="Y55" s="32">
        <v>-1.0363000000000001E-2</v>
      </c>
      <c r="Z55" s="32">
        <v>3.5874000000000003E-2</v>
      </c>
      <c r="AA55" s="32">
        <v>0.13769500000000001</v>
      </c>
      <c r="AB55" s="32">
        <v>9.8614999999999994E-2</v>
      </c>
    </row>
    <row r="56" spans="1:28" ht="15.6" customHeight="1" x14ac:dyDescent="0.25">
      <c r="A56" s="24" t="s">
        <v>1080</v>
      </c>
      <c r="B56" s="50">
        <v>3543</v>
      </c>
      <c r="C56" s="25" t="s">
        <v>1081</v>
      </c>
      <c r="D56" s="25" t="s">
        <v>101</v>
      </c>
      <c r="E56" s="25" t="s">
        <v>194</v>
      </c>
      <c r="F56" s="25" t="s">
        <v>113</v>
      </c>
      <c r="G56" s="26" t="s">
        <v>866</v>
      </c>
      <c r="H56" s="27" t="s">
        <v>120</v>
      </c>
      <c r="I56" s="24" t="s">
        <v>998</v>
      </c>
      <c r="J56" s="24" t="s">
        <v>121</v>
      </c>
      <c r="K56" s="28" t="s">
        <v>108</v>
      </c>
      <c r="L56" s="29">
        <v>0</v>
      </c>
      <c r="M56" s="29">
        <v>0</v>
      </c>
      <c r="N56" s="29">
        <v>5.0000000000000001E-3</v>
      </c>
      <c r="O56" s="27" t="s">
        <v>262</v>
      </c>
      <c r="P56" s="30" t="s">
        <v>101</v>
      </c>
      <c r="Q56" s="31">
        <v>4696670444.5299997</v>
      </c>
      <c r="R56" s="31">
        <v>261463.59</v>
      </c>
      <c r="S56" s="32">
        <v>5.5620000000000001E-3</v>
      </c>
      <c r="T56" s="32" t="s">
        <v>139</v>
      </c>
      <c r="U56" s="32">
        <v>-8.0999999999999996E-4</v>
      </c>
      <c r="V56" s="32">
        <v>1.2409999999999999E-3</v>
      </c>
      <c r="W56" s="32">
        <v>4.6629999999999996E-3</v>
      </c>
      <c r="X56" s="32">
        <v>1.0168999999999999E-2</v>
      </c>
      <c r="Y56" s="32">
        <v>6.685E-3</v>
      </c>
      <c r="Z56" s="32">
        <v>3.8483999999999997E-2</v>
      </c>
      <c r="AA56" s="32">
        <v>8.2654000000000005E-2</v>
      </c>
      <c r="AB56" s="32">
        <v>0.105265</v>
      </c>
    </row>
    <row r="57" spans="1:28" ht="15.6" customHeight="1" x14ac:dyDescent="0.25">
      <c r="A57" s="24" t="s">
        <v>1082</v>
      </c>
      <c r="B57" s="50">
        <v>3545</v>
      </c>
      <c r="C57" s="25" t="s">
        <v>1083</v>
      </c>
      <c r="D57" s="25" t="s">
        <v>112</v>
      </c>
      <c r="E57" s="25" t="s">
        <v>194</v>
      </c>
      <c r="F57" s="25" t="s">
        <v>155</v>
      </c>
      <c r="G57" s="26" t="s">
        <v>139</v>
      </c>
      <c r="H57" s="27" t="s">
        <v>202</v>
      </c>
      <c r="I57" s="24" t="s">
        <v>998</v>
      </c>
      <c r="J57" s="24" t="s">
        <v>121</v>
      </c>
      <c r="K57" s="28" t="s">
        <v>180</v>
      </c>
      <c r="L57" s="29">
        <v>0.03</v>
      </c>
      <c r="M57" s="29">
        <v>1.4999999999999999E-2</v>
      </c>
      <c r="N57" s="29">
        <v>0.02</v>
      </c>
      <c r="O57" s="27" t="s">
        <v>116</v>
      </c>
      <c r="P57" s="30" t="s">
        <v>112</v>
      </c>
      <c r="Q57" s="31">
        <v>226878031.24000001</v>
      </c>
      <c r="R57" s="31">
        <v>6590.11</v>
      </c>
      <c r="S57" s="32">
        <v>-5.2809000000000002E-2</v>
      </c>
      <c r="T57" s="32" t="s">
        <v>139</v>
      </c>
      <c r="U57" s="32">
        <v>-7.0600000000000003E-3</v>
      </c>
      <c r="V57" s="32">
        <v>-1.0015E-2</v>
      </c>
      <c r="W57" s="32">
        <v>3.4424000000000003E-2</v>
      </c>
      <c r="X57" s="32">
        <v>7.2964000000000001E-2</v>
      </c>
      <c r="Y57" s="32">
        <v>-0.14406099999999999</v>
      </c>
      <c r="Z57" s="32">
        <v>0.25731599999999999</v>
      </c>
      <c r="AA57" s="32">
        <v>0.50432200000000005</v>
      </c>
      <c r="AB57" s="32">
        <v>0.40758899999999998</v>
      </c>
    </row>
    <row r="58" spans="1:28" ht="15.6" customHeight="1" x14ac:dyDescent="0.25">
      <c r="A58" s="24" t="s">
        <v>1084</v>
      </c>
      <c r="B58" s="50">
        <v>3546</v>
      </c>
      <c r="C58" s="25" t="s">
        <v>1085</v>
      </c>
      <c r="D58" s="25" t="s">
        <v>112</v>
      </c>
      <c r="E58" s="25" t="s">
        <v>194</v>
      </c>
      <c r="F58" s="25" t="s">
        <v>113</v>
      </c>
      <c r="G58" s="26" t="s">
        <v>1086</v>
      </c>
      <c r="H58" s="27" t="s">
        <v>115</v>
      </c>
      <c r="I58" s="24" t="s">
        <v>998</v>
      </c>
      <c r="J58" s="24" t="s">
        <v>121</v>
      </c>
      <c r="K58" s="28" t="s">
        <v>108</v>
      </c>
      <c r="L58" s="29">
        <v>0</v>
      </c>
      <c r="M58" s="29">
        <v>0</v>
      </c>
      <c r="N58" s="29" t="s">
        <v>139</v>
      </c>
      <c r="O58" s="27" t="s">
        <v>116</v>
      </c>
      <c r="P58" s="30" t="s">
        <v>112</v>
      </c>
      <c r="Q58" s="31">
        <v>2419268816.46</v>
      </c>
      <c r="R58" s="31">
        <v>2729.51</v>
      </c>
      <c r="S58" s="32">
        <v>-2.0110000000000002E-3</v>
      </c>
      <c r="T58" s="32" t="s">
        <v>139</v>
      </c>
      <c r="U58" s="32">
        <v>-1.6969999999999999E-3</v>
      </c>
      <c r="V58" s="32">
        <v>1.596E-3</v>
      </c>
      <c r="W58" s="32">
        <v>6.0219999999999996E-3</v>
      </c>
      <c r="X58" s="32">
        <v>6.2500000000000003E-3</v>
      </c>
      <c r="Y58" s="32">
        <v>-8.1130000000000004E-3</v>
      </c>
      <c r="Z58" s="32">
        <v>7.1212999999999999E-2</v>
      </c>
      <c r="AA58" s="32">
        <v>0.180613</v>
      </c>
      <c r="AB58" s="32">
        <v>7.9899999999999999E-2</v>
      </c>
    </row>
    <row r="59" spans="1:28" ht="15.6" customHeight="1" x14ac:dyDescent="0.25">
      <c r="A59" s="24" t="s">
        <v>1087</v>
      </c>
      <c r="B59" s="50">
        <v>3548</v>
      </c>
      <c r="C59" s="25" t="s">
        <v>1088</v>
      </c>
      <c r="D59" s="25" t="s">
        <v>112</v>
      </c>
      <c r="E59" s="25" t="s">
        <v>194</v>
      </c>
      <c r="F59" s="25" t="s">
        <v>155</v>
      </c>
      <c r="G59" s="26" t="s">
        <v>139</v>
      </c>
      <c r="H59" s="27" t="s">
        <v>202</v>
      </c>
      <c r="I59" s="24" t="s">
        <v>998</v>
      </c>
      <c r="J59" s="24" t="s">
        <v>121</v>
      </c>
      <c r="K59" s="28" t="s">
        <v>108</v>
      </c>
      <c r="L59" s="29">
        <v>0.03</v>
      </c>
      <c r="M59" s="29">
        <v>1.4999999999999999E-2</v>
      </c>
      <c r="N59" s="29">
        <v>0.02</v>
      </c>
      <c r="O59" s="27" t="s">
        <v>116</v>
      </c>
      <c r="P59" s="30" t="s">
        <v>112</v>
      </c>
      <c r="Q59" s="31">
        <v>1763121236.8299999</v>
      </c>
      <c r="R59" s="31">
        <v>7646.06</v>
      </c>
      <c r="S59" s="32">
        <v>-3.0571999999999998E-2</v>
      </c>
      <c r="T59" s="32" t="s">
        <v>139</v>
      </c>
      <c r="U59" s="32">
        <v>-6.9230000000000003E-3</v>
      </c>
      <c r="V59" s="32">
        <v>-5.0749999999999997E-3</v>
      </c>
      <c r="W59" s="32">
        <v>4.3028999999999998E-2</v>
      </c>
      <c r="X59" s="32">
        <v>9.2166999999999999E-2</v>
      </c>
      <c r="Y59" s="32">
        <v>-0.12934899999999999</v>
      </c>
      <c r="Z59" s="32">
        <v>0.23361899999999999</v>
      </c>
      <c r="AA59" s="32">
        <v>0.41788999999999998</v>
      </c>
      <c r="AB59" s="32">
        <v>0.34551799999999999</v>
      </c>
    </row>
    <row r="60" spans="1:28" ht="15.6" customHeight="1" x14ac:dyDescent="0.25">
      <c r="A60" s="24" t="s">
        <v>1089</v>
      </c>
      <c r="B60" s="50">
        <v>3549</v>
      </c>
      <c r="C60" s="25" t="s">
        <v>1090</v>
      </c>
      <c r="D60" s="25" t="s">
        <v>101</v>
      </c>
      <c r="E60" s="25" t="s">
        <v>194</v>
      </c>
      <c r="F60" s="25" t="s">
        <v>138</v>
      </c>
      <c r="G60" s="26" t="s">
        <v>139</v>
      </c>
      <c r="H60" s="27" t="s">
        <v>1006</v>
      </c>
      <c r="I60" s="24" t="s">
        <v>998</v>
      </c>
      <c r="J60" s="24" t="s">
        <v>121</v>
      </c>
      <c r="K60" s="28" t="s">
        <v>108</v>
      </c>
      <c r="L60" s="29">
        <v>0.03</v>
      </c>
      <c r="M60" s="29">
        <v>1.4999999999999999E-2</v>
      </c>
      <c r="N60" s="29">
        <v>7.4999999999999997E-3</v>
      </c>
      <c r="O60" s="27" t="s">
        <v>109</v>
      </c>
      <c r="P60" s="30" t="s">
        <v>101</v>
      </c>
      <c r="Q60" s="31">
        <v>34904035.289999999</v>
      </c>
      <c r="R60" s="31">
        <v>36741.089999999997</v>
      </c>
      <c r="S60" s="32">
        <v>-3.6059999999999998E-3</v>
      </c>
      <c r="T60" s="32" t="s">
        <v>139</v>
      </c>
      <c r="U60" s="32">
        <v>-3.0140000000000002E-3</v>
      </c>
      <c r="V60" s="32">
        <v>-3.003E-3</v>
      </c>
      <c r="W60" s="32">
        <v>1.2286999999999999E-2</v>
      </c>
      <c r="X60" s="32">
        <v>2.8333000000000001E-2</v>
      </c>
      <c r="Y60" s="32">
        <v>-2.7695000000000001E-2</v>
      </c>
      <c r="Z60" s="32">
        <v>0.11819200000000001</v>
      </c>
      <c r="AA60" s="32">
        <v>0.23011699999999999</v>
      </c>
      <c r="AB60" s="32">
        <v>0.25089400000000001</v>
      </c>
    </row>
    <row r="61" spans="1:28" ht="15.6" customHeight="1" x14ac:dyDescent="0.25">
      <c r="A61" s="24" t="s">
        <v>1091</v>
      </c>
      <c r="B61" s="50">
        <v>3550</v>
      </c>
      <c r="C61" s="25" t="s">
        <v>1092</v>
      </c>
      <c r="D61" s="25" t="s">
        <v>101</v>
      </c>
      <c r="E61" s="25" t="s">
        <v>194</v>
      </c>
      <c r="F61" s="25" t="s">
        <v>138</v>
      </c>
      <c r="G61" s="26" t="s">
        <v>139</v>
      </c>
      <c r="H61" s="27" t="s">
        <v>283</v>
      </c>
      <c r="I61" s="24" t="s">
        <v>998</v>
      </c>
      <c r="J61" s="24" t="s">
        <v>121</v>
      </c>
      <c r="K61" s="28" t="s">
        <v>180</v>
      </c>
      <c r="L61" s="29">
        <v>0.03</v>
      </c>
      <c r="M61" s="29">
        <v>1.4999999999999999E-2</v>
      </c>
      <c r="N61" s="29">
        <v>0.02</v>
      </c>
      <c r="O61" s="27" t="s">
        <v>109</v>
      </c>
      <c r="P61" s="30" t="s">
        <v>101</v>
      </c>
      <c r="Q61" s="31">
        <v>2469193.37</v>
      </c>
      <c r="R61" s="31">
        <v>176370.96</v>
      </c>
      <c r="S61" s="32">
        <v>-6.6600000000000003E-4</v>
      </c>
      <c r="T61" s="32" t="s">
        <v>139</v>
      </c>
      <c r="U61" s="32">
        <v>-1.32E-3</v>
      </c>
      <c r="V61" s="32">
        <v>9.1000000000000003E-5</v>
      </c>
      <c r="W61" s="32">
        <v>2.9390000000000002E-3</v>
      </c>
      <c r="X61" s="32">
        <v>3.895E-3</v>
      </c>
      <c r="Y61" s="32">
        <v>-2.5079999999999998E-3</v>
      </c>
      <c r="Z61" s="32">
        <v>8.7930000000000005E-3</v>
      </c>
      <c r="AA61" s="32">
        <v>3.0741999999999998E-2</v>
      </c>
      <c r="AB61" s="32">
        <v>3.0856000000000001E-2</v>
      </c>
    </row>
    <row r="62" spans="1:28" ht="15.6" customHeight="1" x14ac:dyDescent="0.25">
      <c r="A62" s="24" t="s">
        <v>1093</v>
      </c>
      <c r="B62" s="50">
        <v>3551</v>
      </c>
      <c r="C62" s="25" t="s">
        <v>1094</v>
      </c>
      <c r="D62" s="25" t="s">
        <v>101</v>
      </c>
      <c r="E62" s="25" t="s">
        <v>194</v>
      </c>
      <c r="F62" s="25" t="s">
        <v>138</v>
      </c>
      <c r="G62" s="26" t="s">
        <v>139</v>
      </c>
      <c r="H62" s="27" t="s">
        <v>283</v>
      </c>
      <c r="I62" s="24" t="s">
        <v>998</v>
      </c>
      <c r="J62" s="24" t="s">
        <v>121</v>
      </c>
      <c r="K62" s="28" t="s">
        <v>180</v>
      </c>
      <c r="L62" s="29">
        <v>0.03</v>
      </c>
      <c r="M62" s="29">
        <v>1.4999999999999999E-2</v>
      </c>
      <c r="N62" s="29">
        <v>0.02</v>
      </c>
      <c r="O62" s="27" t="s">
        <v>109</v>
      </c>
      <c r="P62" s="30" t="s">
        <v>101</v>
      </c>
      <c r="Q62" s="31">
        <v>224898737.00999999</v>
      </c>
      <c r="R62" s="31">
        <v>248781.79</v>
      </c>
      <c r="S62" s="32">
        <v>-4.2950000000000002E-3</v>
      </c>
      <c r="T62" s="32" t="s">
        <v>139</v>
      </c>
      <c r="U62" s="32">
        <v>-2.7950000000000002E-3</v>
      </c>
      <c r="V62" s="32">
        <v>-1.3470000000000001E-3</v>
      </c>
      <c r="W62" s="32">
        <v>1.7301E-2</v>
      </c>
      <c r="X62" s="32">
        <v>3.8092000000000001E-2</v>
      </c>
      <c r="Y62" s="32">
        <v>-4.9959999999999997E-2</v>
      </c>
      <c r="Z62" s="32">
        <v>0.123381</v>
      </c>
      <c r="AA62" s="32">
        <v>0.25473000000000001</v>
      </c>
      <c r="AB62" s="32">
        <v>0.24154999999999999</v>
      </c>
    </row>
    <row r="63" spans="1:28" ht="15.6" customHeight="1" x14ac:dyDescent="0.25">
      <c r="A63" s="24" t="s">
        <v>1095</v>
      </c>
      <c r="B63" s="50">
        <v>3552</v>
      </c>
      <c r="C63" s="25" t="s">
        <v>1096</v>
      </c>
      <c r="D63" s="25" t="s">
        <v>101</v>
      </c>
      <c r="E63" s="25" t="s">
        <v>194</v>
      </c>
      <c r="F63" s="25" t="s">
        <v>138</v>
      </c>
      <c r="G63" s="26" t="s">
        <v>139</v>
      </c>
      <c r="H63" s="27" t="s">
        <v>202</v>
      </c>
      <c r="I63" s="24" t="s">
        <v>998</v>
      </c>
      <c r="J63" s="24" t="s">
        <v>121</v>
      </c>
      <c r="K63" s="28" t="s">
        <v>227</v>
      </c>
      <c r="L63" s="29">
        <v>0.03</v>
      </c>
      <c r="M63" s="29">
        <v>1.4999999999999999E-2</v>
      </c>
      <c r="N63" s="29">
        <v>0</v>
      </c>
      <c r="O63" s="27" t="s">
        <v>109</v>
      </c>
      <c r="P63" s="30" t="s">
        <v>101</v>
      </c>
      <c r="Q63" s="31">
        <v>820262318.85000002</v>
      </c>
      <c r="R63" s="31">
        <v>180555.21</v>
      </c>
      <c r="S63" s="32">
        <v>5.176E-3</v>
      </c>
      <c r="T63" s="32" t="s">
        <v>139</v>
      </c>
      <c r="U63" s="32">
        <v>-3.4789999999999999E-3</v>
      </c>
      <c r="V63" s="32">
        <v>1.572E-3</v>
      </c>
      <c r="W63" s="32">
        <v>1.6785999999999999E-2</v>
      </c>
      <c r="X63" s="32">
        <v>3.3841999999999997E-2</v>
      </c>
      <c r="Y63" s="32">
        <v>-2.8386000000000002E-2</v>
      </c>
      <c r="Z63" s="32">
        <v>0.180174</v>
      </c>
      <c r="AA63" s="32">
        <v>0.33147300000000002</v>
      </c>
      <c r="AB63" s="32">
        <v>0.28704600000000002</v>
      </c>
    </row>
    <row r="64" spans="1:28" ht="15.6" customHeight="1" x14ac:dyDescent="0.25">
      <c r="A64" s="24" t="s">
        <v>1097</v>
      </c>
      <c r="B64" s="50">
        <v>3553</v>
      </c>
      <c r="C64" s="25" t="s">
        <v>1098</v>
      </c>
      <c r="D64" s="25" t="s">
        <v>101</v>
      </c>
      <c r="E64" s="25" t="s">
        <v>194</v>
      </c>
      <c r="F64" s="25" t="s">
        <v>155</v>
      </c>
      <c r="G64" s="26" t="s">
        <v>139</v>
      </c>
      <c r="H64" s="27" t="s">
        <v>1099</v>
      </c>
      <c r="I64" s="24" t="s">
        <v>998</v>
      </c>
      <c r="J64" s="24" t="s">
        <v>121</v>
      </c>
      <c r="K64" s="28" t="s">
        <v>108</v>
      </c>
      <c r="L64" s="29">
        <v>0</v>
      </c>
      <c r="M64" s="29">
        <v>0</v>
      </c>
      <c r="N64" s="29">
        <v>0.02</v>
      </c>
      <c r="O64" s="27" t="s">
        <v>109</v>
      </c>
      <c r="P64" s="30" t="s">
        <v>101</v>
      </c>
      <c r="Q64" s="31">
        <v>1147437880.3900001</v>
      </c>
      <c r="R64" s="31">
        <v>516398.69</v>
      </c>
      <c r="S64" s="32">
        <v>2.3637999999999999E-2</v>
      </c>
      <c r="T64" s="32" t="s">
        <v>139</v>
      </c>
      <c r="U64" s="32">
        <v>-5.2430000000000003E-3</v>
      </c>
      <c r="V64" s="32">
        <v>-2.2100000000000001E-4</v>
      </c>
      <c r="W64" s="32">
        <v>3.9627000000000002E-2</v>
      </c>
      <c r="X64" s="32">
        <v>0.11970500000000001</v>
      </c>
      <c r="Y64" s="32">
        <v>-6.7979999999999999E-2</v>
      </c>
      <c r="Z64" s="32">
        <v>0.38042399999999998</v>
      </c>
      <c r="AA64" s="32">
        <v>0.65204499999999999</v>
      </c>
      <c r="AB64" s="32">
        <v>0.64049999999999996</v>
      </c>
    </row>
    <row r="65" spans="1:28" ht="15.6" customHeight="1" x14ac:dyDescent="0.25">
      <c r="A65" s="24" t="s">
        <v>1100</v>
      </c>
      <c r="B65" s="50">
        <v>3554</v>
      </c>
      <c r="C65" s="25" t="s">
        <v>1101</v>
      </c>
      <c r="D65" s="25" t="s">
        <v>101</v>
      </c>
      <c r="E65" s="25" t="s">
        <v>194</v>
      </c>
      <c r="F65" s="25" t="s">
        <v>138</v>
      </c>
      <c r="G65" s="26" t="s">
        <v>139</v>
      </c>
      <c r="H65" s="27" t="s">
        <v>1006</v>
      </c>
      <c r="I65" s="24" t="s">
        <v>998</v>
      </c>
      <c r="J65" s="24" t="s">
        <v>121</v>
      </c>
      <c r="K65" s="28" t="s">
        <v>108</v>
      </c>
      <c r="L65" s="29">
        <v>0.03</v>
      </c>
      <c r="M65" s="29">
        <v>1.4999999999999999E-2</v>
      </c>
      <c r="N65" s="29">
        <v>6.0000000000000001E-3</v>
      </c>
      <c r="O65" s="27" t="s">
        <v>109</v>
      </c>
      <c r="P65" s="30" t="s">
        <v>101</v>
      </c>
      <c r="Q65" s="31">
        <v>836725.61</v>
      </c>
      <c r="R65" s="31">
        <v>239.06</v>
      </c>
      <c r="S65" s="32">
        <v>1.5920000000000001E-3</v>
      </c>
      <c r="T65" s="32" t="s">
        <v>139</v>
      </c>
      <c r="U65" s="32">
        <v>-8.3600000000000005E-4</v>
      </c>
      <c r="V65" s="32">
        <v>-3.3349999999999999E-3</v>
      </c>
      <c r="W65" s="32">
        <v>-6.5659999999999998E-3</v>
      </c>
      <c r="X65" s="32">
        <v>5.2560000000000003E-3</v>
      </c>
      <c r="Y65" s="32">
        <v>-1.5323E-2</v>
      </c>
      <c r="Z65" s="32">
        <v>3.9889000000000001E-2</v>
      </c>
      <c r="AA65" s="32">
        <v>6.6899E-2</v>
      </c>
      <c r="AB65" s="32">
        <v>5.6479000000000001E-2</v>
      </c>
    </row>
    <row r="66" spans="1:28" ht="15.6" customHeight="1" x14ac:dyDescent="0.25">
      <c r="A66" s="24" t="s">
        <v>1102</v>
      </c>
      <c r="B66" s="50">
        <v>3555</v>
      </c>
      <c r="C66" s="25" t="s">
        <v>1103</v>
      </c>
      <c r="D66" s="25" t="s">
        <v>112</v>
      </c>
      <c r="E66" s="25" t="s">
        <v>194</v>
      </c>
      <c r="F66" s="25" t="s">
        <v>138</v>
      </c>
      <c r="G66" s="26" t="s">
        <v>139</v>
      </c>
      <c r="H66" s="27" t="s">
        <v>1104</v>
      </c>
      <c r="I66" s="24" t="s">
        <v>998</v>
      </c>
      <c r="J66" s="24" t="s">
        <v>121</v>
      </c>
      <c r="K66" s="28" t="s">
        <v>227</v>
      </c>
      <c r="L66" s="29">
        <v>0.03</v>
      </c>
      <c r="M66" s="29">
        <v>1.4999999999999999E-2</v>
      </c>
      <c r="N66" s="29">
        <v>0.02</v>
      </c>
      <c r="O66" s="27" t="s">
        <v>116</v>
      </c>
      <c r="P66" s="30" t="s">
        <v>112</v>
      </c>
      <c r="Q66" s="31">
        <v>779206208.35000002</v>
      </c>
      <c r="R66" s="31">
        <v>3643.09</v>
      </c>
      <c r="S66" s="32">
        <v>-2.0483000000000001E-2</v>
      </c>
      <c r="T66" s="32" t="s">
        <v>139</v>
      </c>
      <c r="U66" s="32">
        <v>-3.0590000000000001E-3</v>
      </c>
      <c r="V66" s="32">
        <v>-3.7300000000000001E-4</v>
      </c>
      <c r="W66" s="32">
        <v>1.6841999999999999E-2</v>
      </c>
      <c r="X66" s="32">
        <v>2.5065E-2</v>
      </c>
      <c r="Y66" s="32">
        <v>-6.4310000000000006E-2</v>
      </c>
      <c r="Z66" s="32">
        <v>0.134575</v>
      </c>
      <c r="AA66" s="32">
        <v>0.25303999999999999</v>
      </c>
      <c r="AB66" s="32">
        <v>0.194221</v>
      </c>
    </row>
    <row r="67" spans="1:28" ht="15.6" customHeight="1" x14ac:dyDescent="0.25">
      <c r="A67" s="24" t="s">
        <v>192</v>
      </c>
      <c r="B67" s="50">
        <v>3559</v>
      </c>
      <c r="C67" s="25" t="s">
        <v>193</v>
      </c>
      <c r="D67" s="25" t="s">
        <v>127</v>
      </c>
      <c r="E67" s="25" t="s">
        <v>194</v>
      </c>
      <c r="F67" s="25" t="s">
        <v>138</v>
      </c>
      <c r="G67" s="26" t="s">
        <v>139</v>
      </c>
      <c r="H67" s="27" t="s">
        <v>195</v>
      </c>
      <c r="I67" s="24" t="s">
        <v>106</v>
      </c>
      <c r="J67" s="24" t="s">
        <v>107</v>
      </c>
      <c r="K67" s="28" t="s">
        <v>180</v>
      </c>
      <c r="L67" s="29">
        <v>0.02</v>
      </c>
      <c r="M67" s="29">
        <v>1.4999999999999999E-2</v>
      </c>
      <c r="N67" s="29">
        <v>0.02</v>
      </c>
      <c r="O67" s="27" t="s">
        <v>131</v>
      </c>
      <c r="P67" s="30" t="s">
        <v>131</v>
      </c>
      <c r="Q67" s="31">
        <v>1283355.03</v>
      </c>
      <c r="R67" s="31">
        <v>106946.25</v>
      </c>
      <c r="S67" s="32">
        <v>-9.3349999999999995E-3</v>
      </c>
      <c r="T67" s="32" t="s">
        <v>139</v>
      </c>
      <c r="U67" s="32">
        <v>-3.8249999999999998E-3</v>
      </c>
      <c r="V67" s="32">
        <v>-1.6659999999999999E-3</v>
      </c>
      <c r="W67" s="32">
        <v>-1.6707E-2</v>
      </c>
      <c r="X67" s="32">
        <v>2.7542000000000001E-2</v>
      </c>
      <c r="Y67" s="32">
        <v>-5.9033000000000002E-2</v>
      </c>
      <c r="Z67" s="32">
        <v>0.17003699999999999</v>
      </c>
      <c r="AA67" s="32">
        <v>0.356049</v>
      </c>
      <c r="AB67" s="32">
        <v>0.36771100000000001</v>
      </c>
    </row>
    <row r="68" spans="1:28" ht="15.6" customHeight="1" x14ac:dyDescent="0.25">
      <c r="A68" s="24" t="s">
        <v>1105</v>
      </c>
      <c r="B68" s="50">
        <v>3565</v>
      </c>
      <c r="C68" s="25" t="s">
        <v>1106</v>
      </c>
      <c r="D68" s="25" t="s">
        <v>350</v>
      </c>
      <c r="E68" s="25" t="s">
        <v>194</v>
      </c>
      <c r="F68" s="25" t="s">
        <v>155</v>
      </c>
      <c r="G68" s="26" t="s">
        <v>139</v>
      </c>
      <c r="H68" s="27" t="s">
        <v>156</v>
      </c>
      <c r="I68" s="24" t="s">
        <v>998</v>
      </c>
      <c r="J68" s="24" t="s">
        <v>107</v>
      </c>
      <c r="K68" s="28" t="s">
        <v>108</v>
      </c>
      <c r="L68" s="29">
        <v>0.03</v>
      </c>
      <c r="M68" s="29">
        <v>1.4999999999999999E-2</v>
      </c>
      <c r="N68" s="29">
        <v>1.4999999999999999E-2</v>
      </c>
      <c r="O68" s="27" t="s">
        <v>262</v>
      </c>
      <c r="P68" s="30" t="s">
        <v>350</v>
      </c>
      <c r="Q68" s="31">
        <v>1037503.6</v>
      </c>
      <c r="R68" s="31">
        <v>756.74</v>
      </c>
      <c r="S68" s="32">
        <v>3.5949000000000002E-2</v>
      </c>
      <c r="T68" s="32" t="s">
        <v>139</v>
      </c>
      <c r="U68" s="32">
        <v>-5.4929999999999996E-3</v>
      </c>
      <c r="V68" s="32">
        <v>-1.0690000000000001E-3</v>
      </c>
      <c r="W68" s="32">
        <v>4.2873000000000001E-2</v>
      </c>
      <c r="X68" s="32">
        <v>0.132912</v>
      </c>
      <c r="Y68" s="32">
        <v>-6.2687000000000007E-2</v>
      </c>
      <c r="Z68" s="32">
        <v>0.41658600000000001</v>
      </c>
      <c r="AA68" s="32">
        <v>0.69581400000000004</v>
      </c>
      <c r="AB68" s="32">
        <v>0.627363</v>
      </c>
    </row>
    <row r="69" spans="1:28" ht="15.6" customHeight="1" x14ac:dyDescent="0.25">
      <c r="A69" s="24" t="s">
        <v>196</v>
      </c>
      <c r="B69" s="50">
        <v>3567</v>
      </c>
      <c r="C69" s="25" t="s">
        <v>197</v>
      </c>
      <c r="D69" s="25" t="s">
        <v>112</v>
      </c>
      <c r="E69" s="25" t="s">
        <v>194</v>
      </c>
      <c r="F69" s="25" t="s">
        <v>113</v>
      </c>
      <c r="G69" s="26" t="s">
        <v>198</v>
      </c>
      <c r="H69" s="27" t="s">
        <v>199</v>
      </c>
      <c r="I69" s="24" t="s">
        <v>106</v>
      </c>
      <c r="J69" s="24" t="s">
        <v>107</v>
      </c>
      <c r="K69" s="28" t="s">
        <v>108</v>
      </c>
      <c r="L69" s="29">
        <v>0.03</v>
      </c>
      <c r="M69" s="29">
        <v>1.4999999999999999E-2</v>
      </c>
      <c r="N69" s="29">
        <v>0.02</v>
      </c>
      <c r="O69" s="27" t="s">
        <v>116</v>
      </c>
      <c r="P69" s="30" t="s">
        <v>112</v>
      </c>
      <c r="Q69" s="31">
        <v>230802078.75</v>
      </c>
      <c r="R69" s="31">
        <v>2258.44</v>
      </c>
      <c r="S69" s="32">
        <v>7.6699999999999997E-3</v>
      </c>
      <c r="T69" s="32" t="s">
        <v>139</v>
      </c>
      <c r="U69" s="32">
        <v>-5.71E-4</v>
      </c>
      <c r="V69" s="32">
        <v>2.8730000000000001E-3</v>
      </c>
      <c r="W69" s="32">
        <v>6.6950000000000004E-3</v>
      </c>
      <c r="X69" s="32">
        <v>1.0949E-2</v>
      </c>
      <c r="Y69" s="32">
        <v>1.2976E-2</v>
      </c>
      <c r="Z69" s="32">
        <v>8.0174999999999996E-2</v>
      </c>
      <c r="AA69" s="32">
        <v>0.142565</v>
      </c>
      <c r="AB69" s="32">
        <v>0.13106899999999999</v>
      </c>
    </row>
    <row r="70" spans="1:28" ht="15.6" customHeight="1" x14ac:dyDescent="0.25">
      <c r="A70" s="24" t="s">
        <v>1107</v>
      </c>
      <c r="B70" s="50">
        <v>3568</v>
      </c>
      <c r="C70" s="25" t="s">
        <v>1108</v>
      </c>
      <c r="D70" s="25" t="s">
        <v>137</v>
      </c>
      <c r="E70" s="25" t="s">
        <v>194</v>
      </c>
      <c r="F70" s="25" t="s">
        <v>113</v>
      </c>
      <c r="G70" s="26" t="s">
        <v>1109</v>
      </c>
      <c r="H70" s="27" t="s">
        <v>1110</v>
      </c>
      <c r="I70" s="24" t="s">
        <v>998</v>
      </c>
      <c r="J70" s="24" t="s">
        <v>121</v>
      </c>
      <c r="K70" s="28" t="s">
        <v>227</v>
      </c>
      <c r="L70" s="29">
        <v>0</v>
      </c>
      <c r="M70" s="29">
        <v>0</v>
      </c>
      <c r="N70" s="29">
        <v>0.01</v>
      </c>
      <c r="O70" s="27" t="s">
        <v>166</v>
      </c>
      <c r="P70" s="30" t="s">
        <v>137</v>
      </c>
      <c r="Q70" s="31">
        <v>1401832753.276372</v>
      </c>
      <c r="R70" s="31">
        <v>26103.919999999998</v>
      </c>
      <c r="S70" s="32">
        <v>-2.96E-3</v>
      </c>
      <c r="T70" s="32" t="s">
        <v>139</v>
      </c>
      <c r="U70" s="32">
        <v>-8.4099999999999995E-4</v>
      </c>
      <c r="V70" s="32">
        <v>1.712E-3</v>
      </c>
      <c r="W70" s="32">
        <v>2.787E-3</v>
      </c>
      <c r="X70" s="32">
        <v>8.7500000000000002E-4</v>
      </c>
      <c r="Y70" s="32">
        <v>-1.2978E-2</v>
      </c>
      <c r="Z70" s="32">
        <v>6.8703E-2</v>
      </c>
      <c r="AA70" s="32">
        <v>0.17826600000000001</v>
      </c>
      <c r="AB70" s="32">
        <v>8.7155999999999997E-2</v>
      </c>
    </row>
    <row r="71" spans="1:28" ht="15.6" customHeight="1" x14ac:dyDescent="0.25">
      <c r="A71" s="24" t="s">
        <v>1111</v>
      </c>
      <c r="B71" s="50">
        <v>3569</v>
      </c>
      <c r="C71" s="25" t="s">
        <v>1112</v>
      </c>
      <c r="D71" s="25" t="s">
        <v>137</v>
      </c>
      <c r="E71" s="25" t="s">
        <v>194</v>
      </c>
      <c r="F71" s="25" t="s">
        <v>113</v>
      </c>
      <c r="G71" s="26" t="s">
        <v>1113</v>
      </c>
      <c r="H71" s="27" t="s">
        <v>327</v>
      </c>
      <c r="I71" s="24" t="s">
        <v>998</v>
      </c>
      <c r="J71" s="24" t="s">
        <v>121</v>
      </c>
      <c r="K71" s="28" t="s">
        <v>227</v>
      </c>
      <c r="L71" s="29">
        <v>0.03</v>
      </c>
      <c r="M71" s="29">
        <v>1.4999999999999999E-2</v>
      </c>
      <c r="N71" s="29">
        <v>0.02</v>
      </c>
      <c r="O71" s="27" t="s">
        <v>166</v>
      </c>
      <c r="P71" s="30" t="s">
        <v>137</v>
      </c>
      <c r="Q71" s="31">
        <v>1344901.757616</v>
      </c>
      <c r="R71" s="31">
        <v>336225.44</v>
      </c>
      <c r="S71" s="32">
        <v>1.137E-3</v>
      </c>
      <c r="T71" s="32" t="s">
        <v>139</v>
      </c>
      <c r="U71" s="32">
        <v>-1.0640000000000001E-3</v>
      </c>
      <c r="V71" s="32">
        <v>1.3680000000000001E-3</v>
      </c>
      <c r="W71" s="32">
        <v>3.0999999999999999E-3</v>
      </c>
      <c r="X71" s="32">
        <v>3.8639999999999998E-3</v>
      </c>
      <c r="Y71" s="32">
        <v>-1.0730999999999999E-2</v>
      </c>
      <c r="Z71" s="32">
        <v>5.7645000000000002E-2</v>
      </c>
      <c r="AA71" s="32">
        <v>0.11899700000000001</v>
      </c>
      <c r="AB71" s="32">
        <v>0.127891</v>
      </c>
    </row>
    <row r="72" spans="1:28" ht="15.6" customHeight="1" x14ac:dyDescent="0.25">
      <c r="A72" s="24" t="s">
        <v>1114</v>
      </c>
      <c r="B72" s="50">
        <v>3570</v>
      </c>
      <c r="C72" s="25" t="s">
        <v>1115</v>
      </c>
      <c r="D72" s="25" t="s">
        <v>137</v>
      </c>
      <c r="E72" s="25" t="s">
        <v>194</v>
      </c>
      <c r="F72" s="25" t="s">
        <v>155</v>
      </c>
      <c r="G72" s="26" t="s">
        <v>139</v>
      </c>
      <c r="H72" s="27" t="s">
        <v>202</v>
      </c>
      <c r="I72" s="24" t="s">
        <v>998</v>
      </c>
      <c r="J72" s="24" t="s">
        <v>107</v>
      </c>
      <c r="K72" s="28" t="s">
        <v>108</v>
      </c>
      <c r="L72" s="29">
        <v>4.5000000000000014E-3</v>
      </c>
      <c r="M72" s="29">
        <v>4.5000000000000014E-3</v>
      </c>
      <c r="N72" s="29">
        <v>0.02</v>
      </c>
      <c r="O72" s="27" t="s">
        <v>141</v>
      </c>
      <c r="P72" s="30" t="s">
        <v>142</v>
      </c>
      <c r="Q72" s="31">
        <v>72229611.779645994</v>
      </c>
      <c r="R72" s="31">
        <v>796.02</v>
      </c>
      <c r="S72" s="32">
        <v>-1.1327E-2</v>
      </c>
      <c r="T72" s="32" t="s">
        <v>139</v>
      </c>
      <c r="U72" s="32">
        <v>-3.5049999999999999E-3</v>
      </c>
      <c r="V72" s="32">
        <v>-2.9429999999999999E-3</v>
      </c>
      <c r="W72" s="32">
        <v>2.3136E-2</v>
      </c>
      <c r="X72" s="32">
        <v>7.9408000000000006E-2</v>
      </c>
      <c r="Y72" s="32">
        <v>-0.119106</v>
      </c>
      <c r="Z72" s="32">
        <v>0.22051499999999999</v>
      </c>
      <c r="AA72" s="32">
        <v>0.426431</v>
      </c>
      <c r="AB72" s="32">
        <v>0.372614</v>
      </c>
    </row>
    <row r="73" spans="1:28" ht="15.6" customHeight="1" x14ac:dyDescent="0.25">
      <c r="A73" s="24" t="s">
        <v>1116</v>
      </c>
      <c r="B73" s="50">
        <v>3572</v>
      </c>
      <c r="C73" s="25" t="s">
        <v>1117</v>
      </c>
      <c r="D73" s="25" t="s">
        <v>137</v>
      </c>
      <c r="E73" s="25" t="s">
        <v>194</v>
      </c>
      <c r="F73" s="25" t="s">
        <v>138</v>
      </c>
      <c r="G73" s="26" t="s">
        <v>139</v>
      </c>
      <c r="H73" s="27" t="s">
        <v>1118</v>
      </c>
      <c r="I73" s="24" t="s">
        <v>998</v>
      </c>
      <c r="J73" s="24" t="s">
        <v>107</v>
      </c>
      <c r="K73" s="28" t="s">
        <v>108</v>
      </c>
      <c r="L73" s="29">
        <v>2E-3</v>
      </c>
      <c r="M73" s="29">
        <v>2E-3</v>
      </c>
      <c r="N73" s="29">
        <v>0.02</v>
      </c>
      <c r="O73" s="27" t="s">
        <v>141</v>
      </c>
      <c r="P73" s="30" t="s">
        <v>142</v>
      </c>
      <c r="Q73" s="31">
        <v>313006724.051283</v>
      </c>
      <c r="R73" s="31">
        <v>5106.0600000000004</v>
      </c>
      <c r="S73" s="32">
        <v>2.8452000000000002E-2</v>
      </c>
      <c r="T73" s="32" t="s">
        <v>139</v>
      </c>
      <c r="U73" s="32">
        <v>-4.6049999999999997E-3</v>
      </c>
      <c r="V73" s="32">
        <v>5.1699999999999999E-4</v>
      </c>
      <c r="W73" s="32">
        <v>1.4841E-2</v>
      </c>
      <c r="X73" s="32">
        <v>4.6197000000000002E-2</v>
      </c>
      <c r="Y73" s="32">
        <v>1.4033E-2</v>
      </c>
      <c r="Z73" s="32">
        <v>0.10875700000000001</v>
      </c>
      <c r="AA73" s="32">
        <v>0.15168100000000001</v>
      </c>
      <c r="AB73" s="32">
        <v>0.245144</v>
      </c>
    </row>
    <row r="74" spans="1:28" ht="15.6" customHeight="1" x14ac:dyDescent="0.25">
      <c r="A74" s="24" t="s">
        <v>200</v>
      </c>
      <c r="B74" s="50">
        <v>3573</v>
      </c>
      <c r="C74" s="25" t="s">
        <v>201</v>
      </c>
      <c r="D74" s="25" t="s">
        <v>137</v>
      </c>
      <c r="E74" s="25" t="s">
        <v>194</v>
      </c>
      <c r="F74" s="25" t="s">
        <v>155</v>
      </c>
      <c r="G74" s="26" t="s">
        <v>139</v>
      </c>
      <c r="H74" s="27" t="s">
        <v>202</v>
      </c>
      <c r="I74" s="24" t="s">
        <v>106</v>
      </c>
      <c r="J74" s="24" t="s">
        <v>121</v>
      </c>
      <c r="K74" s="28" t="s">
        <v>108</v>
      </c>
      <c r="L74" s="29">
        <v>3.0000000000000001E-3</v>
      </c>
      <c r="M74" s="29">
        <v>3.0000000000000001E-3</v>
      </c>
      <c r="N74" s="29">
        <v>0.02</v>
      </c>
      <c r="O74" s="27" t="s">
        <v>141</v>
      </c>
      <c r="P74" s="30" t="s">
        <v>142</v>
      </c>
      <c r="Q74" s="31">
        <v>51528869.365843996</v>
      </c>
      <c r="R74" s="31">
        <v>4651.04</v>
      </c>
      <c r="S74" s="32">
        <v>1.1039E-2</v>
      </c>
      <c r="T74" s="32" t="s">
        <v>139</v>
      </c>
      <c r="U74" s="32">
        <v>-1.0300999999999999E-2</v>
      </c>
      <c r="V74" s="32">
        <v>-4.9719999999999999E-3</v>
      </c>
      <c r="W74" s="32">
        <v>3.5383999999999999E-2</v>
      </c>
      <c r="X74" s="32">
        <v>0.116246</v>
      </c>
      <c r="Y74" s="32">
        <v>-9.3054999999999999E-2</v>
      </c>
      <c r="Z74" s="32">
        <v>0.376556</v>
      </c>
      <c r="AA74" s="32">
        <v>0.69309699999999996</v>
      </c>
      <c r="AB74" s="32">
        <v>0.69176700000000002</v>
      </c>
    </row>
    <row r="75" spans="1:28" ht="15.6" customHeight="1" x14ac:dyDescent="0.25">
      <c r="A75" s="24" t="s">
        <v>203</v>
      </c>
      <c r="B75" s="50">
        <v>3574</v>
      </c>
      <c r="C75" s="25" t="s">
        <v>204</v>
      </c>
      <c r="D75" s="25" t="s">
        <v>137</v>
      </c>
      <c r="E75" s="25" t="s">
        <v>194</v>
      </c>
      <c r="F75" s="25" t="s">
        <v>155</v>
      </c>
      <c r="G75" s="26" t="s">
        <v>139</v>
      </c>
      <c r="H75" s="27" t="s">
        <v>202</v>
      </c>
      <c r="I75" s="24" t="s">
        <v>106</v>
      </c>
      <c r="J75" s="24" t="s">
        <v>107</v>
      </c>
      <c r="K75" s="28" t="s">
        <v>108</v>
      </c>
      <c r="L75" s="29">
        <v>4.5000000000000014E-3</v>
      </c>
      <c r="M75" s="29">
        <v>4.5000000000000014E-3</v>
      </c>
      <c r="N75" s="29">
        <v>0.02</v>
      </c>
      <c r="O75" s="27" t="s">
        <v>141</v>
      </c>
      <c r="P75" s="30" t="s">
        <v>142</v>
      </c>
      <c r="Q75" s="31">
        <v>1327968956.16587</v>
      </c>
      <c r="R75" s="31">
        <v>1194.83</v>
      </c>
      <c r="S75" s="32">
        <v>-3.702E-3</v>
      </c>
      <c r="T75" s="32" t="s">
        <v>139</v>
      </c>
      <c r="U75" s="32">
        <v>-7.6660000000000001E-3</v>
      </c>
      <c r="V75" s="32">
        <v>-7.8309999999999994E-3</v>
      </c>
      <c r="W75" s="32">
        <v>1.8003000000000002E-2</v>
      </c>
      <c r="X75" s="32">
        <v>9.5108999999999999E-2</v>
      </c>
      <c r="Y75" s="32">
        <v>-0.110586</v>
      </c>
      <c r="Z75" s="32">
        <v>0.33560299999999998</v>
      </c>
      <c r="AA75" s="32">
        <v>0.65008999999999995</v>
      </c>
      <c r="AB75" s="32">
        <v>0.51244299999999998</v>
      </c>
    </row>
    <row r="76" spans="1:28" ht="15.6" customHeight="1" x14ac:dyDescent="0.25">
      <c r="A76" s="24" t="s">
        <v>1119</v>
      </c>
      <c r="B76" s="50">
        <v>3575</v>
      </c>
      <c r="C76" s="25" t="s">
        <v>1120</v>
      </c>
      <c r="D76" s="25" t="s">
        <v>137</v>
      </c>
      <c r="E76" s="25" t="s">
        <v>194</v>
      </c>
      <c r="F76" s="25" t="s">
        <v>138</v>
      </c>
      <c r="G76" s="26" t="s">
        <v>139</v>
      </c>
      <c r="H76" s="27" t="s">
        <v>1104</v>
      </c>
      <c r="I76" s="24" t="s">
        <v>998</v>
      </c>
      <c r="J76" s="24" t="s">
        <v>121</v>
      </c>
      <c r="K76" s="28" t="s">
        <v>180</v>
      </c>
      <c r="L76" s="29">
        <v>0</v>
      </c>
      <c r="M76" s="29">
        <v>0</v>
      </c>
      <c r="N76" s="29">
        <v>0.02</v>
      </c>
      <c r="O76" s="27" t="s">
        <v>141</v>
      </c>
      <c r="P76" s="30" t="s">
        <v>137</v>
      </c>
      <c r="Q76" s="31">
        <v>832596438.96041405</v>
      </c>
      <c r="R76" s="31">
        <v>66939.740000000005</v>
      </c>
      <c r="S76" s="32">
        <v>-2.4399999999999999E-4</v>
      </c>
      <c r="T76" s="32" t="s">
        <v>139</v>
      </c>
      <c r="U76" s="32">
        <v>-2.748E-3</v>
      </c>
      <c r="V76" s="32">
        <v>1.9999999999999999E-6</v>
      </c>
      <c r="W76" s="32">
        <v>1.3866E-2</v>
      </c>
      <c r="X76" s="32">
        <v>3.0931E-2</v>
      </c>
      <c r="Y76" s="32">
        <v>-3.227E-2</v>
      </c>
      <c r="Z76" s="32">
        <v>0.15149699999999999</v>
      </c>
      <c r="AA76" s="32">
        <v>0.29312500000000002</v>
      </c>
      <c r="AB76" s="32">
        <v>0.25318600000000002</v>
      </c>
    </row>
    <row r="77" spans="1:28" ht="15.6" customHeight="1" x14ac:dyDescent="0.25">
      <c r="A77" s="24" t="s">
        <v>1121</v>
      </c>
      <c r="B77" s="50">
        <v>3576</v>
      </c>
      <c r="C77" s="25" t="s">
        <v>1122</v>
      </c>
      <c r="D77" s="25" t="s">
        <v>137</v>
      </c>
      <c r="E77" s="25" t="s">
        <v>194</v>
      </c>
      <c r="F77" s="25" t="s">
        <v>155</v>
      </c>
      <c r="G77" s="26" t="s">
        <v>139</v>
      </c>
      <c r="H77" s="27" t="s">
        <v>202</v>
      </c>
      <c r="I77" s="24" t="s">
        <v>998</v>
      </c>
      <c r="J77" s="24" t="s">
        <v>107</v>
      </c>
      <c r="K77" s="28" t="s">
        <v>108</v>
      </c>
      <c r="L77" s="29">
        <v>4.5000000000000014E-3</v>
      </c>
      <c r="M77" s="29">
        <v>4.5000000000000014E-3</v>
      </c>
      <c r="N77" s="29">
        <v>0.02</v>
      </c>
      <c r="O77" s="27" t="s">
        <v>141</v>
      </c>
      <c r="P77" s="30" t="s">
        <v>142</v>
      </c>
      <c r="Q77" s="31">
        <v>31460248.067053001</v>
      </c>
      <c r="R77" s="31">
        <v>85489.8</v>
      </c>
      <c r="S77" s="32">
        <v>1.2932000000000001E-2</v>
      </c>
      <c r="T77" s="32" t="s">
        <v>139</v>
      </c>
      <c r="U77" s="32">
        <v>-6.9480000000000002E-3</v>
      </c>
      <c r="V77" s="32">
        <v>-3.2000000000000002E-3</v>
      </c>
      <c r="W77" s="32">
        <v>3.5728000000000003E-2</v>
      </c>
      <c r="X77" s="32">
        <v>0.110099</v>
      </c>
      <c r="Y77" s="32">
        <v>-0.103908</v>
      </c>
      <c r="Z77" s="32">
        <v>0.32640999999999998</v>
      </c>
      <c r="AA77" s="32">
        <v>0.60587999999999997</v>
      </c>
      <c r="AB77" s="32">
        <v>0.49566199999999999</v>
      </c>
    </row>
    <row r="78" spans="1:28" ht="15.6" customHeight="1" x14ac:dyDescent="0.25">
      <c r="A78" s="24" t="s">
        <v>205</v>
      </c>
      <c r="B78" s="50">
        <v>3578</v>
      </c>
      <c r="C78" s="25" t="s">
        <v>206</v>
      </c>
      <c r="D78" s="25" t="s">
        <v>137</v>
      </c>
      <c r="E78" s="25" t="s">
        <v>194</v>
      </c>
      <c r="F78" s="25" t="s">
        <v>155</v>
      </c>
      <c r="G78" s="26" t="s">
        <v>139</v>
      </c>
      <c r="H78" s="27" t="s">
        <v>202</v>
      </c>
      <c r="I78" s="24" t="s">
        <v>106</v>
      </c>
      <c r="J78" s="24" t="s">
        <v>107</v>
      </c>
      <c r="K78" s="28" t="s">
        <v>108</v>
      </c>
      <c r="L78" s="29">
        <v>3.0000000000000001E-3</v>
      </c>
      <c r="M78" s="29">
        <v>3.0000000000000001E-3</v>
      </c>
      <c r="N78" s="29">
        <v>0.02</v>
      </c>
      <c r="O78" s="27" t="s">
        <v>141</v>
      </c>
      <c r="P78" s="30" t="s">
        <v>142</v>
      </c>
      <c r="Q78" s="31">
        <v>92163289.577736005</v>
      </c>
      <c r="R78" s="31">
        <v>706.25</v>
      </c>
      <c r="S78" s="32">
        <v>-6.3590000000000001E-3</v>
      </c>
      <c r="T78" s="32" t="s">
        <v>139</v>
      </c>
      <c r="U78" s="32">
        <v>-7.3369999999999998E-3</v>
      </c>
      <c r="V78" s="32">
        <v>-4.2160000000000001E-3</v>
      </c>
      <c r="W78" s="32">
        <v>3.2605000000000002E-2</v>
      </c>
      <c r="X78" s="32">
        <v>9.7461999999999993E-2</v>
      </c>
      <c r="Y78" s="32">
        <v>-0.115097</v>
      </c>
      <c r="Z78" s="32">
        <v>0.31258599999999997</v>
      </c>
      <c r="AA78" s="32">
        <v>0.52894399999999997</v>
      </c>
      <c r="AB78" s="32">
        <v>0.41652299999999998</v>
      </c>
    </row>
    <row r="79" spans="1:28" ht="15.6" customHeight="1" x14ac:dyDescent="0.25">
      <c r="A79" s="24" t="s">
        <v>207</v>
      </c>
      <c r="B79" s="50">
        <v>3579</v>
      </c>
      <c r="C79" s="25" t="s">
        <v>208</v>
      </c>
      <c r="D79" s="25" t="s">
        <v>137</v>
      </c>
      <c r="E79" s="25" t="s">
        <v>194</v>
      </c>
      <c r="F79" s="25" t="s">
        <v>113</v>
      </c>
      <c r="G79" s="26" t="s">
        <v>209</v>
      </c>
      <c r="H79" s="27" t="s">
        <v>210</v>
      </c>
      <c r="I79" s="24" t="s">
        <v>106</v>
      </c>
      <c r="J79" s="24" t="s">
        <v>107</v>
      </c>
      <c r="K79" s="28" t="s">
        <v>108</v>
      </c>
      <c r="L79" s="29">
        <v>0</v>
      </c>
      <c r="M79" s="29">
        <v>0</v>
      </c>
      <c r="N79" s="29">
        <v>0.01</v>
      </c>
      <c r="O79" s="27" t="s">
        <v>141</v>
      </c>
      <c r="P79" s="30" t="s">
        <v>142</v>
      </c>
      <c r="Q79" s="31">
        <v>41687464.302134998</v>
      </c>
      <c r="R79" s="31">
        <v>347.73</v>
      </c>
      <c r="S79" s="32">
        <v>-7.3369999999999998E-3</v>
      </c>
      <c r="T79" s="32" t="s">
        <v>139</v>
      </c>
      <c r="U79" s="32">
        <v>-8.9099999999999997E-4</v>
      </c>
      <c r="V79" s="32">
        <v>-9.4799999999999995E-4</v>
      </c>
      <c r="W79" s="32">
        <v>-1.4649999999999999E-3</v>
      </c>
      <c r="X79" s="32">
        <v>-1.8079999999999999E-3</v>
      </c>
      <c r="Y79" s="32">
        <v>4.8168999999999997E-2</v>
      </c>
      <c r="Z79" s="32">
        <v>5.1560000000000002E-2</v>
      </c>
      <c r="AA79" s="32">
        <v>6.0928999999999997E-2</v>
      </c>
      <c r="AB79" s="32">
        <v>-1.1006999999999999E-2</v>
      </c>
    </row>
    <row r="80" spans="1:28" ht="15.6" customHeight="1" x14ac:dyDescent="0.25">
      <c r="A80" s="24" t="s">
        <v>1123</v>
      </c>
      <c r="B80" s="50">
        <v>3580</v>
      </c>
      <c r="C80" s="25" t="s">
        <v>1124</v>
      </c>
      <c r="D80" s="25" t="s">
        <v>137</v>
      </c>
      <c r="E80" s="25" t="s">
        <v>194</v>
      </c>
      <c r="F80" s="25" t="s">
        <v>113</v>
      </c>
      <c r="G80" s="26" t="s">
        <v>531</v>
      </c>
      <c r="H80" s="27" t="s">
        <v>115</v>
      </c>
      <c r="I80" s="24" t="s">
        <v>998</v>
      </c>
      <c r="J80" s="24" t="s">
        <v>121</v>
      </c>
      <c r="K80" s="28" t="s">
        <v>227</v>
      </c>
      <c r="L80" s="29">
        <v>0</v>
      </c>
      <c r="M80" s="29">
        <v>0</v>
      </c>
      <c r="N80" s="29">
        <v>0.02</v>
      </c>
      <c r="O80" s="27" t="s">
        <v>141</v>
      </c>
      <c r="P80" s="30" t="s">
        <v>137</v>
      </c>
      <c r="Q80" s="31">
        <v>176477050.74442399</v>
      </c>
      <c r="R80" s="31">
        <v>22524.19</v>
      </c>
      <c r="S80" s="32">
        <v>-3.1089999999999998E-3</v>
      </c>
      <c r="T80" s="32" t="s">
        <v>139</v>
      </c>
      <c r="U80" s="32">
        <v>-1.392E-3</v>
      </c>
      <c r="V80" s="32">
        <v>1.8779999999999999E-3</v>
      </c>
      <c r="W80" s="32">
        <v>3.9259999999999998E-3</v>
      </c>
      <c r="X80" s="32">
        <v>2.0860000000000002E-3</v>
      </c>
      <c r="Y80" s="32">
        <v>-9.3600000000000003E-3</v>
      </c>
      <c r="Z80" s="32">
        <v>7.5957999999999998E-2</v>
      </c>
      <c r="AA80" s="32">
        <v>0.18259700000000001</v>
      </c>
      <c r="AB80" s="32">
        <v>0.16095100000000001</v>
      </c>
    </row>
    <row r="81" spans="1:28" ht="15.6" customHeight="1" x14ac:dyDescent="0.25">
      <c r="A81" s="24" t="s">
        <v>211</v>
      </c>
      <c r="B81" s="50">
        <v>3582</v>
      </c>
      <c r="C81" s="25" t="s">
        <v>212</v>
      </c>
      <c r="D81" s="25" t="s">
        <v>137</v>
      </c>
      <c r="E81" s="25" t="s">
        <v>194</v>
      </c>
      <c r="F81" s="25" t="s">
        <v>128</v>
      </c>
      <c r="G81" s="26" t="s">
        <v>213</v>
      </c>
      <c r="H81" s="27" t="s">
        <v>130</v>
      </c>
      <c r="I81" s="24" t="s">
        <v>106</v>
      </c>
      <c r="J81" s="24" t="s">
        <v>107</v>
      </c>
      <c r="K81" s="28" t="s">
        <v>108</v>
      </c>
      <c r="L81" s="29">
        <v>0</v>
      </c>
      <c r="M81" s="29">
        <v>0</v>
      </c>
      <c r="N81" s="29">
        <v>0.01</v>
      </c>
      <c r="O81" s="27" t="s">
        <v>141</v>
      </c>
      <c r="P81" s="30" t="s">
        <v>142</v>
      </c>
      <c r="Q81" s="31">
        <v>104798688.733281</v>
      </c>
      <c r="R81" s="31">
        <v>228.17</v>
      </c>
      <c r="S81" s="32">
        <v>1.072E-2</v>
      </c>
      <c r="T81" s="32" t="s">
        <v>139</v>
      </c>
      <c r="U81" s="32">
        <v>-1.75E-4</v>
      </c>
      <c r="V81" s="32">
        <v>1.1850000000000001E-3</v>
      </c>
      <c r="W81" s="32">
        <v>4.1370000000000001E-3</v>
      </c>
      <c r="X81" s="32">
        <v>8.5749999999999993E-3</v>
      </c>
      <c r="Y81" s="32">
        <v>3.2816999999999999E-2</v>
      </c>
      <c r="Z81" s="32">
        <v>4.8960999999999998E-2</v>
      </c>
      <c r="AA81" s="32">
        <v>7.4449000000000001E-2</v>
      </c>
      <c r="AB81" s="32">
        <v>9.3815999999999997E-2</v>
      </c>
    </row>
    <row r="82" spans="1:28" ht="15.6" customHeight="1" x14ac:dyDescent="0.25">
      <c r="A82" s="24" t="s">
        <v>214</v>
      </c>
      <c r="B82" s="50">
        <v>3583</v>
      </c>
      <c r="C82" s="25" t="s">
        <v>215</v>
      </c>
      <c r="D82" s="25" t="s">
        <v>137</v>
      </c>
      <c r="E82" s="25" t="s">
        <v>194</v>
      </c>
      <c r="F82" s="25" t="s">
        <v>103</v>
      </c>
      <c r="G82" s="26" t="s">
        <v>216</v>
      </c>
      <c r="H82" s="27" t="s">
        <v>217</v>
      </c>
      <c r="I82" s="24" t="s">
        <v>106</v>
      </c>
      <c r="J82" s="24" t="s">
        <v>107</v>
      </c>
      <c r="K82" s="28" t="s">
        <v>108</v>
      </c>
      <c r="L82" s="29">
        <v>0</v>
      </c>
      <c r="M82" s="29">
        <v>0</v>
      </c>
      <c r="N82" s="29">
        <v>6.0000000000000001E-3</v>
      </c>
      <c r="O82" s="27" t="s">
        <v>141</v>
      </c>
      <c r="P82" s="30" t="s">
        <v>142</v>
      </c>
      <c r="Q82" s="31">
        <v>2051848574.612555</v>
      </c>
      <c r="R82" s="31">
        <v>2570.4499999999998</v>
      </c>
      <c r="S82" s="32">
        <v>1.4949E-2</v>
      </c>
      <c r="T82" s="32" t="s">
        <v>139</v>
      </c>
      <c r="U82" s="32">
        <v>5.8E-5</v>
      </c>
      <c r="V82" s="32">
        <v>1.4139999999999999E-3</v>
      </c>
      <c r="W82" s="32">
        <v>5.4840000000000002E-3</v>
      </c>
      <c r="X82" s="32">
        <v>1.1220000000000001E-2</v>
      </c>
      <c r="Y82" s="32">
        <v>2.3765999999999999E-2</v>
      </c>
      <c r="Z82" s="32">
        <v>4.9605000000000003E-2</v>
      </c>
      <c r="AA82" s="32">
        <v>7.9713000000000006E-2</v>
      </c>
      <c r="AB82" s="32">
        <v>0.115032</v>
      </c>
    </row>
    <row r="83" spans="1:28" ht="15.6" customHeight="1" x14ac:dyDescent="0.25">
      <c r="A83" s="24" t="s">
        <v>218</v>
      </c>
      <c r="B83" s="50">
        <v>3584</v>
      </c>
      <c r="C83" s="25" t="s">
        <v>219</v>
      </c>
      <c r="D83" s="25" t="s">
        <v>145</v>
      </c>
      <c r="E83" s="25" t="s">
        <v>194</v>
      </c>
      <c r="F83" s="25" t="s">
        <v>138</v>
      </c>
      <c r="G83" s="26" t="s">
        <v>139</v>
      </c>
      <c r="H83" s="27" t="s">
        <v>220</v>
      </c>
      <c r="I83" s="24" t="s">
        <v>106</v>
      </c>
      <c r="J83" s="24" t="s">
        <v>107</v>
      </c>
      <c r="K83" s="28" t="s">
        <v>108</v>
      </c>
      <c r="L83" s="29">
        <v>0.02</v>
      </c>
      <c r="M83" s="29">
        <v>0.02</v>
      </c>
      <c r="N83" s="29">
        <v>0.02</v>
      </c>
      <c r="O83" s="27" t="s">
        <v>148</v>
      </c>
      <c r="P83" s="30" t="s">
        <v>145</v>
      </c>
      <c r="Q83" s="31">
        <v>474727777.83999997</v>
      </c>
      <c r="R83" s="31">
        <v>5838.63</v>
      </c>
      <c r="S83" s="32">
        <v>3.5959999999999998E-3</v>
      </c>
      <c r="T83" s="32" t="s">
        <v>139</v>
      </c>
      <c r="U83" s="32">
        <v>-4.7879999999999997E-3</v>
      </c>
      <c r="V83" s="32">
        <v>-1.624E-3</v>
      </c>
      <c r="W83" s="32">
        <v>2.1181999999999999E-2</v>
      </c>
      <c r="X83" s="32">
        <v>5.9610000000000003E-2</v>
      </c>
      <c r="Y83" s="32">
        <v>-5.4392000000000003E-2</v>
      </c>
      <c r="Z83" s="32">
        <v>0.21487500000000001</v>
      </c>
      <c r="AA83" s="32">
        <v>0.39764699999999997</v>
      </c>
      <c r="AB83" s="32">
        <v>0.29713000000000001</v>
      </c>
    </row>
    <row r="84" spans="1:28" ht="15.6" customHeight="1" x14ac:dyDescent="0.25">
      <c r="A84" s="24" t="s">
        <v>221</v>
      </c>
      <c r="B84" s="50">
        <v>3586</v>
      </c>
      <c r="C84" s="25" t="s">
        <v>222</v>
      </c>
      <c r="D84" s="25" t="s">
        <v>145</v>
      </c>
      <c r="E84" s="25" t="s">
        <v>194</v>
      </c>
      <c r="F84" s="25" t="s">
        <v>138</v>
      </c>
      <c r="G84" s="26" t="s">
        <v>139</v>
      </c>
      <c r="H84" s="27" t="s">
        <v>223</v>
      </c>
      <c r="I84" s="24" t="s">
        <v>106</v>
      </c>
      <c r="J84" s="24" t="s">
        <v>107</v>
      </c>
      <c r="K84" s="28" t="s">
        <v>108</v>
      </c>
      <c r="L84" s="29">
        <v>0.02</v>
      </c>
      <c r="M84" s="29">
        <v>0.02</v>
      </c>
      <c r="N84" s="29">
        <v>0.02</v>
      </c>
      <c r="O84" s="27" t="s">
        <v>148</v>
      </c>
      <c r="P84" s="30" t="s">
        <v>145</v>
      </c>
      <c r="Q84" s="31">
        <v>1578707.35</v>
      </c>
      <c r="R84" s="31">
        <v>68639.45</v>
      </c>
      <c r="S84" s="32">
        <v>3.8966000000000001E-2</v>
      </c>
      <c r="T84" s="32" t="s">
        <v>139</v>
      </c>
      <c r="U84" s="32">
        <v>-5.1910000000000003E-3</v>
      </c>
      <c r="V84" s="32">
        <v>6.7900000000000002E-4</v>
      </c>
      <c r="W84" s="32">
        <v>1.8544999999999999E-2</v>
      </c>
      <c r="X84" s="32">
        <v>6.9710999999999995E-2</v>
      </c>
      <c r="Y84" s="32">
        <v>-1.593E-3</v>
      </c>
      <c r="Z84" s="32">
        <v>0.22301099999999999</v>
      </c>
      <c r="AA84" s="32">
        <v>0.35153600000000002</v>
      </c>
      <c r="AB84" s="32">
        <v>0.37759599999999999</v>
      </c>
    </row>
    <row r="85" spans="1:28" ht="15.6" customHeight="1" x14ac:dyDescent="0.25">
      <c r="A85" s="24" t="s">
        <v>224</v>
      </c>
      <c r="B85" s="50">
        <v>3587</v>
      </c>
      <c r="C85" s="25" t="s">
        <v>1</v>
      </c>
      <c r="D85" s="25" t="s">
        <v>145</v>
      </c>
      <c r="E85" s="25" t="s">
        <v>194</v>
      </c>
      <c r="F85" s="25" t="s">
        <v>155</v>
      </c>
      <c r="G85" s="26" t="s">
        <v>139</v>
      </c>
      <c r="H85" s="27" t="s">
        <v>156</v>
      </c>
      <c r="I85" s="24" t="s">
        <v>106</v>
      </c>
      <c r="J85" s="24" t="s">
        <v>107</v>
      </c>
      <c r="K85" s="28" t="s">
        <v>108</v>
      </c>
      <c r="L85" s="29">
        <v>0.02</v>
      </c>
      <c r="M85" s="29">
        <v>0.02</v>
      </c>
      <c r="N85" s="29">
        <v>0.02</v>
      </c>
      <c r="O85" s="27" t="s">
        <v>148</v>
      </c>
      <c r="P85" s="30" t="s">
        <v>145</v>
      </c>
      <c r="Q85" s="31">
        <v>650805714.67999995</v>
      </c>
      <c r="R85" s="31">
        <v>9801.58</v>
      </c>
      <c r="S85" s="32">
        <v>-0.12112100000000001</v>
      </c>
      <c r="T85" s="32" t="s">
        <v>139</v>
      </c>
      <c r="U85" s="32">
        <v>-1.272E-2</v>
      </c>
      <c r="V85" s="32">
        <v>-2.6057E-2</v>
      </c>
      <c r="W85" s="32">
        <v>1.6344999999999998E-2</v>
      </c>
      <c r="X85" s="32">
        <v>2.6454999999999999E-2</v>
      </c>
      <c r="Y85" s="32">
        <v>-0.22579199999999999</v>
      </c>
      <c r="Z85" s="32">
        <v>0.258635</v>
      </c>
      <c r="AA85" s="32">
        <v>0.620699</v>
      </c>
      <c r="AB85" s="32">
        <v>0.49866199999999999</v>
      </c>
    </row>
    <row r="86" spans="1:28" ht="15.6" customHeight="1" x14ac:dyDescent="0.25">
      <c r="A86" s="24" t="s">
        <v>225</v>
      </c>
      <c r="B86" s="50">
        <v>3588</v>
      </c>
      <c r="C86" s="25" t="s">
        <v>226</v>
      </c>
      <c r="D86" s="25" t="s">
        <v>145</v>
      </c>
      <c r="E86" s="25" t="s">
        <v>194</v>
      </c>
      <c r="F86" s="25" t="s">
        <v>155</v>
      </c>
      <c r="G86" s="26" t="s">
        <v>139</v>
      </c>
      <c r="H86" s="27" t="s">
        <v>156</v>
      </c>
      <c r="I86" s="24" t="s">
        <v>106</v>
      </c>
      <c r="J86" s="24" t="s">
        <v>107</v>
      </c>
      <c r="K86" s="28" t="s">
        <v>227</v>
      </c>
      <c r="L86" s="29">
        <v>0.02</v>
      </c>
      <c r="M86" s="29">
        <v>0.02</v>
      </c>
      <c r="N86" s="29">
        <v>0.02</v>
      </c>
      <c r="O86" s="27" t="s">
        <v>148</v>
      </c>
      <c r="P86" s="30" t="s">
        <v>145</v>
      </c>
      <c r="Q86" s="31">
        <v>5609203.75</v>
      </c>
      <c r="R86" s="31">
        <v>8498.7900000000009</v>
      </c>
      <c r="S86" s="32">
        <v>2.2898000000000002E-2</v>
      </c>
      <c r="T86" s="32" t="s">
        <v>139</v>
      </c>
      <c r="U86" s="32">
        <v>-3.9360000000000003E-3</v>
      </c>
      <c r="V86" s="32">
        <v>1.077E-3</v>
      </c>
      <c r="W86" s="32">
        <v>4.1506000000000001E-2</v>
      </c>
      <c r="X86" s="32">
        <v>0.119117</v>
      </c>
      <c r="Y86" s="32">
        <v>-6.8973999999999994E-2</v>
      </c>
      <c r="Z86" s="32">
        <v>0.36357600000000001</v>
      </c>
      <c r="AA86" s="32">
        <v>0.65148200000000001</v>
      </c>
      <c r="AB86" s="32">
        <v>0.55768200000000001</v>
      </c>
    </row>
    <row r="87" spans="1:28" ht="15.6" customHeight="1" x14ac:dyDescent="0.25">
      <c r="A87" s="24" t="s">
        <v>1125</v>
      </c>
      <c r="B87" s="50">
        <v>3589</v>
      </c>
      <c r="C87" s="25" t="s">
        <v>1126</v>
      </c>
      <c r="D87" s="25" t="s">
        <v>145</v>
      </c>
      <c r="E87" s="25" t="s">
        <v>194</v>
      </c>
      <c r="F87" s="25" t="s">
        <v>138</v>
      </c>
      <c r="G87" s="26" t="s">
        <v>139</v>
      </c>
      <c r="H87" s="27" t="s">
        <v>220</v>
      </c>
      <c r="I87" s="24" t="s">
        <v>998</v>
      </c>
      <c r="J87" s="24" t="s">
        <v>107</v>
      </c>
      <c r="K87" s="28" t="s">
        <v>180</v>
      </c>
      <c r="L87" s="29">
        <v>0.02</v>
      </c>
      <c r="M87" s="29">
        <v>0.02</v>
      </c>
      <c r="N87" s="29">
        <v>0.02</v>
      </c>
      <c r="O87" s="27" t="s">
        <v>148</v>
      </c>
      <c r="P87" s="30" t="s">
        <v>145</v>
      </c>
      <c r="Q87" s="31">
        <v>6214874.0800000001</v>
      </c>
      <c r="R87" s="31">
        <v>770.12</v>
      </c>
      <c r="S87" s="32">
        <v>-3.5070000000000001E-3</v>
      </c>
      <c r="T87" s="32" t="s">
        <v>139</v>
      </c>
      <c r="U87" s="32">
        <v>-2.1380000000000001E-3</v>
      </c>
      <c r="V87" s="32">
        <v>1.2869999999999999E-3</v>
      </c>
      <c r="W87" s="32">
        <v>1.8825000000000001E-2</v>
      </c>
      <c r="X87" s="32">
        <v>2.2953000000000001E-2</v>
      </c>
      <c r="Y87" s="32">
        <v>-3.4634999999999999E-2</v>
      </c>
      <c r="Z87" s="32">
        <v>0.12967200000000001</v>
      </c>
      <c r="AA87" s="32">
        <v>0.222859</v>
      </c>
      <c r="AB87" s="32">
        <v>0.22164400000000001</v>
      </c>
    </row>
    <row r="88" spans="1:28" ht="15.6" customHeight="1" x14ac:dyDescent="0.25">
      <c r="A88" s="24" t="s">
        <v>1127</v>
      </c>
      <c r="B88" s="50">
        <v>3590</v>
      </c>
      <c r="C88" s="25" t="s">
        <v>1128</v>
      </c>
      <c r="D88" s="25" t="s">
        <v>145</v>
      </c>
      <c r="E88" s="25" t="s">
        <v>194</v>
      </c>
      <c r="F88" s="25" t="s">
        <v>113</v>
      </c>
      <c r="G88" s="26" t="s">
        <v>1129</v>
      </c>
      <c r="H88" s="27" t="s">
        <v>199</v>
      </c>
      <c r="I88" s="24" t="s">
        <v>998</v>
      </c>
      <c r="J88" s="24" t="s">
        <v>121</v>
      </c>
      <c r="K88" s="28" t="s">
        <v>108</v>
      </c>
      <c r="L88" s="29">
        <v>0.03</v>
      </c>
      <c r="M88" s="29">
        <v>1.4999999999999999E-2</v>
      </c>
      <c r="N88" s="29">
        <v>6.0000000000000001E-3</v>
      </c>
      <c r="O88" s="27" t="s">
        <v>148</v>
      </c>
      <c r="P88" s="30" t="s">
        <v>145</v>
      </c>
      <c r="Q88" s="31">
        <v>1134526750.78</v>
      </c>
      <c r="R88" s="31">
        <v>247.62</v>
      </c>
      <c r="S88" s="32">
        <v>-4.483E-3</v>
      </c>
      <c r="T88" s="32" t="s">
        <v>139</v>
      </c>
      <c r="U88" s="32">
        <v>-1.4920000000000001E-3</v>
      </c>
      <c r="V88" s="32">
        <v>1.173E-3</v>
      </c>
      <c r="W88" s="32">
        <v>4.2579999999999996E-3</v>
      </c>
      <c r="X88" s="32">
        <v>4.5880000000000001E-3</v>
      </c>
      <c r="Y88" s="32">
        <v>-2.0662E-2</v>
      </c>
      <c r="Z88" s="32">
        <v>0.10381</v>
      </c>
      <c r="AA88" s="32">
        <v>0.20344100000000001</v>
      </c>
      <c r="AB88" s="32">
        <v>0.17727200000000001</v>
      </c>
    </row>
    <row r="89" spans="1:28" ht="15.6" customHeight="1" x14ac:dyDescent="0.25">
      <c r="A89" s="24" t="s">
        <v>228</v>
      </c>
      <c r="B89" s="50">
        <v>3591</v>
      </c>
      <c r="C89" s="25" t="s">
        <v>229</v>
      </c>
      <c r="D89" s="25" t="s">
        <v>145</v>
      </c>
      <c r="E89" s="25" t="s">
        <v>194</v>
      </c>
      <c r="F89" s="25" t="s">
        <v>113</v>
      </c>
      <c r="G89" s="26" t="s">
        <v>230</v>
      </c>
      <c r="H89" s="27" t="s">
        <v>231</v>
      </c>
      <c r="I89" s="24" t="s">
        <v>106</v>
      </c>
      <c r="J89" s="24" t="s">
        <v>107</v>
      </c>
      <c r="K89" s="28" t="s">
        <v>108</v>
      </c>
      <c r="L89" s="29">
        <v>0.02</v>
      </c>
      <c r="M89" s="29">
        <v>0.02</v>
      </c>
      <c r="N89" s="29">
        <v>0.02</v>
      </c>
      <c r="O89" s="27" t="s">
        <v>148</v>
      </c>
      <c r="P89" s="30" t="s">
        <v>145</v>
      </c>
      <c r="Q89" s="31">
        <v>4356451373.2700005</v>
      </c>
      <c r="R89" s="31">
        <v>2856.56</v>
      </c>
      <c r="S89" s="32">
        <v>-4.4470000000000004E-3</v>
      </c>
      <c r="T89" s="32" t="s">
        <v>139</v>
      </c>
      <c r="U89" s="32">
        <v>-1.5590000000000001E-3</v>
      </c>
      <c r="V89" s="32">
        <v>1.722E-3</v>
      </c>
      <c r="W89" s="32">
        <v>4.9779999999999998E-3</v>
      </c>
      <c r="X89" s="32">
        <v>5.7039999999999999E-3</v>
      </c>
      <c r="Y89" s="32">
        <v>-1.3653E-2</v>
      </c>
      <c r="Z89" s="32">
        <v>5.1492999999999997E-2</v>
      </c>
      <c r="AA89" s="32">
        <v>0.134627</v>
      </c>
      <c r="AB89" s="32">
        <v>0.151504</v>
      </c>
    </row>
    <row r="90" spans="1:28" ht="15.6" customHeight="1" x14ac:dyDescent="0.25">
      <c r="A90" s="24" t="s">
        <v>232</v>
      </c>
      <c r="B90" s="50">
        <v>3592</v>
      </c>
      <c r="C90" s="25" t="s">
        <v>233</v>
      </c>
      <c r="D90" s="25" t="s">
        <v>145</v>
      </c>
      <c r="E90" s="25" t="s">
        <v>194</v>
      </c>
      <c r="F90" s="25" t="s">
        <v>128</v>
      </c>
      <c r="G90" s="26" t="s">
        <v>129</v>
      </c>
      <c r="H90" s="27" t="s">
        <v>130</v>
      </c>
      <c r="I90" s="24" t="s">
        <v>106</v>
      </c>
      <c r="J90" s="24" t="s">
        <v>107</v>
      </c>
      <c r="K90" s="28" t="s">
        <v>108</v>
      </c>
      <c r="L90" s="29">
        <v>0.01</v>
      </c>
      <c r="M90" s="29">
        <v>0.01</v>
      </c>
      <c r="N90" s="29">
        <v>0.01</v>
      </c>
      <c r="O90" s="27" t="s">
        <v>148</v>
      </c>
      <c r="P90" s="30" t="s">
        <v>145</v>
      </c>
      <c r="Q90" s="31">
        <v>152983738.00999999</v>
      </c>
      <c r="R90" s="31">
        <v>2410.33</v>
      </c>
      <c r="S90" s="32">
        <v>3.9656999999999998E-2</v>
      </c>
      <c r="T90" s="32" t="s">
        <v>139</v>
      </c>
      <c r="U90" s="32">
        <v>1.2E-5</v>
      </c>
      <c r="V90" s="32">
        <v>1.338E-3</v>
      </c>
      <c r="W90" s="32">
        <v>3.1898999999999997E-2</v>
      </c>
      <c r="X90" s="32">
        <v>3.6634E-2</v>
      </c>
      <c r="Y90" s="32">
        <v>8.2379999999999995E-2</v>
      </c>
      <c r="Z90" s="32">
        <v>9.6551999999999999E-2</v>
      </c>
      <c r="AA90" s="32">
        <v>0.11047999999999999</v>
      </c>
      <c r="AB90" s="32">
        <v>0.13635800000000001</v>
      </c>
    </row>
    <row r="91" spans="1:28" ht="15.6" customHeight="1" x14ac:dyDescent="0.25">
      <c r="A91" s="24" t="s">
        <v>234</v>
      </c>
      <c r="B91" s="50">
        <v>3593</v>
      </c>
      <c r="C91" s="25" t="s">
        <v>235</v>
      </c>
      <c r="D91" s="25" t="s">
        <v>145</v>
      </c>
      <c r="E91" s="25" t="s">
        <v>194</v>
      </c>
      <c r="F91" s="25" t="s">
        <v>113</v>
      </c>
      <c r="G91" s="26" t="s">
        <v>198</v>
      </c>
      <c r="H91" s="27" t="s">
        <v>120</v>
      </c>
      <c r="I91" s="24" t="s">
        <v>106</v>
      </c>
      <c r="J91" s="24" t="s">
        <v>107</v>
      </c>
      <c r="K91" s="28" t="s">
        <v>108</v>
      </c>
      <c r="L91" s="29">
        <v>0.02</v>
      </c>
      <c r="M91" s="29">
        <v>0.02</v>
      </c>
      <c r="N91" s="29">
        <v>0.02</v>
      </c>
      <c r="O91" s="27" t="s">
        <v>148</v>
      </c>
      <c r="P91" s="30" t="s">
        <v>145</v>
      </c>
      <c r="Q91" s="31">
        <v>1299581605.54</v>
      </c>
      <c r="R91" s="31">
        <v>2644.01</v>
      </c>
      <c r="S91" s="32">
        <v>2.6899999999999998E-4</v>
      </c>
      <c r="T91" s="32" t="s">
        <v>139</v>
      </c>
      <c r="U91" s="32">
        <v>-1.4430000000000001E-3</v>
      </c>
      <c r="V91" s="32">
        <v>1.0369999999999999E-3</v>
      </c>
      <c r="W91" s="32">
        <v>7.319E-3</v>
      </c>
      <c r="X91" s="32">
        <v>1.0116E-2</v>
      </c>
      <c r="Y91" s="32">
        <v>-5.8019999999999999E-3</v>
      </c>
      <c r="Z91" s="32">
        <v>6.3184000000000004E-2</v>
      </c>
      <c r="AA91" s="32">
        <v>0.14723</v>
      </c>
      <c r="AB91" s="32">
        <v>0.13199900000000001</v>
      </c>
    </row>
    <row r="92" spans="1:28" ht="15.6" customHeight="1" x14ac:dyDescent="0.25">
      <c r="A92" s="24" t="s">
        <v>236</v>
      </c>
      <c r="B92" s="50">
        <v>3594</v>
      </c>
      <c r="C92" s="25" t="s">
        <v>237</v>
      </c>
      <c r="D92" s="25" t="s">
        <v>145</v>
      </c>
      <c r="E92" s="25" t="s">
        <v>194</v>
      </c>
      <c r="F92" s="25" t="s">
        <v>113</v>
      </c>
      <c r="G92" s="26" t="s">
        <v>238</v>
      </c>
      <c r="H92" s="27" t="s">
        <v>115</v>
      </c>
      <c r="I92" s="24" t="s">
        <v>106</v>
      </c>
      <c r="J92" s="24" t="s">
        <v>107</v>
      </c>
      <c r="K92" s="28" t="s">
        <v>108</v>
      </c>
      <c r="L92" s="29">
        <v>0.02</v>
      </c>
      <c r="M92" s="29">
        <v>0.02</v>
      </c>
      <c r="N92" s="29">
        <v>0.02</v>
      </c>
      <c r="O92" s="27" t="s">
        <v>148</v>
      </c>
      <c r="P92" s="30" t="s">
        <v>145</v>
      </c>
      <c r="Q92" s="31">
        <v>1108314153.4400001</v>
      </c>
      <c r="R92" s="31">
        <v>30103.32</v>
      </c>
      <c r="S92" s="32">
        <v>-1.0640000000000001E-3</v>
      </c>
      <c r="T92" s="32" t="s">
        <v>139</v>
      </c>
      <c r="U92" s="32">
        <v>-1.029E-3</v>
      </c>
      <c r="V92" s="32">
        <v>1.7149999999999999E-3</v>
      </c>
      <c r="W92" s="32">
        <v>4.3750000000000004E-3</v>
      </c>
      <c r="X92" s="32">
        <v>4.6369999999999996E-3</v>
      </c>
      <c r="Y92" s="32">
        <v>-1.9239999999999999E-3</v>
      </c>
      <c r="Z92" s="32">
        <v>7.9188999999999996E-2</v>
      </c>
      <c r="AA92" s="32">
        <v>0.180898</v>
      </c>
      <c r="AB92" s="32">
        <v>0.111259</v>
      </c>
    </row>
    <row r="93" spans="1:28" ht="15.6" customHeight="1" x14ac:dyDescent="0.25">
      <c r="A93" s="24" t="s">
        <v>1130</v>
      </c>
      <c r="B93" s="50">
        <v>3595</v>
      </c>
      <c r="C93" s="25" t="s">
        <v>1131</v>
      </c>
      <c r="D93" s="25" t="s">
        <v>145</v>
      </c>
      <c r="E93" s="25" t="s">
        <v>194</v>
      </c>
      <c r="F93" s="25" t="s">
        <v>155</v>
      </c>
      <c r="G93" s="26" t="s">
        <v>139</v>
      </c>
      <c r="H93" s="27" t="s">
        <v>588</v>
      </c>
      <c r="I93" s="24" t="s">
        <v>998</v>
      </c>
      <c r="J93" s="24" t="s">
        <v>107</v>
      </c>
      <c r="K93" s="28" t="s">
        <v>227</v>
      </c>
      <c r="L93" s="29">
        <v>0.02</v>
      </c>
      <c r="M93" s="29">
        <v>0.02</v>
      </c>
      <c r="N93" s="29">
        <v>0.02</v>
      </c>
      <c r="O93" s="27" t="s">
        <v>148</v>
      </c>
      <c r="P93" s="30" t="s">
        <v>145</v>
      </c>
      <c r="Q93" s="31">
        <v>1373823521.01</v>
      </c>
      <c r="R93" s="31">
        <v>4671.97</v>
      </c>
      <c r="S93" s="32">
        <v>1.5226999999999999E-2</v>
      </c>
      <c r="T93" s="32" t="s">
        <v>139</v>
      </c>
      <c r="U93" s="32">
        <v>-6.3930000000000002E-3</v>
      </c>
      <c r="V93" s="32">
        <v>-2.3110000000000001E-3</v>
      </c>
      <c r="W93" s="32">
        <v>4.1846000000000001E-2</v>
      </c>
      <c r="X93" s="32">
        <v>0.12512300000000001</v>
      </c>
      <c r="Y93" s="32">
        <v>-9.0496999999999994E-2</v>
      </c>
      <c r="Z93" s="32">
        <v>0.392397</v>
      </c>
      <c r="AA93" s="32">
        <v>0.62489899999999998</v>
      </c>
      <c r="AB93" s="32">
        <v>0.492062</v>
      </c>
    </row>
    <row r="94" spans="1:28" ht="15.6" customHeight="1" x14ac:dyDescent="0.25">
      <c r="A94" s="24" t="s">
        <v>239</v>
      </c>
      <c r="B94" s="50">
        <v>3597</v>
      </c>
      <c r="C94" s="25" t="s">
        <v>240</v>
      </c>
      <c r="D94" s="25" t="s">
        <v>241</v>
      </c>
      <c r="E94" s="25" t="s">
        <v>194</v>
      </c>
      <c r="F94" s="25" t="s">
        <v>103</v>
      </c>
      <c r="G94" s="26" t="s">
        <v>104</v>
      </c>
      <c r="H94" s="27" t="s">
        <v>130</v>
      </c>
      <c r="I94" s="24" t="s">
        <v>106</v>
      </c>
      <c r="J94" s="24" t="s">
        <v>107</v>
      </c>
      <c r="K94" s="28" t="s">
        <v>108</v>
      </c>
      <c r="L94" s="29">
        <v>0</v>
      </c>
      <c r="M94" s="29">
        <v>0</v>
      </c>
      <c r="N94" s="29">
        <v>6.5000000000000006E-3</v>
      </c>
      <c r="O94" s="27" t="s">
        <v>148</v>
      </c>
      <c r="P94" s="30" t="s">
        <v>241</v>
      </c>
      <c r="Q94" s="31">
        <v>569706556.79999995</v>
      </c>
      <c r="R94" s="31">
        <v>2122.9899999999998</v>
      </c>
      <c r="S94" s="32">
        <v>2.6183999999999999E-2</v>
      </c>
      <c r="T94" s="32" t="s">
        <v>139</v>
      </c>
      <c r="U94" s="32">
        <v>1.37E-4</v>
      </c>
      <c r="V94" s="32">
        <v>1.5380000000000001E-3</v>
      </c>
      <c r="W94" s="32">
        <v>1.7229999999999999E-2</v>
      </c>
      <c r="X94" s="32">
        <v>2.2329999999999999E-2</v>
      </c>
      <c r="Y94" s="32">
        <v>3.8623999999999999E-2</v>
      </c>
      <c r="Z94" s="32">
        <v>6.3713000000000006E-2</v>
      </c>
      <c r="AA94" s="32">
        <v>9.5645999999999995E-2</v>
      </c>
      <c r="AB94" s="32">
        <v>0.13239400000000001</v>
      </c>
    </row>
    <row r="95" spans="1:28" ht="15.6" customHeight="1" x14ac:dyDescent="0.25">
      <c r="A95" s="24" t="s">
        <v>1132</v>
      </c>
      <c r="B95" s="50">
        <v>3599</v>
      </c>
      <c r="C95" s="25" t="s">
        <v>1133</v>
      </c>
      <c r="D95" s="25" t="s">
        <v>241</v>
      </c>
      <c r="E95" s="25" t="s">
        <v>194</v>
      </c>
      <c r="F95" s="25" t="s">
        <v>113</v>
      </c>
      <c r="G95" s="26" t="s">
        <v>1134</v>
      </c>
      <c r="H95" s="27" t="s">
        <v>115</v>
      </c>
      <c r="I95" s="24" t="s">
        <v>998</v>
      </c>
      <c r="J95" s="24" t="s">
        <v>107</v>
      </c>
      <c r="K95" s="28" t="s">
        <v>108</v>
      </c>
      <c r="L95" s="29">
        <v>0.03</v>
      </c>
      <c r="M95" s="29">
        <v>1.4999999999999999E-2</v>
      </c>
      <c r="N95" s="29">
        <v>1.2999999999999999E-2</v>
      </c>
      <c r="O95" s="27" t="s">
        <v>166</v>
      </c>
      <c r="P95" s="30" t="s">
        <v>241</v>
      </c>
      <c r="Q95" s="31">
        <v>1157869831.4300001</v>
      </c>
      <c r="R95" s="31">
        <v>1911.58</v>
      </c>
      <c r="S95" s="32">
        <v>1.1723000000000001E-2</v>
      </c>
      <c r="T95" s="32" t="s">
        <v>139</v>
      </c>
      <c r="U95" s="32">
        <v>-9.2500000000000004E-4</v>
      </c>
      <c r="V95" s="32">
        <v>1.603E-3</v>
      </c>
      <c r="W95" s="32">
        <v>1.0295E-2</v>
      </c>
      <c r="X95" s="32">
        <v>1.6787E-2</v>
      </c>
      <c r="Y95" s="32">
        <v>1.1797999999999999E-2</v>
      </c>
      <c r="Z95" s="32">
        <v>7.0248000000000005E-2</v>
      </c>
      <c r="AA95" s="32">
        <v>0.13208400000000001</v>
      </c>
      <c r="AB95" s="32">
        <v>4.8820000000000002E-2</v>
      </c>
    </row>
    <row r="96" spans="1:28" ht="15.6" customHeight="1" x14ac:dyDescent="0.25">
      <c r="A96" s="24" t="s">
        <v>242</v>
      </c>
      <c r="B96" s="50">
        <v>3600</v>
      </c>
      <c r="C96" s="25" t="s">
        <v>243</v>
      </c>
      <c r="D96" s="25" t="s">
        <v>159</v>
      </c>
      <c r="E96" s="25" t="s">
        <v>194</v>
      </c>
      <c r="F96" s="25" t="s">
        <v>103</v>
      </c>
      <c r="G96" s="26" t="s">
        <v>244</v>
      </c>
      <c r="H96" s="27" t="s">
        <v>245</v>
      </c>
      <c r="I96" s="24" t="s">
        <v>106</v>
      </c>
      <c r="J96" s="24" t="s">
        <v>107</v>
      </c>
      <c r="K96" s="28" t="s">
        <v>108</v>
      </c>
      <c r="L96" s="29">
        <v>0</v>
      </c>
      <c r="M96" s="29">
        <v>0</v>
      </c>
      <c r="N96" s="29">
        <v>0.02</v>
      </c>
      <c r="O96" s="27" t="s">
        <v>161</v>
      </c>
      <c r="P96" s="30" t="s">
        <v>159</v>
      </c>
      <c r="Q96" s="31">
        <v>482422198.19</v>
      </c>
      <c r="R96" s="31">
        <v>19597.12</v>
      </c>
      <c r="S96" s="32">
        <v>1.4078E-2</v>
      </c>
      <c r="T96" s="32" t="s">
        <v>139</v>
      </c>
      <c r="U96" s="32">
        <v>2.13E-4</v>
      </c>
      <c r="V96" s="32">
        <v>1.451E-3</v>
      </c>
      <c r="W96" s="32">
        <v>4.9610000000000001E-3</v>
      </c>
      <c r="X96" s="32">
        <v>1.0170999999999999E-2</v>
      </c>
      <c r="Y96" s="32">
        <v>1.9925999999999999E-2</v>
      </c>
      <c r="Z96" s="32">
        <v>4.5448000000000002E-2</v>
      </c>
      <c r="AA96" s="32">
        <v>7.5285000000000005E-2</v>
      </c>
      <c r="AB96" s="32">
        <v>0.11745700000000001</v>
      </c>
    </row>
    <row r="97" spans="1:28" ht="15.6" customHeight="1" x14ac:dyDescent="0.25">
      <c r="A97" s="24" t="s">
        <v>246</v>
      </c>
      <c r="B97" s="50">
        <v>3601</v>
      </c>
      <c r="C97" s="25" t="s">
        <v>247</v>
      </c>
      <c r="D97" s="25" t="s">
        <v>159</v>
      </c>
      <c r="E97" s="25" t="s">
        <v>194</v>
      </c>
      <c r="F97" s="25" t="s">
        <v>103</v>
      </c>
      <c r="G97" s="26" t="s">
        <v>244</v>
      </c>
      <c r="H97" s="27" t="s">
        <v>188</v>
      </c>
      <c r="I97" s="24" t="s">
        <v>106</v>
      </c>
      <c r="J97" s="24" t="s">
        <v>121</v>
      </c>
      <c r="K97" s="28" t="s">
        <v>108</v>
      </c>
      <c r="L97" s="29">
        <v>0</v>
      </c>
      <c r="M97" s="29">
        <v>0</v>
      </c>
      <c r="N97" s="29">
        <v>0.02</v>
      </c>
      <c r="O97" s="27" t="s">
        <v>161</v>
      </c>
      <c r="P97" s="30" t="s">
        <v>159</v>
      </c>
      <c r="Q97" s="31">
        <v>3500194017.3899999</v>
      </c>
      <c r="R97" s="31">
        <v>23546.23</v>
      </c>
      <c r="S97" s="32">
        <v>1.5055000000000001E-2</v>
      </c>
      <c r="T97" s="32" t="s">
        <v>139</v>
      </c>
      <c r="U97" s="32">
        <v>2.9E-4</v>
      </c>
      <c r="V97" s="32">
        <v>1.655E-3</v>
      </c>
      <c r="W97" s="32">
        <v>5.372E-3</v>
      </c>
      <c r="X97" s="32">
        <v>1.1202E-2</v>
      </c>
      <c r="Y97" s="32">
        <v>2.1363E-2</v>
      </c>
      <c r="Z97" s="32">
        <v>4.7990999999999999E-2</v>
      </c>
      <c r="AA97" s="32">
        <v>8.0696000000000004E-2</v>
      </c>
      <c r="AB97" s="32">
        <v>0.119355</v>
      </c>
    </row>
    <row r="98" spans="1:28" ht="15.6" customHeight="1" x14ac:dyDescent="0.25">
      <c r="A98" s="24" t="s">
        <v>1135</v>
      </c>
      <c r="B98" s="50">
        <v>3602</v>
      </c>
      <c r="C98" s="25" t="s">
        <v>1136</v>
      </c>
      <c r="D98" s="25" t="s">
        <v>164</v>
      </c>
      <c r="E98" s="25" t="s">
        <v>102</v>
      </c>
      <c r="F98" s="25" t="s">
        <v>138</v>
      </c>
      <c r="G98" s="26" t="s">
        <v>139</v>
      </c>
      <c r="H98" s="27" t="s">
        <v>1033</v>
      </c>
      <c r="I98" s="24" t="s">
        <v>998</v>
      </c>
      <c r="J98" s="24" t="s">
        <v>107</v>
      </c>
      <c r="K98" s="28" t="s">
        <v>108</v>
      </c>
      <c r="L98" s="29">
        <v>0.03</v>
      </c>
      <c r="M98" s="29">
        <v>1.4999999999999999E-2</v>
      </c>
      <c r="N98" s="29">
        <v>0.02</v>
      </c>
      <c r="O98" s="27" t="s">
        <v>166</v>
      </c>
      <c r="P98" s="30" t="s">
        <v>164</v>
      </c>
      <c r="Q98" s="31">
        <v>208078995.28</v>
      </c>
      <c r="R98" s="31">
        <v>5696.42</v>
      </c>
      <c r="S98" s="32">
        <v>4.5457999999999998E-2</v>
      </c>
      <c r="T98" s="32" t="s">
        <v>139</v>
      </c>
      <c r="U98" s="32">
        <v>-4.6369999999999996E-3</v>
      </c>
      <c r="V98" s="32">
        <v>3.2439999999999999E-3</v>
      </c>
      <c r="W98" s="32">
        <v>2.7011E-2</v>
      </c>
      <c r="X98" s="32">
        <v>9.0648000000000006E-2</v>
      </c>
      <c r="Y98" s="32">
        <v>-1.5414000000000001E-2</v>
      </c>
      <c r="Z98" s="32">
        <v>0.249004</v>
      </c>
      <c r="AA98" s="32">
        <v>0.433058</v>
      </c>
      <c r="AB98" s="32">
        <v>0.36226799999999998</v>
      </c>
    </row>
    <row r="99" spans="1:28" ht="15.6" customHeight="1" x14ac:dyDescent="0.25">
      <c r="A99" s="24" t="s">
        <v>248</v>
      </c>
      <c r="B99" s="50">
        <v>3604</v>
      </c>
      <c r="C99" s="25" t="s">
        <v>249</v>
      </c>
      <c r="D99" s="25" t="s">
        <v>164</v>
      </c>
      <c r="E99" s="25" t="s">
        <v>194</v>
      </c>
      <c r="F99" s="25" t="s">
        <v>128</v>
      </c>
      <c r="G99" s="26" t="s">
        <v>250</v>
      </c>
      <c r="H99" s="27" t="s">
        <v>130</v>
      </c>
      <c r="I99" s="24" t="s">
        <v>106</v>
      </c>
      <c r="J99" s="24" t="s">
        <v>107</v>
      </c>
      <c r="K99" s="28" t="s">
        <v>108</v>
      </c>
      <c r="L99" s="29">
        <v>0</v>
      </c>
      <c r="M99" s="29">
        <v>0</v>
      </c>
      <c r="N99" s="29">
        <v>0.02</v>
      </c>
      <c r="O99" s="27" t="s">
        <v>166</v>
      </c>
      <c r="P99" s="30" t="s">
        <v>164</v>
      </c>
      <c r="Q99" s="31">
        <v>960883292.16999996</v>
      </c>
      <c r="R99" s="31">
        <v>232.03</v>
      </c>
      <c r="S99" s="32">
        <v>1.6160000000000001E-2</v>
      </c>
      <c r="T99" s="32" t="s">
        <v>139</v>
      </c>
      <c r="U99" s="32">
        <v>8.6000000000000003E-5</v>
      </c>
      <c r="V99" s="32">
        <v>1.727E-3</v>
      </c>
      <c r="W99" s="32">
        <v>6.2449999999999997E-3</v>
      </c>
      <c r="X99" s="32">
        <v>1.2390999999999999E-2</v>
      </c>
      <c r="Y99" s="32">
        <v>2.1843000000000001E-2</v>
      </c>
      <c r="Z99" s="32">
        <v>4.9481999999999998E-2</v>
      </c>
      <c r="AA99" s="32">
        <v>8.3999000000000004E-2</v>
      </c>
      <c r="AB99" s="32">
        <v>0.118217</v>
      </c>
    </row>
    <row r="100" spans="1:28" ht="15.6" customHeight="1" x14ac:dyDescent="0.25">
      <c r="A100" s="24" t="s">
        <v>1137</v>
      </c>
      <c r="B100" s="50">
        <v>3605</v>
      </c>
      <c r="C100" s="25" t="s">
        <v>1138</v>
      </c>
      <c r="D100" s="25" t="s">
        <v>164</v>
      </c>
      <c r="E100" s="25" t="s">
        <v>194</v>
      </c>
      <c r="F100" s="25" t="s">
        <v>113</v>
      </c>
      <c r="G100" s="26" t="s">
        <v>1025</v>
      </c>
      <c r="H100" s="27" t="s">
        <v>732</v>
      </c>
      <c r="I100" s="24" t="s">
        <v>998</v>
      </c>
      <c r="J100" s="24" t="s">
        <v>121</v>
      </c>
      <c r="K100" s="28" t="s">
        <v>180</v>
      </c>
      <c r="L100" s="29">
        <v>0.03</v>
      </c>
      <c r="M100" s="29">
        <v>1.4999999999999999E-2</v>
      </c>
      <c r="N100" s="29">
        <v>0.02</v>
      </c>
      <c r="O100" s="27" t="s">
        <v>166</v>
      </c>
      <c r="P100" s="30" t="s">
        <v>164</v>
      </c>
      <c r="Q100" s="31">
        <v>418122581.98000002</v>
      </c>
      <c r="R100" s="31">
        <v>24640.38</v>
      </c>
      <c r="S100" s="32">
        <v>-1.511E-3</v>
      </c>
      <c r="T100" s="32" t="s">
        <v>139</v>
      </c>
      <c r="U100" s="32">
        <v>-1.3619999999999999E-3</v>
      </c>
      <c r="V100" s="32">
        <v>2.3540000000000002E-3</v>
      </c>
      <c r="W100" s="32">
        <v>4.4920000000000003E-3</v>
      </c>
      <c r="X100" s="32">
        <v>4.8760000000000001E-3</v>
      </c>
      <c r="Y100" s="32">
        <v>-8.3999999999999995E-3</v>
      </c>
      <c r="Z100" s="32">
        <v>9.2908000000000004E-2</v>
      </c>
      <c r="AA100" s="32">
        <v>0.24083099999999999</v>
      </c>
      <c r="AB100" s="32">
        <v>9.1786999999999994E-2</v>
      </c>
    </row>
    <row r="101" spans="1:28" ht="15.6" customHeight="1" x14ac:dyDescent="0.25">
      <c r="A101" s="24" t="s">
        <v>251</v>
      </c>
      <c r="B101" s="50">
        <v>3606</v>
      </c>
      <c r="C101" s="25" t="s">
        <v>252</v>
      </c>
      <c r="D101" s="25" t="s">
        <v>164</v>
      </c>
      <c r="E101" s="25" t="s">
        <v>194</v>
      </c>
      <c r="F101" s="25" t="s">
        <v>155</v>
      </c>
      <c r="G101" s="26" t="s">
        <v>139</v>
      </c>
      <c r="H101" s="27" t="s">
        <v>156</v>
      </c>
      <c r="I101" s="24" t="s">
        <v>106</v>
      </c>
      <c r="J101" s="24" t="s">
        <v>107</v>
      </c>
      <c r="K101" s="28" t="s">
        <v>108</v>
      </c>
      <c r="L101" s="29">
        <v>0.03</v>
      </c>
      <c r="M101" s="29">
        <v>1.4999999999999999E-2</v>
      </c>
      <c r="N101" s="29">
        <v>0.02</v>
      </c>
      <c r="O101" s="27" t="s">
        <v>166</v>
      </c>
      <c r="P101" s="30" t="s">
        <v>164</v>
      </c>
      <c r="Q101" s="31">
        <v>887147571.51999998</v>
      </c>
      <c r="R101" s="31">
        <v>961.67</v>
      </c>
      <c r="S101" s="32">
        <v>5.407E-2</v>
      </c>
      <c r="T101" s="32" t="s">
        <v>139</v>
      </c>
      <c r="U101" s="32">
        <v>-4.7089999999999996E-3</v>
      </c>
      <c r="V101" s="32">
        <v>-6.0300000000000002E-4</v>
      </c>
      <c r="W101" s="32">
        <v>3.5579E-2</v>
      </c>
      <c r="X101" s="32">
        <v>0.13719600000000001</v>
      </c>
      <c r="Y101" s="32">
        <v>-4.5726000000000003E-2</v>
      </c>
      <c r="Z101" s="32">
        <v>0.36252499999999999</v>
      </c>
      <c r="AA101" s="32">
        <v>0.56534499999999999</v>
      </c>
      <c r="AB101" s="32">
        <v>0.44295200000000001</v>
      </c>
    </row>
    <row r="102" spans="1:28" ht="15.6" customHeight="1" x14ac:dyDescent="0.25">
      <c r="A102" s="24" t="s">
        <v>1139</v>
      </c>
      <c r="B102" s="50">
        <v>3608</v>
      </c>
      <c r="C102" s="25" t="s">
        <v>1140</v>
      </c>
      <c r="D102" s="25" t="s">
        <v>164</v>
      </c>
      <c r="E102" s="25" t="s">
        <v>194</v>
      </c>
      <c r="F102" s="25" t="s">
        <v>155</v>
      </c>
      <c r="G102" s="26" t="s">
        <v>139</v>
      </c>
      <c r="H102" s="27" t="s">
        <v>156</v>
      </c>
      <c r="I102" s="24" t="s">
        <v>998</v>
      </c>
      <c r="J102" s="24" t="s">
        <v>121</v>
      </c>
      <c r="K102" s="28" t="s">
        <v>108</v>
      </c>
      <c r="L102" s="29">
        <v>1.4999999999999999E-2</v>
      </c>
      <c r="M102" s="29">
        <v>0.02</v>
      </c>
      <c r="N102" s="29">
        <v>0.03</v>
      </c>
      <c r="O102" s="27" t="s">
        <v>166</v>
      </c>
      <c r="P102" s="30" t="s">
        <v>164</v>
      </c>
      <c r="Q102" s="31">
        <v>76835853.390000001</v>
      </c>
      <c r="R102" s="31">
        <v>3516.19</v>
      </c>
      <c r="S102" s="32">
        <v>9.1479000000000005E-2</v>
      </c>
      <c r="T102" s="32" t="s">
        <v>139</v>
      </c>
      <c r="U102" s="32">
        <v>-3.4550000000000002E-3</v>
      </c>
      <c r="V102" s="32">
        <v>7.1699999999999997E-4</v>
      </c>
      <c r="W102" s="32">
        <v>4.6787000000000002E-2</v>
      </c>
      <c r="X102" s="32">
        <v>0.15592300000000001</v>
      </c>
      <c r="Y102" s="32">
        <v>-1.9419999999999999E-3</v>
      </c>
      <c r="Z102" s="32">
        <v>0.45785700000000001</v>
      </c>
      <c r="AA102" s="32">
        <v>0.76269600000000004</v>
      </c>
      <c r="AB102" s="32">
        <v>0.71451200000000004</v>
      </c>
    </row>
    <row r="103" spans="1:28" ht="15.6" customHeight="1" x14ac:dyDescent="0.25">
      <c r="A103" s="24" t="s">
        <v>1141</v>
      </c>
      <c r="B103" s="50">
        <v>3609</v>
      </c>
      <c r="C103" s="25" t="s">
        <v>1142</v>
      </c>
      <c r="D103" s="25" t="s">
        <v>164</v>
      </c>
      <c r="E103" s="25" t="s">
        <v>194</v>
      </c>
      <c r="F103" s="25" t="s">
        <v>138</v>
      </c>
      <c r="G103" s="26" t="s">
        <v>139</v>
      </c>
      <c r="H103" s="27" t="s">
        <v>1143</v>
      </c>
      <c r="I103" s="24" t="s">
        <v>998</v>
      </c>
      <c r="J103" s="24" t="s">
        <v>107</v>
      </c>
      <c r="K103" s="28" t="s">
        <v>108</v>
      </c>
      <c r="L103" s="29">
        <v>0.03</v>
      </c>
      <c r="M103" s="29">
        <v>1.4999999999999999E-2</v>
      </c>
      <c r="N103" s="29">
        <v>0.02</v>
      </c>
      <c r="O103" s="27" t="s">
        <v>166</v>
      </c>
      <c r="P103" s="30" t="s">
        <v>164</v>
      </c>
      <c r="Q103" s="31">
        <v>168513654.34999999</v>
      </c>
      <c r="R103" s="31">
        <v>8482.09</v>
      </c>
      <c r="S103" s="32">
        <v>9.6948999999999994E-2</v>
      </c>
      <c r="T103" s="32" t="s">
        <v>139</v>
      </c>
      <c r="U103" s="32">
        <v>-4.4889999999999999E-3</v>
      </c>
      <c r="V103" s="32">
        <v>4.5909999999999996E-3</v>
      </c>
      <c r="W103" s="32">
        <v>3.6444999999999998E-2</v>
      </c>
      <c r="X103" s="32">
        <v>0.13366900000000001</v>
      </c>
      <c r="Y103" s="32">
        <v>4.4130999999999997E-2</v>
      </c>
      <c r="Z103" s="32">
        <v>0.38735900000000001</v>
      </c>
      <c r="AA103" s="32">
        <v>0.614425</v>
      </c>
      <c r="AB103" s="32">
        <v>0.58678699999999995</v>
      </c>
    </row>
    <row r="104" spans="1:28" ht="15.6" customHeight="1" x14ac:dyDescent="0.25">
      <c r="A104" s="24" t="s">
        <v>253</v>
      </c>
      <c r="B104" s="50">
        <v>3614</v>
      </c>
      <c r="C104" s="25" t="s">
        <v>254</v>
      </c>
      <c r="D104" s="25" t="s">
        <v>164</v>
      </c>
      <c r="E104" s="25" t="s">
        <v>194</v>
      </c>
      <c r="F104" s="25" t="s">
        <v>103</v>
      </c>
      <c r="G104" s="26" t="s">
        <v>104</v>
      </c>
      <c r="H104" s="27" t="s">
        <v>169</v>
      </c>
      <c r="I104" s="24" t="s">
        <v>106</v>
      </c>
      <c r="J104" s="24" t="s">
        <v>107</v>
      </c>
      <c r="K104" s="28" t="s">
        <v>108</v>
      </c>
      <c r="L104" s="29">
        <v>0</v>
      </c>
      <c r="M104" s="29">
        <v>0</v>
      </c>
      <c r="N104" s="29">
        <v>0.01</v>
      </c>
      <c r="O104" s="27" t="s">
        <v>173</v>
      </c>
      <c r="P104" s="30" t="s">
        <v>164</v>
      </c>
      <c r="Q104" s="31">
        <v>101372559.67</v>
      </c>
      <c r="R104" s="31">
        <v>2045.57</v>
      </c>
      <c r="S104" s="32">
        <v>1.1877E-2</v>
      </c>
      <c r="T104" s="32" t="s">
        <v>139</v>
      </c>
      <c r="U104" s="32">
        <v>2.4899999999999998E-4</v>
      </c>
      <c r="V104" s="32">
        <v>1.312E-3</v>
      </c>
      <c r="W104" s="32">
        <v>4.143E-3</v>
      </c>
      <c r="X104" s="32">
        <v>8.4349999999999998E-3</v>
      </c>
      <c r="Y104" s="32">
        <v>1.7073999999999999E-2</v>
      </c>
      <c r="Z104" s="32">
        <v>3.7281000000000002E-2</v>
      </c>
      <c r="AA104" s="32">
        <v>6.2660999999999994E-2</v>
      </c>
      <c r="AB104" s="32">
        <v>9.5926999999999998E-2</v>
      </c>
    </row>
    <row r="105" spans="1:28" ht="15.6" customHeight="1" x14ac:dyDescent="0.25">
      <c r="A105" s="24" t="s">
        <v>255</v>
      </c>
      <c r="B105" s="50">
        <v>3615</v>
      </c>
      <c r="C105" s="25" t="s">
        <v>256</v>
      </c>
      <c r="D105" s="25" t="s">
        <v>164</v>
      </c>
      <c r="E105" s="25" t="s">
        <v>194</v>
      </c>
      <c r="F105" s="25" t="s">
        <v>128</v>
      </c>
      <c r="G105" s="26" t="s">
        <v>257</v>
      </c>
      <c r="H105" s="27" t="s">
        <v>258</v>
      </c>
      <c r="I105" s="24" t="s">
        <v>106</v>
      </c>
      <c r="J105" s="24" t="s">
        <v>107</v>
      </c>
      <c r="K105" s="28" t="s">
        <v>108</v>
      </c>
      <c r="L105" s="29">
        <v>0.03</v>
      </c>
      <c r="M105" s="29">
        <v>1.4999999999999999E-2</v>
      </c>
      <c r="N105" s="29">
        <v>0.02</v>
      </c>
      <c r="O105" s="27" t="s">
        <v>173</v>
      </c>
      <c r="P105" s="30" t="s">
        <v>164</v>
      </c>
      <c r="Q105" s="31">
        <v>498319721.66000003</v>
      </c>
      <c r="R105" s="31">
        <v>40222.76</v>
      </c>
      <c r="S105" s="32">
        <v>1.4194999999999999E-2</v>
      </c>
      <c r="T105" s="32" t="s">
        <v>139</v>
      </c>
      <c r="U105" s="32">
        <v>-1.8100000000000001E-4</v>
      </c>
      <c r="V105" s="32">
        <v>1.4400000000000001E-3</v>
      </c>
      <c r="W105" s="32">
        <v>5.2750000000000002E-3</v>
      </c>
      <c r="X105" s="32">
        <v>1.1305000000000001E-2</v>
      </c>
      <c r="Y105" s="32">
        <v>1.8970000000000001E-2</v>
      </c>
      <c r="Z105" s="32">
        <v>4.5067999999999997E-2</v>
      </c>
      <c r="AA105" s="32">
        <v>7.8311000000000006E-2</v>
      </c>
      <c r="AB105" s="32">
        <v>0.103613</v>
      </c>
    </row>
    <row r="106" spans="1:28" ht="15.6" customHeight="1" x14ac:dyDescent="0.25">
      <c r="A106" s="24" t="s">
        <v>1144</v>
      </c>
      <c r="B106" s="50">
        <v>3618</v>
      </c>
      <c r="C106" s="25" t="s">
        <v>1145</v>
      </c>
      <c r="D106" s="25" t="s">
        <v>261</v>
      </c>
      <c r="E106" s="25" t="s">
        <v>194</v>
      </c>
      <c r="F106" s="25" t="s">
        <v>128</v>
      </c>
      <c r="G106" s="26" t="s">
        <v>289</v>
      </c>
      <c r="H106" s="27" t="s">
        <v>130</v>
      </c>
      <c r="I106" s="24" t="s">
        <v>998</v>
      </c>
      <c r="J106" s="24" t="s">
        <v>107</v>
      </c>
      <c r="K106" s="28" t="s">
        <v>108</v>
      </c>
      <c r="L106" s="29">
        <v>0.03</v>
      </c>
      <c r="M106" s="29">
        <v>1.4999999999999999E-2</v>
      </c>
      <c r="N106" s="29">
        <v>0.01</v>
      </c>
      <c r="O106" s="27" t="s">
        <v>262</v>
      </c>
      <c r="P106" s="30" t="s">
        <v>261</v>
      </c>
      <c r="Q106" s="31">
        <v>5528753.9800000004</v>
      </c>
      <c r="R106" s="31">
        <v>246</v>
      </c>
      <c r="S106" s="32">
        <v>6.1855E-2</v>
      </c>
      <c r="T106" s="32" t="s">
        <v>139</v>
      </c>
      <c r="U106" s="32">
        <v>-8.1000000000000004E-5</v>
      </c>
      <c r="V106" s="32">
        <v>1.6689999999999999E-3</v>
      </c>
      <c r="W106" s="32">
        <v>5.888E-3</v>
      </c>
      <c r="X106" s="32">
        <v>5.7837E-2</v>
      </c>
      <c r="Y106" s="32">
        <v>6.8218000000000001E-2</v>
      </c>
      <c r="Z106" s="32">
        <v>9.9441000000000002E-2</v>
      </c>
      <c r="AA106" s="32">
        <v>0.13746700000000001</v>
      </c>
      <c r="AB106" s="32">
        <v>0.185142</v>
      </c>
    </row>
    <row r="107" spans="1:28" ht="15.6" customHeight="1" x14ac:dyDescent="0.25">
      <c r="A107" s="24" t="s">
        <v>259</v>
      </c>
      <c r="B107" s="50">
        <v>3619</v>
      </c>
      <c r="C107" s="25" t="s">
        <v>260</v>
      </c>
      <c r="D107" s="25" t="s">
        <v>261</v>
      </c>
      <c r="E107" s="25" t="s">
        <v>194</v>
      </c>
      <c r="F107" s="25" t="s">
        <v>103</v>
      </c>
      <c r="G107" s="26" t="s">
        <v>216</v>
      </c>
      <c r="H107" s="27" t="s">
        <v>217</v>
      </c>
      <c r="I107" s="24" t="s">
        <v>106</v>
      </c>
      <c r="J107" s="24" t="s">
        <v>107</v>
      </c>
      <c r="K107" s="28" t="s">
        <v>108</v>
      </c>
      <c r="L107" s="29">
        <v>0</v>
      </c>
      <c r="M107" s="29">
        <v>0</v>
      </c>
      <c r="N107" s="29">
        <v>6.5000000000000006E-3</v>
      </c>
      <c r="O107" s="27" t="s">
        <v>262</v>
      </c>
      <c r="P107" s="30" t="s">
        <v>261</v>
      </c>
      <c r="Q107" s="31">
        <v>2131867355.5699999</v>
      </c>
      <c r="R107" s="31">
        <v>1949.71</v>
      </c>
      <c r="S107" s="32">
        <v>1.8933999999999999E-2</v>
      </c>
      <c r="T107" s="32" t="s">
        <v>139</v>
      </c>
      <c r="U107" s="32">
        <v>1.3300000000000001E-4</v>
      </c>
      <c r="V107" s="32">
        <v>1.593E-3</v>
      </c>
      <c r="W107" s="32">
        <v>6.4679999999999998E-3</v>
      </c>
      <c r="X107" s="32">
        <v>1.4043E-2</v>
      </c>
      <c r="Y107" s="32">
        <v>2.6870999999999999E-2</v>
      </c>
      <c r="Z107" s="32">
        <v>5.8193000000000002E-2</v>
      </c>
      <c r="AA107" s="32">
        <v>9.4678999999999999E-2</v>
      </c>
      <c r="AB107" s="32">
        <v>0.142593</v>
      </c>
    </row>
    <row r="108" spans="1:28" ht="15.6" customHeight="1" x14ac:dyDescent="0.25">
      <c r="A108" s="24" t="s">
        <v>1146</v>
      </c>
      <c r="B108" s="50">
        <v>3620</v>
      </c>
      <c r="C108" s="25" t="s">
        <v>1147</v>
      </c>
      <c r="D108" s="25" t="s">
        <v>164</v>
      </c>
      <c r="E108" s="25" t="s">
        <v>194</v>
      </c>
      <c r="F108" s="25" t="s">
        <v>155</v>
      </c>
      <c r="G108" s="26" t="s">
        <v>139</v>
      </c>
      <c r="H108" s="27" t="s">
        <v>156</v>
      </c>
      <c r="I108" s="24" t="s">
        <v>998</v>
      </c>
      <c r="J108" s="24" t="s">
        <v>121</v>
      </c>
      <c r="K108" s="28" t="s">
        <v>108</v>
      </c>
      <c r="L108" s="29">
        <v>0.03</v>
      </c>
      <c r="M108" s="29">
        <v>1.4999999999999999E-2</v>
      </c>
      <c r="N108" s="29">
        <v>0.02</v>
      </c>
      <c r="O108" s="27" t="s">
        <v>166</v>
      </c>
      <c r="P108" s="30" t="s">
        <v>164</v>
      </c>
      <c r="Q108" s="31">
        <v>1626943688.97</v>
      </c>
      <c r="R108" s="31">
        <v>10202.32</v>
      </c>
      <c r="S108" s="32">
        <v>5.7154999999999997E-2</v>
      </c>
      <c r="T108" s="32" t="s">
        <v>139</v>
      </c>
      <c r="U108" s="32">
        <v>-5.8339999999999998E-3</v>
      </c>
      <c r="V108" s="32">
        <v>1.6000000000000001E-4</v>
      </c>
      <c r="W108" s="32">
        <v>3.9882000000000001E-2</v>
      </c>
      <c r="X108" s="32">
        <v>0.14774300000000001</v>
      </c>
      <c r="Y108" s="32">
        <v>-3.6720999999999997E-2</v>
      </c>
      <c r="Z108" s="32">
        <v>0.401891</v>
      </c>
      <c r="AA108" s="32">
        <v>0.64895800000000003</v>
      </c>
      <c r="AB108" s="32">
        <v>0.61921000000000004</v>
      </c>
    </row>
    <row r="109" spans="1:28" ht="15.6" customHeight="1" x14ac:dyDescent="0.25">
      <c r="A109" s="24" t="s">
        <v>263</v>
      </c>
      <c r="B109" s="50">
        <v>3622</v>
      </c>
      <c r="C109" s="25" t="s">
        <v>264</v>
      </c>
      <c r="D109" s="25" t="s">
        <v>145</v>
      </c>
      <c r="E109" s="25" t="s">
        <v>194</v>
      </c>
      <c r="F109" s="25" t="s">
        <v>155</v>
      </c>
      <c r="G109" s="26" t="s">
        <v>139</v>
      </c>
      <c r="H109" s="27" t="s">
        <v>156</v>
      </c>
      <c r="I109" s="24" t="s">
        <v>106</v>
      </c>
      <c r="J109" s="24" t="s">
        <v>121</v>
      </c>
      <c r="K109" s="28" t="s">
        <v>108</v>
      </c>
      <c r="L109" s="29">
        <v>0.02</v>
      </c>
      <c r="M109" s="29">
        <v>0.02</v>
      </c>
      <c r="N109" s="29">
        <v>0.02</v>
      </c>
      <c r="O109" s="27" t="s">
        <v>148</v>
      </c>
      <c r="P109" s="30" t="s">
        <v>145</v>
      </c>
      <c r="Q109" s="31">
        <v>1054065952.28</v>
      </c>
      <c r="R109" s="31">
        <v>3905.52</v>
      </c>
      <c r="S109" s="32">
        <v>1.0972000000000001E-2</v>
      </c>
      <c r="T109" s="32" t="s">
        <v>139</v>
      </c>
      <c r="U109" s="32">
        <v>-6.5370000000000003E-3</v>
      </c>
      <c r="V109" s="32">
        <v>-3.6459999999999999E-3</v>
      </c>
      <c r="W109" s="32">
        <v>3.6845999999999997E-2</v>
      </c>
      <c r="X109" s="32">
        <v>0.11659799999999999</v>
      </c>
      <c r="Y109" s="32">
        <v>-9.2741000000000004E-2</v>
      </c>
      <c r="Z109" s="32">
        <v>0.33179500000000001</v>
      </c>
      <c r="AA109" s="32">
        <v>0.64061999999999997</v>
      </c>
      <c r="AB109" s="32">
        <v>0.62106600000000001</v>
      </c>
    </row>
    <row r="110" spans="1:28" ht="15.6" customHeight="1" x14ac:dyDescent="0.25">
      <c r="A110" s="24" t="s">
        <v>265</v>
      </c>
      <c r="B110" s="50">
        <v>3623</v>
      </c>
      <c r="C110" s="25" t="s">
        <v>266</v>
      </c>
      <c r="D110" s="25" t="s">
        <v>145</v>
      </c>
      <c r="E110" s="25" t="s">
        <v>194</v>
      </c>
      <c r="F110" s="25" t="s">
        <v>103</v>
      </c>
      <c r="G110" s="26" t="s">
        <v>267</v>
      </c>
      <c r="H110" s="27" t="s">
        <v>188</v>
      </c>
      <c r="I110" s="24" t="s">
        <v>106</v>
      </c>
      <c r="J110" s="24" t="s">
        <v>107</v>
      </c>
      <c r="K110" s="28" t="s">
        <v>108</v>
      </c>
      <c r="L110" s="29">
        <v>0.01</v>
      </c>
      <c r="M110" s="29">
        <v>0.01</v>
      </c>
      <c r="N110" s="29">
        <v>0.01</v>
      </c>
      <c r="O110" s="27" t="s">
        <v>148</v>
      </c>
      <c r="P110" s="30" t="s">
        <v>145</v>
      </c>
      <c r="Q110" s="31">
        <v>464547727.56</v>
      </c>
      <c r="R110" s="31">
        <v>1657.32</v>
      </c>
      <c r="S110" s="32">
        <v>1.2834E-2</v>
      </c>
      <c r="T110" s="32" t="s">
        <v>139</v>
      </c>
      <c r="U110" s="32">
        <v>2.5300000000000002E-4</v>
      </c>
      <c r="V110" s="32">
        <v>1.2869999999999999E-3</v>
      </c>
      <c r="W110" s="32">
        <v>4.4549999999999998E-3</v>
      </c>
      <c r="X110" s="32">
        <v>9.1699999999999993E-3</v>
      </c>
      <c r="Y110" s="32">
        <v>1.8404E-2</v>
      </c>
      <c r="Z110" s="32">
        <v>3.9757000000000001E-2</v>
      </c>
      <c r="AA110" s="32">
        <v>6.6253000000000006E-2</v>
      </c>
      <c r="AB110" s="32">
        <v>0.10291699999999999</v>
      </c>
    </row>
    <row r="111" spans="1:28" ht="15.6" customHeight="1" x14ac:dyDescent="0.25">
      <c r="A111" s="24" t="s">
        <v>268</v>
      </c>
      <c r="B111" s="50">
        <v>3624</v>
      </c>
      <c r="C111" s="25" t="s">
        <v>269</v>
      </c>
      <c r="D111" s="25" t="s">
        <v>112</v>
      </c>
      <c r="E111" s="25" t="s">
        <v>194</v>
      </c>
      <c r="F111" s="25" t="s">
        <v>128</v>
      </c>
      <c r="G111" s="26" t="s">
        <v>250</v>
      </c>
      <c r="H111" s="27" t="s">
        <v>270</v>
      </c>
      <c r="I111" s="24" t="s">
        <v>106</v>
      </c>
      <c r="J111" s="24" t="s">
        <v>107</v>
      </c>
      <c r="K111" s="28" t="s">
        <v>108</v>
      </c>
      <c r="L111" s="29">
        <v>5.0000000000000001E-3</v>
      </c>
      <c r="M111" s="29">
        <v>0</v>
      </c>
      <c r="N111" s="29">
        <v>0.01</v>
      </c>
      <c r="O111" s="27" t="s">
        <v>116</v>
      </c>
      <c r="P111" s="30" t="s">
        <v>112</v>
      </c>
      <c r="Q111" s="31">
        <v>3440258207.3499999</v>
      </c>
      <c r="R111" s="31">
        <v>2319.91</v>
      </c>
      <c r="S111" s="32">
        <v>2.1235E-2</v>
      </c>
      <c r="T111" s="32" t="s">
        <v>139</v>
      </c>
      <c r="U111" s="32">
        <v>2.24E-4</v>
      </c>
      <c r="V111" s="32">
        <v>2.0339999999999998E-3</v>
      </c>
      <c r="W111" s="32">
        <v>7.0670000000000004E-3</v>
      </c>
      <c r="X111" s="32">
        <v>1.6563999999999999E-2</v>
      </c>
      <c r="Y111" s="32">
        <v>3.1891999999999997E-2</v>
      </c>
      <c r="Z111" s="32">
        <v>6.8359000000000003E-2</v>
      </c>
      <c r="AA111" s="32">
        <v>0.113024</v>
      </c>
      <c r="AB111" s="32">
        <v>0.15096599999999999</v>
      </c>
    </row>
    <row r="112" spans="1:28" ht="15.6" customHeight="1" x14ac:dyDescent="0.25">
      <c r="A112" s="24" t="s">
        <v>1148</v>
      </c>
      <c r="B112" s="50">
        <v>3625</v>
      </c>
      <c r="C112" s="25" t="s">
        <v>1149</v>
      </c>
      <c r="D112" s="25" t="s">
        <v>137</v>
      </c>
      <c r="E112" s="25" t="s">
        <v>194</v>
      </c>
      <c r="F112" s="25" t="s">
        <v>113</v>
      </c>
      <c r="G112" s="26" t="s">
        <v>114</v>
      </c>
      <c r="H112" s="27" t="s">
        <v>327</v>
      </c>
      <c r="I112" s="24" t="s">
        <v>998</v>
      </c>
      <c r="J112" s="24" t="s">
        <v>121</v>
      </c>
      <c r="K112" s="28" t="s">
        <v>227</v>
      </c>
      <c r="L112" s="29">
        <v>0.03</v>
      </c>
      <c r="M112" s="29">
        <v>1.4999999999999999E-2</v>
      </c>
      <c r="N112" s="29">
        <v>0.02</v>
      </c>
      <c r="O112" s="27" t="s">
        <v>148</v>
      </c>
      <c r="P112" s="30" t="s">
        <v>137</v>
      </c>
      <c r="Q112" s="31">
        <v>143039969.076051</v>
      </c>
      <c r="R112" s="31">
        <v>9527.74</v>
      </c>
      <c r="S112" s="32">
        <v>6.4949999999999999E-3</v>
      </c>
      <c r="T112" s="32" t="s">
        <v>139</v>
      </c>
      <c r="U112" s="32">
        <v>-2.0579999999999999E-3</v>
      </c>
      <c r="V112" s="32">
        <v>2.428E-3</v>
      </c>
      <c r="W112" s="32">
        <v>5.6810000000000003E-3</v>
      </c>
      <c r="X112" s="32">
        <v>9.3729999999999994E-3</v>
      </c>
      <c r="Y112" s="32">
        <v>-1.521E-3</v>
      </c>
      <c r="Z112" s="32">
        <v>6.4724000000000004E-2</v>
      </c>
      <c r="AA112" s="32">
        <v>0.133544</v>
      </c>
      <c r="AB112" s="32">
        <v>9.2087000000000002E-2</v>
      </c>
    </row>
    <row r="113" spans="1:28" ht="15.6" customHeight="1" x14ac:dyDescent="0.25">
      <c r="A113" s="24" t="s">
        <v>271</v>
      </c>
      <c r="B113" s="50">
        <v>3626</v>
      </c>
      <c r="C113" s="25" t="s">
        <v>272</v>
      </c>
      <c r="D113" s="25" t="s">
        <v>145</v>
      </c>
      <c r="E113" s="25" t="s">
        <v>194</v>
      </c>
      <c r="F113" s="25" t="s">
        <v>128</v>
      </c>
      <c r="G113" s="26" t="s">
        <v>129</v>
      </c>
      <c r="H113" s="27" t="s">
        <v>130</v>
      </c>
      <c r="I113" s="24" t="s">
        <v>106</v>
      </c>
      <c r="J113" s="24" t="s">
        <v>107</v>
      </c>
      <c r="K113" s="28" t="s">
        <v>108</v>
      </c>
      <c r="L113" s="29">
        <v>0.01</v>
      </c>
      <c r="M113" s="29">
        <v>5.0000000000000001E-3</v>
      </c>
      <c r="N113" s="29">
        <v>8.0000000000000002E-3</v>
      </c>
      <c r="O113" s="27" t="s">
        <v>148</v>
      </c>
      <c r="P113" s="30" t="s">
        <v>145</v>
      </c>
      <c r="Q113" s="31">
        <v>13695763604.610001</v>
      </c>
      <c r="R113" s="31">
        <v>19392.28</v>
      </c>
      <c r="S113" s="32">
        <v>1.9843E-2</v>
      </c>
      <c r="T113" s="32" t="s">
        <v>139</v>
      </c>
      <c r="U113" s="32">
        <v>-1.13E-4</v>
      </c>
      <c r="V113" s="32">
        <v>1.9400000000000001E-3</v>
      </c>
      <c r="W113" s="32">
        <v>7.4720000000000003E-3</v>
      </c>
      <c r="X113" s="32">
        <v>1.5643000000000001E-2</v>
      </c>
      <c r="Y113" s="32">
        <v>2.7594E-2</v>
      </c>
      <c r="Z113" s="32">
        <v>6.5411999999999998E-2</v>
      </c>
      <c r="AA113" s="32">
        <v>0.109763</v>
      </c>
      <c r="AB113" s="32">
        <v>0.16311800000000001</v>
      </c>
    </row>
    <row r="114" spans="1:28" ht="15.6" customHeight="1" x14ac:dyDescent="0.25">
      <c r="A114" s="24" t="s">
        <v>273</v>
      </c>
      <c r="B114" s="50">
        <v>3628</v>
      </c>
      <c r="C114" s="25" t="s">
        <v>274</v>
      </c>
      <c r="D114" s="25" t="s">
        <v>241</v>
      </c>
      <c r="E114" s="25" t="s">
        <v>194</v>
      </c>
      <c r="F114" s="25" t="s">
        <v>128</v>
      </c>
      <c r="G114" s="26" t="s">
        <v>275</v>
      </c>
      <c r="H114" s="27" t="s">
        <v>130</v>
      </c>
      <c r="I114" s="24" t="s">
        <v>106</v>
      </c>
      <c r="J114" s="24" t="s">
        <v>107</v>
      </c>
      <c r="K114" s="28" t="s">
        <v>108</v>
      </c>
      <c r="L114" s="29">
        <v>0</v>
      </c>
      <c r="M114" s="29">
        <v>0</v>
      </c>
      <c r="N114" s="29">
        <v>8.0000000000000002E-3</v>
      </c>
      <c r="O114" s="27" t="s">
        <v>148</v>
      </c>
      <c r="P114" s="30" t="s">
        <v>241</v>
      </c>
      <c r="Q114" s="31">
        <v>746460797.13</v>
      </c>
      <c r="R114" s="31">
        <v>2447.25</v>
      </c>
      <c r="S114" s="32">
        <v>2.6557000000000001E-2</v>
      </c>
      <c r="T114" s="32" t="s">
        <v>139</v>
      </c>
      <c r="U114" s="32">
        <v>-1.27E-4</v>
      </c>
      <c r="V114" s="32">
        <v>1.547E-3</v>
      </c>
      <c r="W114" s="32">
        <v>1.7052000000000001E-2</v>
      </c>
      <c r="X114" s="32">
        <v>2.3068000000000002E-2</v>
      </c>
      <c r="Y114" s="32">
        <v>3.4646999999999997E-2</v>
      </c>
      <c r="Z114" s="32">
        <v>6.1984999999999998E-2</v>
      </c>
      <c r="AA114" s="32">
        <v>9.6216999999999997E-2</v>
      </c>
      <c r="AB114" s="32">
        <v>0.138955</v>
      </c>
    </row>
    <row r="115" spans="1:28" ht="15.6" customHeight="1" x14ac:dyDescent="0.25">
      <c r="A115" s="24" t="s">
        <v>1150</v>
      </c>
      <c r="B115" s="50">
        <v>3629</v>
      </c>
      <c r="C115" s="25" t="s">
        <v>1151</v>
      </c>
      <c r="D115" s="25" t="s">
        <v>101</v>
      </c>
      <c r="E115" s="25" t="s">
        <v>194</v>
      </c>
      <c r="F115" s="25" t="s">
        <v>113</v>
      </c>
      <c r="G115" s="26" t="s">
        <v>1152</v>
      </c>
      <c r="H115" s="27" t="s">
        <v>115</v>
      </c>
      <c r="I115" s="24" t="s">
        <v>998</v>
      </c>
      <c r="J115" s="24" t="s">
        <v>121</v>
      </c>
      <c r="K115" s="28" t="s">
        <v>227</v>
      </c>
      <c r="L115" s="29">
        <v>0</v>
      </c>
      <c r="M115" s="29">
        <v>0</v>
      </c>
      <c r="N115" s="29">
        <v>0.02</v>
      </c>
      <c r="O115" s="27" t="s">
        <v>262</v>
      </c>
      <c r="P115" s="30" t="s">
        <v>101</v>
      </c>
      <c r="Q115" s="31">
        <v>301714314.73000002</v>
      </c>
      <c r="R115" s="31">
        <v>140.5</v>
      </c>
      <c r="S115" s="32">
        <v>1.7830000000000001E-3</v>
      </c>
      <c r="T115" s="32" t="s">
        <v>139</v>
      </c>
      <c r="U115" s="32">
        <v>-1.0660000000000001E-3</v>
      </c>
      <c r="V115" s="32">
        <v>2.4970000000000001E-3</v>
      </c>
      <c r="W115" s="32">
        <v>5.0070000000000002E-3</v>
      </c>
      <c r="X115" s="32">
        <v>7.6740000000000003E-3</v>
      </c>
      <c r="Y115" s="32">
        <v>-4.3175999999999999E-2</v>
      </c>
      <c r="Z115" s="32">
        <v>2.7948000000000001E-2</v>
      </c>
      <c r="AA115" s="32">
        <v>5.5756E-2</v>
      </c>
      <c r="AB115" s="32">
        <v>5.6550000000000003E-2</v>
      </c>
    </row>
    <row r="116" spans="1:28" ht="15.6" customHeight="1" x14ac:dyDescent="0.25">
      <c r="A116" s="24" t="s">
        <v>276</v>
      </c>
      <c r="B116" s="50">
        <v>3630</v>
      </c>
      <c r="C116" s="25" t="s">
        <v>277</v>
      </c>
      <c r="D116" s="25" t="s">
        <v>145</v>
      </c>
      <c r="E116" s="25" t="s">
        <v>194</v>
      </c>
      <c r="F116" s="25" t="s">
        <v>155</v>
      </c>
      <c r="G116" s="26" t="s">
        <v>139</v>
      </c>
      <c r="H116" s="27" t="s">
        <v>156</v>
      </c>
      <c r="I116" s="24" t="s">
        <v>106</v>
      </c>
      <c r="J116" s="24" t="s">
        <v>107</v>
      </c>
      <c r="K116" s="28" t="s">
        <v>108</v>
      </c>
      <c r="L116" s="29">
        <v>0.02</v>
      </c>
      <c r="M116" s="29">
        <v>0.02</v>
      </c>
      <c r="N116" s="29">
        <v>0.02</v>
      </c>
      <c r="O116" s="27" t="s">
        <v>148</v>
      </c>
      <c r="P116" s="30" t="s">
        <v>145</v>
      </c>
      <c r="Q116" s="31">
        <v>278719924.30000001</v>
      </c>
      <c r="R116" s="31">
        <v>272.25</v>
      </c>
      <c r="S116" s="32">
        <v>1.3853000000000001E-2</v>
      </c>
      <c r="T116" s="32" t="s">
        <v>139</v>
      </c>
      <c r="U116" s="32">
        <v>-6.5319999999999996E-3</v>
      </c>
      <c r="V116" s="32">
        <v>-3.9509999999999997E-3</v>
      </c>
      <c r="W116" s="32">
        <v>3.5840999999999998E-2</v>
      </c>
      <c r="X116" s="32">
        <v>0.115413</v>
      </c>
      <c r="Y116" s="32">
        <v>-9.2016000000000001E-2</v>
      </c>
      <c r="Z116" s="32">
        <v>0.37548599999999999</v>
      </c>
      <c r="AA116" s="32">
        <v>0.66229099999999996</v>
      </c>
      <c r="AB116" s="32">
        <v>0.52299200000000001</v>
      </c>
    </row>
    <row r="117" spans="1:28" ht="15.6" customHeight="1" x14ac:dyDescent="0.25">
      <c r="A117" s="24" t="s">
        <v>278</v>
      </c>
      <c r="B117" s="50">
        <v>3631</v>
      </c>
      <c r="C117" s="25" t="s">
        <v>279</v>
      </c>
      <c r="D117" s="25" t="s">
        <v>145</v>
      </c>
      <c r="E117" s="25" t="s">
        <v>194</v>
      </c>
      <c r="F117" s="25" t="s">
        <v>155</v>
      </c>
      <c r="G117" s="26" t="s">
        <v>139</v>
      </c>
      <c r="H117" s="27" t="s">
        <v>280</v>
      </c>
      <c r="I117" s="24" t="s">
        <v>106</v>
      </c>
      <c r="J117" s="24" t="s">
        <v>107</v>
      </c>
      <c r="K117" s="28" t="s">
        <v>108</v>
      </c>
      <c r="L117" s="29">
        <v>0.02</v>
      </c>
      <c r="M117" s="29">
        <v>0.02</v>
      </c>
      <c r="N117" s="29">
        <v>0.02</v>
      </c>
      <c r="O117" s="27" t="s">
        <v>148</v>
      </c>
      <c r="P117" s="30" t="s">
        <v>145</v>
      </c>
      <c r="Q117" s="31">
        <v>3705569.15</v>
      </c>
      <c r="R117" s="31">
        <v>324.25</v>
      </c>
      <c r="S117" s="32">
        <v>-8.652E-3</v>
      </c>
      <c r="T117" s="32" t="s">
        <v>139</v>
      </c>
      <c r="U117" s="32">
        <v>-6.2519999999999997E-3</v>
      </c>
      <c r="V117" s="32">
        <v>-8.6219999999999995E-3</v>
      </c>
      <c r="W117" s="32">
        <v>2.4908E-2</v>
      </c>
      <c r="X117" s="32">
        <v>6.8544999999999995E-2</v>
      </c>
      <c r="Y117" s="32">
        <v>-0.110279</v>
      </c>
      <c r="Z117" s="32">
        <v>0.29286299999999998</v>
      </c>
      <c r="AA117" s="32">
        <v>0.583175</v>
      </c>
      <c r="AB117" s="32">
        <v>0.49107899999999999</v>
      </c>
    </row>
    <row r="118" spans="1:28" ht="15.6" customHeight="1" x14ac:dyDescent="0.25">
      <c r="A118" s="24" t="s">
        <v>281</v>
      </c>
      <c r="B118" s="50">
        <v>3632</v>
      </c>
      <c r="C118" s="25" t="s">
        <v>282</v>
      </c>
      <c r="D118" s="25" t="s">
        <v>145</v>
      </c>
      <c r="E118" s="25" t="s">
        <v>194</v>
      </c>
      <c r="F118" s="25" t="s">
        <v>138</v>
      </c>
      <c r="G118" s="26" t="s">
        <v>139</v>
      </c>
      <c r="H118" s="27" t="s">
        <v>283</v>
      </c>
      <c r="I118" s="24" t="s">
        <v>106</v>
      </c>
      <c r="J118" s="24" t="s">
        <v>107</v>
      </c>
      <c r="K118" s="28" t="s">
        <v>108</v>
      </c>
      <c r="L118" s="29">
        <v>0.02</v>
      </c>
      <c r="M118" s="29">
        <v>0.02</v>
      </c>
      <c r="N118" s="29">
        <v>0.02</v>
      </c>
      <c r="O118" s="27" t="s">
        <v>148</v>
      </c>
      <c r="P118" s="30" t="s">
        <v>145</v>
      </c>
      <c r="Q118" s="31">
        <v>81016220.420000002</v>
      </c>
      <c r="R118" s="31">
        <v>248.04</v>
      </c>
      <c r="S118" s="32">
        <v>2.1666000000000001E-2</v>
      </c>
      <c r="T118" s="32" t="s">
        <v>139</v>
      </c>
      <c r="U118" s="32">
        <v>-1.8109999999999999E-3</v>
      </c>
      <c r="V118" s="32">
        <v>1.6100000000000001E-4</v>
      </c>
      <c r="W118" s="32">
        <v>2.8400999999999999E-2</v>
      </c>
      <c r="X118" s="32">
        <v>4.7334000000000001E-2</v>
      </c>
      <c r="Y118" s="32">
        <v>-7.2049999999999996E-3</v>
      </c>
      <c r="Z118" s="32">
        <v>0.16265099999999999</v>
      </c>
      <c r="AA118" s="32">
        <v>0.29877500000000001</v>
      </c>
      <c r="AB118" s="32">
        <v>0.25133699999999998</v>
      </c>
    </row>
    <row r="119" spans="1:28" ht="15.6" customHeight="1" x14ac:dyDescent="0.25">
      <c r="A119" s="24" t="s">
        <v>284</v>
      </c>
      <c r="B119" s="50">
        <v>3634</v>
      </c>
      <c r="C119" s="25" t="s">
        <v>285</v>
      </c>
      <c r="D119" s="25" t="s">
        <v>137</v>
      </c>
      <c r="E119" s="25" t="s">
        <v>194</v>
      </c>
      <c r="F119" s="25" t="s">
        <v>113</v>
      </c>
      <c r="G119" s="26" t="s">
        <v>286</v>
      </c>
      <c r="H119" s="27" t="s">
        <v>115</v>
      </c>
      <c r="I119" s="24" t="s">
        <v>106</v>
      </c>
      <c r="J119" s="24" t="s">
        <v>107</v>
      </c>
      <c r="K119" s="28" t="s">
        <v>108</v>
      </c>
      <c r="L119" s="29">
        <v>0.03</v>
      </c>
      <c r="M119" s="29">
        <v>1.4999999999999999E-2</v>
      </c>
      <c r="N119" s="29">
        <v>0.02</v>
      </c>
      <c r="O119" s="27" t="s">
        <v>141</v>
      </c>
      <c r="P119" s="30" t="s">
        <v>142</v>
      </c>
      <c r="Q119" s="31">
        <v>552799490.41612899</v>
      </c>
      <c r="R119" s="31">
        <v>34.17</v>
      </c>
      <c r="S119" s="32">
        <v>2.3470000000000001E-3</v>
      </c>
      <c r="T119" s="32" t="s">
        <v>139</v>
      </c>
      <c r="U119" s="32">
        <v>-5.8500000000000002E-4</v>
      </c>
      <c r="V119" s="32">
        <v>2.6410000000000001E-3</v>
      </c>
      <c r="W119" s="32">
        <v>5.888E-3</v>
      </c>
      <c r="X119" s="32">
        <v>2.9350000000000001E-3</v>
      </c>
      <c r="Y119" s="32">
        <v>-0.78004499999999999</v>
      </c>
      <c r="Z119" s="32">
        <v>-0.76774100000000001</v>
      </c>
      <c r="AA119" s="32">
        <v>-0.75508900000000001</v>
      </c>
      <c r="AB119" s="32" t="s">
        <v>139</v>
      </c>
    </row>
    <row r="120" spans="1:28" ht="15.6" customHeight="1" x14ac:dyDescent="0.25">
      <c r="A120" s="24" t="s">
        <v>287</v>
      </c>
      <c r="B120" s="50">
        <v>3635</v>
      </c>
      <c r="C120" s="25" t="s">
        <v>288</v>
      </c>
      <c r="D120" s="25" t="s">
        <v>261</v>
      </c>
      <c r="E120" s="25" t="s">
        <v>194</v>
      </c>
      <c r="F120" s="25" t="s">
        <v>128</v>
      </c>
      <c r="G120" s="26" t="s">
        <v>289</v>
      </c>
      <c r="H120" s="27" t="s">
        <v>290</v>
      </c>
      <c r="I120" s="24" t="s">
        <v>106</v>
      </c>
      <c r="J120" s="24" t="s">
        <v>107</v>
      </c>
      <c r="K120" s="28" t="s">
        <v>108</v>
      </c>
      <c r="L120" s="29">
        <v>0.03</v>
      </c>
      <c r="M120" s="29">
        <v>1.4999999999999999E-2</v>
      </c>
      <c r="N120" s="29">
        <v>0.02</v>
      </c>
      <c r="O120" s="27" t="s">
        <v>262</v>
      </c>
      <c r="P120" s="30" t="s">
        <v>291</v>
      </c>
      <c r="Q120" s="31">
        <v>872494525.92999995</v>
      </c>
      <c r="R120" s="31">
        <v>174.79</v>
      </c>
      <c r="S120" s="32">
        <v>1.8887000000000001E-2</v>
      </c>
      <c r="T120" s="32" t="s">
        <v>139</v>
      </c>
      <c r="U120" s="32">
        <v>-1.7200000000000001E-4</v>
      </c>
      <c r="V120" s="32">
        <v>1.8339999999999999E-3</v>
      </c>
      <c r="W120" s="32">
        <v>6.5649999999999997E-3</v>
      </c>
      <c r="X120" s="32">
        <v>1.4274999999999999E-2</v>
      </c>
      <c r="Y120" s="32">
        <v>2.5703E-2</v>
      </c>
      <c r="Z120" s="32">
        <v>6.1520999999999999E-2</v>
      </c>
      <c r="AA120" s="32">
        <v>0.104448</v>
      </c>
      <c r="AB120" s="32">
        <v>0.15152499999999999</v>
      </c>
    </row>
    <row r="121" spans="1:28" ht="15.6" customHeight="1" x14ac:dyDescent="0.25">
      <c r="A121" s="24" t="s">
        <v>1153</v>
      </c>
      <c r="B121" s="50">
        <v>3637</v>
      </c>
      <c r="C121" s="25" t="s">
        <v>1154</v>
      </c>
      <c r="D121" s="25" t="s">
        <v>137</v>
      </c>
      <c r="E121" s="25" t="s">
        <v>194</v>
      </c>
      <c r="F121" s="25" t="s">
        <v>155</v>
      </c>
      <c r="G121" s="26" t="s">
        <v>139</v>
      </c>
      <c r="H121" s="27" t="s">
        <v>202</v>
      </c>
      <c r="I121" s="24" t="s">
        <v>998</v>
      </c>
      <c r="J121" s="24" t="s">
        <v>121</v>
      </c>
      <c r="K121" s="28" t="s">
        <v>227</v>
      </c>
      <c r="L121" s="29">
        <v>0.03</v>
      </c>
      <c r="M121" s="29">
        <v>1.4999999999999999E-2</v>
      </c>
      <c r="N121" s="29">
        <v>0.02</v>
      </c>
      <c r="O121" s="27" t="s">
        <v>166</v>
      </c>
      <c r="P121" s="30" t="s">
        <v>137</v>
      </c>
      <c r="Q121" s="31">
        <v>1297620.0272299999</v>
      </c>
      <c r="R121" s="31">
        <v>36045</v>
      </c>
      <c r="S121" s="32">
        <v>-3.8979E-2</v>
      </c>
      <c r="T121" s="32" t="s">
        <v>139</v>
      </c>
      <c r="U121" s="32">
        <v>-3.356E-3</v>
      </c>
      <c r="V121" s="32">
        <v>-9.6050000000000007E-3</v>
      </c>
      <c r="W121" s="32">
        <v>2.4839E-2</v>
      </c>
      <c r="X121" s="32">
        <v>5.1133999999999999E-2</v>
      </c>
      <c r="Y121" s="32">
        <v>-0.121713</v>
      </c>
      <c r="Z121" s="32">
        <v>0.20272899999999999</v>
      </c>
      <c r="AA121" s="32">
        <v>0.458283</v>
      </c>
      <c r="AB121" s="32">
        <v>0.43445400000000001</v>
      </c>
    </row>
    <row r="122" spans="1:28" ht="15.6" customHeight="1" x14ac:dyDescent="0.25">
      <c r="A122" s="24" t="s">
        <v>1155</v>
      </c>
      <c r="B122" s="50">
        <v>3639</v>
      </c>
      <c r="C122" s="25" t="s">
        <v>1156</v>
      </c>
      <c r="D122" s="25" t="s">
        <v>145</v>
      </c>
      <c r="E122" s="25" t="s">
        <v>194</v>
      </c>
      <c r="F122" s="25" t="s">
        <v>113</v>
      </c>
      <c r="G122" s="26" t="s">
        <v>1109</v>
      </c>
      <c r="H122" s="27" t="s">
        <v>1157</v>
      </c>
      <c r="I122" s="24" t="s">
        <v>998</v>
      </c>
      <c r="J122" s="24" t="s">
        <v>121</v>
      </c>
      <c r="K122" s="28" t="s">
        <v>108</v>
      </c>
      <c r="L122" s="29">
        <v>0.03</v>
      </c>
      <c r="M122" s="29">
        <v>1.4999999999999999E-2</v>
      </c>
      <c r="N122" s="29">
        <v>0.02</v>
      </c>
      <c r="O122" s="27" t="s">
        <v>148</v>
      </c>
      <c r="P122" s="30" t="s">
        <v>145</v>
      </c>
      <c r="Q122" s="31">
        <v>3546958454.46</v>
      </c>
      <c r="R122" s="31">
        <v>2369.29</v>
      </c>
      <c r="S122" s="32">
        <v>-2.4759999999999999E-3</v>
      </c>
      <c r="T122" s="32" t="s">
        <v>139</v>
      </c>
      <c r="U122" s="32">
        <v>-2.1940000000000002E-3</v>
      </c>
      <c r="V122" s="32">
        <v>1.6280000000000001E-3</v>
      </c>
      <c r="W122" s="32">
        <v>7.6899999999999998E-3</v>
      </c>
      <c r="X122" s="32">
        <v>1.154E-2</v>
      </c>
      <c r="Y122" s="32">
        <v>-1.677E-2</v>
      </c>
      <c r="Z122" s="32">
        <v>9.5671000000000006E-2</v>
      </c>
      <c r="AA122" s="32">
        <v>0.22292200000000001</v>
      </c>
      <c r="AB122" s="32">
        <v>0.165829</v>
      </c>
    </row>
    <row r="123" spans="1:28" ht="15.6" customHeight="1" x14ac:dyDescent="0.25">
      <c r="A123" s="24" t="s">
        <v>292</v>
      </c>
      <c r="B123" s="50">
        <v>3640</v>
      </c>
      <c r="C123" s="25" t="s">
        <v>293</v>
      </c>
      <c r="D123" s="25" t="s">
        <v>159</v>
      </c>
      <c r="E123" s="25" t="s">
        <v>194</v>
      </c>
      <c r="F123" s="25" t="s">
        <v>138</v>
      </c>
      <c r="G123" s="26" t="s">
        <v>139</v>
      </c>
      <c r="H123" s="27" t="s">
        <v>294</v>
      </c>
      <c r="I123" s="24" t="s">
        <v>106</v>
      </c>
      <c r="J123" s="24" t="s">
        <v>121</v>
      </c>
      <c r="K123" s="28" t="s">
        <v>227</v>
      </c>
      <c r="L123" s="29">
        <v>0</v>
      </c>
      <c r="M123" s="29">
        <v>0</v>
      </c>
      <c r="N123" s="29">
        <v>0.02</v>
      </c>
      <c r="O123" s="27" t="s">
        <v>161</v>
      </c>
      <c r="P123" s="30" t="s">
        <v>159</v>
      </c>
      <c r="Q123" s="31">
        <v>568903339.86000001</v>
      </c>
      <c r="R123" s="31">
        <v>124.58</v>
      </c>
      <c r="S123" s="32">
        <v>5.4229999999999999E-3</v>
      </c>
      <c r="T123" s="32" t="s">
        <v>139</v>
      </c>
      <c r="U123" s="32">
        <v>-3.7580000000000001E-3</v>
      </c>
      <c r="V123" s="32">
        <v>-2.163E-3</v>
      </c>
      <c r="W123" s="32">
        <v>1.806E-2</v>
      </c>
      <c r="X123" s="32">
        <v>5.9711E-2</v>
      </c>
      <c r="Y123" s="32">
        <v>-4.8256E-2</v>
      </c>
      <c r="Z123" s="32">
        <v>0.19037399999999999</v>
      </c>
      <c r="AA123" s="32">
        <v>-5.0326000000000003E-2</v>
      </c>
      <c r="AB123" s="32">
        <v>-8.6258000000000001E-2</v>
      </c>
    </row>
    <row r="124" spans="1:28" ht="15.6" customHeight="1" x14ac:dyDescent="0.25">
      <c r="A124" s="24" t="s">
        <v>1158</v>
      </c>
      <c r="B124" s="50">
        <v>3643</v>
      </c>
      <c r="C124" s="25" t="s">
        <v>1159</v>
      </c>
      <c r="D124" s="25" t="s">
        <v>241</v>
      </c>
      <c r="E124" s="25" t="s">
        <v>194</v>
      </c>
      <c r="F124" s="25" t="s">
        <v>113</v>
      </c>
      <c r="G124" s="26" t="s">
        <v>1160</v>
      </c>
      <c r="H124" s="27" t="s">
        <v>115</v>
      </c>
      <c r="I124" s="24" t="s">
        <v>998</v>
      </c>
      <c r="J124" s="24" t="s">
        <v>107</v>
      </c>
      <c r="K124" s="28" t="s">
        <v>108</v>
      </c>
      <c r="L124" s="29">
        <v>0.03</v>
      </c>
      <c r="M124" s="29">
        <v>1.4999999999999999E-2</v>
      </c>
      <c r="N124" s="29">
        <v>5.0000000000000001E-3</v>
      </c>
      <c r="O124" s="27" t="s">
        <v>148</v>
      </c>
      <c r="P124" s="30" t="s">
        <v>241</v>
      </c>
      <c r="Q124" s="31">
        <v>273288824</v>
      </c>
      <c r="R124" s="31">
        <v>1799.38</v>
      </c>
      <c r="S124" s="32">
        <v>5.1339999999999997E-3</v>
      </c>
      <c r="T124" s="32" t="s">
        <v>139</v>
      </c>
      <c r="U124" s="32">
        <v>-9.8299999999999993E-4</v>
      </c>
      <c r="V124" s="32">
        <v>1.737E-3</v>
      </c>
      <c r="W124" s="32">
        <v>5.5490000000000001E-3</v>
      </c>
      <c r="X124" s="32">
        <v>7.4520000000000003E-3</v>
      </c>
      <c r="Y124" s="32">
        <v>4.5999999999999999E-3</v>
      </c>
      <c r="Z124" s="32">
        <v>5.9269000000000002E-2</v>
      </c>
      <c r="AA124" s="32">
        <v>0.127834</v>
      </c>
      <c r="AB124" s="32">
        <v>0.11024200000000001</v>
      </c>
    </row>
    <row r="125" spans="1:28" ht="15.6" customHeight="1" x14ac:dyDescent="0.25">
      <c r="A125" s="24" t="s">
        <v>1161</v>
      </c>
      <c r="B125" s="50">
        <v>3644</v>
      </c>
      <c r="C125" s="25" t="s">
        <v>1162</v>
      </c>
      <c r="D125" s="25" t="s">
        <v>241</v>
      </c>
      <c r="E125" s="25" t="s">
        <v>194</v>
      </c>
      <c r="F125" s="25" t="s">
        <v>113</v>
      </c>
      <c r="G125" s="26" t="s">
        <v>1163</v>
      </c>
      <c r="H125" s="27" t="s">
        <v>115</v>
      </c>
      <c r="I125" s="24" t="s">
        <v>998</v>
      </c>
      <c r="J125" s="24" t="s">
        <v>121</v>
      </c>
      <c r="K125" s="28" t="s">
        <v>108</v>
      </c>
      <c r="L125" s="29">
        <v>0.03</v>
      </c>
      <c r="M125" s="29">
        <v>1.4999999999999999E-2</v>
      </c>
      <c r="N125" s="29">
        <v>8.0000000000000002E-3</v>
      </c>
      <c r="O125" s="27" t="s">
        <v>548</v>
      </c>
      <c r="P125" s="30" t="s">
        <v>241</v>
      </c>
      <c r="Q125" s="31">
        <v>5052223295.1400003</v>
      </c>
      <c r="R125" s="31">
        <v>214395.21</v>
      </c>
      <c r="S125" s="32">
        <v>5.0010000000000002E-3</v>
      </c>
      <c r="T125" s="32" t="s">
        <v>139</v>
      </c>
      <c r="U125" s="32">
        <v>2.3739999999999998E-3</v>
      </c>
      <c r="V125" s="32">
        <v>6.0000000000000001E-3</v>
      </c>
      <c r="W125" s="32">
        <v>1.1710999999999999E-2</v>
      </c>
      <c r="X125" s="32">
        <v>1.3192000000000001E-2</v>
      </c>
      <c r="Y125" s="32">
        <v>-6.1659999999999996E-3</v>
      </c>
      <c r="Z125" s="32">
        <v>9.3309000000000003E-2</v>
      </c>
      <c r="AA125" s="32">
        <v>0.216864</v>
      </c>
      <c r="AB125" s="32">
        <v>0.13955400000000001</v>
      </c>
    </row>
    <row r="126" spans="1:28" ht="15.6" customHeight="1" x14ac:dyDescent="0.25">
      <c r="A126" s="24" t="s">
        <v>1164</v>
      </c>
      <c r="B126" s="50">
        <v>3648</v>
      </c>
      <c r="C126" s="25" t="s">
        <v>1165</v>
      </c>
      <c r="D126" s="25" t="s">
        <v>101</v>
      </c>
      <c r="E126" s="25" t="s">
        <v>194</v>
      </c>
      <c r="F126" s="25" t="s">
        <v>155</v>
      </c>
      <c r="G126" s="26" t="s">
        <v>139</v>
      </c>
      <c r="H126" s="27" t="s">
        <v>1099</v>
      </c>
      <c r="I126" s="24" t="s">
        <v>998</v>
      </c>
      <c r="J126" s="24" t="s">
        <v>121</v>
      </c>
      <c r="K126" s="28" t="s">
        <v>180</v>
      </c>
      <c r="L126" s="29">
        <v>0</v>
      </c>
      <c r="M126" s="29">
        <v>0</v>
      </c>
      <c r="N126" s="29">
        <v>0.02</v>
      </c>
      <c r="O126" s="27" t="s">
        <v>109</v>
      </c>
      <c r="P126" s="30" t="s">
        <v>101</v>
      </c>
      <c r="Q126" s="31">
        <v>289367753.98000002</v>
      </c>
      <c r="R126" s="31">
        <v>505887.68</v>
      </c>
      <c r="S126" s="32">
        <v>2.9562999999999999E-2</v>
      </c>
      <c r="T126" s="32" t="s">
        <v>139</v>
      </c>
      <c r="U126" s="32">
        <v>1.3873E-2</v>
      </c>
      <c r="V126" s="32">
        <v>1.8435E-2</v>
      </c>
      <c r="W126" s="32">
        <v>5.9921000000000002E-2</v>
      </c>
      <c r="X126" s="32">
        <v>0.12378699999999999</v>
      </c>
      <c r="Y126" s="32">
        <v>-6.6276000000000002E-2</v>
      </c>
      <c r="Z126" s="32">
        <v>0.37637399999999999</v>
      </c>
      <c r="AA126" s="32">
        <v>0.60440000000000005</v>
      </c>
      <c r="AB126" s="32">
        <v>0.573048</v>
      </c>
    </row>
    <row r="127" spans="1:28" ht="15.6" customHeight="1" x14ac:dyDescent="0.25">
      <c r="A127" s="24" t="s">
        <v>295</v>
      </c>
      <c r="B127" s="50">
        <v>3649</v>
      </c>
      <c r="C127" s="25" t="s">
        <v>296</v>
      </c>
      <c r="D127" s="25" t="s">
        <v>145</v>
      </c>
      <c r="E127" s="25" t="s">
        <v>194</v>
      </c>
      <c r="F127" s="25" t="s">
        <v>155</v>
      </c>
      <c r="G127" s="26" t="s">
        <v>139</v>
      </c>
      <c r="H127" s="27" t="s">
        <v>156</v>
      </c>
      <c r="I127" s="24" t="s">
        <v>106</v>
      </c>
      <c r="J127" s="24" t="s">
        <v>107</v>
      </c>
      <c r="K127" s="28" t="s">
        <v>108</v>
      </c>
      <c r="L127" s="29">
        <v>0.02</v>
      </c>
      <c r="M127" s="29">
        <v>0.02</v>
      </c>
      <c r="N127" s="29">
        <v>0.02</v>
      </c>
      <c r="O127" s="27" t="s">
        <v>148</v>
      </c>
      <c r="P127" s="30" t="s">
        <v>145</v>
      </c>
      <c r="Q127" s="31">
        <v>1498423363.52</v>
      </c>
      <c r="R127" s="31">
        <v>1795.48</v>
      </c>
      <c r="S127" s="32">
        <v>9.7350000000000006E-3</v>
      </c>
      <c r="T127" s="32" t="s">
        <v>139</v>
      </c>
      <c r="U127" s="32">
        <v>-6.43E-3</v>
      </c>
      <c r="V127" s="32">
        <v>-3.3029999999999999E-3</v>
      </c>
      <c r="W127" s="32">
        <v>3.7232000000000001E-2</v>
      </c>
      <c r="X127" s="32">
        <v>0.117405</v>
      </c>
      <c r="Y127" s="32">
        <v>-9.8682000000000006E-2</v>
      </c>
      <c r="Z127" s="32">
        <v>0.37771500000000002</v>
      </c>
      <c r="AA127" s="32">
        <v>0.72539399999999998</v>
      </c>
      <c r="AB127" s="32">
        <v>0.62907000000000002</v>
      </c>
    </row>
    <row r="128" spans="1:28" ht="15.6" customHeight="1" x14ac:dyDescent="0.25">
      <c r="A128" s="24" t="s">
        <v>297</v>
      </c>
      <c r="B128" s="50">
        <v>3650</v>
      </c>
      <c r="C128" s="25" t="s">
        <v>298</v>
      </c>
      <c r="D128" s="25" t="s">
        <v>145</v>
      </c>
      <c r="E128" s="25" t="s">
        <v>194</v>
      </c>
      <c r="F128" s="25" t="s">
        <v>138</v>
      </c>
      <c r="G128" s="26" t="s">
        <v>139</v>
      </c>
      <c r="H128" s="27" t="s">
        <v>283</v>
      </c>
      <c r="I128" s="24" t="s">
        <v>106</v>
      </c>
      <c r="J128" s="24" t="s">
        <v>107</v>
      </c>
      <c r="K128" s="28" t="s">
        <v>108</v>
      </c>
      <c r="L128" s="29">
        <v>0.02</v>
      </c>
      <c r="M128" s="29">
        <v>0.02</v>
      </c>
      <c r="N128" s="29">
        <v>0.02</v>
      </c>
      <c r="O128" s="27" t="s">
        <v>148</v>
      </c>
      <c r="P128" s="30" t="s">
        <v>145</v>
      </c>
      <c r="Q128" s="31">
        <v>1737696667.51</v>
      </c>
      <c r="R128" s="31">
        <v>544.36</v>
      </c>
      <c r="S128" s="32">
        <v>-1.6211E-2</v>
      </c>
      <c r="T128" s="32" t="s">
        <v>139</v>
      </c>
      <c r="U128" s="32">
        <v>-3.0769999999999999E-3</v>
      </c>
      <c r="V128" s="32">
        <v>-1.266E-3</v>
      </c>
      <c r="W128" s="32">
        <v>1.3252999999999999E-2</v>
      </c>
      <c r="X128" s="32">
        <v>3.0224000000000001E-2</v>
      </c>
      <c r="Y128" s="32">
        <v>-6.1739000000000002E-2</v>
      </c>
      <c r="Z128" s="32">
        <v>0.13076199999999999</v>
      </c>
      <c r="AA128" s="32">
        <v>0.26610099999999998</v>
      </c>
      <c r="AB128" s="32">
        <v>0.17033899999999999</v>
      </c>
    </row>
    <row r="129" spans="1:28" ht="15.6" customHeight="1" x14ac:dyDescent="0.25">
      <c r="A129" s="24" t="s">
        <v>1166</v>
      </c>
      <c r="B129" s="50">
        <v>3651</v>
      </c>
      <c r="C129" s="25" t="s">
        <v>1167</v>
      </c>
      <c r="D129" s="25" t="s">
        <v>145</v>
      </c>
      <c r="E129" s="25" t="s">
        <v>194</v>
      </c>
      <c r="F129" s="25" t="s">
        <v>113</v>
      </c>
      <c r="G129" s="26" t="s">
        <v>1168</v>
      </c>
      <c r="H129" s="27" t="s">
        <v>115</v>
      </c>
      <c r="I129" s="24" t="s">
        <v>998</v>
      </c>
      <c r="J129" s="24" t="s">
        <v>121</v>
      </c>
      <c r="K129" s="28" t="s">
        <v>108</v>
      </c>
      <c r="L129" s="29">
        <v>0.03</v>
      </c>
      <c r="M129" s="29">
        <v>1.4999999999999999E-2</v>
      </c>
      <c r="N129" s="29">
        <v>0.02</v>
      </c>
      <c r="O129" s="27" t="s">
        <v>148</v>
      </c>
      <c r="P129" s="30" t="s">
        <v>145</v>
      </c>
      <c r="Q129" s="31">
        <v>3017667348.54</v>
      </c>
      <c r="R129" s="31">
        <v>225047.9</v>
      </c>
      <c r="S129" s="32">
        <v>-3.4190000000000002E-3</v>
      </c>
      <c r="T129" s="32" t="s">
        <v>139</v>
      </c>
      <c r="U129" s="32">
        <v>-1.6620000000000001E-3</v>
      </c>
      <c r="V129" s="32">
        <v>1.5460000000000001E-3</v>
      </c>
      <c r="W129" s="32">
        <v>5.5319999999999996E-3</v>
      </c>
      <c r="X129" s="32">
        <v>7.169E-3</v>
      </c>
      <c r="Y129" s="32">
        <v>-1.7863E-2</v>
      </c>
      <c r="Z129" s="32">
        <v>8.4594000000000003E-2</v>
      </c>
      <c r="AA129" s="32">
        <v>0.206594</v>
      </c>
      <c r="AB129" s="32">
        <v>0.149922</v>
      </c>
    </row>
    <row r="130" spans="1:28" ht="15.6" customHeight="1" x14ac:dyDescent="0.25">
      <c r="A130" s="24" t="s">
        <v>1169</v>
      </c>
      <c r="B130" s="50">
        <v>3652</v>
      </c>
      <c r="C130" s="25" t="s">
        <v>1170</v>
      </c>
      <c r="D130" s="25" t="s">
        <v>164</v>
      </c>
      <c r="E130" s="25" t="s">
        <v>194</v>
      </c>
      <c r="F130" s="25" t="s">
        <v>113</v>
      </c>
      <c r="G130" s="26" t="s">
        <v>1066</v>
      </c>
      <c r="H130" s="27" t="s">
        <v>115</v>
      </c>
      <c r="I130" s="24" t="s">
        <v>998</v>
      </c>
      <c r="J130" s="24" t="s">
        <v>121</v>
      </c>
      <c r="K130" s="28" t="s">
        <v>108</v>
      </c>
      <c r="L130" s="29">
        <v>0.03</v>
      </c>
      <c r="M130" s="29">
        <v>0.03</v>
      </c>
      <c r="N130" s="29">
        <v>0.02</v>
      </c>
      <c r="O130" s="27" t="s">
        <v>166</v>
      </c>
      <c r="P130" s="30" t="s">
        <v>164</v>
      </c>
      <c r="Q130" s="31">
        <v>5234299819.8699999</v>
      </c>
      <c r="R130" s="31">
        <v>218450.81</v>
      </c>
      <c r="S130" s="32">
        <v>6.0060000000000001E-3</v>
      </c>
      <c r="T130" s="32" t="s">
        <v>139</v>
      </c>
      <c r="U130" s="32">
        <v>-1.4480000000000001E-3</v>
      </c>
      <c r="V130" s="32">
        <v>2.274E-3</v>
      </c>
      <c r="W130" s="32">
        <v>8.1399999999999997E-3</v>
      </c>
      <c r="X130" s="32">
        <v>1.3457999999999999E-2</v>
      </c>
      <c r="Y130" s="32">
        <v>-1.7049999999999999E-3</v>
      </c>
      <c r="Z130" s="32">
        <v>9.8046999999999995E-2</v>
      </c>
      <c r="AA130" s="32">
        <v>0.226024</v>
      </c>
      <c r="AB130" s="32">
        <v>0.14715</v>
      </c>
    </row>
    <row r="131" spans="1:28" ht="15.6" customHeight="1" x14ac:dyDescent="0.25">
      <c r="A131" s="24" t="s">
        <v>1171</v>
      </c>
      <c r="B131" s="50">
        <v>3653</v>
      </c>
      <c r="C131" s="25" t="s">
        <v>1172</v>
      </c>
      <c r="D131" s="25" t="s">
        <v>137</v>
      </c>
      <c r="E131" s="25" t="s">
        <v>194</v>
      </c>
      <c r="F131" s="25" t="s">
        <v>113</v>
      </c>
      <c r="G131" s="26" t="s">
        <v>1168</v>
      </c>
      <c r="H131" s="27" t="s">
        <v>115</v>
      </c>
      <c r="I131" s="24" t="s">
        <v>998</v>
      </c>
      <c r="J131" s="24" t="s">
        <v>121</v>
      </c>
      <c r="K131" s="28" t="s">
        <v>108</v>
      </c>
      <c r="L131" s="29">
        <v>0</v>
      </c>
      <c r="M131" s="29">
        <v>0</v>
      </c>
      <c r="N131" s="29">
        <v>0.02</v>
      </c>
      <c r="O131" s="27" t="s">
        <v>548</v>
      </c>
      <c r="P131" s="30" t="s">
        <v>137</v>
      </c>
      <c r="Q131" s="31">
        <v>3846453790.7335792</v>
      </c>
      <c r="R131" s="31">
        <v>219471.29</v>
      </c>
      <c r="S131" s="32">
        <v>-4.1149999999999997E-3</v>
      </c>
      <c r="T131" s="32" t="s">
        <v>139</v>
      </c>
      <c r="U131" s="32">
        <v>-2.0270000000000002E-3</v>
      </c>
      <c r="V131" s="32">
        <v>1.1299999999999999E-3</v>
      </c>
      <c r="W131" s="32">
        <v>5.1590000000000004E-3</v>
      </c>
      <c r="X131" s="32">
        <v>6.9069999999999999E-3</v>
      </c>
      <c r="Y131" s="32">
        <v>-1.5372E-2</v>
      </c>
      <c r="Z131" s="32">
        <v>8.5750999999999994E-2</v>
      </c>
      <c r="AA131" s="32">
        <v>0.20788799999999999</v>
      </c>
      <c r="AB131" s="32">
        <v>0.12740499999999999</v>
      </c>
    </row>
    <row r="132" spans="1:28" ht="15.6" customHeight="1" x14ac:dyDescent="0.25">
      <c r="A132" s="24" t="s">
        <v>1173</v>
      </c>
      <c r="B132" s="50">
        <v>3654</v>
      </c>
      <c r="C132" s="25" t="s">
        <v>1174</v>
      </c>
      <c r="D132" s="25" t="s">
        <v>127</v>
      </c>
      <c r="E132" s="25" t="s">
        <v>194</v>
      </c>
      <c r="F132" s="25" t="s">
        <v>113</v>
      </c>
      <c r="G132" s="26" t="s">
        <v>1066</v>
      </c>
      <c r="H132" s="27" t="s">
        <v>115</v>
      </c>
      <c r="I132" s="24" t="s">
        <v>998</v>
      </c>
      <c r="J132" s="24" t="s">
        <v>121</v>
      </c>
      <c r="K132" s="28" t="s">
        <v>108</v>
      </c>
      <c r="L132" s="29">
        <v>0.03</v>
      </c>
      <c r="M132" s="29">
        <v>1.4999999999999999E-2</v>
      </c>
      <c r="N132" s="29">
        <v>0.02</v>
      </c>
      <c r="O132" s="27" t="s">
        <v>131</v>
      </c>
      <c r="P132" s="30" t="s">
        <v>131</v>
      </c>
      <c r="Q132" s="31">
        <v>2826202457.2600002</v>
      </c>
      <c r="R132" s="31">
        <v>245756.73</v>
      </c>
      <c r="S132" s="32">
        <v>8.3100000000000003E-4</v>
      </c>
      <c r="T132" s="32" t="s">
        <v>139</v>
      </c>
      <c r="U132" s="32">
        <v>-1.585E-3</v>
      </c>
      <c r="V132" s="32">
        <v>1.8010000000000001E-3</v>
      </c>
      <c r="W132" s="32">
        <v>6.0390000000000001E-3</v>
      </c>
      <c r="X132" s="32">
        <v>8.3999999999999995E-3</v>
      </c>
      <c r="Y132" s="32">
        <v>-1.0697999999999999E-2</v>
      </c>
      <c r="Z132" s="32">
        <v>8.1841999999999998E-2</v>
      </c>
      <c r="AA132" s="32">
        <v>0.19906799999999999</v>
      </c>
      <c r="AB132" s="32">
        <v>0.18406800000000001</v>
      </c>
    </row>
    <row r="133" spans="1:28" ht="15.6" customHeight="1" x14ac:dyDescent="0.25">
      <c r="A133" s="24" t="s">
        <v>1175</v>
      </c>
      <c r="B133" s="50">
        <v>3655</v>
      </c>
      <c r="C133" s="25" t="s">
        <v>1176</v>
      </c>
      <c r="D133" s="25" t="s">
        <v>159</v>
      </c>
      <c r="E133" s="25" t="s">
        <v>194</v>
      </c>
      <c r="F133" s="25" t="s">
        <v>113</v>
      </c>
      <c r="G133" s="26" t="s">
        <v>1066</v>
      </c>
      <c r="H133" s="27" t="s">
        <v>115</v>
      </c>
      <c r="I133" s="24" t="s">
        <v>998</v>
      </c>
      <c r="J133" s="24" t="s">
        <v>121</v>
      </c>
      <c r="K133" s="28" t="s">
        <v>108</v>
      </c>
      <c r="L133" s="29">
        <v>0</v>
      </c>
      <c r="M133" s="29">
        <v>0</v>
      </c>
      <c r="N133" s="29">
        <v>0.02</v>
      </c>
      <c r="O133" s="27" t="s">
        <v>548</v>
      </c>
      <c r="P133" s="30" t="s">
        <v>159</v>
      </c>
      <c r="Q133" s="31">
        <v>1406161629.5999999</v>
      </c>
      <c r="R133" s="31">
        <v>137026.07999999999</v>
      </c>
      <c r="S133" s="32">
        <v>3.264E-3</v>
      </c>
      <c r="T133" s="32" t="s">
        <v>139</v>
      </c>
      <c r="U133" s="32">
        <v>-1.4220000000000001E-3</v>
      </c>
      <c r="V133" s="32">
        <v>1.9970000000000001E-3</v>
      </c>
      <c r="W133" s="32">
        <v>7.8919999999999997E-3</v>
      </c>
      <c r="X133" s="32">
        <v>1.0220999999999999E-2</v>
      </c>
      <c r="Y133" s="32">
        <v>-8.1519999999999995E-3</v>
      </c>
      <c r="Z133" s="32">
        <v>8.8511000000000006E-2</v>
      </c>
      <c r="AA133" s="32">
        <v>0.20554600000000001</v>
      </c>
      <c r="AB133" s="32">
        <v>0.124843</v>
      </c>
    </row>
    <row r="134" spans="1:28" ht="15.6" customHeight="1" x14ac:dyDescent="0.25">
      <c r="A134" s="24" t="s">
        <v>1177</v>
      </c>
      <c r="B134" s="50">
        <v>3656</v>
      </c>
      <c r="C134" s="25" t="s">
        <v>1178</v>
      </c>
      <c r="D134" s="25" t="s">
        <v>159</v>
      </c>
      <c r="E134" s="25" t="s">
        <v>194</v>
      </c>
      <c r="F134" s="25" t="s">
        <v>113</v>
      </c>
      <c r="G134" s="26" t="s">
        <v>1179</v>
      </c>
      <c r="H134" s="27" t="s">
        <v>1180</v>
      </c>
      <c r="I134" s="24" t="s">
        <v>998</v>
      </c>
      <c r="J134" s="24" t="s">
        <v>121</v>
      </c>
      <c r="K134" s="28" t="s">
        <v>227</v>
      </c>
      <c r="L134" s="29">
        <v>0</v>
      </c>
      <c r="M134" s="29">
        <v>0</v>
      </c>
      <c r="N134" s="29">
        <v>0.02</v>
      </c>
      <c r="O134" s="27" t="s">
        <v>161</v>
      </c>
      <c r="P134" s="30" t="s">
        <v>159</v>
      </c>
      <c r="Q134" s="31">
        <v>10759237822.870001</v>
      </c>
      <c r="R134" s="31">
        <v>1652.21</v>
      </c>
      <c r="S134" s="32">
        <v>-9.9120000000000007E-3</v>
      </c>
      <c r="T134" s="32" t="s">
        <v>139</v>
      </c>
      <c r="U134" s="32">
        <v>-2.036E-3</v>
      </c>
      <c r="V134" s="32">
        <v>1.2669999999999999E-3</v>
      </c>
      <c r="W134" s="32">
        <v>3.1570000000000001E-3</v>
      </c>
      <c r="X134" s="32">
        <v>1.4300000000000001E-3</v>
      </c>
      <c r="Y134" s="32">
        <v>-1.5692000000000001E-2</v>
      </c>
      <c r="Z134" s="32">
        <v>8.2188999999999998E-2</v>
      </c>
      <c r="AA134" s="32">
        <v>0.19527</v>
      </c>
      <c r="AB134" s="32">
        <v>0.12737999999999999</v>
      </c>
    </row>
    <row r="135" spans="1:28" ht="15.6" customHeight="1" x14ac:dyDescent="0.25">
      <c r="A135" s="24" t="s">
        <v>299</v>
      </c>
      <c r="B135" s="50">
        <v>3657</v>
      </c>
      <c r="C135" s="25" t="s">
        <v>300</v>
      </c>
      <c r="D135" s="25" t="s">
        <v>159</v>
      </c>
      <c r="E135" s="25" t="s">
        <v>194</v>
      </c>
      <c r="F135" s="25" t="s">
        <v>155</v>
      </c>
      <c r="G135" s="26" t="s">
        <v>139</v>
      </c>
      <c r="H135" s="27" t="s">
        <v>156</v>
      </c>
      <c r="I135" s="24" t="s">
        <v>106</v>
      </c>
      <c r="J135" s="24" t="s">
        <v>107</v>
      </c>
      <c r="K135" s="28" t="s">
        <v>227</v>
      </c>
      <c r="L135" s="29">
        <v>0</v>
      </c>
      <c r="M135" s="29">
        <v>0</v>
      </c>
      <c r="N135" s="29">
        <v>0.02</v>
      </c>
      <c r="O135" s="27" t="s">
        <v>161</v>
      </c>
      <c r="P135" s="30" t="s">
        <v>159</v>
      </c>
      <c r="Q135" s="31">
        <v>15493526.380000001</v>
      </c>
      <c r="R135" s="31">
        <v>4476.6000000000004</v>
      </c>
      <c r="S135" s="32">
        <v>1.5452E-2</v>
      </c>
      <c r="T135" s="32" t="s">
        <v>139</v>
      </c>
      <c r="U135" s="32">
        <v>-7.1679999999999999E-3</v>
      </c>
      <c r="V135" s="32">
        <v>-5.1229999999999999E-3</v>
      </c>
      <c r="W135" s="32">
        <v>3.4535000000000003E-2</v>
      </c>
      <c r="X135" s="32">
        <v>0.115911</v>
      </c>
      <c r="Y135" s="32">
        <v>-9.6766000000000005E-2</v>
      </c>
      <c r="Z135" s="32">
        <v>0.35736000000000001</v>
      </c>
      <c r="AA135" s="32">
        <v>0.64126499999999997</v>
      </c>
      <c r="AB135" s="32">
        <v>0.57665599999999995</v>
      </c>
    </row>
    <row r="136" spans="1:28" ht="15.6" customHeight="1" x14ac:dyDescent="0.25">
      <c r="A136" s="24" t="s">
        <v>301</v>
      </c>
      <c r="B136" s="50">
        <v>3658</v>
      </c>
      <c r="C136" s="25" t="s">
        <v>302</v>
      </c>
      <c r="D136" s="25" t="s">
        <v>127</v>
      </c>
      <c r="E136" s="25" t="s">
        <v>194</v>
      </c>
      <c r="F136" s="25" t="s">
        <v>103</v>
      </c>
      <c r="G136" s="26" t="s">
        <v>104</v>
      </c>
      <c r="H136" s="27" t="s">
        <v>217</v>
      </c>
      <c r="I136" s="24" t="s">
        <v>106</v>
      </c>
      <c r="J136" s="24" t="s">
        <v>121</v>
      </c>
      <c r="K136" s="28" t="s">
        <v>108</v>
      </c>
      <c r="L136" s="29">
        <v>0.03</v>
      </c>
      <c r="M136" s="29">
        <v>1.4999999999999999E-2</v>
      </c>
      <c r="N136" s="29">
        <v>0.02</v>
      </c>
      <c r="O136" s="27" t="s">
        <v>131</v>
      </c>
      <c r="P136" s="30" t="s">
        <v>131</v>
      </c>
      <c r="Q136" s="31">
        <v>1597668.53</v>
      </c>
      <c r="R136" s="31">
        <v>1518.69</v>
      </c>
      <c r="S136" s="32">
        <v>1.0937000000000001E-2</v>
      </c>
      <c r="T136" s="32" t="s">
        <v>139</v>
      </c>
      <c r="U136" s="32">
        <v>4.6E-5</v>
      </c>
      <c r="V136" s="32">
        <v>1.0939999999999999E-3</v>
      </c>
      <c r="W136" s="32">
        <v>3.8739999999999998E-3</v>
      </c>
      <c r="X136" s="32">
        <v>8.0920000000000002E-3</v>
      </c>
      <c r="Y136" s="32">
        <v>1.5254999999999999E-2</v>
      </c>
      <c r="Z136" s="32">
        <v>3.4452000000000003E-2</v>
      </c>
      <c r="AA136" s="32">
        <v>6.0470999999999997E-2</v>
      </c>
      <c r="AB136" s="32">
        <v>9.0847999999999998E-2</v>
      </c>
    </row>
    <row r="137" spans="1:28" ht="15.6" customHeight="1" x14ac:dyDescent="0.25">
      <c r="A137" s="24" t="s">
        <v>303</v>
      </c>
      <c r="B137" s="50">
        <v>3659</v>
      </c>
      <c r="C137" s="25" t="s">
        <v>304</v>
      </c>
      <c r="D137" s="25" t="s">
        <v>145</v>
      </c>
      <c r="E137" s="25" t="s">
        <v>194</v>
      </c>
      <c r="F137" s="25" t="s">
        <v>155</v>
      </c>
      <c r="G137" s="26" t="s">
        <v>139</v>
      </c>
      <c r="H137" s="27" t="s">
        <v>305</v>
      </c>
      <c r="I137" s="24" t="s">
        <v>106</v>
      </c>
      <c r="J137" s="24" t="s">
        <v>107</v>
      </c>
      <c r="K137" s="28" t="s">
        <v>108</v>
      </c>
      <c r="L137" s="29">
        <v>0.02</v>
      </c>
      <c r="M137" s="29">
        <v>0.02</v>
      </c>
      <c r="N137" s="29">
        <v>0.02</v>
      </c>
      <c r="O137" s="27" t="s">
        <v>148</v>
      </c>
      <c r="P137" s="30" t="s">
        <v>145</v>
      </c>
      <c r="Q137" s="31">
        <v>1371701.48</v>
      </c>
      <c r="R137" s="31">
        <v>1884.2</v>
      </c>
      <c r="S137" s="32">
        <v>-3.5957999999999997E-2</v>
      </c>
      <c r="T137" s="32" t="s">
        <v>139</v>
      </c>
      <c r="U137" s="32">
        <v>-2.8579999999999999E-3</v>
      </c>
      <c r="V137" s="32">
        <v>-7.3699999999999998E-3</v>
      </c>
      <c r="W137" s="32">
        <v>2.4562E-2</v>
      </c>
      <c r="X137" s="32">
        <v>4.2486000000000003E-2</v>
      </c>
      <c r="Y137" s="32">
        <v>-0.130081</v>
      </c>
      <c r="Z137" s="32">
        <v>0.344887</v>
      </c>
      <c r="AA137" s="32">
        <v>0.70235400000000003</v>
      </c>
      <c r="AB137" s="32">
        <v>0.61354399999999998</v>
      </c>
    </row>
    <row r="138" spans="1:28" ht="15.6" customHeight="1" x14ac:dyDescent="0.25">
      <c r="A138" s="24" t="s">
        <v>306</v>
      </c>
      <c r="B138" s="50">
        <v>3660</v>
      </c>
      <c r="C138" s="25" t="s">
        <v>307</v>
      </c>
      <c r="D138" s="25" t="s">
        <v>159</v>
      </c>
      <c r="E138" s="25" t="s">
        <v>194</v>
      </c>
      <c r="F138" s="25" t="s">
        <v>113</v>
      </c>
      <c r="G138" s="26" t="s">
        <v>308</v>
      </c>
      <c r="H138" s="27" t="s">
        <v>309</v>
      </c>
      <c r="I138" s="24" t="s">
        <v>106</v>
      </c>
      <c r="J138" s="24" t="s">
        <v>121</v>
      </c>
      <c r="K138" s="28" t="s">
        <v>108</v>
      </c>
      <c r="L138" s="29">
        <v>0</v>
      </c>
      <c r="M138" s="29">
        <v>0</v>
      </c>
      <c r="N138" s="29">
        <v>0.02</v>
      </c>
      <c r="O138" s="27" t="s">
        <v>161</v>
      </c>
      <c r="P138" s="30" t="s">
        <v>159</v>
      </c>
      <c r="Q138" s="31">
        <v>2795003757.7199998</v>
      </c>
      <c r="R138" s="31">
        <v>1861.2</v>
      </c>
      <c r="S138" s="32">
        <v>4.4200000000000003E-3</v>
      </c>
      <c r="T138" s="32" t="s">
        <v>139</v>
      </c>
      <c r="U138" s="32">
        <v>-1.25E-3</v>
      </c>
      <c r="V138" s="32">
        <v>2.1480000000000002E-3</v>
      </c>
      <c r="W138" s="32">
        <v>6.6579999999999999E-3</v>
      </c>
      <c r="X138" s="32">
        <v>9.136E-3</v>
      </c>
      <c r="Y138" s="32">
        <v>2.6559999999999999E-3</v>
      </c>
      <c r="Z138" s="32">
        <v>7.5422000000000003E-2</v>
      </c>
      <c r="AA138" s="32">
        <v>0.177014</v>
      </c>
      <c r="AB138" s="32">
        <v>0.180178</v>
      </c>
    </row>
    <row r="139" spans="1:28" ht="15.6" customHeight="1" x14ac:dyDescent="0.25">
      <c r="A139" s="24" t="s">
        <v>310</v>
      </c>
      <c r="B139" s="50">
        <v>3661</v>
      </c>
      <c r="C139" s="25" t="s">
        <v>311</v>
      </c>
      <c r="D139" s="25" t="s">
        <v>159</v>
      </c>
      <c r="E139" s="25" t="s">
        <v>194</v>
      </c>
      <c r="F139" s="25" t="s">
        <v>103</v>
      </c>
      <c r="G139" s="26" t="s">
        <v>244</v>
      </c>
      <c r="H139" s="27" t="s">
        <v>130</v>
      </c>
      <c r="I139" s="24" t="s">
        <v>106</v>
      </c>
      <c r="J139" s="24" t="s">
        <v>107</v>
      </c>
      <c r="K139" s="28" t="s">
        <v>227</v>
      </c>
      <c r="L139" s="29">
        <v>0</v>
      </c>
      <c r="M139" s="29">
        <v>0</v>
      </c>
      <c r="N139" s="29">
        <v>0.02</v>
      </c>
      <c r="O139" s="27" t="s">
        <v>161</v>
      </c>
      <c r="P139" s="30" t="s">
        <v>159</v>
      </c>
      <c r="Q139" s="31">
        <v>7432324161.0500002</v>
      </c>
      <c r="R139" s="31">
        <v>1788.33</v>
      </c>
      <c r="S139" s="32">
        <v>1.7183E-2</v>
      </c>
      <c r="T139" s="32" t="s">
        <v>139</v>
      </c>
      <c r="U139" s="32">
        <v>1.5100000000000001E-4</v>
      </c>
      <c r="V139" s="32">
        <v>1.7030000000000001E-3</v>
      </c>
      <c r="W139" s="32">
        <v>6.1040000000000001E-3</v>
      </c>
      <c r="X139" s="32">
        <v>1.2851E-2</v>
      </c>
      <c r="Y139" s="32">
        <v>2.4285000000000001E-2</v>
      </c>
      <c r="Z139" s="32">
        <v>5.4030000000000002E-2</v>
      </c>
      <c r="AA139" s="32">
        <v>9.0457999999999997E-2</v>
      </c>
      <c r="AB139" s="32">
        <v>0.13695599999999999</v>
      </c>
    </row>
    <row r="140" spans="1:28" ht="15.6" customHeight="1" x14ac:dyDescent="0.25">
      <c r="A140" s="24" t="s">
        <v>1181</v>
      </c>
      <c r="B140" s="50">
        <v>3662</v>
      </c>
      <c r="C140" s="25" t="s">
        <v>1182</v>
      </c>
      <c r="D140" s="25" t="s">
        <v>241</v>
      </c>
      <c r="E140" s="25" t="s">
        <v>194</v>
      </c>
      <c r="F140" s="25" t="s">
        <v>155</v>
      </c>
      <c r="G140" s="26" t="s">
        <v>139</v>
      </c>
      <c r="H140" s="27" t="s">
        <v>156</v>
      </c>
      <c r="I140" s="24" t="s">
        <v>998</v>
      </c>
      <c r="J140" s="24" t="s">
        <v>107</v>
      </c>
      <c r="K140" s="28" t="s">
        <v>108</v>
      </c>
      <c r="L140" s="29">
        <v>0.03</v>
      </c>
      <c r="M140" s="29">
        <v>1.4999999999999999E-2</v>
      </c>
      <c r="N140" s="29">
        <v>1.7000000000000001E-2</v>
      </c>
      <c r="O140" s="27" t="s">
        <v>148</v>
      </c>
      <c r="P140" s="30" t="s">
        <v>241</v>
      </c>
      <c r="Q140" s="31">
        <v>110984764.97</v>
      </c>
      <c r="R140" s="31">
        <v>13400.72</v>
      </c>
      <c r="S140" s="32">
        <v>4.8780000000000004E-3</v>
      </c>
      <c r="T140" s="32" t="s">
        <v>139</v>
      </c>
      <c r="U140" s="32">
        <v>-6.0809999999999996E-3</v>
      </c>
      <c r="V140" s="32">
        <v>-1.052E-3</v>
      </c>
      <c r="W140" s="32">
        <v>4.9696999999999998E-2</v>
      </c>
      <c r="X140" s="32">
        <v>9.9016999999999994E-2</v>
      </c>
      <c r="Y140" s="32">
        <v>-9.3381000000000006E-2</v>
      </c>
      <c r="Z140" s="32">
        <v>0.38857900000000001</v>
      </c>
      <c r="AA140" s="32">
        <v>0.74175599999999997</v>
      </c>
      <c r="AB140" s="32">
        <v>0.71576700000000004</v>
      </c>
    </row>
    <row r="141" spans="1:28" ht="15.6" customHeight="1" x14ac:dyDescent="0.25">
      <c r="A141" s="24" t="s">
        <v>1183</v>
      </c>
      <c r="B141" s="50">
        <v>3663</v>
      </c>
      <c r="C141" s="25" t="s">
        <v>1184</v>
      </c>
      <c r="D141" s="25" t="s">
        <v>241</v>
      </c>
      <c r="E141" s="25" t="s">
        <v>194</v>
      </c>
      <c r="F141" s="25" t="s">
        <v>138</v>
      </c>
      <c r="G141" s="26" t="s">
        <v>139</v>
      </c>
      <c r="H141" s="27" t="s">
        <v>577</v>
      </c>
      <c r="I141" s="24" t="s">
        <v>998</v>
      </c>
      <c r="J141" s="24" t="s">
        <v>107</v>
      </c>
      <c r="K141" s="28" t="s">
        <v>108</v>
      </c>
      <c r="L141" s="29">
        <v>0.03</v>
      </c>
      <c r="M141" s="29">
        <v>1.4999999999999999E-2</v>
      </c>
      <c r="N141" s="29">
        <v>1.7000000000000001E-2</v>
      </c>
      <c r="O141" s="27" t="s">
        <v>148</v>
      </c>
      <c r="P141" s="30" t="s">
        <v>241</v>
      </c>
      <c r="Q141" s="31">
        <v>2293118664.9499998</v>
      </c>
      <c r="R141" s="31">
        <v>4150.7299999999996</v>
      </c>
      <c r="S141" s="32">
        <v>7.6199999999999998E-4</v>
      </c>
      <c r="T141" s="32" t="s">
        <v>139</v>
      </c>
      <c r="U141" s="32">
        <v>4.8690000000000001E-3</v>
      </c>
      <c r="V141" s="32">
        <v>7.8670000000000007E-3</v>
      </c>
      <c r="W141" s="32">
        <v>2.8541E-2</v>
      </c>
      <c r="X141" s="32">
        <v>5.2602999999999997E-2</v>
      </c>
      <c r="Y141" s="32">
        <v>-5.9457000000000003E-2</v>
      </c>
      <c r="Z141" s="32">
        <v>0.20122599999999999</v>
      </c>
      <c r="AA141" s="32">
        <v>0.363923</v>
      </c>
      <c r="AB141" s="32">
        <v>0.237177</v>
      </c>
    </row>
    <row r="142" spans="1:28" ht="15.6" customHeight="1" x14ac:dyDescent="0.25">
      <c r="A142" s="24" t="s">
        <v>1185</v>
      </c>
      <c r="B142" s="50">
        <v>3664</v>
      </c>
      <c r="C142" s="25" t="s">
        <v>1186</v>
      </c>
      <c r="D142" s="25" t="s">
        <v>101</v>
      </c>
      <c r="E142" s="25" t="s">
        <v>194</v>
      </c>
      <c r="F142" s="25" t="s">
        <v>113</v>
      </c>
      <c r="G142" s="26" t="s">
        <v>1160</v>
      </c>
      <c r="H142" s="27" t="s">
        <v>327</v>
      </c>
      <c r="I142" s="24" t="s">
        <v>998</v>
      </c>
      <c r="J142" s="24" t="s">
        <v>121</v>
      </c>
      <c r="K142" s="28" t="s">
        <v>227</v>
      </c>
      <c r="L142" s="29">
        <v>0.03</v>
      </c>
      <c r="M142" s="29">
        <v>1.4999999999999999E-2</v>
      </c>
      <c r="N142" s="29">
        <v>5.0000000000000001E-3</v>
      </c>
      <c r="O142" s="27" t="s">
        <v>109</v>
      </c>
      <c r="P142" s="30" t="s">
        <v>101</v>
      </c>
      <c r="Q142" s="31">
        <v>532711038.37</v>
      </c>
      <c r="R142" s="31">
        <v>114882.69</v>
      </c>
      <c r="S142" s="32">
        <v>-1.6310000000000001E-3</v>
      </c>
      <c r="T142" s="32" t="s">
        <v>139</v>
      </c>
      <c r="U142" s="32">
        <v>-1.4220000000000001E-3</v>
      </c>
      <c r="V142" s="32">
        <v>2.124E-3</v>
      </c>
      <c r="W142" s="32">
        <v>4.169E-3</v>
      </c>
      <c r="X142" s="32">
        <v>4.333E-3</v>
      </c>
      <c r="Y142" s="32">
        <v>-3.617E-3</v>
      </c>
      <c r="Z142" s="32">
        <v>8.0065999999999998E-2</v>
      </c>
      <c r="AA142" s="32">
        <v>0.18429599999999999</v>
      </c>
      <c r="AB142" s="32">
        <v>0.141954</v>
      </c>
    </row>
    <row r="143" spans="1:28" ht="15.6" customHeight="1" x14ac:dyDescent="0.25">
      <c r="A143" s="24" t="s">
        <v>312</v>
      </c>
      <c r="B143" s="50">
        <v>3665</v>
      </c>
      <c r="C143" s="25" t="s">
        <v>313</v>
      </c>
      <c r="D143" s="25" t="s">
        <v>164</v>
      </c>
      <c r="E143" s="25" t="s">
        <v>194</v>
      </c>
      <c r="F143" s="25" t="s">
        <v>103</v>
      </c>
      <c r="G143" s="26" t="s">
        <v>104</v>
      </c>
      <c r="H143" s="27" t="s">
        <v>169</v>
      </c>
      <c r="I143" s="24" t="s">
        <v>106</v>
      </c>
      <c r="J143" s="24" t="s">
        <v>107</v>
      </c>
      <c r="K143" s="28" t="s">
        <v>108</v>
      </c>
      <c r="L143" s="29">
        <v>0.02</v>
      </c>
      <c r="M143" s="29">
        <v>0.02</v>
      </c>
      <c r="N143" s="29">
        <v>0.02</v>
      </c>
      <c r="O143" s="27" t="s">
        <v>166</v>
      </c>
      <c r="P143" s="30" t="s">
        <v>164</v>
      </c>
      <c r="Q143" s="31">
        <v>4392511384.8199997</v>
      </c>
      <c r="R143" s="31">
        <v>1590.64</v>
      </c>
      <c r="S143" s="32">
        <v>1.2624E-2</v>
      </c>
      <c r="T143" s="32" t="s">
        <v>139</v>
      </c>
      <c r="U143" s="32">
        <v>3.4000000000000002E-4</v>
      </c>
      <c r="V143" s="32">
        <v>1.3849999999999999E-3</v>
      </c>
      <c r="W143" s="32">
        <v>4.4580000000000002E-3</v>
      </c>
      <c r="X143" s="32">
        <v>9.0080000000000004E-3</v>
      </c>
      <c r="Y143" s="32">
        <v>1.8218000000000002E-2</v>
      </c>
      <c r="Z143" s="32">
        <v>4.0538999999999999E-2</v>
      </c>
      <c r="AA143" s="32">
        <v>6.7937999999999998E-2</v>
      </c>
      <c r="AB143" s="32">
        <v>0.10531699999999999</v>
      </c>
    </row>
    <row r="144" spans="1:28" ht="15.6" customHeight="1" x14ac:dyDescent="0.25">
      <c r="A144" s="24" t="s">
        <v>1187</v>
      </c>
      <c r="B144" s="50">
        <v>3666</v>
      </c>
      <c r="C144" s="25" t="s">
        <v>1188</v>
      </c>
      <c r="D144" s="25" t="s">
        <v>101</v>
      </c>
      <c r="E144" s="25" t="s">
        <v>194</v>
      </c>
      <c r="F144" s="25" t="s">
        <v>113</v>
      </c>
      <c r="G144" s="26" t="s">
        <v>1160</v>
      </c>
      <c r="H144" s="27" t="s">
        <v>839</v>
      </c>
      <c r="I144" s="24" t="s">
        <v>998</v>
      </c>
      <c r="J144" s="24" t="s">
        <v>121</v>
      </c>
      <c r="K144" s="28" t="s">
        <v>227</v>
      </c>
      <c r="L144" s="29">
        <v>0.03</v>
      </c>
      <c r="M144" s="29">
        <v>1.4999999999999999E-2</v>
      </c>
      <c r="N144" s="29">
        <v>5.0000000000000001E-3</v>
      </c>
      <c r="O144" s="27" t="s">
        <v>109</v>
      </c>
      <c r="P144" s="30" t="s">
        <v>101</v>
      </c>
      <c r="Q144" s="31">
        <v>560045048.72000003</v>
      </c>
      <c r="R144" s="31">
        <v>109898.95</v>
      </c>
      <c r="S144" s="32">
        <v>-1.488E-3</v>
      </c>
      <c r="T144" s="32" t="s">
        <v>139</v>
      </c>
      <c r="U144" s="32">
        <v>-1.366E-3</v>
      </c>
      <c r="V144" s="32">
        <v>2.199E-3</v>
      </c>
      <c r="W144" s="32">
        <v>4.0899999999999999E-3</v>
      </c>
      <c r="X144" s="32">
        <v>4.4099999999999999E-3</v>
      </c>
      <c r="Y144" s="32">
        <v>-3.2699999999999999E-3</v>
      </c>
      <c r="Z144" s="32">
        <v>8.0419000000000004E-2</v>
      </c>
      <c r="AA144" s="32">
        <v>0.18435699999999999</v>
      </c>
      <c r="AB144" s="32">
        <v>0.145341</v>
      </c>
    </row>
    <row r="145" spans="1:28" ht="15.6" customHeight="1" x14ac:dyDescent="0.25">
      <c r="A145" s="24" t="s">
        <v>1189</v>
      </c>
      <c r="B145" s="50">
        <v>3667</v>
      </c>
      <c r="C145" s="25" t="s">
        <v>1190</v>
      </c>
      <c r="D145" s="25" t="s">
        <v>145</v>
      </c>
      <c r="E145" s="25" t="s">
        <v>194</v>
      </c>
      <c r="F145" s="25" t="s">
        <v>138</v>
      </c>
      <c r="G145" s="26" t="s">
        <v>139</v>
      </c>
      <c r="H145" s="27" t="s">
        <v>1191</v>
      </c>
      <c r="I145" s="24" t="s">
        <v>998</v>
      </c>
      <c r="J145" s="24" t="s">
        <v>121</v>
      </c>
      <c r="K145" s="28" t="s">
        <v>108</v>
      </c>
      <c r="L145" s="29">
        <v>0.01</v>
      </c>
      <c r="M145" s="29">
        <v>0.01</v>
      </c>
      <c r="N145" s="29">
        <v>0.02</v>
      </c>
      <c r="O145" s="27" t="s">
        <v>148</v>
      </c>
      <c r="P145" s="30" t="s">
        <v>145</v>
      </c>
      <c r="Q145" s="31">
        <v>523045728.25999999</v>
      </c>
      <c r="R145" s="31">
        <v>2088.9299999999998</v>
      </c>
      <c r="S145" s="32">
        <v>8.2780000000000006E-3</v>
      </c>
      <c r="T145" s="32" t="s">
        <v>139</v>
      </c>
      <c r="U145" s="32">
        <v>-3.3110000000000001E-3</v>
      </c>
      <c r="V145" s="32">
        <v>1.088E-3</v>
      </c>
      <c r="W145" s="32">
        <v>1.8806E-2</v>
      </c>
      <c r="X145" s="32">
        <v>4.1549000000000003E-2</v>
      </c>
      <c r="Y145" s="32">
        <v>6.5250000000000004E-3</v>
      </c>
      <c r="Z145" s="32">
        <v>0.23549600000000001</v>
      </c>
      <c r="AA145" s="32">
        <v>0.41496100000000002</v>
      </c>
      <c r="AB145" s="32">
        <v>0.37031599999999998</v>
      </c>
    </row>
    <row r="146" spans="1:28" ht="15.6" customHeight="1" x14ac:dyDescent="0.25">
      <c r="A146" s="24" t="s">
        <v>1192</v>
      </c>
      <c r="B146" s="50">
        <v>3668</v>
      </c>
      <c r="C146" s="25" t="s">
        <v>1193</v>
      </c>
      <c r="D146" s="25" t="s">
        <v>261</v>
      </c>
      <c r="E146" s="25" t="s">
        <v>194</v>
      </c>
      <c r="F146" s="25" t="s">
        <v>113</v>
      </c>
      <c r="G146" s="26" t="s">
        <v>1194</v>
      </c>
      <c r="H146" s="27" t="s">
        <v>1195</v>
      </c>
      <c r="I146" s="24" t="s">
        <v>998</v>
      </c>
      <c r="J146" s="24" t="s">
        <v>107</v>
      </c>
      <c r="K146" s="28" t="s">
        <v>108</v>
      </c>
      <c r="L146" s="29">
        <v>1.4999999999999999E-2</v>
      </c>
      <c r="M146" s="29">
        <v>3.0000000000000001E-3</v>
      </c>
      <c r="N146" s="29">
        <v>0.01</v>
      </c>
      <c r="O146" s="27" t="s">
        <v>262</v>
      </c>
      <c r="P146" s="30" t="s">
        <v>261</v>
      </c>
      <c r="Q146" s="31">
        <v>90203227.849999994</v>
      </c>
      <c r="R146" s="31">
        <v>166.62</v>
      </c>
      <c r="S146" s="32">
        <v>-6.4400000000000004E-3</v>
      </c>
      <c r="T146" s="32" t="s">
        <v>139</v>
      </c>
      <c r="U146" s="32">
        <v>-1.977E-3</v>
      </c>
      <c r="V146" s="32">
        <v>8.4099999999999995E-4</v>
      </c>
      <c r="W146" s="32">
        <v>6.2810000000000001E-3</v>
      </c>
      <c r="X146" s="32">
        <v>6.038E-3</v>
      </c>
      <c r="Y146" s="32">
        <v>-1.7975999999999999E-2</v>
      </c>
      <c r="Z146" s="32">
        <v>7.2545999999999999E-2</v>
      </c>
      <c r="AA146" s="32">
        <v>0.17994499999999999</v>
      </c>
      <c r="AB146" s="32">
        <v>4.3593E-2</v>
      </c>
    </row>
    <row r="147" spans="1:28" ht="15.6" customHeight="1" x14ac:dyDescent="0.25">
      <c r="A147" s="24" t="s">
        <v>1196</v>
      </c>
      <c r="B147" s="50">
        <v>3669</v>
      </c>
      <c r="C147" s="25" t="s">
        <v>1197</v>
      </c>
      <c r="D147" s="25" t="s">
        <v>261</v>
      </c>
      <c r="E147" s="25" t="s">
        <v>194</v>
      </c>
      <c r="F147" s="25" t="s">
        <v>113</v>
      </c>
      <c r="G147" s="26" t="s">
        <v>1160</v>
      </c>
      <c r="H147" s="27" t="s">
        <v>115</v>
      </c>
      <c r="I147" s="24" t="s">
        <v>998</v>
      </c>
      <c r="J147" s="24" t="s">
        <v>107</v>
      </c>
      <c r="K147" s="28" t="s">
        <v>108</v>
      </c>
      <c r="L147" s="29">
        <v>1.4999999999999999E-2</v>
      </c>
      <c r="M147" s="29">
        <v>3.0000000000000001E-3</v>
      </c>
      <c r="N147" s="29">
        <v>0.01</v>
      </c>
      <c r="O147" s="27" t="s">
        <v>262</v>
      </c>
      <c r="P147" s="30" t="s">
        <v>261</v>
      </c>
      <c r="Q147" s="31">
        <v>13376324.789999999</v>
      </c>
      <c r="R147" s="31">
        <v>153.84</v>
      </c>
      <c r="S147" s="32">
        <v>3.392E-3</v>
      </c>
      <c r="T147" s="32" t="s">
        <v>139</v>
      </c>
      <c r="U147" s="32">
        <v>-9.7400000000000004E-4</v>
      </c>
      <c r="V147" s="32">
        <v>1.758E-3</v>
      </c>
      <c r="W147" s="32">
        <v>4.6369999999999996E-3</v>
      </c>
      <c r="X147" s="32">
        <v>5.8190000000000004E-3</v>
      </c>
      <c r="Y147" s="32">
        <v>2.4759999999999999E-3</v>
      </c>
      <c r="Z147" s="32">
        <v>5.9504000000000001E-2</v>
      </c>
      <c r="AA147" s="32">
        <v>0.140569</v>
      </c>
      <c r="AB147" s="32">
        <v>-4.0140000000000002E-3</v>
      </c>
    </row>
    <row r="148" spans="1:28" ht="15.6" customHeight="1" x14ac:dyDescent="0.25">
      <c r="A148" s="24" t="s">
        <v>1198</v>
      </c>
      <c r="B148" s="50">
        <v>3670</v>
      </c>
      <c r="C148" s="25" t="s">
        <v>1199</v>
      </c>
      <c r="D148" s="25" t="s">
        <v>164</v>
      </c>
      <c r="E148" s="25" t="s">
        <v>194</v>
      </c>
      <c r="F148" s="25" t="s">
        <v>113</v>
      </c>
      <c r="G148" s="26" t="s">
        <v>1109</v>
      </c>
      <c r="H148" s="27" t="s">
        <v>1157</v>
      </c>
      <c r="I148" s="24" t="s">
        <v>998</v>
      </c>
      <c r="J148" s="24" t="s">
        <v>121</v>
      </c>
      <c r="K148" s="28" t="s">
        <v>108</v>
      </c>
      <c r="L148" s="29">
        <v>0.03</v>
      </c>
      <c r="M148" s="29">
        <v>0.03</v>
      </c>
      <c r="N148" s="29">
        <v>0.02</v>
      </c>
      <c r="O148" s="27" t="s">
        <v>166</v>
      </c>
      <c r="P148" s="30" t="s">
        <v>164</v>
      </c>
      <c r="Q148" s="31">
        <v>6062689.7999999998</v>
      </c>
      <c r="R148" s="31">
        <v>2012.18</v>
      </c>
      <c r="S148" s="32">
        <v>2.6764E-2</v>
      </c>
      <c r="T148" s="32" t="s">
        <v>139</v>
      </c>
      <c r="U148" s="32">
        <v>-1.5529999999999999E-3</v>
      </c>
      <c r="V148" s="32">
        <v>2.0720000000000001E-3</v>
      </c>
      <c r="W148" s="32">
        <v>6.5329999999999997E-3</v>
      </c>
      <c r="X148" s="32">
        <v>1.4603E-2</v>
      </c>
      <c r="Y148" s="32">
        <v>2.5142000000000001E-2</v>
      </c>
      <c r="Z148" s="32">
        <v>0.119626</v>
      </c>
      <c r="AA148" s="32">
        <v>0.212836</v>
      </c>
      <c r="AB148" s="32">
        <v>0.185476</v>
      </c>
    </row>
    <row r="149" spans="1:28" ht="15.6" customHeight="1" x14ac:dyDescent="0.25">
      <c r="A149" s="24" t="s">
        <v>1200</v>
      </c>
      <c r="B149" s="50">
        <v>3675</v>
      </c>
      <c r="C149" s="25" t="s">
        <v>1201</v>
      </c>
      <c r="D149" s="25" t="s">
        <v>137</v>
      </c>
      <c r="E149" s="25" t="s">
        <v>194</v>
      </c>
      <c r="F149" s="25" t="s">
        <v>155</v>
      </c>
      <c r="G149" s="26" t="s">
        <v>139</v>
      </c>
      <c r="H149" s="27" t="s">
        <v>202</v>
      </c>
      <c r="I149" s="24" t="s">
        <v>998</v>
      </c>
      <c r="J149" s="24" t="s">
        <v>107</v>
      </c>
      <c r="K149" s="28" t="s">
        <v>108</v>
      </c>
      <c r="L149" s="29">
        <v>8.5000000000000006E-3</v>
      </c>
      <c r="M149" s="29">
        <v>8.5000000000000006E-3</v>
      </c>
      <c r="N149" s="29">
        <v>0.02</v>
      </c>
      <c r="O149" s="27" t="s">
        <v>166</v>
      </c>
      <c r="P149" s="30" t="s">
        <v>137</v>
      </c>
      <c r="Q149" s="31">
        <v>32935292.811887</v>
      </c>
      <c r="R149" s="31">
        <v>171.22</v>
      </c>
      <c r="S149" s="32">
        <v>8.7790000000000003E-3</v>
      </c>
      <c r="T149" s="32" t="s">
        <v>139</v>
      </c>
      <c r="U149" s="32">
        <v>-1.6428999999999999E-2</v>
      </c>
      <c r="V149" s="32">
        <v>-1.5751000000000001E-2</v>
      </c>
      <c r="W149" s="32">
        <v>2.5330999999999999E-2</v>
      </c>
      <c r="X149" s="32">
        <v>0.118281</v>
      </c>
      <c r="Y149" s="32">
        <v>-0.108043</v>
      </c>
      <c r="Z149" s="32">
        <v>0.37548199999999998</v>
      </c>
      <c r="AA149" s="32">
        <v>0.67649099999999995</v>
      </c>
      <c r="AB149" s="32">
        <v>0.49877500000000002</v>
      </c>
    </row>
    <row r="150" spans="1:28" ht="15.6" customHeight="1" x14ac:dyDescent="0.25">
      <c r="A150" s="24" t="s">
        <v>314</v>
      </c>
      <c r="B150" s="50">
        <v>3677</v>
      </c>
      <c r="C150" s="25" t="s">
        <v>315</v>
      </c>
      <c r="D150" s="25" t="s">
        <v>316</v>
      </c>
      <c r="E150" s="25" t="s">
        <v>194</v>
      </c>
      <c r="F150" s="25" t="s">
        <v>103</v>
      </c>
      <c r="G150" s="26" t="s">
        <v>244</v>
      </c>
      <c r="H150" s="27" t="s">
        <v>317</v>
      </c>
      <c r="I150" s="24" t="s">
        <v>106</v>
      </c>
      <c r="J150" s="24" t="s">
        <v>107</v>
      </c>
      <c r="K150" s="28" t="s">
        <v>108</v>
      </c>
      <c r="L150" s="29">
        <v>0.03</v>
      </c>
      <c r="M150" s="29">
        <v>0.03</v>
      </c>
      <c r="N150" s="29">
        <v>0.02</v>
      </c>
      <c r="O150" s="27" t="s">
        <v>166</v>
      </c>
      <c r="P150" s="30" t="s">
        <v>316</v>
      </c>
      <c r="Q150" s="31">
        <v>1097577657.1800001</v>
      </c>
      <c r="R150" s="31">
        <v>1589.7</v>
      </c>
      <c r="S150" s="32">
        <v>1.5782999999999998E-2</v>
      </c>
      <c r="T150" s="32" t="s">
        <v>139</v>
      </c>
      <c r="U150" s="32">
        <v>1.13E-4</v>
      </c>
      <c r="V150" s="32">
        <v>1.5250000000000001E-3</v>
      </c>
      <c r="W150" s="32">
        <v>5.2360000000000002E-3</v>
      </c>
      <c r="X150" s="32">
        <v>1.1549E-2</v>
      </c>
      <c r="Y150" s="32">
        <v>2.2603999999999999E-2</v>
      </c>
      <c r="Z150" s="32">
        <v>5.0229000000000003E-2</v>
      </c>
      <c r="AA150" s="32">
        <v>8.4615999999999997E-2</v>
      </c>
      <c r="AB150" s="32">
        <v>0.12795899999999999</v>
      </c>
    </row>
    <row r="151" spans="1:28" ht="15.6" customHeight="1" x14ac:dyDescent="0.25">
      <c r="A151" s="24" t="s">
        <v>1202</v>
      </c>
      <c r="B151" s="50">
        <v>3678</v>
      </c>
      <c r="C151" s="25" t="s">
        <v>1203</v>
      </c>
      <c r="D151" s="25" t="s">
        <v>316</v>
      </c>
      <c r="E151" s="25" t="s">
        <v>194</v>
      </c>
      <c r="F151" s="25" t="s">
        <v>138</v>
      </c>
      <c r="G151" s="26" t="s">
        <v>139</v>
      </c>
      <c r="H151" s="27" t="s">
        <v>1204</v>
      </c>
      <c r="I151" s="24" t="s">
        <v>998</v>
      </c>
      <c r="J151" s="24" t="s">
        <v>107</v>
      </c>
      <c r="K151" s="28" t="s">
        <v>108</v>
      </c>
      <c r="L151" s="29">
        <v>0.03</v>
      </c>
      <c r="M151" s="29">
        <v>0.03</v>
      </c>
      <c r="N151" s="29">
        <v>0.02</v>
      </c>
      <c r="O151" s="27" t="s">
        <v>166</v>
      </c>
      <c r="P151" s="30" t="s">
        <v>316</v>
      </c>
      <c r="Q151" s="31">
        <v>3124020576.98</v>
      </c>
      <c r="R151" s="31">
        <v>2469.36</v>
      </c>
      <c r="S151" s="32">
        <v>-5.5376000000000002E-2</v>
      </c>
      <c r="T151" s="32" t="s">
        <v>139</v>
      </c>
      <c r="U151" s="32">
        <v>-7.4159999999999998E-3</v>
      </c>
      <c r="V151" s="32">
        <v>-1.1619000000000001E-2</v>
      </c>
      <c r="W151" s="32">
        <v>1.6428000000000002E-2</v>
      </c>
      <c r="X151" s="32">
        <v>2.0168999999999999E-2</v>
      </c>
      <c r="Y151" s="32">
        <v>-0.125862</v>
      </c>
      <c r="Z151" s="32">
        <v>0.103112</v>
      </c>
      <c r="AA151" s="32">
        <v>0.29214800000000002</v>
      </c>
      <c r="AB151" s="32">
        <v>0.12532599999999999</v>
      </c>
    </row>
    <row r="152" spans="1:28" ht="15.6" customHeight="1" x14ac:dyDescent="0.25">
      <c r="A152" s="24" t="s">
        <v>1205</v>
      </c>
      <c r="B152" s="50">
        <v>3679</v>
      </c>
      <c r="C152" s="25" t="s">
        <v>0</v>
      </c>
      <c r="D152" s="25" t="s">
        <v>316</v>
      </c>
      <c r="E152" s="25" t="s">
        <v>194</v>
      </c>
      <c r="F152" s="25" t="s">
        <v>155</v>
      </c>
      <c r="G152" s="26" t="s">
        <v>139</v>
      </c>
      <c r="H152" s="27" t="s">
        <v>156</v>
      </c>
      <c r="I152" s="24" t="s">
        <v>998</v>
      </c>
      <c r="J152" s="24" t="s">
        <v>107</v>
      </c>
      <c r="K152" s="28" t="s">
        <v>108</v>
      </c>
      <c r="L152" s="29">
        <v>0.03</v>
      </c>
      <c r="M152" s="29">
        <v>0.03</v>
      </c>
      <c r="N152" s="29">
        <v>0.02</v>
      </c>
      <c r="O152" s="27" t="s">
        <v>166</v>
      </c>
      <c r="P152" s="30" t="s">
        <v>316</v>
      </c>
      <c r="Q152" s="31">
        <v>962274528.51999998</v>
      </c>
      <c r="R152" s="31">
        <v>2953.19</v>
      </c>
      <c r="S152" s="32">
        <v>2.1280000000000001E-3</v>
      </c>
      <c r="T152" s="32" t="s">
        <v>139</v>
      </c>
      <c r="U152" s="32">
        <v>-7.7479999999999997E-3</v>
      </c>
      <c r="V152" s="32">
        <v>-5.5030000000000001E-3</v>
      </c>
      <c r="W152" s="32">
        <v>4.0259000000000003E-2</v>
      </c>
      <c r="X152" s="32">
        <v>0.107644</v>
      </c>
      <c r="Y152" s="32">
        <v>-0.108447</v>
      </c>
      <c r="Z152" s="32">
        <v>0.332204</v>
      </c>
      <c r="AA152" s="32">
        <v>0.65638799999999997</v>
      </c>
      <c r="AB152" s="32">
        <v>0.45761000000000002</v>
      </c>
    </row>
    <row r="153" spans="1:28" ht="15.6" customHeight="1" x14ac:dyDescent="0.25">
      <c r="A153" s="24" t="s">
        <v>1206</v>
      </c>
      <c r="B153" s="50">
        <v>3683</v>
      </c>
      <c r="C153" s="25" t="s">
        <v>1207</v>
      </c>
      <c r="D153" s="25" t="s">
        <v>145</v>
      </c>
      <c r="E153" s="25" t="s">
        <v>194</v>
      </c>
      <c r="F153" s="25" t="s">
        <v>138</v>
      </c>
      <c r="G153" s="26" t="s">
        <v>139</v>
      </c>
      <c r="H153" s="27" t="s">
        <v>521</v>
      </c>
      <c r="I153" s="24" t="s">
        <v>998</v>
      </c>
      <c r="J153" s="24" t="s">
        <v>121</v>
      </c>
      <c r="K153" s="28" t="s">
        <v>108</v>
      </c>
      <c r="L153" s="29">
        <v>0</v>
      </c>
      <c r="M153" s="29">
        <v>0</v>
      </c>
      <c r="N153" s="29">
        <v>6.0000000000000001E-3</v>
      </c>
      <c r="O153" s="27" t="s">
        <v>148</v>
      </c>
      <c r="P153" s="30" t="s">
        <v>145</v>
      </c>
      <c r="Q153" s="31">
        <v>1862242799.7</v>
      </c>
      <c r="R153" s="31">
        <v>2951.02</v>
      </c>
      <c r="S153" s="32">
        <v>-1.614E-3</v>
      </c>
      <c r="T153" s="32" t="s">
        <v>139</v>
      </c>
      <c r="U153" s="32">
        <v>-3.0200000000000001E-3</v>
      </c>
      <c r="V153" s="32">
        <v>4.4799999999999999E-4</v>
      </c>
      <c r="W153" s="32">
        <v>1.3887E-2</v>
      </c>
      <c r="X153" s="32">
        <v>2.9829999999999999E-2</v>
      </c>
      <c r="Y153" s="32">
        <v>-3.7266000000000001E-2</v>
      </c>
      <c r="Z153" s="32">
        <v>0.17077500000000001</v>
      </c>
      <c r="AA153" s="32">
        <v>0.38135000000000002</v>
      </c>
      <c r="AB153" s="32">
        <v>0.29947600000000002</v>
      </c>
    </row>
    <row r="154" spans="1:28" ht="15.6" customHeight="1" x14ac:dyDescent="0.25">
      <c r="A154" s="24" t="s">
        <v>1208</v>
      </c>
      <c r="B154" s="50">
        <v>3684</v>
      </c>
      <c r="C154" s="25" t="s">
        <v>1209</v>
      </c>
      <c r="D154" s="25" t="s">
        <v>164</v>
      </c>
      <c r="E154" s="25" t="s">
        <v>194</v>
      </c>
      <c r="F154" s="25" t="s">
        <v>138</v>
      </c>
      <c r="G154" s="26" t="s">
        <v>139</v>
      </c>
      <c r="H154" s="27" t="s">
        <v>1210</v>
      </c>
      <c r="I154" s="24" t="s">
        <v>998</v>
      </c>
      <c r="J154" s="24" t="s">
        <v>121</v>
      </c>
      <c r="K154" s="28" t="s">
        <v>108</v>
      </c>
      <c r="L154" s="29">
        <v>0.03</v>
      </c>
      <c r="M154" s="29">
        <v>1.4999999999999999E-2</v>
      </c>
      <c r="N154" s="29">
        <v>0.02</v>
      </c>
      <c r="O154" s="27" t="s">
        <v>166</v>
      </c>
      <c r="P154" s="30" t="s">
        <v>164</v>
      </c>
      <c r="Q154" s="31">
        <v>1715986270.78</v>
      </c>
      <c r="R154" s="31">
        <v>279749.96000000002</v>
      </c>
      <c r="S154" s="32">
        <v>1.8467000000000001E-2</v>
      </c>
      <c r="T154" s="32" t="s">
        <v>139</v>
      </c>
      <c r="U154" s="32">
        <v>-3.4259999999999998E-3</v>
      </c>
      <c r="V154" s="32">
        <v>4.568E-3</v>
      </c>
      <c r="W154" s="32">
        <v>1.9685000000000001E-2</v>
      </c>
      <c r="X154" s="32">
        <v>4.5251E-2</v>
      </c>
      <c r="Y154" s="32">
        <v>-1.5841000000000001E-2</v>
      </c>
      <c r="Z154" s="32">
        <v>0.20618900000000001</v>
      </c>
      <c r="AA154" s="32">
        <v>0.40815200000000001</v>
      </c>
      <c r="AB154" s="32">
        <v>0.32320100000000002</v>
      </c>
    </row>
    <row r="155" spans="1:28" ht="15.6" customHeight="1" x14ac:dyDescent="0.25">
      <c r="A155" s="24" t="s">
        <v>1211</v>
      </c>
      <c r="B155" s="50">
        <v>3686</v>
      </c>
      <c r="C155" s="25" t="s">
        <v>1212</v>
      </c>
      <c r="D155" s="25" t="s">
        <v>316</v>
      </c>
      <c r="E155" s="25" t="s">
        <v>194</v>
      </c>
      <c r="F155" s="25" t="s">
        <v>113</v>
      </c>
      <c r="G155" s="26" t="s">
        <v>1213</v>
      </c>
      <c r="H155" s="27" t="s">
        <v>327</v>
      </c>
      <c r="I155" s="24" t="s">
        <v>998</v>
      </c>
      <c r="J155" s="24" t="s">
        <v>107</v>
      </c>
      <c r="K155" s="28" t="s">
        <v>108</v>
      </c>
      <c r="L155" s="29">
        <v>0.03</v>
      </c>
      <c r="M155" s="29">
        <v>0.03</v>
      </c>
      <c r="N155" s="29">
        <v>0.02</v>
      </c>
      <c r="O155" s="27" t="s">
        <v>166</v>
      </c>
      <c r="P155" s="30" t="s">
        <v>316</v>
      </c>
      <c r="Q155" s="31">
        <v>1853005720.03</v>
      </c>
      <c r="R155" s="31">
        <v>1604.35</v>
      </c>
      <c r="S155" s="32">
        <v>-2.2889999999999998E-3</v>
      </c>
      <c r="T155" s="32" t="s">
        <v>139</v>
      </c>
      <c r="U155" s="32">
        <v>-1.9970000000000001E-3</v>
      </c>
      <c r="V155" s="32">
        <v>1.0300000000000001E-3</v>
      </c>
      <c r="W155" s="32">
        <v>7.1190000000000003E-3</v>
      </c>
      <c r="X155" s="32">
        <v>7.7450000000000001E-3</v>
      </c>
      <c r="Y155" s="32">
        <v>-1.3139E-2</v>
      </c>
      <c r="Z155" s="32">
        <v>6.3786999999999996E-2</v>
      </c>
      <c r="AA155" s="32">
        <v>0.14693899999999999</v>
      </c>
      <c r="AB155" s="32">
        <v>8.8860999999999996E-2</v>
      </c>
    </row>
    <row r="156" spans="1:28" ht="15.6" customHeight="1" x14ac:dyDescent="0.25">
      <c r="A156" s="24" t="s">
        <v>318</v>
      </c>
      <c r="B156" s="50">
        <v>3687</v>
      </c>
      <c r="C156" s="25" t="s">
        <v>319</v>
      </c>
      <c r="D156" s="25" t="s">
        <v>316</v>
      </c>
      <c r="E156" s="25" t="s">
        <v>194</v>
      </c>
      <c r="F156" s="25" t="s">
        <v>128</v>
      </c>
      <c r="G156" s="26" t="s">
        <v>275</v>
      </c>
      <c r="H156" s="27" t="s">
        <v>130</v>
      </c>
      <c r="I156" s="24" t="s">
        <v>106</v>
      </c>
      <c r="J156" s="24" t="s">
        <v>107</v>
      </c>
      <c r="K156" s="28" t="s">
        <v>108</v>
      </c>
      <c r="L156" s="29">
        <v>0.02</v>
      </c>
      <c r="M156" s="29">
        <v>0.02</v>
      </c>
      <c r="N156" s="29">
        <v>0.02</v>
      </c>
      <c r="O156" s="27" t="s">
        <v>166</v>
      </c>
      <c r="P156" s="30" t="s">
        <v>316</v>
      </c>
      <c r="Q156" s="31">
        <v>932508530.36000001</v>
      </c>
      <c r="R156" s="31">
        <v>1602.41</v>
      </c>
      <c r="S156" s="32">
        <v>1.6299999999999999E-2</v>
      </c>
      <c r="T156" s="32" t="s">
        <v>139</v>
      </c>
      <c r="U156" s="32">
        <v>-2.81E-4</v>
      </c>
      <c r="V156" s="32">
        <v>1.7880000000000001E-3</v>
      </c>
      <c r="W156" s="32">
        <v>5.8500000000000002E-3</v>
      </c>
      <c r="X156" s="32">
        <v>1.2818E-2</v>
      </c>
      <c r="Y156" s="32">
        <v>2.2492999999999999E-2</v>
      </c>
      <c r="Z156" s="32">
        <v>5.7313000000000003E-2</v>
      </c>
      <c r="AA156" s="32">
        <v>9.9740999999999996E-2</v>
      </c>
      <c r="AB156" s="32">
        <v>0.14311699999999999</v>
      </c>
    </row>
    <row r="157" spans="1:28" ht="15.6" customHeight="1" x14ac:dyDescent="0.25">
      <c r="A157" s="24" t="s">
        <v>1214</v>
      </c>
      <c r="B157" s="50">
        <v>3689</v>
      </c>
      <c r="C157" s="25" t="s">
        <v>1215</v>
      </c>
      <c r="D157" s="25" t="s">
        <v>101</v>
      </c>
      <c r="E157" s="25" t="s">
        <v>194</v>
      </c>
      <c r="F157" s="25" t="s">
        <v>128</v>
      </c>
      <c r="G157" s="26" t="s">
        <v>250</v>
      </c>
      <c r="H157" s="27" t="s">
        <v>130</v>
      </c>
      <c r="I157" s="24" t="s">
        <v>998</v>
      </c>
      <c r="J157" s="24" t="s">
        <v>121</v>
      </c>
      <c r="K157" s="28" t="s">
        <v>108</v>
      </c>
      <c r="L157" s="29">
        <v>0.03</v>
      </c>
      <c r="M157" s="29">
        <v>1.4999999999999999E-2</v>
      </c>
      <c r="N157" s="29">
        <v>0.02</v>
      </c>
      <c r="O157" s="27" t="s">
        <v>262</v>
      </c>
      <c r="P157" s="30" t="s">
        <v>101</v>
      </c>
      <c r="Q157" s="31">
        <v>1291638263.3499999</v>
      </c>
      <c r="R157" s="31">
        <v>150523.04999999999</v>
      </c>
      <c r="S157" s="32">
        <v>1.4276E-2</v>
      </c>
      <c r="T157" s="32" t="s">
        <v>139</v>
      </c>
      <c r="U157" s="32">
        <v>-3.3000000000000003E-5</v>
      </c>
      <c r="V157" s="32">
        <v>1.4809999999999999E-3</v>
      </c>
      <c r="W157" s="32">
        <v>5.5360000000000001E-3</v>
      </c>
      <c r="X157" s="32">
        <v>1.1240999999999999E-2</v>
      </c>
      <c r="Y157" s="32">
        <v>1.9644999999999999E-2</v>
      </c>
      <c r="Z157" s="32">
        <v>4.4805999999999999E-2</v>
      </c>
      <c r="AA157" s="32">
        <v>6.8143999999999996E-2</v>
      </c>
      <c r="AB157" s="32">
        <v>9.0490000000000001E-2</v>
      </c>
    </row>
    <row r="158" spans="1:28" ht="15.6" customHeight="1" x14ac:dyDescent="0.25">
      <c r="A158" s="24" t="s">
        <v>320</v>
      </c>
      <c r="B158" s="50">
        <v>3690</v>
      </c>
      <c r="C158" s="25" t="s">
        <v>321</v>
      </c>
      <c r="D158" s="25" t="s">
        <v>322</v>
      </c>
      <c r="E158" s="25" t="s">
        <v>194</v>
      </c>
      <c r="F158" s="25" t="s">
        <v>103</v>
      </c>
      <c r="G158" s="26" t="s">
        <v>216</v>
      </c>
      <c r="H158" s="27" t="s">
        <v>323</v>
      </c>
      <c r="I158" s="24" t="s">
        <v>106</v>
      </c>
      <c r="J158" s="24" t="s">
        <v>107</v>
      </c>
      <c r="K158" s="28" t="s">
        <v>108</v>
      </c>
      <c r="L158" s="29">
        <v>0.03</v>
      </c>
      <c r="M158" s="29">
        <v>1.4999999999999999E-2</v>
      </c>
      <c r="N158" s="29">
        <v>0.02</v>
      </c>
      <c r="O158" s="27" t="s">
        <v>166</v>
      </c>
      <c r="P158" s="30" t="s">
        <v>322</v>
      </c>
      <c r="Q158" s="31">
        <v>243917021.78999999</v>
      </c>
      <c r="R158" s="31">
        <v>158.80000000000001</v>
      </c>
      <c r="S158" s="32">
        <v>2.4185999999999999E-2</v>
      </c>
      <c r="T158" s="32" t="s">
        <v>139</v>
      </c>
      <c r="U158" s="32">
        <v>-6.3E-5</v>
      </c>
      <c r="V158" s="32">
        <v>8.1899999999999996E-4</v>
      </c>
      <c r="W158" s="32">
        <v>1.8731999999999999E-2</v>
      </c>
      <c r="X158" s="32">
        <v>2.2075999999999998E-2</v>
      </c>
      <c r="Y158" s="32">
        <v>3.2509999999999997E-2</v>
      </c>
      <c r="Z158" s="32">
        <v>4.6595999999999999E-2</v>
      </c>
      <c r="AA158" s="32">
        <v>7.1669999999999998E-2</v>
      </c>
      <c r="AB158" s="32">
        <v>0.114464</v>
      </c>
    </row>
    <row r="159" spans="1:28" ht="15.6" customHeight="1" x14ac:dyDescent="0.25">
      <c r="A159" s="24" t="s">
        <v>324</v>
      </c>
      <c r="B159" s="50">
        <v>3691</v>
      </c>
      <c r="C159" s="25" t="s">
        <v>325</v>
      </c>
      <c r="D159" s="25" t="s">
        <v>322</v>
      </c>
      <c r="E159" s="25" t="s">
        <v>194</v>
      </c>
      <c r="F159" s="25" t="s">
        <v>113</v>
      </c>
      <c r="G159" s="26" t="s">
        <v>326</v>
      </c>
      <c r="H159" s="27" t="s">
        <v>327</v>
      </c>
      <c r="I159" s="24" t="s">
        <v>106</v>
      </c>
      <c r="J159" s="24" t="s">
        <v>107</v>
      </c>
      <c r="K159" s="28" t="s">
        <v>108</v>
      </c>
      <c r="L159" s="29">
        <v>0.03</v>
      </c>
      <c r="M159" s="29">
        <v>1.4999999999999999E-2</v>
      </c>
      <c r="N159" s="29">
        <v>0.02</v>
      </c>
      <c r="O159" s="27" t="s">
        <v>166</v>
      </c>
      <c r="P159" s="30" t="s">
        <v>322</v>
      </c>
      <c r="Q159" s="31">
        <v>1444044697.9300001</v>
      </c>
      <c r="R159" s="31">
        <v>165.29</v>
      </c>
      <c r="S159" s="32">
        <v>-1.1305000000000001E-2</v>
      </c>
      <c r="T159" s="32" t="s">
        <v>139</v>
      </c>
      <c r="U159" s="32">
        <v>-1.2689999999999999E-3</v>
      </c>
      <c r="V159" s="32">
        <v>9.0799999999999995E-4</v>
      </c>
      <c r="W159" s="32">
        <v>2.3040000000000001E-3</v>
      </c>
      <c r="X159" s="32">
        <v>1.2110000000000001E-3</v>
      </c>
      <c r="Y159" s="32">
        <v>-2.1895000000000001E-2</v>
      </c>
      <c r="Z159" s="32">
        <v>5.8058999999999999E-2</v>
      </c>
      <c r="AA159" s="32">
        <v>0.15603600000000001</v>
      </c>
      <c r="AB159" s="32">
        <v>-3.3159999999999999E-3</v>
      </c>
    </row>
    <row r="160" spans="1:28" ht="15.6" customHeight="1" x14ac:dyDescent="0.25">
      <c r="A160" s="24" t="s">
        <v>328</v>
      </c>
      <c r="B160" s="50">
        <v>3692</v>
      </c>
      <c r="C160" s="25" t="s">
        <v>329</v>
      </c>
      <c r="D160" s="25" t="s">
        <v>322</v>
      </c>
      <c r="E160" s="25" t="s">
        <v>194</v>
      </c>
      <c r="F160" s="25" t="s">
        <v>155</v>
      </c>
      <c r="G160" s="26" t="s">
        <v>139</v>
      </c>
      <c r="H160" s="27" t="s">
        <v>330</v>
      </c>
      <c r="I160" s="24" t="s">
        <v>106</v>
      </c>
      <c r="J160" s="24" t="s">
        <v>107</v>
      </c>
      <c r="K160" s="28" t="s">
        <v>108</v>
      </c>
      <c r="L160" s="29">
        <v>0.03</v>
      </c>
      <c r="M160" s="29">
        <v>1.4999999999999999E-2</v>
      </c>
      <c r="N160" s="29">
        <v>0.02</v>
      </c>
      <c r="O160" s="27" t="s">
        <v>166</v>
      </c>
      <c r="P160" s="30" t="s">
        <v>322</v>
      </c>
      <c r="Q160" s="31">
        <v>1587040661.1300001</v>
      </c>
      <c r="R160" s="31">
        <v>261.58999999999997</v>
      </c>
      <c r="S160" s="32">
        <v>-3.6180000000000001E-3</v>
      </c>
      <c r="T160" s="32" t="s">
        <v>139</v>
      </c>
      <c r="U160" s="32">
        <v>-6.9470000000000001E-3</v>
      </c>
      <c r="V160" s="32">
        <v>-5.0210000000000003E-3</v>
      </c>
      <c r="W160" s="32">
        <v>3.2482999999999998E-2</v>
      </c>
      <c r="X160" s="32">
        <v>9.9765000000000006E-2</v>
      </c>
      <c r="Y160" s="32">
        <v>-0.104175</v>
      </c>
      <c r="Z160" s="32">
        <v>0.310309</v>
      </c>
      <c r="AA160" s="32">
        <v>0.60780599999999996</v>
      </c>
      <c r="AB160" s="32">
        <v>0.44397199999999998</v>
      </c>
    </row>
    <row r="161" spans="1:28" ht="15.6" customHeight="1" x14ac:dyDescent="0.25">
      <c r="A161" s="24" t="s">
        <v>1216</v>
      </c>
      <c r="B161" s="50">
        <v>3693</v>
      </c>
      <c r="C161" s="25" t="s">
        <v>1217</v>
      </c>
      <c r="D161" s="25" t="s">
        <v>145</v>
      </c>
      <c r="E161" s="25" t="s">
        <v>194</v>
      </c>
      <c r="F161" s="25" t="s">
        <v>155</v>
      </c>
      <c r="G161" s="26" t="s">
        <v>139</v>
      </c>
      <c r="H161" s="27" t="s">
        <v>1218</v>
      </c>
      <c r="I161" s="24" t="s">
        <v>998</v>
      </c>
      <c r="J161" s="24" t="s">
        <v>121</v>
      </c>
      <c r="K161" s="28" t="s">
        <v>108</v>
      </c>
      <c r="L161" s="29">
        <v>0</v>
      </c>
      <c r="M161" s="29">
        <v>0</v>
      </c>
      <c r="N161" s="29">
        <v>0.01</v>
      </c>
      <c r="O161" s="27" t="s">
        <v>148</v>
      </c>
      <c r="P161" s="30" t="s">
        <v>145</v>
      </c>
      <c r="Q161" s="31">
        <v>849784969.21000004</v>
      </c>
      <c r="R161" s="31">
        <v>2826.06</v>
      </c>
      <c r="S161" s="32">
        <v>1.7226999999999999E-2</v>
      </c>
      <c r="T161" s="32" t="s">
        <v>139</v>
      </c>
      <c r="U161" s="32">
        <v>-6.5560000000000002E-3</v>
      </c>
      <c r="V161" s="32">
        <v>-3.5049999999999999E-3</v>
      </c>
      <c r="W161" s="32">
        <v>3.7414000000000003E-2</v>
      </c>
      <c r="X161" s="32">
        <v>0.12048300000000001</v>
      </c>
      <c r="Y161" s="32">
        <v>-8.8808999999999999E-2</v>
      </c>
      <c r="Z161" s="32">
        <v>0.41002699999999997</v>
      </c>
      <c r="AA161" s="32">
        <v>0.76732599999999995</v>
      </c>
      <c r="AB161" s="32">
        <v>0.70232300000000003</v>
      </c>
    </row>
    <row r="162" spans="1:28" ht="15.6" customHeight="1" x14ac:dyDescent="0.25">
      <c r="A162" s="24" t="s">
        <v>331</v>
      </c>
      <c r="B162" s="50">
        <v>3697</v>
      </c>
      <c r="C162" s="25" t="s">
        <v>332</v>
      </c>
      <c r="D162" s="25" t="s">
        <v>137</v>
      </c>
      <c r="E162" s="25" t="s">
        <v>194</v>
      </c>
      <c r="F162" s="25" t="s">
        <v>113</v>
      </c>
      <c r="G162" s="26" t="s">
        <v>333</v>
      </c>
      <c r="H162" s="27" t="s">
        <v>115</v>
      </c>
      <c r="I162" s="24" t="s">
        <v>106</v>
      </c>
      <c r="J162" s="24" t="s">
        <v>107</v>
      </c>
      <c r="K162" s="28" t="s">
        <v>108</v>
      </c>
      <c r="L162" s="29">
        <v>0.03</v>
      </c>
      <c r="M162" s="29">
        <v>1.4999999999999999E-2</v>
      </c>
      <c r="N162" s="29">
        <v>0.02</v>
      </c>
      <c r="O162" s="27" t="s">
        <v>141</v>
      </c>
      <c r="P162" s="30" t="s">
        <v>137</v>
      </c>
      <c r="Q162" s="31">
        <v>628170519.34448898</v>
      </c>
      <c r="R162" s="31">
        <v>164.02</v>
      </c>
      <c r="S162" s="32">
        <v>6.2200000000000005E-4</v>
      </c>
      <c r="T162" s="32" t="s">
        <v>139</v>
      </c>
      <c r="U162" s="32">
        <v>-1.583E-3</v>
      </c>
      <c r="V162" s="32">
        <v>1.588E-3</v>
      </c>
      <c r="W162" s="32">
        <v>3.9170000000000003E-3</v>
      </c>
      <c r="X162" s="32">
        <v>4.8399999999999997E-3</v>
      </c>
      <c r="Y162" s="32">
        <v>-7.2439999999999996E-3</v>
      </c>
      <c r="Z162" s="32">
        <v>7.8728000000000006E-2</v>
      </c>
      <c r="AA162" s="32">
        <v>0.18502099999999999</v>
      </c>
      <c r="AB162" s="32">
        <v>0.159806</v>
      </c>
    </row>
    <row r="163" spans="1:28" ht="15.6" customHeight="1" x14ac:dyDescent="0.25">
      <c r="A163" s="24" t="s">
        <v>1219</v>
      </c>
      <c r="B163" s="50">
        <v>3699</v>
      </c>
      <c r="C163" s="25" t="s">
        <v>1220</v>
      </c>
      <c r="D163" s="25" t="s">
        <v>127</v>
      </c>
      <c r="E163" s="25" t="s">
        <v>194</v>
      </c>
      <c r="F163" s="25" t="s">
        <v>113</v>
      </c>
      <c r="G163" s="26" t="s">
        <v>531</v>
      </c>
      <c r="H163" s="27" t="s">
        <v>115</v>
      </c>
      <c r="I163" s="24" t="s">
        <v>998</v>
      </c>
      <c r="J163" s="24" t="s">
        <v>107</v>
      </c>
      <c r="K163" s="28" t="s">
        <v>108</v>
      </c>
      <c r="L163" s="29">
        <v>0.03</v>
      </c>
      <c r="M163" s="29">
        <v>0.03</v>
      </c>
      <c r="N163" s="29">
        <v>0.02</v>
      </c>
      <c r="O163" s="27" t="s">
        <v>131</v>
      </c>
      <c r="P163" s="30" t="s">
        <v>131</v>
      </c>
      <c r="Q163" s="31">
        <v>205360894</v>
      </c>
      <c r="R163" s="31">
        <v>18355.46</v>
      </c>
      <c r="S163" s="32">
        <v>-8.0429999999999998E-3</v>
      </c>
      <c r="T163" s="32" t="s">
        <v>139</v>
      </c>
      <c r="U163" s="32">
        <v>-1.323E-3</v>
      </c>
      <c r="V163" s="32">
        <v>1.9009999999999999E-3</v>
      </c>
      <c r="W163" s="32">
        <v>6.7159999999999997E-3</v>
      </c>
      <c r="X163" s="32">
        <v>4.6769999999999997E-3</v>
      </c>
      <c r="Y163" s="32">
        <v>-2.1833999999999999E-2</v>
      </c>
      <c r="Z163" s="32">
        <v>7.0697999999999997E-2</v>
      </c>
      <c r="AA163" s="32">
        <v>0.180089</v>
      </c>
      <c r="AB163" s="32">
        <v>0.156726</v>
      </c>
    </row>
    <row r="164" spans="1:28" ht="15.6" customHeight="1" x14ac:dyDescent="0.25">
      <c r="A164" s="24" t="s">
        <v>1221</v>
      </c>
      <c r="B164" s="50">
        <v>3700</v>
      </c>
      <c r="C164" s="25" t="s">
        <v>1222</v>
      </c>
      <c r="D164" s="25" t="s">
        <v>101</v>
      </c>
      <c r="E164" s="25" t="s">
        <v>194</v>
      </c>
      <c r="F164" s="25" t="s">
        <v>155</v>
      </c>
      <c r="G164" s="26" t="s">
        <v>139</v>
      </c>
      <c r="H164" s="27" t="s">
        <v>156</v>
      </c>
      <c r="I164" s="24" t="s">
        <v>998</v>
      </c>
      <c r="J164" s="24" t="s">
        <v>121</v>
      </c>
      <c r="K164" s="28" t="s">
        <v>227</v>
      </c>
      <c r="L164" s="29">
        <v>0.03</v>
      </c>
      <c r="M164" s="29">
        <v>1.4999999999999999E-2</v>
      </c>
      <c r="N164" s="29">
        <v>0.02</v>
      </c>
      <c r="O164" s="27" t="s">
        <v>109</v>
      </c>
      <c r="P164" s="30" t="s">
        <v>101</v>
      </c>
      <c r="Q164" s="31">
        <v>99887399.420000002</v>
      </c>
      <c r="R164" s="31">
        <v>218571.99</v>
      </c>
      <c r="S164" s="32">
        <v>3.8100000000000002E-2</v>
      </c>
      <c r="T164" s="32" t="s">
        <v>139</v>
      </c>
      <c r="U164" s="32">
        <v>-5.2589999999999998E-3</v>
      </c>
      <c r="V164" s="32">
        <v>7.5799999999999999E-4</v>
      </c>
      <c r="W164" s="32">
        <v>2.9175E-2</v>
      </c>
      <c r="X164" s="32">
        <v>0.122541</v>
      </c>
      <c r="Y164" s="32">
        <v>-6.5811999999999996E-2</v>
      </c>
      <c r="Z164" s="32">
        <v>0.41323199999999999</v>
      </c>
      <c r="AA164" s="32">
        <v>0.69680600000000004</v>
      </c>
      <c r="AB164" s="32">
        <v>0.63428300000000004</v>
      </c>
    </row>
    <row r="165" spans="1:28" ht="15.6" customHeight="1" x14ac:dyDescent="0.25">
      <c r="A165" s="24" t="s">
        <v>1223</v>
      </c>
      <c r="B165" s="50">
        <v>3703</v>
      </c>
      <c r="C165" s="25" t="s">
        <v>1224</v>
      </c>
      <c r="D165" s="25" t="s">
        <v>137</v>
      </c>
      <c r="E165" s="25" t="s">
        <v>194</v>
      </c>
      <c r="F165" s="25" t="s">
        <v>113</v>
      </c>
      <c r="G165" s="26" t="s">
        <v>114</v>
      </c>
      <c r="H165" s="27" t="s">
        <v>1110</v>
      </c>
      <c r="I165" s="24" t="s">
        <v>998</v>
      </c>
      <c r="J165" s="24" t="s">
        <v>107</v>
      </c>
      <c r="K165" s="28" t="s">
        <v>108</v>
      </c>
      <c r="L165" s="29">
        <v>0</v>
      </c>
      <c r="M165" s="29">
        <v>0</v>
      </c>
      <c r="N165" s="29">
        <v>0.02</v>
      </c>
      <c r="O165" s="27" t="s">
        <v>141</v>
      </c>
      <c r="P165" s="30" t="s">
        <v>137</v>
      </c>
      <c r="Q165" s="31">
        <v>37723367.091296002</v>
      </c>
      <c r="R165" s="31">
        <v>166.39</v>
      </c>
      <c r="S165" s="32">
        <v>-4.4279999999999996E-3</v>
      </c>
      <c r="T165" s="32" t="s">
        <v>139</v>
      </c>
      <c r="U165" s="32">
        <v>-1.5E-3</v>
      </c>
      <c r="V165" s="32">
        <v>-2.4000000000000001E-4</v>
      </c>
      <c r="W165" s="32">
        <v>9.0200000000000002E-4</v>
      </c>
      <c r="X165" s="32">
        <v>2.833E-3</v>
      </c>
      <c r="Y165" s="32">
        <v>-6.0930000000000003E-3</v>
      </c>
      <c r="Z165" s="32">
        <v>6.9619E-2</v>
      </c>
      <c r="AA165" s="32">
        <v>0.14388799999999999</v>
      </c>
      <c r="AB165" s="32">
        <v>0.10426100000000001</v>
      </c>
    </row>
    <row r="166" spans="1:28" ht="15.6" customHeight="1" x14ac:dyDescent="0.25">
      <c r="A166" s="24" t="s">
        <v>334</v>
      </c>
      <c r="B166" s="50">
        <v>3704</v>
      </c>
      <c r="C166" s="25" t="s">
        <v>335</v>
      </c>
      <c r="D166" s="25" t="s">
        <v>101</v>
      </c>
      <c r="E166" s="25" t="s">
        <v>194</v>
      </c>
      <c r="F166" s="25" t="s">
        <v>103</v>
      </c>
      <c r="G166" s="26" t="s">
        <v>336</v>
      </c>
      <c r="H166" s="27" t="s">
        <v>337</v>
      </c>
      <c r="I166" s="24" t="s">
        <v>106</v>
      </c>
      <c r="J166" s="24" t="s">
        <v>121</v>
      </c>
      <c r="K166" s="28" t="s">
        <v>108</v>
      </c>
      <c r="L166" s="29">
        <v>0</v>
      </c>
      <c r="M166" s="29">
        <v>0</v>
      </c>
      <c r="N166" s="29">
        <v>0.02</v>
      </c>
      <c r="O166" s="27" t="s">
        <v>109</v>
      </c>
      <c r="P166" s="30" t="s">
        <v>101</v>
      </c>
      <c r="Q166" s="31">
        <v>582012089.27999997</v>
      </c>
      <c r="R166" s="31">
        <v>160025.32</v>
      </c>
      <c r="S166" s="32">
        <v>1.5212E-2</v>
      </c>
      <c r="T166" s="32" t="s">
        <v>139</v>
      </c>
      <c r="U166" s="32">
        <v>2.7700000000000001E-4</v>
      </c>
      <c r="V166" s="32">
        <v>1.6609999999999999E-3</v>
      </c>
      <c r="W166" s="32">
        <v>5.45E-3</v>
      </c>
      <c r="X166" s="32">
        <v>1.1343000000000001E-2</v>
      </c>
      <c r="Y166" s="32">
        <v>2.1467E-2</v>
      </c>
      <c r="Z166" s="32">
        <v>4.7562E-2</v>
      </c>
      <c r="AA166" s="32">
        <v>8.0727999999999994E-2</v>
      </c>
      <c r="AB166" s="32">
        <v>0.12168</v>
      </c>
    </row>
    <row r="167" spans="1:28" ht="15.6" customHeight="1" x14ac:dyDescent="0.25">
      <c r="A167" s="24" t="s">
        <v>338</v>
      </c>
      <c r="B167" s="50">
        <v>3706</v>
      </c>
      <c r="C167" s="25" t="s">
        <v>339</v>
      </c>
      <c r="D167" s="25" t="s">
        <v>145</v>
      </c>
      <c r="E167" s="25" t="s">
        <v>194</v>
      </c>
      <c r="F167" s="25" t="s">
        <v>113</v>
      </c>
      <c r="G167" s="26" t="s">
        <v>198</v>
      </c>
      <c r="H167" s="27" t="s">
        <v>120</v>
      </c>
      <c r="I167" s="24" t="s">
        <v>106</v>
      </c>
      <c r="J167" s="24" t="s">
        <v>107</v>
      </c>
      <c r="K167" s="28" t="s">
        <v>108</v>
      </c>
      <c r="L167" s="29">
        <v>0.02</v>
      </c>
      <c r="M167" s="29">
        <v>0.02</v>
      </c>
      <c r="N167" s="29">
        <v>0.02</v>
      </c>
      <c r="O167" s="27" t="s">
        <v>148</v>
      </c>
      <c r="P167" s="30" t="s">
        <v>145</v>
      </c>
      <c r="Q167" s="31">
        <v>2627148040.5</v>
      </c>
      <c r="R167" s="31">
        <v>1664.01</v>
      </c>
      <c r="S167" s="32">
        <v>-1.44E-4</v>
      </c>
      <c r="T167" s="32" t="s">
        <v>139</v>
      </c>
      <c r="U167" s="32">
        <v>2.8299999999999999E-4</v>
      </c>
      <c r="V167" s="32">
        <v>1.6130000000000001E-3</v>
      </c>
      <c r="W167" s="32">
        <v>5.705E-3</v>
      </c>
      <c r="X167" s="32">
        <v>5.5050000000000003E-3</v>
      </c>
      <c r="Y167" s="32">
        <v>-9.1699999999999993E-3</v>
      </c>
      <c r="Z167" s="32">
        <v>5.4739999999999997E-2</v>
      </c>
      <c r="AA167" s="32">
        <v>0.13300500000000001</v>
      </c>
      <c r="AB167" s="32">
        <v>0.170017</v>
      </c>
    </row>
    <row r="168" spans="1:28" ht="15.6" customHeight="1" x14ac:dyDescent="0.25">
      <c r="A168" s="24" t="s">
        <v>1225</v>
      </c>
      <c r="B168" s="50">
        <v>3707</v>
      </c>
      <c r="C168" s="25" t="s">
        <v>13</v>
      </c>
      <c r="D168" s="25" t="s">
        <v>342</v>
      </c>
      <c r="E168" s="25" t="s">
        <v>194</v>
      </c>
      <c r="F168" s="25" t="s">
        <v>155</v>
      </c>
      <c r="G168" s="26" t="s">
        <v>139</v>
      </c>
      <c r="H168" s="27" t="s">
        <v>156</v>
      </c>
      <c r="I168" s="24" t="s">
        <v>998</v>
      </c>
      <c r="J168" s="24" t="s">
        <v>107</v>
      </c>
      <c r="K168" s="28" t="s">
        <v>108</v>
      </c>
      <c r="L168" s="29">
        <v>0.03</v>
      </c>
      <c r="M168" s="29">
        <v>0.03</v>
      </c>
      <c r="N168" s="29">
        <v>0.02</v>
      </c>
      <c r="O168" s="27" t="s">
        <v>166</v>
      </c>
      <c r="P168" s="30" t="s">
        <v>344</v>
      </c>
      <c r="Q168" s="31">
        <v>2091929943.99</v>
      </c>
      <c r="R168" s="31">
        <v>2238.9499999999998</v>
      </c>
      <c r="S168" s="32">
        <v>-4.9201000000000002E-2</v>
      </c>
      <c r="T168" s="32" t="s">
        <v>139</v>
      </c>
      <c r="U168" s="32">
        <v>-7.1399999999999996E-3</v>
      </c>
      <c r="V168" s="32">
        <v>-1.1684E-2</v>
      </c>
      <c r="W168" s="32">
        <v>2.5536E-2</v>
      </c>
      <c r="X168" s="32">
        <v>5.8645000000000003E-2</v>
      </c>
      <c r="Y168" s="32">
        <v>-0.141648</v>
      </c>
      <c r="Z168" s="32">
        <v>0.34469</v>
      </c>
      <c r="AA168" s="32">
        <v>0.78083100000000005</v>
      </c>
      <c r="AB168" s="32">
        <v>0.70805300000000004</v>
      </c>
    </row>
    <row r="169" spans="1:28" ht="15.6" customHeight="1" x14ac:dyDescent="0.25">
      <c r="A169" s="24" t="s">
        <v>1226</v>
      </c>
      <c r="B169" s="50">
        <v>3708</v>
      </c>
      <c r="C169" s="25" t="s">
        <v>1227</v>
      </c>
      <c r="D169" s="25" t="s">
        <v>342</v>
      </c>
      <c r="E169" s="25" t="s">
        <v>194</v>
      </c>
      <c r="F169" s="25" t="s">
        <v>113</v>
      </c>
      <c r="G169" s="26" t="s">
        <v>1160</v>
      </c>
      <c r="H169" s="27" t="s">
        <v>327</v>
      </c>
      <c r="I169" s="24" t="s">
        <v>998</v>
      </c>
      <c r="J169" s="24" t="s">
        <v>107</v>
      </c>
      <c r="K169" s="28" t="s">
        <v>108</v>
      </c>
      <c r="L169" s="29">
        <v>0.03</v>
      </c>
      <c r="M169" s="29">
        <v>0.03</v>
      </c>
      <c r="N169" s="29">
        <v>0.02</v>
      </c>
      <c r="O169" s="27" t="s">
        <v>166</v>
      </c>
      <c r="P169" s="30" t="s">
        <v>344</v>
      </c>
      <c r="Q169" s="31">
        <v>1113283385.9200001</v>
      </c>
      <c r="R169" s="31">
        <v>1776.86</v>
      </c>
      <c r="S169" s="32">
        <v>2.2109999999999999E-3</v>
      </c>
      <c r="T169" s="32" t="s">
        <v>139</v>
      </c>
      <c r="U169" s="32">
        <v>-1.523E-3</v>
      </c>
      <c r="V169" s="32">
        <v>1.2899999999999999E-3</v>
      </c>
      <c r="W169" s="32">
        <v>7.9019999999999993E-3</v>
      </c>
      <c r="X169" s="32">
        <v>1.3039E-2</v>
      </c>
      <c r="Y169" s="32">
        <v>-9.8630000000000002E-3</v>
      </c>
      <c r="Z169" s="32">
        <v>8.5131999999999999E-2</v>
      </c>
      <c r="AA169" s="32">
        <v>0.19217899999999999</v>
      </c>
      <c r="AB169" s="32">
        <v>0.12056</v>
      </c>
    </row>
    <row r="170" spans="1:28" ht="15.6" customHeight="1" x14ac:dyDescent="0.25">
      <c r="A170" s="24" t="s">
        <v>340</v>
      </c>
      <c r="B170" s="50">
        <v>3709</v>
      </c>
      <c r="C170" s="25" t="s">
        <v>341</v>
      </c>
      <c r="D170" s="25" t="s">
        <v>342</v>
      </c>
      <c r="E170" s="25" t="s">
        <v>194</v>
      </c>
      <c r="F170" s="25" t="s">
        <v>103</v>
      </c>
      <c r="G170" s="26" t="s">
        <v>343</v>
      </c>
      <c r="H170" s="27" t="s">
        <v>130</v>
      </c>
      <c r="I170" s="24" t="s">
        <v>106</v>
      </c>
      <c r="J170" s="24" t="s">
        <v>107</v>
      </c>
      <c r="K170" s="28" t="s">
        <v>108</v>
      </c>
      <c r="L170" s="29">
        <v>0.03</v>
      </c>
      <c r="M170" s="29">
        <v>0.03</v>
      </c>
      <c r="N170" s="29">
        <v>0.02</v>
      </c>
      <c r="O170" s="27" t="s">
        <v>166</v>
      </c>
      <c r="P170" s="30" t="s">
        <v>344</v>
      </c>
      <c r="Q170" s="31">
        <v>2889466267.9699998</v>
      </c>
      <c r="R170" s="31">
        <v>1592.26</v>
      </c>
      <c r="S170" s="32">
        <v>1.7912999999999998E-2</v>
      </c>
      <c r="T170" s="32" t="s">
        <v>139</v>
      </c>
      <c r="U170" s="32">
        <v>1.1900000000000001E-4</v>
      </c>
      <c r="V170" s="32">
        <v>1.686E-3</v>
      </c>
      <c r="W170" s="32">
        <v>6.3579999999999999E-3</v>
      </c>
      <c r="X170" s="32">
        <v>1.3094E-2</v>
      </c>
      <c r="Y170" s="32">
        <v>2.5742000000000001E-2</v>
      </c>
      <c r="Z170" s="32">
        <v>5.7903000000000003E-2</v>
      </c>
      <c r="AA170" s="32">
        <v>9.5986000000000002E-2</v>
      </c>
      <c r="AB170" s="32">
        <v>0.14757500000000001</v>
      </c>
    </row>
    <row r="171" spans="1:28" ht="15.6" customHeight="1" x14ac:dyDescent="0.25">
      <c r="A171" s="24" t="s">
        <v>1228</v>
      </c>
      <c r="B171" s="50">
        <v>3710</v>
      </c>
      <c r="C171" s="25" t="s">
        <v>1229</v>
      </c>
      <c r="D171" s="25" t="s">
        <v>322</v>
      </c>
      <c r="E171" s="25" t="s">
        <v>194</v>
      </c>
      <c r="F171" s="25" t="s">
        <v>155</v>
      </c>
      <c r="G171" s="26" t="s">
        <v>139</v>
      </c>
      <c r="H171" s="27" t="s">
        <v>588</v>
      </c>
      <c r="I171" s="24" t="s">
        <v>998</v>
      </c>
      <c r="J171" s="24" t="s">
        <v>121</v>
      </c>
      <c r="K171" s="28" t="s">
        <v>180</v>
      </c>
      <c r="L171" s="29">
        <v>0</v>
      </c>
      <c r="M171" s="29">
        <v>0</v>
      </c>
      <c r="N171" s="29">
        <v>0.02</v>
      </c>
      <c r="O171" s="27" t="s">
        <v>166</v>
      </c>
      <c r="P171" s="30" t="s">
        <v>322</v>
      </c>
      <c r="Q171" s="31">
        <v>274861459.43000001</v>
      </c>
      <c r="R171" s="31">
        <v>108.55</v>
      </c>
      <c r="S171" s="32">
        <v>3.5979999999999998E-2</v>
      </c>
      <c r="T171" s="32" t="s">
        <v>139</v>
      </c>
      <c r="U171" s="32">
        <v>-5.5880000000000001E-3</v>
      </c>
      <c r="V171" s="32">
        <v>-1.5640000000000001E-3</v>
      </c>
      <c r="W171" s="32">
        <v>4.3048000000000003E-2</v>
      </c>
      <c r="X171" s="32">
        <v>0.13309000000000001</v>
      </c>
      <c r="Y171" s="32">
        <v>-6.3080999999999998E-2</v>
      </c>
      <c r="Z171" s="32">
        <v>0.40874899999999997</v>
      </c>
      <c r="AA171" s="32">
        <v>0.72778100000000001</v>
      </c>
      <c r="AB171" s="32">
        <v>0.65367299999999995</v>
      </c>
    </row>
    <row r="172" spans="1:28" ht="15.6" customHeight="1" x14ac:dyDescent="0.25">
      <c r="A172" s="24" t="s">
        <v>1230</v>
      </c>
      <c r="B172" s="50">
        <v>3714</v>
      </c>
      <c r="C172" s="25" t="s">
        <v>1231</v>
      </c>
      <c r="D172" s="25" t="s">
        <v>127</v>
      </c>
      <c r="E172" s="25" t="s">
        <v>194</v>
      </c>
      <c r="F172" s="25" t="s">
        <v>138</v>
      </c>
      <c r="G172" s="26" t="s">
        <v>139</v>
      </c>
      <c r="H172" s="27" t="s">
        <v>1232</v>
      </c>
      <c r="I172" s="24" t="s">
        <v>998</v>
      </c>
      <c r="J172" s="24" t="s">
        <v>121</v>
      </c>
      <c r="K172" s="28" t="s">
        <v>108</v>
      </c>
      <c r="L172" s="29">
        <v>0.03</v>
      </c>
      <c r="M172" s="29">
        <v>1.4999999999999999E-2</v>
      </c>
      <c r="N172" s="29">
        <v>0.02</v>
      </c>
      <c r="O172" s="27" t="s">
        <v>131</v>
      </c>
      <c r="P172" s="30" t="s">
        <v>131</v>
      </c>
      <c r="Q172" s="31">
        <v>186972997.22999999</v>
      </c>
      <c r="R172" s="31">
        <v>21837.53</v>
      </c>
      <c r="S172" s="32">
        <v>1.0134000000000001E-2</v>
      </c>
      <c r="T172" s="32" t="s">
        <v>139</v>
      </c>
      <c r="U172" s="32">
        <v>-3.49E-3</v>
      </c>
      <c r="V172" s="32">
        <v>-1.2849999999999999E-3</v>
      </c>
      <c r="W172" s="32">
        <v>1.4329E-2</v>
      </c>
      <c r="X172" s="32">
        <v>5.2478999999999998E-2</v>
      </c>
      <c r="Y172" s="32">
        <v>-4.4634E-2</v>
      </c>
      <c r="Z172" s="32">
        <v>0.19170200000000001</v>
      </c>
      <c r="AA172" s="32">
        <v>0.39238099999999998</v>
      </c>
      <c r="AB172" s="32">
        <v>0.36338700000000002</v>
      </c>
    </row>
    <row r="173" spans="1:28" ht="15.6" customHeight="1" x14ac:dyDescent="0.25">
      <c r="A173" s="24" t="s">
        <v>1233</v>
      </c>
      <c r="B173" s="50">
        <v>3715</v>
      </c>
      <c r="C173" s="25" t="s">
        <v>1234</v>
      </c>
      <c r="D173" s="25" t="s">
        <v>322</v>
      </c>
      <c r="E173" s="25" t="s">
        <v>194</v>
      </c>
      <c r="F173" s="25" t="s">
        <v>113</v>
      </c>
      <c r="G173" s="26" t="s">
        <v>1072</v>
      </c>
      <c r="H173" s="27" t="s">
        <v>115</v>
      </c>
      <c r="I173" s="24" t="s">
        <v>998</v>
      </c>
      <c r="J173" s="24" t="s">
        <v>107</v>
      </c>
      <c r="K173" s="28" t="s">
        <v>108</v>
      </c>
      <c r="L173" s="29">
        <v>0.03</v>
      </c>
      <c r="M173" s="29">
        <v>1.4999999999999999E-2</v>
      </c>
      <c r="N173" s="29">
        <v>0.02</v>
      </c>
      <c r="O173" s="27" t="s">
        <v>166</v>
      </c>
      <c r="P173" s="30" t="s">
        <v>322</v>
      </c>
      <c r="Q173" s="31">
        <v>1087023677.72</v>
      </c>
      <c r="R173" s="31">
        <v>155.24</v>
      </c>
      <c r="S173" s="32">
        <v>-1.0769000000000001E-2</v>
      </c>
      <c r="T173" s="32" t="s">
        <v>139</v>
      </c>
      <c r="U173" s="32">
        <v>-1.544E-3</v>
      </c>
      <c r="V173" s="32">
        <v>9.0300000000000005E-4</v>
      </c>
      <c r="W173" s="32">
        <v>2.7780000000000001E-3</v>
      </c>
      <c r="X173" s="32">
        <v>2.2599999999999999E-3</v>
      </c>
      <c r="Y173" s="32">
        <v>-1.7343999999999998E-2</v>
      </c>
      <c r="Z173" s="32">
        <v>5.9152999999999997E-2</v>
      </c>
      <c r="AA173" s="32">
        <v>0.134215</v>
      </c>
      <c r="AB173" s="32">
        <v>8.8181999999999996E-2</v>
      </c>
    </row>
    <row r="174" spans="1:28" ht="15.6" customHeight="1" x14ac:dyDescent="0.25">
      <c r="A174" s="24" t="s">
        <v>1235</v>
      </c>
      <c r="B174" s="50">
        <v>3717</v>
      </c>
      <c r="C174" s="25" t="s">
        <v>1236</v>
      </c>
      <c r="D174" s="25" t="s">
        <v>241</v>
      </c>
      <c r="E174" s="25" t="s">
        <v>194</v>
      </c>
      <c r="F174" s="25" t="s">
        <v>113</v>
      </c>
      <c r="G174" s="26" t="s">
        <v>114</v>
      </c>
      <c r="H174" s="27" t="s">
        <v>115</v>
      </c>
      <c r="I174" s="24" t="s">
        <v>998</v>
      </c>
      <c r="J174" s="24" t="s">
        <v>121</v>
      </c>
      <c r="K174" s="28" t="s">
        <v>108</v>
      </c>
      <c r="L174" s="29">
        <v>0.03</v>
      </c>
      <c r="M174" s="29">
        <v>1.4999999999999999E-2</v>
      </c>
      <c r="N174" s="29">
        <v>0.02</v>
      </c>
      <c r="O174" s="27" t="s">
        <v>166</v>
      </c>
      <c r="P174" s="30" t="s">
        <v>241</v>
      </c>
      <c r="Q174" s="31">
        <v>474016672.98000002</v>
      </c>
      <c r="R174" s="31">
        <v>1896.15</v>
      </c>
      <c r="S174" s="32">
        <v>9.4500000000000001E-3</v>
      </c>
      <c r="T174" s="32" t="s">
        <v>139</v>
      </c>
      <c r="U174" s="32">
        <v>-1.701E-3</v>
      </c>
      <c r="V174" s="32">
        <v>1.892E-3</v>
      </c>
      <c r="W174" s="32">
        <v>1.1986999999999999E-2</v>
      </c>
      <c r="X174" s="32">
        <v>1.3610000000000001E-2</v>
      </c>
      <c r="Y174" s="32">
        <v>4.8809999999999999E-3</v>
      </c>
      <c r="Z174" s="32">
        <v>8.6550000000000002E-2</v>
      </c>
      <c r="AA174" s="32">
        <v>0.19448499999999999</v>
      </c>
      <c r="AB174" s="32">
        <v>0.157078</v>
      </c>
    </row>
    <row r="175" spans="1:28" ht="15.6" customHeight="1" x14ac:dyDescent="0.25">
      <c r="A175" s="24" t="s">
        <v>345</v>
      </c>
      <c r="B175" s="50">
        <v>3718</v>
      </c>
      <c r="C175" s="25" t="s">
        <v>346</v>
      </c>
      <c r="D175" s="25" t="s">
        <v>164</v>
      </c>
      <c r="E175" s="25" t="s">
        <v>102</v>
      </c>
      <c r="F175" s="25" t="s">
        <v>113</v>
      </c>
      <c r="G175" s="26" t="s">
        <v>347</v>
      </c>
      <c r="H175" s="27" t="s">
        <v>199</v>
      </c>
      <c r="I175" s="24" t="s">
        <v>106</v>
      </c>
      <c r="J175" s="24" t="s">
        <v>121</v>
      </c>
      <c r="K175" s="28" t="s">
        <v>108</v>
      </c>
      <c r="L175" s="29">
        <v>0.03</v>
      </c>
      <c r="M175" s="29">
        <v>1.4999999999999999E-2</v>
      </c>
      <c r="N175" s="29">
        <v>0.02</v>
      </c>
      <c r="O175" s="27" t="s">
        <v>166</v>
      </c>
      <c r="P175" s="30" t="s">
        <v>164</v>
      </c>
      <c r="Q175" s="31">
        <v>3151422138.9699998</v>
      </c>
      <c r="R175" s="31">
        <v>1849.29</v>
      </c>
      <c r="S175" s="32">
        <v>6.0169999999999998E-3</v>
      </c>
      <c r="T175" s="32" t="s">
        <v>139</v>
      </c>
      <c r="U175" s="32">
        <v>-1.7110000000000001E-3</v>
      </c>
      <c r="V175" s="32">
        <v>2.271E-3</v>
      </c>
      <c r="W175" s="32">
        <v>6.992E-3</v>
      </c>
      <c r="X175" s="32">
        <v>9.6200000000000001E-3</v>
      </c>
      <c r="Y175" s="32">
        <v>6.4819999999999999E-3</v>
      </c>
      <c r="Z175" s="32">
        <v>8.1088999999999994E-2</v>
      </c>
      <c r="AA175" s="32">
        <v>0.178177</v>
      </c>
      <c r="AB175" s="32">
        <v>0.19133800000000001</v>
      </c>
    </row>
    <row r="176" spans="1:28" ht="15.6" customHeight="1" x14ac:dyDescent="0.25">
      <c r="A176" s="24" t="s">
        <v>1237</v>
      </c>
      <c r="B176" s="50">
        <v>3719</v>
      </c>
      <c r="C176" s="25" t="s">
        <v>1238</v>
      </c>
      <c r="D176" s="25" t="s">
        <v>350</v>
      </c>
      <c r="E176" s="25" t="s">
        <v>194</v>
      </c>
      <c r="F176" s="25" t="s">
        <v>155</v>
      </c>
      <c r="G176" s="26" t="s">
        <v>139</v>
      </c>
      <c r="H176" s="27" t="s">
        <v>156</v>
      </c>
      <c r="I176" s="24" t="s">
        <v>998</v>
      </c>
      <c r="J176" s="24" t="s">
        <v>107</v>
      </c>
      <c r="K176" s="28" t="s">
        <v>108</v>
      </c>
      <c r="L176" s="29">
        <v>0.03</v>
      </c>
      <c r="M176" s="29">
        <v>1.4999999999999999E-2</v>
      </c>
      <c r="N176" s="29">
        <v>0.02</v>
      </c>
      <c r="O176" s="27" t="s">
        <v>166</v>
      </c>
      <c r="P176" s="30" t="s">
        <v>350</v>
      </c>
      <c r="Q176" s="31">
        <v>1182639.83</v>
      </c>
      <c r="R176" s="31">
        <v>220.23</v>
      </c>
      <c r="S176" s="32">
        <v>4.1473999999999997E-2</v>
      </c>
      <c r="T176" s="32" t="s">
        <v>139</v>
      </c>
      <c r="U176" s="32">
        <v>-4.5199999999999997E-3</v>
      </c>
      <c r="V176" s="32">
        <v>-4.2950000000000002E-3</v>
      </c>
      <c r="W176" s="32">
        <v>3.8625E-2</v>
      </c>
      <c r="X176" s="32">
        <v>0.13234599999999999</v>
      </c>
      <c r="Y176" s="32">
        <v>-6.1172999999999998E-2</v>
      </c>
      <c r="Z176" s="32">
        <v>0.43819000000000002</v>
      </c>
      <c r="AA176" s="32">
        <v>0.708534</v>
      </c>
      <c r="AB176" s="32">
        <v>0.63764100000000001</v>
      </c>
    </row>
    <row r="177" spans="1:28" ht="15.6" customHeight="1" x14ac:dyDescent="0.25">
      <c r="A177" s="24" t="s">
        <v>348</v>
      </c>
      <c r="B177" s="50">
        <v>3720</v>
      </c>
      <c r="C177" s="25" t="s">
        <v>349</v>
      </c>
      <c r="D177" s="25" t="s">
        <v>350</v>
      </c>
      <c r="E177" s="25" t="s">
        <v>194</v>
      </c>
      <c r="F177" s="25" t="s">
        <v>128</v>
      </c>
      <c r="G177" s="26" t="s">
        <v>275</v>
      </c>
      <c r="H177" s="27" t="s">
        <v>130</v>
      </c>
      <c r="I177" s="24" t="s">
        <v>106</v>
      </c>
      <c r="J177" s="24" t="s">
        <v>107</v>
      </c>
      <c r="K177" s="28" t="s">
        <v>108</v>
      </c>
      <c r="L177" s="29">
        <v>5.0000000000000001E-3</v>
      </c>
      <c r="M177" s="29">
        <v>5.0000000000000001E-3</v>
      </c>
      <c r="N177" s="29">
        <v>7.4999999999999997E-3</v>
      </c>
      <c r="O177" s="27" t="s">
        <v>166</v>
      </c>
      <c r="P177" s="30" t="s">
        <v>350</v>
      </c>
      <c r="Q177" s="31">
        <v>332119992.19</v>
      </c>
      <c r="R177" s="31">
        <v>146.72999999999999</v>
      </c>
      <c r="S177" s="32">
        <v>1.9311999999999999E-2</v>
      </c>
      <c r="T177" s="32" t="s">
        <v>139</v>
      </c>
      <c r="U177" s="32">
        <v>-6.7999999999999999E-5</v>
      </c>
      <c r="V177" s="32">
        <v>1.98E-3</v>
      </c>
      <c r="W177" s="32">
        <v>6.7239999999999999E-3</v>
      </c>
      <c r="X177" s="32">
        <v>1.4871000000000001E-2</v>
      </c>
      <c r="Y177" s="32">
        <v>2.6873999999999999E-2</v>
      </c>
      <c r="Z177" s="32">
        <v>6.0954000000000001E-2</v>
      </c>
      <c r="AA177" s="32">
        <v>0.102073</v>
      </c>
      <c r="AB177" s="32">
        <v>0.15037200000000001</v>
      </c>
    </row>
    <row r="178" spans="1:28" ht="15.6" customHeight="1" x14ac:dyDescent="0.25">
      <c r="A178" s="24" t="s">
        <v>1239</v>
      </c>
      <c r="B178" s="50">
        <v>3721</v>
      </c>
      <c r="C178" s="25" t="s">
        <v>1240</v>
      </c>
      <c r="D178" s="25" t="s">
        <v>350</v>
      </c>
      <c r="E178" s="25" t="s">
        <v>194</v>
      </c>
      <c r="F178" s="25" t="s">
        <v>113</v>
      </c>
      <c r="G178" s="26" t="s">
        <v>685</v>
      </c>
      <c r="H178" s="27" t="s">
        <v>839</v>
      </c>
      <c r="I178" s="24" t="s">
        <v>998</v>
      </c>
      <c r="J178" s="24" t="s">
        <v>107</v>
      </c>
      <c r="K178" s="28" t="s">
        <v>108</v>
      </c>
      <c r="L178" s="29">
        <v>0.01</v>
      </c>
      <c r="M178" s="29">
        <v>5.0000000000000001E-3</v>
      </c>
      <c r="N178" s="29">
        <v>0.01</v>
      </c>
      <c r="O178" s="27" t="s">
        <v>166</v>
      </c>
      <c r="P178" s="30" t="s">
        <v>350</v>
      </c>
      <c r="Q178" s="31">
        <v>197439315.81999999</v>
      </c>
      <c r="R178" s="31">
        <v>177.3</v>
      </c>
      <c r="S178" s="32">
        <v>-9.2200000000000008E-3</v>
      </c>
      <c r="T178" s="32" t="s">
        <v>139</v>
      </c>
      <c r="U178" s="32">
        <v>-1.3519999999999999E-3</v>
      </c>
      <c r="V178" s="32">
        <v>1.6949999999999999E-3</v>
      </c>
      <c r="W178" s="32">
        <v>3.9639999999999996E-3</v>
      </c>
      <c r="X178" s="32">
        <v>1.9780000000000002E-3</v>
      </c>
      <c r="Y178" s="32">
        <v>-1.0822999999999999E-2</v>
      </c>
      <c r="Z178" s="32">
        <v>0.12973100000000001</v>
      </c>
      <c r="AA178" s="32">
        <v>0.22048599999999999</v>
      </c>
      <c r="AB178" s="32">
        <v>0.20016200000000001</v>
      </c>
    </row>
    <row r="179" spans="1:28" ht="15.6" customHeight="1" x14ac:dyDescent="0.25">
      <c r="A179" s="24" t="s">
        <v>351</v>
      </c>
      <c r="B179" s="50">
        <v>3725</v>
      </c>
      <c r="C179" s="25" t="s">
        <v>352</v>
      </c>
      <c r="D179" s="25" t="s">
        <v>261</v>
      </c>
      <c r="E179" s="25" t="s">
        <v>194</v>
      </c>
      <c r="F179" s="25" t="s">
        <v>103</v>
      </c>
      <c r="G179" s="26" t="s">
        <v>244</v>
      </c>
      <c r="H179" s="27" t="s">
        <v>217</v>
      </c>
      <c r="I179" s="24" t="s">
        <v>106</v>
      </c>
      <c r="J179" s="24" t="s">
        <v>107</v>
      </c>
      <c r="K179" s="28" t="s">
        <v>108</v>
      </c>
      <c r="L179" s="29">
        <v>0</v>
      </c>
      <c r="M179" s="29">
        <v>0</v>
      </c>
      <c r="N179" s="29">
        <v>0.02</v>
      </c>
      <c r="O179" s="27" t="s">
        <v>166</v>
      </c>
      <c r="P179" s="30" t="s">
        <v>261</v>
      </c>
      <c r="Q179" s="31">
        <v>94419076.700000003</v>
      </c>
      <c r="R179" s="31">
        <v>138.56</v>
      </c>
      <c r="S179" s="32">
        <v>2.7817000000000001E-2</v>
      </c>
      <c r="T179" s="32" t="s">
        <v>139</v>
      </c>
      <c r="U179" s="32">
        <v>2.1699999999999999E-4</v>
      </c>
      <c r="V179" s="32">
        <v>1.8079999999999999E-3</v>
      </c>
      <c r="W179" s="32">
        <v>8.9569999999999997E-3</v>
      </c>
      <c r="X179" s="32">
        <v>1.7776E-2</v>
      </c>
      <c r="Y179" s="32">
        <v>3.5808E-2</v>
      </c>
      <c r="Z179" s="32">
        <v>6.5600000000000006E-2</v>
      </c>
      <c r="AA179" s="32">
        <v>9.9682999999999994E-2</v>
      </c>
      <c r="AB179" s="32">
        <v>0.14597599999999999</v>
      </c>
    </row>
    <row r="180" spans="1:28" ht="15.6" customHeight="1" x14ac:dyDescent="0.25">
      <c r="A180" s="24" t="s">
        <v>1241</v>
      </c>
      <c r="B180" s="50">
        <v>3730</v>
      </c>
      <c r="C180" s="25" t="s">
        <v>1242</v>
      </c>
      <c r="D180" s="25" t="s">
        <v>127</v>
      </c>
      <c r="E180" s="25" t="s">
        <v>194</v>
      </c>
      <c r="F180" s="25" t="s">
        <v>113</v>
      </c>
      <c r="G180" s="26" t="s">
        <v>531</v>
      </c>
      <c r="H180" s="27" t="s">
        <v>115</v>
      </c>
      <c r="I180" s="24" t="s">
        <v>998</v>
      </c>
      <c r="J180" s="24" t="s">
        <v>121</v>
      </c>
      <c r="K180" s="28" t="s">
        <v>108</v>
      </c>
      <c r="L180" s="29">
        <v>0.03</v>
      </c>
      <c r="M180" s="29">
        <v>1.4999999999999999E-2</v>
      </c>
      <c r="N180" s="29">
        <v>0.02</v>
      </c>
      <c r="O180" s="27" t="s">
        <v>131</v>
      </c>
      <c r="P180" s="30" t="s">
        <v>131</v>
      </c>
      <c r="Q180" s="31">
        <v>3726817265.25</v>
      </c>
      <c r="R180" s="31">
        <v>2024.32</v>
      </c>
      <c r="S180" s="32">
        <v>-5.2139999999999999E-3</v>
      </c>
      <c r="T180" s="32" t="s">
        <v>139</v>
      </c>
      <c r="U180" s="32">
        <v>-1.519E-3</v>
      </c>
      <c r="V180" s="32">
        <v>1.6819999999999999E-3</v>
      </c>
      <c r="W180" s="32">
        <v>6.143E-3</v>
      </c>
      <c r="X180" s="32">
        <v>7.5300000000000002E-3</v>
      </c>
      <c r="Y180" s="32">
        <v>-1.7592E-2</v>
      </c>
      <c r="Z180" s="32">
        <v>6.0652999999999999E-2</v>
      </c>
      <c r="AA180" s="32">
        <v>0.170791</v>
      </c>
      <c r="AB180" s="32">
        <v>0.29257100000000003</v>
      </c>
    </row>
    <row r="181" spans="1:28" ht="15.6" customHeight="1" x14ac:dyDescent="0.25">
      <c r="A181" s="24" t="s">
        <v>1243</v>
      </c>
      <c r="B181" s="50">
        <v>3731</v>
      </c>
      <c r="C181" s="25" t="s">
        <v>1244</v>
      </c>
      <c r="D181" s="25" t="s">
        <v>355</v>
      </c>
      <c r="E181" s="25" t="s">
        <v>194</v>
      </c>
      <c r="F181" s="25" t="s">
        <v>113</v>
      </c>
      <c r="G181" s="26" t="s">
        <v>1160</v>
      </c>
      <c r="H181" s="27" t="s">
        <v>120</v>
      </c>
      <c r="I181" s="24" t="s">
        <v>998</v>
      </c>
      <c r="J181" s="24" t="s">
        <v>107</v>
      </c>
      <c r="K181" s="28" t="s">
        <v>108</v>
      </c>
      <c r="L181" s="29">
        <v>0.02</v>
      </c>
      <c r="M181" s="29">
        <v>1.4999999999999999E-2</v>
      </c>
      <c r="N181" s="29">
        <v>0.02</v>
      </c>
      <c r="O181" s="27" t="s">
        <v>109</v>
      </c>
      <c r="P181" s="30" t="s">
        <v>355</v>
      </c>
      <c r="Q181" s="31">
        <v>402780432.69999999</v>
      </c>
      <c r="R181" s="31">
        <v>1644.3</v>
      </c>
      <c r="S181" s="32">
        <v>-8.8489999999999992E-3</v>
      </c>
      <c r="T181" s="32" t="s">
        <v>139</v>
      </c>
      <c r="U181" s="32">
        <v>-1.439E-3</v>
      </c>
      <c r="V181" s="32">
        <v>8.4000000000000003E-4</v>
      </c>
      <c r="W181" s="32">
        <v>1.761E-3</v>
      </c>
      <c r="X181" s="32">
        <v>2.4899999999999998E-4</v>
      </c>
      <c r="Y181" s="32">
        <v>-1.5495E-2</v>
      </c>
      <c r="Z181" s="32">
        <v>4.7704999999999997E-2</v>
      </c>
      <c r="AA181" s="32">
        <v>0.124415</v>
      </c>
      <c r="AB181" s="32">
        <v>0.103965</v>
      </c>
    </row>
    <row r="182" spans="1:28" ht="15.6" customHeight="1" x14ac:dyDescent="0.25">
      <c r="A182" s="24" t="s">
        <v>353</v>
      </c>
      <c r="B182" s="50">
        <v>3732</v>
      </c>
      <c r="C182" s="25" t="s">
        <v>354</v>
      </c>
      <c r="D182" s="25" t="s">
        <v>355</v>
      </c>
      <c r="E182" s="25" t="s">
        <v>194</v>
      </c>
      <c r="F182" s="25" t="s">
        <v>103</v>
      </c>
      <c r="G182" s="26" t="s">
        <v>356</v>
      </c>
      <c r="H182" s="27" t="s">
        <v>147</v>
      </c>
      <c r="I182" s="24" t="s">
        <v>106</v>
      </c>
      <c r="J182" s="24" t="s">
        <v>107</v>
      </c>
      <c r="K182" s="28" t="s">
        <v>108</v>
      </c>
      <c r="L182" s="29">
        <v>0</v>
      </c>
      <c r="M182" s="29">
        <v>0</v>
      </c>
      <c r="N182" s="29">
        <v>0.02</v>
      </c>
      <c r="O182" s="27" t="s">
        <v>109</v>
      </c>
      <c r="P182" s="30" t="s">
        <v>355</v>
      </c>
      <c r="Q182" s="31">
        <v>29522540.510000002</v>
      </c>
      <c r="R182" s="31">
        <v>1449.03</v>
      </c>
      <c r="S182" s="32">
        <v>1.2288E-2</v>
      </c>
      <c r="T182" s="32" t="s">
        <v>139</v>
      </c>
      <c r="U182" s="32">
        <v>1.3100000000000001E-4</v>
      </c>
      <c r="V182" s="32">
        <v>1.016E-3</v>
      </c>
      <c r="W182" s="32">
        <v>4.7850000000000002E-3</v>
      </c>
      <c r="X182" s="32">
        <v>9.0460000000000002E-3</v>
      </c>
      <c r="Y182" s="32">
        <v>2.8483000000000001E-2</v>
      </c>
      <c r="Z182" s="32">
        <v>4.6004000000000003E-2</v>
      </c>
      <c r="AA182" s="32">
        <v>7.2942000000000007E-2</v>
      </c>
      <c r="AB182" s="32">
        <v>0.111305</v>
      </c>
    </row>
    <row r="183" spans="1:28" ht="15.6" customHeight="1" x14ac:dyDescent="0.25">
      <c r="A183" s="24" t="s">
        <v>357</v>
      </c>
      <c r="B183" s="50">
        <v>3733</v>
      </c>
      <c r="C183" s="25" t="s">
        <v>358</v>
      </c>
      <c r="D183" s="25" t="s">
        <v>164</v>
      </c>
      <c r="E183" s="25" t="s">
        <v>194</v>
      </c>
      <c r="F183" s="25" t="s">
        <v>155</v>
      </c>
      <c r="G183" s="26" t="s">
        <v>139</v>
      </c>
      <c r="H183" s="27" t="s">
        <v>156</v>
      </c>
      <c r="I183" s="24" t="s">
        <v>106</v>
      </c>
      <c r="J183" s="24" t="s">
        <v>121</v>
      </c>
      <c r="K183" s="28" t="s">
        <v>227</v>
      </c>
      <c r="L183" s="29">
        <v>0.03</v>
      </c>
      <c r="M183" s="29">
        <v>1.4999999999999999E-2</v>
      </c>
      <c r="N183" s="29">
        <v>0.02</v>
      </c>
      <c r="O183" s="27" t="s">
        <v>166</v>
      </c>
      <c r="P183" s="30" t="s">
        <v>164</v>
      </c>
      <c r="Q183" s="31">
        <v>1710769955.95</v>
      </c>
      <c r="R183" s="31">
        <v>306041.14</v>
      </c>
      <c r="S183" s="32">
        <v>7.4413999999999994E-2</v>
      </c>
      <c r="T183" s="32" t="s">
        <v>139</v>
      </c>
      <c r="U183" s="32">
        <v>-4.712E-3</v>
      </c>
      <c r="V183" s="32">
        <v>1.4400000000000001E-3</v>
      </c>
      <c r="W183" s="32">
        <v>4.4562999999999998E-2</v>
      </c>
      <c r="X183" s="32">
        <v>0.156282</v>
      </c>
      <c r="Y183" s="32">
        <v>-2.9394E-2</v>
      </c>
      <c r="Z183" s="32">
        <v>0.415684</v>
      </c>
      <c r="AA183" s="32">
        <v>0.69101500000000005</v>
      </c>
      <c r="AB183" s="32">
        <v>0.67290899999999998</v>
      </c>
    </row>
    <row r="184" spans="1:28" ht="15.6" customHeight="1" x14ac:dyDescent="0.25">
      <c r="A184" s="24" t="s">
        <v>1245</v>
      </c>
      <c r="B184" s="50">
        <v>3734</v>
      </c>
      <c r="C184" s="25" t="s">
        <v>1246</v>
      </c>
      <c r="D184" s="25" t="s">
        <v>159</v>
      </c>
      <c r="E184" s="25" t="s">
        <v>194</v>
      </c>
      <c r="F184" s="25" t="s">
        <v>113</v>
      </c>
      <c r="G184" s="26" t="s">
        <v>638</v>
      </c>
      <c r="H184" s="27" t="s">
        <v>115</v>
      </c>
      <c r="I184" s="24" t="s">
        <v>998</v>
      </c>
      <c r="J184" s="24" t="s">
        <v>107</v>
      </c>
      <c r="K184" s="28" t="s">
        <v>108</v>
      </c>
      <c r="L184" s="29">
        <v>0</v>
      </c>
      <c r="M184" s="29">
        <v>0</v>
      </c>
      <c r="N184" s="29">
        <v>0.02</v>
      </c>
      <c r="O184" s="27" t="s">
        <v>161</v>
      </c>
      <c r="P184" s="30" t="s">
        <v>159</v>
      </c>
      <c r="Q184" s="31">
        <v>822518.34</v>
      </c>
      <c r="R184" s="31">
        <v>12851.85</v>
      </c>
      <c r="S184" s="32">
        <v>5.849E-3</v>
      </c>
      <c r="T184" s="32" t="s">
        <v>139</v>
      </c>
      <c r="U184" s="32">
        <v>-1.201E-3</v>
      </c>
      <c r="V184" s="32">
        <v>1.869E-3</v>
      </c>
      <c r="W184" s="32">
        <v>5.0070000000000002E-3</v>
      </c>
      <c r="X184" s="32">
        <v>7.345E-3</v>
      </c>
      <c r="Y184" s="32">
        <v>3.1020000000000002E-3</v>
      </c>
      <c r="Z184" s="32">
        <v>5.1658999999999997E-2</v>
      </c>
      <c r="AA184" s="32">
        <v>0.123338</v>
      </c>
      <c r="AB184" s="32">
        <v>8.8846999999999995E-2</v>
      </c>
    </row>
    <row r="185" spans="1:28" ht="15.6" customHeight="1" x14ac:dyDescent="0.25">
      <c r="A185" s="24" t="s">
        <v>359</v>
      </c>
      <c r="B185" s="50">
        <v>3735</v>
      </c>
      <c r="C185" s="25" t="s">
        <v>360</v>
      </c>
      <c r="D185" s="25" t="s">
        <v>159</v>
      </c>
      <c r="E185" s="25" t="s">
        <v>194</v>
      </c>
      <c r="F185" s="25" t="s">
        <v>361</v>
      </c>
      <c r="G185" s="26" t="s">
        <v>139</v>
      </c>
      <c r="H185" s="27" t="s">
        <v>217</v>
      </c>
      <c r="I185" s="24" t="s">
        <v>106</v>
      </c>
      <c r="J185" s="24" t="s">
        <v>107</v>
      </c>
      <c r="K185" s="28" t="s">
        <v>108</v>
      </c>
      <c r="L185" s="29">
        <v>0</v>
      </c>
      <c r="M185" s="29">
        <v>0</v>
      </c>
      <c r="N185" s="29">
        <v>0.02</v>
      </c>
      <c r="O185" s="27" t="s">
        <v>161</v>
      </c>
      <c r="P185" s="30" t="s">
        <v>159</v>
      </c>
      <c r="Q185" s="31">
        <v>3796877231.52</v>
      </c>
      <c r="R185" s="31">
        <v>13240.1</v>
      </c>
      <c r="S185" s="32">
        <v>1.3776E-2</v>
      </c>
      <c r="T185" s="32" t="s">
        <v>139</v>
      </c>
      <c r="U185" s="32">
        <v>3.7599999999999998E-4</v>
      </c>
      <c r="V185" s="32">
        <v>1.5100000000000001E-3</v>
      </c>
      <c r="W185" s="32">
        <v>4.9280000000000001E-3</v>
      </c>
      <c r="X185" s="32">
        <v>9.9010000000000001E-3</v>
      </c>
      <c r="Y185" s="32">
        <v>1.9880999999999999E-2</v>
      </c>
      <c r="Z185" s="32">
        <v>4.2687999999999997E-2</v>
      </c>
      <c r="AA185" s="32">
        <v>7.1068999999999993E-2</v>
      </c>
      <c r="AB185" s="32">
        <v>0.108242</v>
      </c>
    </row>
    <row r="186" spans="1:28" ht="15.6" customHeight="1" x14ac:dyDescent="0.25">
      <c r="A186" s="24" t="s">
        <v>362</v>
      </c>
      <c r="B186" s="50">
        <v>3736</v>
      </c>
      <c r="C186" s="25" t="s">
        <v>363</v>
      </c>
      <c r="D186" s="25" t="s">
        <v>159</v>
      </c>
      <c r="E186" s="25" t="s">
        <v>194</v>
      </c>
      <c r="F186" s="25" t="s">
        <v>113</v>
      </c>
      <c r="G186" s="26" t="s">
        <v>198</v>
      </c>
      <c r="H186" s="27" t="s">
        <v>115</v>
      </c>
      <c r="I186" s="24" t="s">
        <v>106</v>
      </c>
      <c r="J186" s="24" t="s">
        <v>121</v>
      </c>
      <c r="K186" s="28" t="s">
        <v>108</v>
      </c>
      <c r="L186" s="29">
        <v>0</v>
      </c>
      <c r="M186" s="29">
        <v>0</v>
      </c>
      <c r="N186" s="29">
        <v>0.02</v>
      </c>
      <c r="O186" s="27" t="s">
        <v>161</v>
      </c>
      <c r="P186" s="30" t="s">
        <v>159</v>
      </c>
      <c r="Q186" s="31">
        <v>10994920516.959999</v>
      </c>
      <c r="R186" s="31">
        <v>16291.23</v>
      </c>
      <c r="S186" s="32">
        <v>5.7889999999999999E-3</v>
      </c>
      <c r="T186" s="32" t="s">
        <v>139</v>
      </c>
      <c r="U186" s="32">
        <v>-1.132E-3</v>
      </c>
      <c r="V186" s="32">
        <v>1.843E-3</v>
      </c>
      <c r="W186" s="32">
        <v>6.1879999999999999E-3</v>
      </c>
      <c r="X186" s="32">
        <v>8.0330000000000002E-3</v>
      </c>
      <c r="Y186" s="32">
        <v>6.4190000000000002E-3</v>
      </c>
      <c r="Z186" s="32">
        <v>6.5117999999999995E-2</v>
      </c>
      <c r="AA186" s="32">
        <v>0.13461600000000001</v>
      </c>
      <c r="AB186" s="32">
        <v>0.13447600000000001</v>
      </c>
    </row>
    <row r="187" spans="1:28" ht="15.6" customHeight="1" x14ac:dyDescent="0.25">
      <c r="A187" s="24" t="s">
        <v>364</v>
      </c>
      <c r="B187" s="50">
        <v>3737</v>
      </c>
      <c r="C187" s="25" t="s">
        <v>365</v>
      </c>
      <c r="D187" s="25" t="s">
        <v>159</v>
      </c>
      <c r="E187" s="25" t="s">
        <v>194</v>
      </c>
      <c r="F187" s="25" t="s">
        <v>113</v>
      </c>
      <c r="G187" s="26" t="s">
        <v>366</v>
      </c>
      <c r="H187" s="27" t="s">
        <v>367</v>
      </c>
      <c r="I187" s="24" t="s">
        <v>106</v>
      </c>
      <c r="J187" s="24" t="s">
        <v>121</v>
      </c>
      <c r="K187" s="28" t="s">
        <v>108</v>
      </c>
      <c r="L187" s="29">
        <v>0</v>
      </c>
      <c r="M187" s="29">
        <v>0</v>
      </c>
      <c r="N187" s="29">
        <v>0.02</v>
      </c>
      <c r="O187" s="27" t="s">
        <v>161</v>
      </c>
      <c r="P187" s="30" t="s">
        <v>159</v>
      </c>
      <c r="Q187" s="31">
        <v>2764492652.9200001</v>
      </c>
      <c r="R187" s="31">
        <v>1808.28</v>
      </c>
      <c r="S187" s="32">
        <v>1.3103999999999999E-2</v>
      </c>
      <c r="T187" s="32" t="s">
        <v>139</v>
      </c>
      <c r="U187" s="32">
        <v>-7.4600000000000003E-4</v>
      </c>
      <c r="V187" s="32">
        <v>1.7619999999999999E-3</v>
      </c>
      <c r="W187" s="32">
        <v>6.8089999999999999E-3</v>
      </c>
      <c r="X187" s="32">
        <v>1.2225E-2</v>
      </c>
      <c r="Y187" s="32">
        <v>1.4423E-2</v>
      </c>
      <c r="Z187" s="32">
        <v>8.4711999999999996E-2</v>
      </c>
      <c r="AA187" s="32">
        <v>0.19415199999999999</v>
      </c>
      <c r="AB187" s="32">
        <v>0.186279</v>
      </c>
    </row>
    <row r="188" spans="1:28" ht="15.6" customHeight="1" x14ac:dyDescent="0.25">
      <c r="A188" s="24" t="s">
        <v>368</v>
      </c>
      <c r="B188" s="50">
        <v>3738</v>
      </c>
      <c r="C188" s="25" t="s">
        <v>369</v>
      </c>
      <c r="D188" s="25" t="s">
        <v>159</v>
      </c>
      <c r="E188" s="25" t="s">
        <v>194</v>
      </c>
      <c r="F188" s="25" t="s">
        <v>138</v>
      </c>
      <c r="G188" s="26" t="s">
        <v>139</v>
      </c>
      <c r="H188" s="27" t="s">
        <v>370</v>
      </c>
      <c r="I188" s="24" t="s">
        <v>106</v>
      </c>
      <c r="J188" s="24" t="s">
        <v>121</v>
      </c>
      <c r="K188" s="28" t="s">
        <v>108</v>
      </c>
      <c r="L188" s="29">
        <v>0</v>
      </c>
      <c r="M188" s="29">
        <v>0</v>
      </c>
      <c r="N188" s="29">
        <v>0.02</v>
      </c>
      <c r="O188" s="27" t="s">
        <v>161</v>
      </c>
      <c r="P188" s="30" t="s">
        <v>159</v>
      </c>
      <c r="Q188" s="31">
        <v>2215924313.8299999</v>
      </c>
      <c r="R188" s="31">
        <v>20020.28</v>
      </c>
      <c r="S188" s="32">
        <v>1.0234E-2</v>
      </c>
      <c r="T188" s="32" t="s">
        <v>139</v>
      </c>
      <c r="U188" s="32">
        <v>-2.7680000000000001E-3</v>
      </c>
      <c r="V188" s="32">
        <v>-5.0500000000000002E-4</v>
      </c>
      <c r="W188" s="32">
        <v>1.2399E-2</v>
      </c>
      <c r="X188" s="32">
        <v>3.7836000000000002E-2</v>
      </c>
      <c r="Y188" s="32">
        <v>-2.2114999999999999E-2</v>
      </c>
      <c r="Z188" s="32">
        <v>0.17358499999999999</v>
      </c>
      <c r="AA188" s="32">
        <v>0.31678400000000001</v>
      </c>
      <c r="AB188" s="32">
        <v>0.257662</v>
      </c>
    </row>
    <row r="189" spans="1:28" ht="15.6" customHeight="1" x14ac:dyDescent="0.25">
      <c r="A189" s="24" t="s">
        <v>371</v>
      </c>
      <c r="B189" s="50">
        <v>3739</v>
      </c>
      <c r="C189" s="25" t="s">
        <v>372</v>
      </c>
      <c r="D189" s="25" t="s">
        <v>145</v>
      </c>
      <c r="E189" s="25" t="s">
        <v>194</v>
      </c>
      <c r="F189" s="25" t="s">
        <v>128</v>
      </c>
      <c r="G189" s="26" t="s">
        <v>129</v>
      </c>
      <c r="H189" s="27" t="s">
        <v>373</v>
      </c>
      <c r="I189" s="24" t="s">
        <v>106</v>
      </c>
      <c r="J189" s="24" t="s">
        <v>107</v>
      </c>
      <c r="K189" s="28" t="s">
        <v>108</v>
      </c>
      <c r="L189" s="29">
        <v>0.01</v>
      </c>
      <c r="M189" s="29">
        <v>0.01</v>
      </c>
      <c r="N189" s="29">
        <v>0.01</v>
      </c>
      <c r="O189" s="27" t="s">
        <v>148</v>
      </c>
      <c r="P189" s="30" t="s">
        <v>145</v>
      </c>
      <c r="Q189" s="31">
        <v>1196592563.77</v>
      </c>
      <c r="R189" s="31">
        <v>1516.85</v>
      </c>
      <c r="S189" s="32">
        <v>1.7576000000000001E-2</v>
      </c>
      <c r="T189" s="32" t="s">
        <v>139</v>
      </c>
      <c r="U189" s="32">
        <v>0</v>
      </c>
      <c r="V189" s="32">
        <v>1.916E-3</v>
      </c>
      <c r="W189" s="32">
        <v>6.8640000000000003E-3</v>
      </c>
      <c r="X189" s="32">
        <v>1.391E-2</v>
      </c>
      <c r="Y189" s="32">
        <v>2.4109999999999999E-2</v>
      </c>
      <c r="Z189" s="32">
        <v>5.8875999999999998E-2</v>
      </c>
      <c r="AA189" s="32">
        <v>0.10194499999999999</v>
      </c>
      <c r="AB189" s="32">
        <v>0.14499100000000001</v>
      </c>
    </row>
    <row r="190" spans="1:28" ht="15.6" customHeight="1" x14ac:dyDescent="0.25">
      <c r="A190" s="24" t="s">
        <v>374</v>
      </c>
      <c r="B190" s="50">
        <v>3740</v>
      </c>
      <c r="C190" s="25" t="s">
        <v>375</v>
      </c>
      <c r="D190" s="25" t="s">
        <v>137</v>
      </c>
      <c r="E190" s="25" t="s">
        <v>194</v>
      </c>
      <c r="F190" s="25" t="s">
        <v>155</v>
      </c>
      <c r="G190" s="26" t="s">
        <v>139</v>
      </c>
      <c r="H190" s="27" t="s">
        <v>139</v>
      </c>
      <c r="I190" s="24" t="s">
        <v>106</v>
      </c>
      <c r="J190" s="24" t="s">
        <v>107</v>
      </c>
      <c r="K190" s="28" t="s">
        <v>108</v>
      </c>
      <c r="L190" s="29">
        <v>2E-3</v>
      </c>
      <c r="M190" s="29">
        <v>2E-3</v>
      </c>
      <c r="N190" s="29">
        <v>0.02</v>
      </c>
      <c r="O190" s="27" t="s">
        <v>141</v>
      </c>
      <c r="P190" s="30" t="s">
        <v>142</v>
      </c>
      <c r="Q190" s="31">
        <v>24669851.577226002</v>
      </c>
      <c r="R190" s="31">
        <v>227.37</v>
      </c>
      <c r="S190" s="32">
        <v>-9.2624999999999999E-2</v>
      </c>
      <c r="T190" s="32" t="s">
        <v>139</v>
      </c>
      <c r="U190" s="32">
        <v>-3.2880000000000001E-3</v>
      </c>
      <c r="V190" s="32">
        <v>-1.1736E-2</v>
      </c>
      <c r="W190" s="32">
        <v>1.4682000000000001E-2</v>
      </c>
      <c r="X190" s="32">
        <v>2.3820000000000001E-2</v>
      </c>
      <c r="Y190" s="32">
        <v>-0.188747</v>
      </c>
      <c r="Z190" s="32">
        <v>0.21809700000000001</v>
      </c>
      <c r="AA190" s="32">
        <v>0.51448700000000003</v>
      </c>
      <c r="AB190" s="32">
        <v>0.49970300000000001</v>
      </c>
    </row>
    <row r="191" spans="1:28" ht="15.6" customHeight="1" x14ac:dyDescent="0.25">
      <c r="A191" s="24" t="s">
        <v>1247</v>
      </c>
      <c r="B191" s="50">
        <v>3742</v>
      </c>
      <c r="C191" s="25" t="s">
        <v>1248</v>
      </c>
      <c r="D191" s="25" t="s">
        <v>159</v>
      </c>
      <c r="E191" s="25" t="s">
        <v>194</v>
      </c>
      <c r="F191" s="25" t="s">
        <v>155</v>
      </c>
      <c r="G191" s="26" t="s">
        <v>139</v>
      </c>
      <c r="H191" s="27" t="s">
        <v>588</v>
      </c>
      <c r="I191" s="24" t="s">
        <v>998</v>
      </c>
      <c r="J191" s="24" t="s">
        <v>121</v>
      </c>
      <c r="K191" s="28" t="s">
        <v>108</v>
      </c>
      <c r="L191" s="29">
        <v>0</v>
      </c>
      <c r="M191" s="29">
        <v>0</v>
      </c>
      <c r="N191" s="29">
        <v>0.02</v>
      </c>
      <c r="O191" s="27" t="s">
        <v>161</v>
      </c>
      <c r="P191" s="30" t="s">
        <v>159</v>
      </c>
      <c r="Q191" s="31">
        <v>1484470861.8399999</v>
      </c>
      <c r="R191" s="31">
        <v>3414.01</v>
      </c>
      <c r="S191" s="32">
        <v>2.2811000000000001E-2</v>
      </c>
      <c r="T191" s="32" t="s">
        <v>139</v>
      </c>
      <c r="U191" s="32">
        <v>-6.0759999999999998E-3</v>
      </c>
      <c r="V191" s="32">
        <v>-4.3220000000000003E-3</v>
      </c>
      <c r="W191" s="32">
        <v>3.3581E-2</v>
      </c>
      <c r="X191" s="32">
        <v>0.11569699999999999</v>
      </c>
      <c r="Y191" s="32">
        <v>-8.6864999999999998E-2</v>
      </c>
      <c r="Z191" s="32">
        <v>0.41930499999999998</v>
      </c>
      <c r="AA191" s="32">
        <v>0.75923700000000005</v>
      </c>
      <c r="AB191" s="32">
        <v>0.73636699999999999</v>
      </c>
    </row>
    <row r="192" spans="1:28" ht="15.6" customHeight="1" x14ac:dyDescent="0.25">
      <c r="A192" s="24" t="s">
        <v>1249</v>
      </c>
      <c r="B192" s="50">
        <v>3743</v>
      </c>
      <c r="C192" s="25" t="s">
        <v>1250</v>
      </c>
      <c r="D192" s="25" t="s">
        <v>350</v>
      </c>
      <c r="E192" s="25" t="s">
        <v>194</v>
      </c>
      <c r="F192" s="25" t="s">
        <v>155</v>
      </c>
      <c r="G192" s="26" t="s">
        <v>139</v>
      </c>
      <c r="H192" s="27" t="s">
        <v>156</v>
      </c>
      <c r="I192" s="24" t="s">
        <v>998</v>
      </c>
      <c r="J192" s="24" t="s">
        <v>107</v>
      </c>
      <c r="K192" s="28" t="s">
        <v>108</v>
      </c>
      <c r="L192" s="29">
        <v>0.03</v>
      </c>
      <c r="M192" s="29">
        <v>1.4999999999999999E-2</v>
      </c>
      <c r="N192" s="29">
        <v>0.02</v>
      </c>
      <c r="O192" s="27" t="s">
        <v>166</v>
      </c>
      <c r="P192" s="30" t="s">
        <v>350</v>
      </c>
      <c r="Q192" s="31">
        <v>2883367.46</v>
      </c>
      <c r="R192" s="31">
        <v>290.25</v>
      </c>
      <c r="S192" s="32">
        <v>5.8109000000000001E-2</v>
      </c>
      <c r="T192" s="32" t="s">
        <v>139</v>
      </c>
      <c r="U192" s="32">
        <v>-7.0809999999999996E-3</v>
      </c>
      <c r="V192" s="32">
        <v>-2.4399999999999999E-3</v>
      </c>
      <c r="W192" s="32">
        <v>3.9577000000000001E-2</v>
      </c>
      <c r="X192" s="32">
        <v>0.14746000000000001</v>
      </c>
      <c r="Y192" s="32">
        <v>-4.3594000000000001E-2</v>
      </c>
      <c r="Z192" s="32">
        <v>0.42636000000000002</v>
      </c>
      <c r="AA192" s="32">
        <v>0.70404500000000003</v>
      </c>
      <c r="AB192" s="32">
        <v>0.62096499999999999</v>
      </c>
    </row>
    <row r="193" spans="1:28" ht="15.6" customHeight="1" x14ac:dyDescent="0.25">
      <c r="A193" s="24" t="s">
        <v>376</v>
      </c>
      <c r="B193" s="50">
        <v>3744</v>
      </c>
      <c r="C193" s="25" t="s">
        <v>377</v>
      </c>
      <c r="D193" s="25" t="s">
        <v>145</v>
      </c>
      <c r="E193" s="25" t="s">
        <v>194</v>
      </c>
      <c r="F193" s="25" t="s">
        <v>103</v>
      </c>
      <c r="G193" s="26" t="s">
        <v>378</v>
      </c>
      <c r="H193" s="27" t="s">
        <v>379</v>
      </c>
      <c r="I193" s="24" t="s">
        <v>106</v>
      </c>
      <c r="J193" s="24" t="s">
        <v>107</v>
      </c>
      <c r="K193" s="28" t="s">
        <v>108</v>
      </c>
      <c r="L193" s="29">
        <v>0.01</v>
      </c>
      <c r="M193" s="29">
        <v>0.01</v>
      </c>
      <c r="N193" s="29">
        <v>0.01</v>
      </c>
      <c r="O193" s="27" t="s">
        <v>148</v>
      </c>
      <c r="P193" s="30" t="s">
        <v>145</v>
      </c>
      <c r="Q193" s="31">
        <v>7583480270.3599997</v>
      </c>
      <c r="R193" s="31">
        <v>145617.73000000001</v>
      </c>
      <c r="S193" s="32">
        <v>1.9092000000000001E-2</v>
      </c>
      <c r="T193" s="32" t="s">
        <v>139</v>
      </c>
      <c r="U193" s="32">
        <v>2.2699999999999999E-4</v>
      </c>
      <c r="V193" s="32">
        <v>1.8209999999999999E-3</v>
      </c>
      <c r="W193" s="32">
        <v>7.2309999999999996E-3</v>
      </c>
      <c r="X193" s="32">
        <v>1.4165000000000001E-2</v>
      </c>
      <c r="Y193" s="32">
        <v>2.7118E-2</v>
      </c>
      <c r="Z193" s="32">
        <v>6.0165999999999997E-2</v>
      </c>
      <c r="AA193" s="32">
        <v>9.7446000000000005E-2</v>
      </c>
      <c r="AB193" s="32">
        <v>0.144645</v>
      </c>
    </row>
    <row r="194" spans="1:28" ht="15.6" customHeight="1" x14ac:dyDescent="0.25">
      <c r="A194" s="24" t="s">
        <v>380</v>
      </c>
      <c r="B194" s="50">
        <v>3745</v>
      </c>
      <c r="C194" s="25" t="s">
        <v>381</v>
      </c>
      <c r="D194" s="25" t="s">
        <v>127</v>
      </c>
      <c r="E194" s="25" t="s">
        <v>194</v>
      </c>
      <c r="F194" s="25" t="s">
        <v>128</v>
      </c>
      <c r="G194" s="26" t="s">
        <v>250</v>
      </c>
      <c r="H194" s="27" t="s">
        <v>130</v>
      </c>
      <c r="I194" s="24" t="s">
        <v>106</v>
      </c>
      <c r="J194" s="24" t="s">
        <v>121</v>
      </c>
      <c r="K194" s="28" t="s">
        <v>180</v>
      </c>
      <c r="L194" s="29">
        <v>0</v>
      </c>
      <c r="M194" s="29">
        <v>0</v>
      </c>
      <c r="N194" s="29">
        <v>0.02</v>
      </c>
      <c r="O194" s="27" t="s">
        <v>131</v>
      </c>
      <c r="P194" s="30" t="s">
        <v>131</v>
      </c>
      <c r="Q194" s="31">
        <v>5738142.1900000004</v>
      </c>
      <c r="R194" s="31">
        <v>1126.67</v>
      </c>
      <c r="S194" s="32">
        <v>1.4917E-2</v>
      </c>
      <c r="T194" s="32" t="s">
        <v>139</v>
      </c>
      <c r="U194" s="32">
        <v>-1.7699999999999999E-4</v>
      </c>
      <c r="V194" s="32">
        <v>1.565E-3</v>
      </c>
      <c r="W194" s="32">
        <v>5.4530000000000004E-3</v>
      </c>
      <c r="X194" s="32">
        <v>1.1546000000000001E-2</v>
      </c>
      <c r="Y194" s="32">
        <v>2.0229E-2</v>
      </c>
      <c r="Z194" s="32">
        <v>4.8221E-2</v>
      </c>
      <c r="AA194" s="32">
        <v>8.4494E-2</v>
      </c>
      <c r="AB194" s="32">
        <v>0.124186</v>
      </c>
    </row>
    <row r="195" spans="1:28" ht="15.6" customHeight="1" x14ac:dyDescent="0.25">
      <c r="A195" s="24" t="s">
        <v>1251</v>
      </c>
      <c r="B195" s="50">
        <v>3746</v>
      </c>
      <c r="C195" s="25" t="s">
        <v>1252</v>
      </c>
      <c r="D195" s="25" t="s">
        <v>261</v>
      </c>
      <c r="E195" s="25" t="s">
        <v>194</v>
      </c>
      <c r="F195" s="25" t="s">
        <v>155</v>
      </c>
      <c r="G195" s="26" t="s">
        <v>139</v>
      </c>
      <c r="H195" s="27" t="s">
        <v>156</v>
      </c>
      <c r="I195" s="24" t="s">
        <v>998</v>
      </c>
      <c r="J195" s="24" t="s">
        <v>107</v>
      </c>
      <c r="K195" s="28" t="s">
        <v>108</v>
      </c>
      <c r="L195" s="29">
        <v>0.02</v>
      </c>
      <c r="M195" s="29">
        <v>0.02</v>
      </c>
      <c r="N195" s="29">
        <v>0.02</v>
      </c>
      <c r="O195" s="27" t="s">
        <v>262</v>
      </c>
      <c r="P195" s="30" t="s">
        <v>261</v>
      </c>
      <c r="Q195" s="31">
        <v>3879517.66</v>
      </c>
      <c r="R195" s="31">
        <v>319.62</v>
      </c>
      <c r="S195" s="32">
        <v>-7.2840000000000002E-2</v>
      </c>
      <c r="T195" s="32" t="s">
        <v>139</v>
      </c>
      <c r="U195" s="32">
        <v>-4.0200000000000001E-3</v>
      </c>
      <c r="V195" s="32">
        <v>-1.1993999999999999E-2</v>
      </c>
      <c r="W195" s="32">
        <v>4.2296E-2</v>
      </c>
      <c r="X195" s="32">
        <v>4.2431999999999997E-2</v>
      </c>
      <c r="Y195" s="32">
        <v>-0.164414</v>
      </c>
      <c r="Z195" s="32">
        <v>0.17650099999999999</v>
      </c>
      <c r="AA195" s="32">
        <v>0.42471199999999998</v>
      </c>
      <c r="AB195" s="32">
        <v>0.37099500000000002</v>
      </c>
    </row>
    <row r="196" spans="1:28" ht="15.6" customHeight="1" x14ac:dyDescent="0.25">
      <c r="A196" s="24" t="s">
        <v>1253</v>
      </c>
      <c r="B196" s="50">
        <v>3747</v>
      </c>
      <c r="C196" s="25" t="s">
        <v>1254</v>
      </c>
      <c r="D196" s="25" t="s">
        <v>241</v>
      </c>
      <c r="E196" s="25" t="s">
        <v>194</v>
      </c>
      <c r="F196" s="25" t="s">
        <v>113</v>
      </c>
      <c r="G196" s="26" t="s">
        <v>1134</v>
      </c>
      <c r="H196" s="27" t="s">
        <v>115</v>
      </c>
      <c r="I196" s="24" t="s">
        <v>998</v>
      </c>
      <c r="J196" s="24" t="s">
        <v>107</v>
      </c>
      <c r="K196" s="28" t="s">
        <v>108</v>
      </c>
      <c r="L196" s="29">
        <v>0.03</v>
      </c>
      <c r="M196" s="29">
        <v>1.4999999999999999E-2</v>
      </c>
      <c r="N196" s="29">
        <v>0.02</v>
      </c>
      <c r="O196" s="27" t="s">
        <v>116</v>
      </c>
      <c r="P196" s="30" t="s">
        <v>241</v>
      </c>
      <c r="Q196" s="31">
        <v>1153563787.3199999</v>
      </c>
      <c r="R196" s="31">
        <v>1692.77</v>
      </c>
      <c r="S196" s="32">
        <v>-7.0099999999999997E-3</v>
      </c>
      <c r="T196" s="32" t="s">
        <v>139</v>
      </c>
      <c r="U196" s="32">
        <v>-1.1739999999999999E-3</v>
      </c>
      <c r="V196" s="32">
        <v>1.207E-3</v>
      </c>
      <c r="W196" s="32">
        <v>3.8370000000000001E-3</v>
      </c>
      <c r="X196" s="32">
        <v>5.2909999999999997E-3</v>
      </c>
      <c r="Y196" s="32">
        <v>-1.375E-2</v>
      </c>
      <c r="Z196" s="32">
        <v>6.1351000000000003E-2</v>
      </c>
      <c r="AA196" s="32">
        <v>0.15366299999999999</v>
      </c>
      <c r="AB196" s="32">
        <v>8.7513999999999995E-2</v>
      </c>
    </row>
    <row r="197" spans="1:28" ht="15.6" customHeight="1" x14ac:dyDescent="0.25">
      <c r="A197" s="24" t="s">
        <v>382</v>
      </c>
      <c r="B197" s="50">
        <v>3748</v>
      </c>
      <c r="C197" s="25" t="s">
        <v>383</v>
      </c>
      <c r="D197" s="25" t="s">
        <v>355</v>
      </c>
      <c r="E197" s="25" t="s">
        <v>194</v>
      </c>
      <c r="F197" s="25" t="s">
        <v>128</v>
      </c>
      <c r="G197" s="26" t="s">
        <v>250</v>
      </c>
      <c r="H197" s="27" t="s">
        <v>130</v>
      </c>
      <c r="I197" s="24" t="s">
        <v>106</v>
      </c>
      <c r="J197" s="24" t="s">
        <v>107</v>
      </c>
      <c r="K197" s="28" t="s">
        <v>108</v>
      </c>
      <c r="L197" s="29">
        <v>0.02</v>
      </c>
      <c r="M197" s="29">
        <v>1.4999999999999999E-2</v>
      </c>
      <c r="N197" s="29">
        <v>0.02</v>
      </c>
      <c r="O197" s="27" t="s">
        <v>109</v>
      </c>
      <c r="P197" s="30" t="s">
        <v>355</v>
      </c>
      <c r="Q197" s="31">
        <v>734435835.32000005</v>
      </c>
      <c r="R197" s="31">
        <v>1458.75</v>
      </c>
      <c r="S197" s="32">
        <v>1.5899E-2</v>
      </c>
      <c r="T197" s="32" t="s">
        <v>139</v>
      </c>
      <c r="U197" s="32">
        <v>-2.4000000000000001E-4</v>
      </c>
      <c r="V197" s="32">
        <v>1.572E-3</v>
      </c>
      <c r="W197" s="32">
        <v>6.3749999999999996E-3</v>
      </c>
      <c r="X197" s="32">
        <v>1.2311000000000001E-2</v>
      </c>
      <c r="Y197" s="32">
        <v>2.2773000000000002E-2</v>
      </c>
      <c r="Z197" s="32">
        <v>5.4543000000000001E-2</v>
      </c>
      <c r="AA197" s="32">
        <v>9.2451000000000005E-2</v>
      </c>
      <c r="AB197" s="32">
        <v>0.13431399999999999</v>
      </c>
    </row>
    <row r="198" spans="1:28" ht="15.6" customHeight="1" x14ac:dyDescent="0.25">
      <c r="A198" s="24" t="s">
        <v>1255</v>
      </c>
      <c r="B198" s="50">
        <v>3749</v>
      </c>
      <c r="C198" s="25" t="s">
        <v>1256</v>
      </c>
      <c r="D198" s="25" t="s">
        <v>101</v>
      </c>
      <c r="E198" s="25" t="s">
        <v>194</v>
      </c>
      <c r="F198" s="25" t="s">
        <v>113</v>
      </c>
      <c r="G198" s="26" t="s">
        <v>1257</v>
      </c>
      <c r="H198" s="27" t="s">
        <v>120</v>
      </c>
      <c r="I198" s="24" t="s">
        <v>998</v>
      </c>
      <c r="J198" s="24" t="s">
        <v>107</v>
      </c>
      <c r="K198" s="28" t="s">
        <v>108</v>
      </c>
      <c r="L198" s="29">
        <v>0</v>
      </c>
      <c r="M198" s="29">
        <v>0</v>
      </c>
      <c r="N198" s="29">
        <v>0.02</v>
      </c>
      <c r="O198" s="27" t="s">
        <v>109</v>
      </c>
      <c r="P198" s="30" t="s">
        <v>101</v>
      </c>
      <c r="Q198" s="31">
        <v>180322141.08000001</v>
      </c>
      <c r="R198" s="31">
        <v>1462.94</v>
      </c>
      <c r="S198" s="32">
        <v>3.1679999999999998E-3</v>
      </c>
      <c r="T198" s="32" t="s">
        <v>139</v>
      </c>
      <c r="U198" s="32">
        <v>-6.7599999999999995E-4</v>
      </c>
      <c r="V198" s="32">
        <v>2.2130000000000001E-3</v>
      </c>
      <c r="W198" s="32">
        <v>4.5110000000000003E-3</v>
      </c>
      <c r="X198" s="32">
        <v>5.4019999999999997E-3</v>
      </c>
      <c r="Y198" s="32">
        <v>7.3899999999999997E-4</v>
      </c>
      <c r="Z198" s="32">
        <v>6.2024999999999997E-2</v>
      </c>
      <c r="AA198" s="32">
        <v>0.12842899999999999</v>
      </c>
      <c r="AB198" s="32">
        <v>0.14791699999999999</v>
      </c>
    </row>
    <row r="199" spans="1:28" ht="15.6" customHeight="1" x14ac:dyDescent="0.25">
      <c r="A199" s="24" t="s">
        <v>1258</v>
      </c>
      <c r="B199" s="50">
        <v>3750</v>
      </c>
      <c r="C199" s="25" t="s">
        <v>1259</v>
      </c>
      <c r="D199" s="25" t="s">
        <v>101</v>
      </c>
      <c r="E199" s="25" t="s">
        <v>194</v>
      </c>
      <c r="F199" s="25" t="s">
        <v>113</v>
      </c>
      <c r="G199" s="26" t="s">
        <v>1160</v>
      </c>
      <c r="H199" s="27" t="s">
        <v>839</v>
      </c>
      <c r="I199" s="24" t="s">
        <v>998</v>
      </c>
      <c r="J199" s="24" t="s">
        <v>107</v>
      </c>
      <c r="K199" s="28" t="s">
        <v>108</v>
      </c>
      <c r="L199" s="29">
        <v>0.03</v>
      </c>
      <c r="M199" s="29">
        <v>1.4999999999999999E-2</v>
      </c>
      <c r="N199" s="29">
        <v>0.02</v>
      </c>
      <c r="O199" s="27" t="s">
        <v>109</v>
      </c>
      <c r="P199" s="30" t="s">
        <v>101</v>
      </c>
      <c r="Q199" s="31">
        <v>151711430.31</v>
      </c>
      <c r="R199" s="31">
        <v>1274.01</v>
      </c>
      <c r="S199" s="32">
        <v>6.1199999999999996E-3</v>
      </c>
      <c r="T199" s="32" t="s">
        <v>139</v>
      </c>
      <c r="U199" s="32">
        <v>-1.207E-3</v>
      </c>
      <c r="V199" s="32">
        <v>2.2339999999999999E-3</v>
      </c>
      <c r="W199" s="32">
        <v>4.6610000000000002E-3</v>
      </c>
      <c r="X199" s="32">
        <v>8.9090000000000003E-3</v>
      </c>
      <c r="Y199" s="32">
        <v>-2.4823000000000001E-2</v>
      </c>
      <c r="Z199" s="32">
        <v>-9.7699999999999992E-3</v>
      </c>
      <c r="AA199" s="32">
        <v>1.1938000000000001E-2</v>
      </c>
      <c r="AB199" s="32">
        <v>1.6208E-2</v>
      </c>
    </row>
    <row r="200" spans="1:28" ht="15.6" customHeight="1" x14ac:dyDescent="0.25">
      <c r="A200" s="24" t="s">
        <v>384</v>
      </c>
      <c r="B200" s="50">
        <v>3751</v>
      </c>
      <c r="C200" s="25" t="s">
        <v>385</v>
      </c>
      <c r="D200" s="25" t="s">
        <v>137</v>
      </c>
      <c r="E200" s="25" t="s">
        <v>194</v>
      </c>
      <c r="F200" s="25" t="s">
        <v>103</v>
      </c>
      <c r="G200" s="26" t="s">
        <v>343</v>
      </c>
      <c r="H200" s="27" t="s">
        <v>386</v>
      </c>
      <c r="I200" s="24" t="s">
        <v>106</v>
      </c>
      <c r="J200" s="24" t="s">
        <v>107</v>
      </c>
      <c r="K200" s="28" t="s">
        <v>108</v>
      </c>
      <c r="L200" s="29">
        <v>5.0000000000000001E-3</v>
      </c>
      <c r="M200" s="29">
        <v>5.0000000000000001E-3</v>
      </c>
      <c r="N200" s="29">
        <v>4.0000000000000001E-3</v>
      </c>
      <c r="O200" s="27" t="s">
        <v>141</v>
      </c>
      <c r="P200" s="30" t="s">
        <v>142</v>
      </c>
      <c r="Q200" s="31">
        <v>136215410.87072599</v>
      </c>
      <c r="R200" s="31">
        <v>2432418.0499999998</v>
      </c>
      <c r="S200" s="32">
        <v>8.5170000000000003E-3</v>
      </c>
      <c r="T200" s="32" t="s">
        <v>139</v>
      </c>
      <c r="U200" s="32">
        <v>9.1000000000000003E-5</v>
      </c>
      <c r="V200" s="32">
        <v>9.0300000000000005E-4</v>
      </c>
      <c r="W200" s="32">
        <v>3.0959999999999998E-3</v>
      </c>
      <c r="X200" s="32">
        <v>6.2360000000000002E-3</v>
      </c>
      <c r="Y200" s="32">
        <v>5.3719999999999997E-2</v>
      </c>
      <c r="Z200" s="32">
        <v>5.0227000000000001E-2</v>
      </c>
      <c r="AA200" s="32">
        <v>3.9819E-2</v>
      </c>
      <c r="AB200" s="32">
        <v>2.1805000000000001E-2</v>
      </c>
    </row>
    <row r="201" spans="1:28" ht="15.6" customHeight="1" x14ac:dyDescent="0.25">
      <c r="A201" s="24" t="s">
        <v>1260</v>
      </c>
      <c r="B201" s="50">
        <v>3754</v>
      </c>
      <c r="C201" s="25" t="s">
        <v>1261</v>
      </c>
      <c r="D201" s="25" t="s">
        <v>137</v>
      </c>
      <c r="E201" s="25" t="s">
        <v>194</v>
      </c>
      <c r="F201" s="25" t="s">
        <v>155</v>
      </c>
      <c r="G201" s="26" t="s">
        <v>139</v>
      </c>
      <c r="H201" s="27" t="s">
        <v>202</v>
      </c>
      <c r="I201" s="24" t="s">
        <v>998</v>
      </c>
      <c r="J201" s="24" t="s">
        <v>107</v>
      </c>
      <c r="K201" s="28" t="s">
        <v>180</v>
      </c>
      <c r="L201" s="29">
        <v>4.5000000000000014E-3</v>
      </c>
      <c r="M201" s="29">
        <v>4.5000000000000014E-3</v>
      </c>
      <c r="N201" s="29">
        <v>0.02</v>
      </c>
      <c r="O201" s="27" t="s">
        <v>141</v>
      </c>
      <c r="P201" s="30" t="s">
        <v>142</v>
      </c>
      <c r="Q201" s="31">
        <v>444389837.46591598</v>
      </c>
      <c r="R201" s="31">
        <v>170.41</v>
      </c>
      <c r="S201" s="32">
        <v>-4.6716000000000001E-2</v>
      </c>
      <c r="T201" s="32" t="s">
        <v>139</v>
      </c>
      <c r="U201" s="32">
        <v>-6.7609999999999996E-3</v>
      </c>
      <c r="V201" s="32">
        <v>-5.8919999999999997E-3</v>
      </c>
      <c r="W201" s="32">
        <v>2.9687000000000002E-2</v>
      </c>
      <c r="X201" s="32">
        <v>4.0846E-2</v>
      </c>
      <c r="Y201" s="32">
        <v>-0.14116400000000001</v>
      </c>
      <c r="Z201" s="32">
        <v>0.19875599999999999</v>
      </c>
      <c r="AA201" s="32">
        <v>0.41009000000000001</v>
      </c>
      <c r="AB201" s="32">
        <v>0.33352599999999999</v>
      </c>
    </row>
    <row r="202" spans="1:28" ht="15.6" customHeight="1" x14ac:dyDescent="0.25">
      <c r="A202" s="24" t="s">
        <v>387</v>
      </c>
      <c r="B202" s="50">
        <v>3755</v>
      </c>
      <c r="C202" s="25" t="s">
        <v>388</v>
      </c>
      <c r="D202" s="25" t="s">
        <v>159</v>
      </c>
      <c r="E202" s="25" t="s">
        <v>194</v>
      </c>
      <c r="F202" s="25" t="s">
        <v>128</v>
      </c>
      <c r="G202" s="26" t="s">
        <v>389</v>
      </c>
      <c r="H202" s="27" t="s">
        <v>130</v>
      </c>
      <c r="I202" s="24" t="s">
        <v>106</v>
      </c>
      <c r="J202" s="24" t="s">
        <v>121</v>
      </c>
      <c r="K202" s="28" t="s">
        <v>108</v>
      </c>
      <c r="L202" s="29">
        <v>0</v>
      </c>
      <c r="M202" s="29">
        <v>0</v>
      </c>
      <c r="N202" s="29">
        <v>0.02</v>
      </c>
      <c r="O202" s="27" t="s">
        <v>161</v>
      </c>
      <c r="P202" s="30" t="s">
        <v>159</v>
      </c>
      <c r="Q202" s="31">
        <v>397137363.13999999</v>
      </c>
      <c r="R202" s="31">
        <v>1408.19</v>
      </c>
      <c r="S202" s="32">
        <v>1.6413000000000001E-2</v>
      </c>
      <c r="T202" s="32" t="s">
        <v>139</v>
      </c>
      <c r="U202" s="32">
        <v>-9.8999999999999994E-5</v>
      </c>
      <c r="V202" s="32">
        <v>1.5579999999999999E-3</v>
      </c>
      <c r="W202" s="32">
        <v>5.9789999999999999E-3</v>
      </c>
      <c r="X202" s="32">
        <v>1.2940999999999999E-2</v>
      </c>
      <c r="Y202" s="32">
        <v>2.2679999999999999E-2</v>
      </c>
      <c r="Z202" s="32">
        <v>5.2678999999999997E-2</v>
      </c>
      <c r="AA202" s="32">
        <v>8.9668999999999999E-2</v>
      </c>
      <c r="AB202" s="32">
        <v>0.131522</v>
      </c>
    </row>
    <row r="203" spans="1:28" ht="15.6" customHeight="1" x14ac:dyDescent="0.25">
      <c r="A203" s="24" t="s">
        <v>390</v>
      </c>
      <c r="B203" s="50">
        <v>3756</v>
      </c>
      <c r="C203" s="25" t="s">
        <v>391</v>
      </c>
      <c r="D203" s="25" t="s">
        <v>101</v>
      </c>
      <c r="E203" s="25" t="s">
        <v>194</v>
      </c>
      <c r="F203" s="25" t="s">
        <v>103</v>
      </c>
      <c r="G203" s="26" t="s">
        <v>392</v>
      </c>
      <c r="H203" s="27" t="s">
        <v>337</v>
      </c>
      <c r="I203" s="24" t="s">
        <v>106</v>
      </c>
      <c r="J203" s="24" t="s">
        <v>121</v>
      </c>
      <c r="K203" s="28" t="s">
        <v>108</v>
      </c>
      <c r="L203" s="29">
        <v>0</v>
      </c>
      <c r="M203" s="29">
        <v>0</v>
      </c>
      <c r="N203" s="29">
        <v>0.02</v>
      </c>
      <c r="O203" s="27" t="s">
        <v>109</v>
      </c>
      <c r="P203" s="30" t="s">
        <v>101</v>
      </c>
      <c r="Q203" s="31">
        <v>29082824.93</v>
      </c>
      <c r="R203" s="31">
        <v>131003.72</v>
      </c>
      <c r="S203" s="32">
        <v>1.3677999999999999E-2</v>
      </c>
      <c r="T203" s="32" t="s">
        <v>139</v>
      </c>
      <c r="U203" s="32">
        <v>1.5300000000000001E-4</v>
      </c>
      <c r="V203" s="32">
        <v>1.382E-3</v>
      </c>
      <c r="W203" s="32">
        <v>4.8650000000000004E-3</v>
      </c>
      <c r="X203" s="32">
        <v>1.0092E-2</v>
      </c>
      <c r="Y203" s="32">
        <v>1.9144000000000001E-2</v>
      </c>
      <c r="Z203" s="32">
        <v>4.3028999999999998E-2</v>
      </c>
      <c r="AA203" s="32">
        <v>7.6531000000000002E-2</v>
      </c>
      <c r="AB203" s="32">
        <v>0.120458</v>
      </c>
    </row>
    <row r="204" spans="1:28" ht="15.6" customHeight="1" x14ac:dyDescent="0.25">
      <c r="A204" s="24" t="s">
        <v>1262</v>
      </c>
      <c r="B204" s="50">
        <v>3757</v>
      </c>
      <c r="C204" s="25" t="s">
        <v>1263</v>
      </c>
      <c r="D204" s="25" t="s">
        <v>159</v>
      </c>
      <c r="E204" s="25" t="s">
        <v>194</v>
      </c>
      <c r="F204" s="25" t="s">
        <v>113</v>
      </c>
      <c r="G204" s="26" t="s">
        <v>531</v>
      </c>
      <c r="H204" s="27" t="s">
        <v>1264</v>
      </c>
      <c r="I204" s="24" t="s">
        <v>998</v>
      </c>
      <c r="J204" s="24" t="s">
        <v>121</v>
      </c>
      <c r="K204" s="28" t="s">
        <v>108</v>
      </c>
      <c r="L204" s="29">
        <v>0</v>
      </c>
      <c r="M204" s="29">
        <v>0</v>
      </c>
      <c r="N204" s="29">
        <v>0.02</v>
      </c>
      <c r="O204" s="27" t="s">
        <v>161</v>
      </c>
      <c r="P204" s="30" t="s">
        <v>159</v>
      </c>
      <c r="Q204" s="31">
        <v>2713458604.3699999</v>
      </c>
      <c r="R204" s="31">
        <v>1668.57</v>
      </c>
      <c r="S204" s="32">
        <v>6.0780000000000001E-3</v>
      </c>
      <c r="T204" s="32" t="s">
        <v>139</v>
      </c>
      <c r="U204" s="32">
        <v>-1.627E-3</v>
      </c>
      <c r="V204" s="32">
        <v>1.825E-3</v>
      </c>
      <c r="W204" s="32">
        <v>8.4980000000000003E-3</v>
      </c>
      <c r="X204" s="32">
        <v>1.5668000000000001E-2</v>
      </c>
      <c r="Y204" s="32">
        <v>-2.9940000000000001E-3</v>
      </c>
      <c r="Z204" s="32">
        <v>9.0375999999999998E-2</v>
      </c>
      <c r="AA204" s="32">
        <v>0.19456599999999999</v>
      </c>
      <c r="AB204" s="32">
        <v>0.22115199999999999</v>
      </c>
    </row>
    <row r="205" spans="1:28" ht="15.6" customHeight="1" x14ac:dyDescent="0.25">
      <c r="A205" s="24" t="s">
        <v>1265</v>
      </c>
      <c r="B205" s="50">
        <v>3758</v>
      </c>
      <c r="C205" s="25" t="s">
        <v>1266</v>
      </c>
      <c r="D205" s="25" t="s">
        <v>145</v>
      </c>
      <c r="E205" s="25" t="s">
        <v>194</v>
      </c>
      <c r="F205" s="25" t="s">
        <v>113</v>
      </c>
      <c r="G205" s="26" t="s">
        <v>347</v>
      </c>
      <c r="H205" s="27" t="s">
        <v>1267</v>
      </c>
      <c r="I205" s="24" t="s">
        <v>998</v>
      </c>
      <c r="J205" s="24" t="s">
        <v>121</v>
      </c>
      <c r="K205" s="28" t="s">
        <v>108</v>
      </c>
      <c r="L205" s="29">
        <v>0.03</v>
      </c>
      <c r="M205" s="29">
        <v>0.03</v>
      </c>
      <c r="N205" s="29">
        <v>0.02</v>
      </c>
      <c r="O205" s="27" t="s">
        <v>148</v>
      </c>
      <c r="P205" s="30" t="s">
        <v>145</v>
      </c>
      <c r="Q205" s="31">
        <v>3810824916.3000002</v>
      </c>
      <c r="R205" s="31">
        <v>1693.14</v>
      </c>
      <c r="S205" s="32">
        <v>5.44E-4</v>
      </c>
      <c r="T205" s="32" t="s">
        <v>139</v>
      </c>
      <c r="U205" s="32">
        <v>-2.5209999999999998E-3</v>
      </c>
      <c r="V205" s="32">
        <v>4.1E-5</v>
      </c>
      <c r="W205" s="32">
        <v>9.3530000000000002E-3</v>
      </c>
      <c r="X205" s="32">
        <v>1.1396999999999999E-2</v>
      </c>
      <c r="Y205" s="32">
        <v>-9.7210000000000005E-3</v>
      </c>
      <c r="Z205" s="32">
        <v>8.4234000000000003E-2</v>
      </c>
      <c r="AA205" s="32">
        <v>0.197717</v>
      </c>
      <c r="AB205" s="32">
        <v>0.22451699999999999</v>
      </c>
    </row>
    <row r="206" spans="1:28" ht="15.6" customHeight="1" x14ac:dyDescent="0.25">
      <c r="A206" s="24" t="s">
        <v>1268</v>
      </c>
      <c r="B206" s="50">
        <v>3759</v>
      </c>
      <c r="C206" s="25" t="s">
        <v>1269</v>
      </c>
      <c r="D206" s="25" t="s">
        <v>127</v>
      </c>
      <c r="E206" s="25" t="s">
        <v>194</v>
      </c>
      <c r="F206" s="25" t="s">
        <v>113</v>
      </c>
      <c r="G206" s="26" t="s">
        <v>347</v>
      </c>
      <c r="H206" s="27" t="s">
        <v>1270</v>
      </c>
      <c r="I206" s="24" t="s">
        <v>998</v>
      </c>
      <c r="J206" s="24" t="s">
        <v>121</v>
      </c>
      <c r="K206" s="28" t="s">
        <v>108</v>
      </c>
      <c r="L206" s="29">
        <v>0.03</v>
      </c>
      <c r="M206" s="29">
        <v>0.03</v>
      </c>
      <c r="N206" s="29">
        <v>0.02</v>
      </c>
      <c r="O206" s="27" t="s">
        <v>131</v>
      </c>
      <c r="P206" s="30" t="s">
        <v>131</v>
      </c>
      <c r="Q206" s="31">
        <v>2934060432.0500002</v>
      </c>
      <c r="R206" s="31">
        <v>1606.23</v>
      </c>
      <c r="S206" s="32">
        <v>3.2599999999999999E-3</v>
      </c>
      <c r="T206" s="32" t="s">
        <v>139</v>
      </c>
      <c r="U206" s="32">
        <v>-1.1130000000000001E-3</v>
      </c>
      <c r="V206" s="32">
        <v>1.8339999999999999E-3</v>
      </c>
      <c r="W206" s="32">
        <v>9.4269999999999996E-3</v>
      </c>
      <c r="X206" s="32">
        <v>1.2506E-2</v>
      </c>
      <c r="Y206" s="32">
        <v>-8.7139999999999995E-3</v>
      </c>
      <c r="Z206" s="32">
        <v>7.6518000000000003E-2</v>
      </c>
      <c r="AA206" s="32">
        <v>0.17563999999999999</v>
      </c>
      <c r="AB206" s="32">
        <v>0.21370600000000001</v>
      </c>
    </row>
    <row r="207" spans="1:28" ht="15.6" customHeight="1" x14ac:dyDescent="0.25">
      <c r="A207" s="24" t="s">
        <v>393</v>
      </c>
      <c r="B207" s="50">
        <v>3761</v>
      </c>
      <c r="C207" s="25" t="s">
        <v>394</v>
      </c>
      <c r="D207" s="25" t="s">
        <v>241</v>
      </c>
      <c r="E207" s="25" t="s">
        <v>194</v>
      </c>
      <c r="F207" s="25" t="s">
        <v>128</v>
      </c>
      <c r="G207" s="26" t="s">
        <v>289</v>
      </c>
      <c r="H207" s="27" t="s">
        <v>130</v>
      </c>
      <c r="I207" s="24" t="s">
        <v>106</v>
      </c>
      <c r="J207" s="24" t="s">
        <v>107</v>
      </c>
      <c r="K207" s="28" t="s">
        <v>108</v>
      </c>
      <c r="L207" s="29">
        <v>0</v>
      </c>
      <c r="M207" s="29">
        <v>0</v>
      </c>
      <c r="N207" s="29">
        <v>0.02</v>
      </c>
      <c r="O207" s="27" t="s">
        <v>148</v>
      </c>
      <c r="P207" s="30" t="s">
        <v>241</v>
      </c>
      <c r="Q207" s="31">
        <v>4579995836.1199999</v>
      </c>
      <c r="R207" s="31">
        <v>1439.03</v>
      </c>
      <c r="S207" s="32">
        <v>1.9576E-2</v>
      </c>
      <c r="T207" s="32" t="s">
        <v>139</v>
      </c>
      <c r="U207" s="32">
        <v>-2.8E-5</v>
      </c>
      <c r="V207" s="32">
        <v>1.838E-3</v>
      </c>
      <c r="W207" s="32">
        <v>7.1809999999999999E-3</v>
      </c>
      <c r="X207" s="32">
        <v>1.5044999999999999E-2</v>
      </c>
      <c r="Y207" s="32">
        <v>2.7584999999999998E-2</v>
      </c>
      <c r="Z207" s="32">
        <v>6.5932000000000004E-2</v>
      </c>
      <c r="AA207" s="32">
        <v>0.10997700000000001</v>
      </c>
      <c r="AB207" s="32">
        <v>0.15978800000000001</v>
      </c>
    </row>
    <row r="208" spans="1:28" ht="15.6" customHeight="1" x14ac:dyDescent="0.25">
      <c r="A208" s="24" t="s">
        <v>395</v>
      </c>
      <c r="B208" s="50">
        <v>3762</v>
      </c>
      <c r="C208" s="25" t="s">
        <v>396</v>
      </c>
      <c r="D208" s="25" t="s">
        <v>342</v>
      </c>
      <c r="E208" s="25" t="s">
        <v>194</v>
      </c>
      <c r="F208" s="25" t="s">
        <v>128</v>
      </c>
      <c r="G208" s="26" t="s">
        <v>289</v>
      </c>
      <c r="H208" s="27" t="s">
        <v>130</v>
      </c>
      <c r="I208" s="24" t="s">
        <v>106</v>
      </c>
      <c r="J208" s="24" t="s">
        <v>107</v>
      </c>
      <c r="K208" s="28" t="s">
        <v>108</v>
      </c>
      <c r="L208" s="29">
        <v>0.03</v>
      </c>
      <c r="M208" s="29">
        <v>0.03</v>
      </c>
      <c r="N208" s="29">
        <v>0.02</v>
      </c>
      <c r="O208" s="27" t="s">
        <v>148</v>
      </c>
      <c r="P208" s="30" t="s">
        <v>344</v>
      </c>
      <c r="Q208" s="31">
        <v>2489435587.4499998</v>
      </c>
      <c r="R208" s="31">
        <v>1373.1</v>
      </c>
      <c r="S208" s="32">
        <v>2.0081000000000002E-2</v>
      </c>
      <c r="T208" s="32" t="s">
        <v>139</v>
      </c>
      <c r="U208" s="32">
        <v>-1.8900000000000001E-4</v>
      </c>
      <c r="V208" s="32">
        <v>2.065E-3</v>
      </c>
      <c r="W208" s="32">
        <v>7.4910000000000003E-3</v>
      </c>
      <c r="X208" s="32">
        <v>1.5358999999999999E-2</v>
      </c>
      <c r="Y208" s="32">
        <v>2.7446000000000002E-2</v>
      </c>
      <c r="Z208" s="32">
        <v>6.5525E-2</v>
      </c>
      <c r="AA208" s="32">
        <v>0.112452</v>
      </c>
      <c r="AB208" s="32">
        <v>0.154137</v>
      </c>
    </row>
    <row r="209" spans="1:28" ht="15.6" customHeight="1" x14ac:dyDescent="0.25">
      <c r="A209" s="24" t="s">
        <v>397</v>
      </c>
      <c r="B209" s="50">
        <v>3763</v>
      </c>
      <c r="C209" s="25" t="s">
        <v>398</v>
      </c>
      <c r="D209" s="25" t="s">
        <v>342</v>
      </c>
      <c r="E209" s="25" t="s">
        <v>194</v>
      </c>
      <c r="F209" s="25" t="s">
        <v>103</v>
      </c>
      <c r="G209" s="26" t="s">
        <v>244</v>
      </c>
      <c r="H209" s="27" t="s">
        <v>130</v>
      </c>
      <c r="I209" s="24" t="s">
        <v>106</v>
      </c>
      <c r="J209" s="24" t="s">
        <v>107</v>
      </c>
      <c r="K209" s="28" t="s">
        <v>108</v>
      </c>
      <c r="L209" s="29">
        <v>0.03</v>
      </c>
      <c r="M209" s="29">
        <v>0.03</v>
      </c>
      <c r="N209" s="29">
        <v>0.02</v>
      </c>
      <c r="O209" s="27" t="s">
        <v>148</v>
      </c>
      <c r="P209" s="30" t="s">
        <v>344</v>
      </c>
      <c r="Q209" s="31">
        <v>609687689.09000003</v>
      </c>
      <c r="R209" s="31">
        <v>1303.74</v>
      </c>
      <c r="S209" s="32">
        <v>1.7219999999999999E-2</v>
      </c>
      <c r="T209" s="32" t="s">
        <v>139</v>
      </c>
      <c r="U209" s="32">
        <v>1.9900000000000001E-4</v>
      </c>
      <c r="V209" s="32">
        <v>1.9289999999999999E-3</v>
      </c>
      <c r="W209" s="32">
        <v>6.2049999999999996E-3</v>
      </c>
      <c r="X209" s="32">
        <v>1.2763E-2</v>
      </c>
      <c r="Y209" s="32">
        <v>2.4074999999999999E-2</v>
      </c>
      <c r="Z209" s="32">
        <v>5.5728E-2</v>
      </c>
      <c r="AA209" s="32">
        <v>9.1480000000000006E-2</v>
      </c>
      <c r="AB209" s="32">
        <v>0.13569200000000001</v>
      </c>
    </row>
    <row r="210" spans="1:28" ht="15.6" customHeight="1" x14ac:dyDescent="0.25">
      <c r="A210" s="24" t="s">
        <v>1271</v>
      </c>
      <c r="B210" s="50">
        <v>3764</v>
      </c>
      <c r="C210" s="25" t="s">
        <v>1272</v>
      </c>
      <c r="D210" s="25" t="s">
        <v>342</v>
      </c>
      <c r="E210" s="25" t="s">
        <v>194</v>
      </c>
      <c r="F210" s="25" t="s">
        <v>138</v>
      </c>
      <c r="G210" s="26" t="s">
        <v>139</v>
      </c>
      <c r="H210" s="27" t="s">
        <v>1273</v>
      </c>
      <c r="I210" s="24" t="s">
        <v>998</v>
      </c>
      <c r="J210" s="24" t="s">
        <v>107</v>
      </c>
      <c r="K210" s="28" t="s">
        <v>108</v>
      </c>
      <c r="L210" s="29">
        <v>0.03</v>
      </c>
      <c r="M210" s="29">
        <v>0.03</v>
      </c>
      <c r="N210" s="29">
        <v>0.02</v>
      </c>
      <c r="O210" s="27" t="s">
        <v>148</v>
      </c>
      <c r="P210" s="30" t="s">
        <v>344</v>
      </c>
      <c r="Q210" s="31">
        <v>1451385659.02</v>
      </c>
      <c r="R210" s="31">
        <v>1375.42</v>
      </c>
      <c r="S210" s="32">
        <v>-2.273E-2</v>
      </c>
      <c r="T210" s="32" t="s">
        <v>139</v>
      </c>
      <c r="U210" s="32">
        <v>-2.9499999999999999E-3</v>
      </c>
      <c r="V210" s="32">
        <v>-4.4510000000000001E-3</v>
      </c>
      <c r="W210" s="32">
        <v>1.7774000000000002E-2</v>
      </c>
      <c r="X210" s="32">
        <v>5.0388000000000002E-2</v>
      </c>
      <c r="Y210" s="32">
        <v>-0.10931100000000001</v>
      </c>
      <c r="Z210" s="32">
        <v>0.17457900000000001</v>
      </c>
      <c r="AA210" s="32">
        <v>0.41312199999999999</v>
      </c>
      <c r="AB210" s="32">
        <v>0.26874399999999998</v>
      </c>
    </row>
    <row r="211" spans="1:28" ht="15.6" customHeight="1" x14ac:dyDescent="0.25">
      <c r="A211" s="24" t="s">
        <v>1274</v>
      </c>
      <c r="B211" s="50">
        <v>3765</v>
      </c>
      <c r="C211" s="25" t="s">
        <v>1275</v>
      </c>
      <c r="D211" s="25" t="s">
        <v>355</v>
      </c>
      <c r="E211" s="25" t="s">
        <v>194</v>
      </c>
      <c r="F211" s="25" t="s">
        <v>155</v>
      </c>
      <c r="G211" s="26" t="s">
        <v>139</v>
      </c>
      <c r="H211" s="27" t="s">
        <v>156</v>
      </c>
      <c r="I211" s="24" t="s">
        <v>998</v>
      </c>
      <c r="J211" s="24" t="s">
        <v>107</v>
      </c>
      <c r="K211" s="28" t="s">
        <v>108</v>
      </c>
      <c r="L211" s="29">
        <v>0.02</v>
      </c>
      <c r="M211" s="29">
        <v>1.4999999999999999E-2</v>
      </c>
      <c r="N211" s="29">
        <v>0.02</v>
      </c>
      <c r="O211" s="27" t="s">
        <v>109</v>
      </c>
      <c r="P211" s="30" t="s">
        <v>355</v>
      </c>
      <c r="Q211" s="31">
        <v>1417642373.95</v>
      </c>
      <c r="R211" s="31">
        <v>2378.02</v>
      </c>
      <c r="S211" s="32">
        <v>-2.1680999999999999E-2</v>
      </c>
      <c r="T211" s="32" t="s">
        <v>139</v>
      </c>
      <c r="U211" s="32">
        <v>-2.3410000000000002E-3</v>
      </c>
      <c r="V211" s="32">
        <v>-4.2459999999999998E-3</v>
      </c>
      <c r="W211" s="32">
        <v>2.8670999999999999E-2</v>
      </c>
      <c r="X211" s="32">
        <v>7.9833000000000001E-2</v>
      </c>
      <c r="Y211" s="32">
        <v>-0.13336799999999999</v>
      </c>
      <c r="Z211" s="32">
        <v>0.26309700000000003</v>
      </c>
      <c r="AA211" s="32">
        <v>0.550562</v>
      </c>
      <c r="AB211" s="32">
        <v>0.45446399999999998</v>
      </c>
    </row>
    <row r="212" spans="1:28" ht="15.6" customHeight="1" x14ac:dyDescent="0.25">
      <c r="A212" s="24" t="s">
        <v>1276</v>
      </c>
      <c r="B212" s="50">
        <v>3766</v>
      </c>
      <c r="C212" s="25" t="s">
        <v>1277</v>
      </c>
      <c r="D212" s="25" t="s">
        <v>908</v>
      </c>
      <c r="E212" s="25" t="s">
        <v>194</v>
      </c>
      <c r="F212" s="25" t="s">
        <v>138</v>
      </c>
      <c r="G212" s="26" t="s">
        <v>139</v>
      </c>
      <c r="H212" s="27" t="s">
        <v>757</v>
      </c>
      <c r="I212" s="24" t="s">
        <v>998</v>
      </c>
      <c r="J212" s="24" t="s">
        <v>121</v>
      </c>
      <c r="K212" s="28" t="s">
        <v>108</v>
      </c>
      <c r="L212" s="29">
        <v>5.0000000000000001E-3</v>
      </c>
      <c r="M212" s="29">
        <v>2.5000000000000001E-3</v>
      </c>
      <c r="N212" s="29">
        <v>0.02</v>
      </c>
      <c r="O212" s="27" t="s">
        <v>262</v>
      </c>
      <c r="P212" s="30" t="s">
        <v>908</v>
      </c>
      <c r="Q212" s="31">
        <v>659045494.25</v>
      </c>
      <c r="R212" s="31">
        <v>1806.61</v>
      </c>
      <c r="S212" s="32">
        <v>5.7349999999999998E-2</v>
      </c>
      <c r="T212" s="32" t="s">
        <v>139</v>
      </c>
      <c r="U212" s="32">
        <v>-1.16E-4</v>
      </c>
      <c r="V212" s="32">
        <v>4.4260000000000002E-3</v>
      </c>
      <c r="W212" s="32">
        <v>2.8458000000000001E-2</v>
      </c>
      <c r="X212" s="32">
        <v>8.1173999999999996E-2</v>
      </c>
      <c r="Y212" s="32">
        <v>1.1998999999999999E-2</v>
      </c>
      <c r="Z212" s="32">
        <v>0.27728900000000001</v>
      </c>
      <c r="AA212" s="32">
        <v>0.46796500000000002</v>
      </c>
      <c r="AB212" s="32">
        <v>0.46489399999999997</v>
      </c>
    </row>
    <row r="213" spans="1:28" ht="15.6" customHeight="1" x14ac:dyDescent="0.25">
      <c r="A213" s="24" t="s">
        <v>399</v>
      </c>
      <c r="B213" s="50">
        <v>3767</v>
      </c>
      <c r="C213" s="25" t="s">
        <v>400</v>
      </c>
      <c r="D213" s="25" t="s">
        <v>145</v>
      </c>
      <c r="E213" s="25" t="s">
        <v>194</v>
      </c>
      <c r="F213" s="25" t="s">
        <v>103</v>
      </c>
      <c r="G213" s="26" t="s">
        <v>401</v>
      </c>
      <c r="H213" s="27" t="s">
        <v>379</v>
      </c>
      <c r="I213" s="24" t="s">
        <v>106</v>
      </c>
      <c r="J213" s="24" t="s">
        <v>107</v>
      </c>
      <c r="K213" s="28" t="s">
        <v>108</v>
      </c>
      <c r="L213" s="29">
        <v>0.01</v>
      </c>
      <c r="M213" s="29">
        <v>5.0000000000000001E-3</v>
      </c>
      <c r="N213" s="29">
        <v>4.0000000000000001E-3</v>
      </c>
      <c r="O213" s="27" t="s">
        <v>148</v>
      </c>
      <c r="P213" s="30" t="s">
        <v>145</v>
      </c>
      <c r="Q213" s="31">
        <v>183173539.11000001</v>
      </c>
      <c r="R213" s="31">
        <v>1293.83</v>
      </c>
      <c r="S213" s="32">
        <v>1.5580999999999999E-2</v>
      </c>
      <c r="T213" s="32" t="s">
        <v>139</v>
      </c>
      <c r="U213" s="32">
        <v>1.7799999999999999E-4</v>
      </c>
      <c r="V213" s="32">
        <v>1.3929999999999999E-3</v>
      </c>
      <c r="W213" s="32">
        <v>6.9109999999999996E-3</v>
      </c>
      <c r="X213" s="32">
        <v>1.1919000000000001E-2</v>
      </c>
      <c r="Y213" s="32">
        <v>2.1659999999999999E-2</v>
      </c>
      <c r="Z213" s="32">
        <v>4.6077E-2</v>
      </c>
      <c r="AA213" s="32">
        <v>7.5852000000000003E-2</v>
      </c>
      <c r="AB213" s="32">
        <v>0.11724900000000001</v>
      </c>
    </row>
    <row r="214" spans="1:28" ht="15.6" customHeight="1" x14ac:dyDescent="0.25">
      <c r="A214" s="24" t="s">
        <v>1278</v>
      </c>
      <c r="B214" s="50">
        <v>3768</v>
      </c>
      <c r="C214" s="25" t="s">
        <v>1279</v>
      </c>
      <c r="D214" s="25" t="s">
        <v>145</v>
      </c>
      <c r="E214" s="25" t="s">
        <v>194</v>
      </c>
      <c r="F214" s="25" t="s">
        <v>113</v>
      </c>
      <c r="G214" s="26" t="s">
        <v>347</v>
      </c>
      <c r="H214" s="27" t="s">
        <v>115</v>
      </c>
      <c r="I214" s="24" t="s">
        <v>998</v>
      </c>
      <c r="J214" s="24" t="s">
        <v>121</v>
      </c>
      <c r="K214" s="28" t="s">
        <v>108</v>
      </c>
      <c r="L214" s="29">
        <v>0</v>
      </c>
      <c r="M214" s="29">
        <v>0</v>
      </c>
      <c r="N214" s="29">
        <v>0.01</v>
      </c>
      <c r="O214" s="27" t="s">
        <v>148</v>
      </c>
      <c r="P214" s="30" t="s">
        <v>145</v>
      </c>
      <c r="Q214" s="31">
        <v>200870526.16</v>
      </c>
      <c r="R214" s="31">
        <v>1370.88</v>
      </c>
      <c r="S214" s="32">
        <v>4.9550000000000002E-3</v>
      </c>
      <c r="T214" s="32" t="s">
        <v>139</v>
      </c>
      <c r="U214" s="32">
        <v>-1.013E-3</v>
      </c>
      <c r="V214" s="32">
        <v>2.5739999999999999E-3</v>
      </c>
      <c r="W214" s="32">
        <v>6.084E-3</v>
      </c>
      <c r="X214" s="32">
        <v>8.0090000000000005E-3</v>
      </c>
      <c r="Y214" s="32">
        <v>-3.6120000000000002E-3</v>
      </c>
      <c r="Z214" s="32">
        <v>9.8537E-2</v>
      </c>
      <c r="AA214" s="32">
        <v>0.23680100000000001</v>
      </c>
      <c r="AB214" s="32">
        <v>0.181724</v>
      </c>
    </row>
    <row r="215" spans="1:28" ht="15.6" customHeight="1" x14ac:dyDescent="0.25">
      <c r="A215" s="24" t="s">
        <v>1280</v>
      </c>
      <c r="B215" s="50">
        <v>3770</v>
      </c>
      <c r="C215" s="25" t="s">
        <v>1281</v>
      </c>
      <c r="D215" s="25" t="s">
        <v>101</v>
      </c>
      <c r="E215" s="25" t="s">
        <v>194</v>
      </c>
      <c r="F215" s="25" t="s">
        <v>138</v>
      </c>
      <c r="G215" s="26" t="s">
        <v>139</v>
      </c>
      <c r="H215" s="27" t="s">
        <v>1282</v>
      </c>
      <c r="I215" s="24" t="s">
        <v>998</v>
      </c>
      <c r="J215" s="24" t="s">
        <v>107</v>
      </c>
      <c r="K215" s="28" t="s">
        <v>108</v>
      </c>
      <c r="L215" s="29">
        <v>2E-3</v>
      </c>
      <c r="M215" s="29">
        <v>1E-3</v>
      </c>
      <c r="N215" s="29">
        <v>0.02</v>
      </c>
      <c r="O215" s="27" t="s">
        <v>109</v>
      </c>
      <c r="P215" s="30" t="s">
        <v>101</v>
      </c>
      <c r="Q215" s="31">
        <v>1272199.6000000001</v>
      </c>
      <c r="R215" s="31">
        <v>127.22</v>
      </c>
      <c r="S215" s="32">
        <v>4.3420000000000004E-3</v>
      </c>
      <c r="T215" s="32" t="s">
        <v>139</v>
      </c>
      <c r="U215" s="32">
        <v>3.5500000000000002E-3</v>
      </c>
      <c r="V215" s="32">
        <v>3.3119999999999998E-3</v>
      </c>
      <c r="W215" s="32">
        <v>2.5884999999999998E-2</v>
      </c>
      <c r="X215" s="32">
        <v>2.9454999999999999E-2</v>
      </c>
      <c r="Y215" s="32">
        <v>-3.3355999999999997E-2</v>
      </c>
      <c r="Z215" s="32">
        <v>8.8746000000000005E-2</v>
      </c>
      <c r="AA215" s="32">
        <v>0.123852</v>
      </c>
      <c r="AB215" s="32">
        <v>0.125641</v>
      </c>
    </row>
    <row r="216" spans="1:28" ht="15.6" customHeight="1" x14ac:dyDescent="0.25">
      <c r="A216" s="24" t="s">
        <v>402</v>
      </c>
      <c r="B216" s="50">
        <v>3771</v>
      </c>
      <c r="C216" s="25" t="s">
        <v>403</v>
      </c>
      <c r="D216" s="25" t="s">
        <v>145</v>
      </c>
      <c r="E216" s="25" t="s">
        <v>194</v>
      </c>
      <c r="F216" s="25" t="s">
        <v>128</v>
      </c>
      <c r="G216" s="26" t="s">
        <v>129</v>
      </c>
      <c r="H216" s="27" t="s">
        <v>130</v>
      </c>
      <c r="I216" s="24" t="s">
        <v>106</v>
      </c>
      <c r="J216" s="24" t="s">
        <v>107</v>
      </c>
      <c r="K216" s="28" t="s">
        <v>108</v>
      </c>
      <c r="L216" s="29">
        <v>0.03</v>
      </c>
      <c r="M216" s="29">
        <v>1.4999999999999999E-2</v>
      </c>
      <c r="N216" s="29">
        <v>0.01</v>
      </c>
      <c r="O216" s="27" t="s">
        <v>148</v>
      </c>
      <c r="P216" s="30" t="s">
        <v>145</v>
      </c>
      <c r="Q216" s="31">
        <v>5823185386</v>
      </c>
      <c r="R216" s="31">
        <v>2587.02</v>
      </c>
      <c r="S216" s="32">
        <v>2.0062E-2</v>
      </c>
      <c r="T216" s="32" t="s">
        <v>139</v>
      </c>
      <c r="U216" s="32">
        <v>-1.0399999999999999E-4</v>
      </c>
      <c r="V216" s="32">
        <v>2.0300000000000001E-3</v>
      </c>
      <c r="W216" s="32">
        <v>8.0190000000000001E-3</v>
      </c>
      <c r="X216" s="32">
        <v>1.5724999999999999E-2</v>
      </c>
      <c r="Y216" s="32">
        <v>2.7223000000000001E-2</v>
      </c>
      <c r="Z216" s="32">
        <v>6.6030000000000005E-2</v>
      </c>
      <c r="AA216" s="32">
        <v>0.109566</v>
      </c>
      <c r="AB216" s="32">
        <v>0.15187</v>
      </c>
    </row>
    <row r="217" spans="1:28" ht="15.6" customHeight="1" x14ac:dyDescent="0.25">
      <c r="A217" s="24" t="s">
        <v>404</v>
      </c>
      <c r="B217" s="50">
        <v>3772</v>
      </c>
      <c r="C217" s="25" t="s">
        <v>405</v>
      </c>
      <c r="D217" s="25" t="s">
        <v>145</v>
      </c>
      <c r="E217" s="25" t="s">
        <v>194</v>
      </c>
      <c r="F217" s="25" t="s">
        <v>113</v>
      </c>
      <c r="G217" s="26" t="s">
        <v>406</v>
      </c>
      <c r="H217" s="27" t="s">
        <v>407</v>
      </c>
      <c r="I217" s="24" t="s">
        <v>106</v>
      </c>
      <c r="J217" s="24" t="s">
        <v>107</v>
      </c>
      <c r="K217" s="28" t="s">
        <v>108</v>
      </c>
      <c r="L217" s="29">
        <v>0.01</v>
      </c>
      <c r="M217" s="29">
        <v>5.0000000000000001E-3</v>
      </c>
      <c r="N217" s="29">
        <v>0.01</v>
      </c>
      <c r="O217" s="27" t="s">
        <v>148</v>
      </c>
      <c r="P217" s="30" t="s">
        <v>145</v>
      </c>
      <c r="Q217" s="31">
        <v>1193139530.4100001</v>
      </c>
      <c r="R217" s="31">
        <v>152477.89000000001</v>
      </c>
      <c r="S217" s="32">
        <v>5.901E-3</v>
      </c>
      <c r="T217" s="32" t="s">
        <v>139</v>
      </c>
      <c r="U217" s="32">
        <v>-1.725E-3</v>
      </c>
      <c r="V217" s="32">
        <v>1.0460000000000001E-3</v>
      </c>
      <c r="W217" s="32">
        <v>6.5500000000000003E-3</v>
      </c>
      <c r="X217" s="32">
        <v>1.0840000000000001E-2</v>
      </c>
      <c r="Y217" s="32">
        <v>5.8600000000000004E-4</v>
      </c>
      <c r="Z217" s="32">
        <v>9.1747999999999996E-2</v>
      </c>
      <c r="AA217" s="32">
        <v>0.177317</v>
      </c>
      <c r="AB217" s="32">
        <v>0.17769199999999999</v>
      </c>
    </row>
    <row r="218" spans="1:28" ht="15.6" customHeight="1" x14ac:dyDescent="0.25">
      <c r="A218" s="24" t="s">
        <v>408</v>
      </c>
      <c r="B218" s="50">
        <v>3774</v>
      </c>
      <c r="C218" s="25" t="s">
        <v>409</v>
      </c>
      <c r="D218" s="25" t="s">
        <v>145</v>
      </c>
      <c r="E218" s="25" t="s">
        <v>194</v>
      </c>
      <c r="F218" s="25" t="s">
        <v>138</v>
      </c>
      <c r="G218" s="26" t="s">
        <v>139</v>
      </c>
      <c r="H218" s="27" t="s">
        <v>283</v>
      </c>
      <c r="I218" s="24" t="s">
        <v>106</v>
      </c>
      <c r="J218" s="24" t="s">
        <v>107</v>
      </c>
      <c r="K218" s="28" t="s">
        <v>108</v>
      </c>
      <c r="L218" s="29">
        <v>0.01</v>
      </c>
      <c r="M218" s="29">
        <v>5.0000000000000001E-3</v>
      </c>
      <c r="N218" s="29">
        <v>0.02</v>
      </c>
      <c r="O218" s="27" t="s">
        <v>148</v>
      </c>
      <c r="P218" s="30" t="s">
        <v>145</v>
      </c>
      <c r="Q218" s="31">
        <v>29976885.719999999</v>
      </c>
      <c r="R218" s="31">
        <v>162037.22</v>
      </c>
      <c r="S218" s="32">
        <v>-5.169E-3</v>
      </c>
      <c r="T218" s="32" t="s">
        <v>139</v>
      </c>
      <c r="U218" s="32">
        <v>-2.47E-3</v>
      </c>
      <c r="V218" s="32">
        <v>1.55E-4</v>
      </c>
      <c r="W218" s="32">
        <v>8.7790000000000003E-3</v>
      </c>
      <c r="X218" s="32">
        <v>2.4743999999999999E-2</v>
      </c>
      <c r="Y218" s="32">
        <v>-3.7026000000000003E-2</v>
      </c>
      <c r="Z218" s="32">
        <v>0.118191</v>
      </c>
      <c r="AA218" s="32">
        <v>0.25249899999999997</v>
      </c>
      <c r="AB218" s="32">
        <v>0.16585800000000001</v>
      </c>
    </row>
    <row r="219" spans="1:28" ht="15.6" customHeight="1" x14ac:dyDescent="0.25">
      <c r="A219" s="24" t="s">
        <v>410</v>
      </c>
      <c r="B219" s="50">
        <v>3775</v>
      </c>
      <c r="C219" s="25" t="s">
        <v>411</v>
      </c>
      <c r="D219" s="25" t="s">
        <v>145</v>
      </c>
      <c r="E219" s="25" t="s">
        <v>194</v>
      </c>
      <c r="F219" s="25" t="s">
        <v>155</v>
      </c>
      <c r="G219" s="26" t="s">
        <v>139</v>
      </c>
      <c r="H219" s="27" t="s">
        <v>156</v>
      </c>
      <c r="I219" s="24" t="s">
        <v>106</v>
      </c>
      <c r="J219" s="24" t="s">
        <v>107</v>
      </c>
      <c r="K219" s="28" t="s">
        <v>108</v>
      </c>
      <c r="L219" s="29">
        <v>0.02</v>
      </c>
      <c r="M219" s="29">
        <v>0.01</v>
      </c>
      <c r="N219" s="29">
        <v>0.02</v>
      </c>
      <c r="O219" s="27" t="s">
        <v>148</v>
      </c>
      <c r="P219" s="30" t="s">
        <v>145</v>
      </c>
      <c r="Q219" s="31">
        <v>4655170.49</v>
      </c>
      <c r="R219" s="31">
        <v>2137.36</v>
      </c>
      <c r="S219" s="32">
        <v>8.9409999999999993E-3</v>
      </c>
      <c r="T219" s="32" t="s">
        <v>139</v>
      </c>
      <c r="U219" s="32">
        <v>-7.1720000000000004E-3</v>
      </c>
      <c r="V219" s="32">
        <v>-6.2529999999999999E-3</v>
      </c>
      <c r="W219" s="32">
        <v>3.3334999999999997E-2</v>
      </c>
      <c r="X219" s="32">
        <v>0.109844</v>
      </c>
      <c r="Y219" s="32">
        <v>-7.8891000000000003E-2</v>
      </c>
      <c r="Z219" s="32">
        <v>0.42082399999999998</v>
      </c>
      <c r="AA219" s="32">
        <v>0.81752899999999995</v>
      </c>
      <c r="AB219" s="32">
        <v>0.69053500000000001</v>
      </c>
    </row>
    <row r="220" spans="1:28" ht="15.6" customHeight="1" x14ac:dyDescent="0.25">
      <c r="A220" s="24" t="s">
        <v>412</v>
      </c>
      <c r="B220" s="50">
        <v>3779</v>
      </c>
      <c r="C220" s="25" t="s">
        <v>413</v>
      </c>
      <c r="D220" s="25" t="s">
        <v>164</v>
      </c>
      <c r="E220" s="25" t="s">
        <v>194</v>
      </c>
      <c r="F220" s="25" t="s">
        <v>128</v>
      </c>
      <c r="G220" s="26" t="s">
        <v>129</v>
      </c>
      <c r="H220" s="27" t="s">
        <v>130</v>
      </c>
      <c r="I220" s="24" t="s">
        <v>106</v>
      </c>
      <c r="J220" s="24" t="s">
        <v>107</v>
      </c>
      <c r="K220" s="28" t="s">
        <v>108</v>
      </c>
      <c r="L220" s="29">
        <v>0.03</v>
      </c>
      <c r="M220" s="29">
        <v>1.4999999999999999E-2</v>
      </c>
      <c r="N220" s="29">
        <v>0.02</v>
      </c>
      <c r="O220" s="27" t="s">
        <v>173</v>
      </c>
      <c r="P220" s="30" t="s">
        <v>414</v>
      </c>
      <c r="Q220" s="31">
        <v>2446501846.6399999</v>
      </c>
      <c r="R220" s="31">
        <v>2792.9</v>
      </c>
      <c r="S220" s="32">
        <v>1.7687000000000001E-2</v>
      </c>
      <c r="T220" s="32" t="s">
        <v>139</v>
      </c>
      <c r="U220" s="32">
        <v>-1.36E-4</v>
      </c>
      <c r="V220" s="32">
        <v>1.7359999999999999E-3</v>
      </c>
      <c r="W220" s="32">
        <v>6.5409999999999999E-3</v>
      </c>
      <c r="X220" s="32">
        <v>1.3709000000000001E-2</v>
      </c>
      <c r="Y220" s="32">
        <v>2.4428999999999999E-2</v>
      </c>
      <c r="Z220" s="32">
        <v>5.7972999999999997E-2</v>
      </c>
      <c r="AA220" s="32">
        <v>9.9462999999999996E-2</v>
      </c>
      <c r="AB220" s="32">
        <v>0.145453</v>
      </c>
    </row>
    <row r="221" spans="1:28" ht="15.6" customHeight="1" x14ac:dyDescent="0.25">
      <c r="A221" s="24" t="s">
        <v>1283</v>
      </c>
      <c r="B221" s="50">
        <v>3780</v>
      </c>
      <c r="C221" s="25" t="s">
        <v>1284</v>
      </c>
      <c r="D221" s="25" t="s">
        <v>241</v>
      </c>
      <c r="E221" s="25" t="s">
        <v>194</v>
      </c>
      <c r="F221" s="25" t="s">
        <v>113</v>
      </c>
      <c r="G221" s="26" t="s">
        <v>676</v>
      </c>
      <c r="H221" s="27" t="s">
        <v>115</v>
      </c>
      <c r="I221" s="24" t="s">
        <v>998</v>
      </c>
      <c r="J221" s="24" t="s">
        <v>121</v>
      </c>
      <c r="K221" s="28" t="s">
        <v>108</v>
      </c>
      <c r="L221" s="29">
        <v>0</v>
      </c>
      <c r="M221" s="29">
        <v>0</v>
      </c>
      <c r="N221" s="29">
        <v>0.02</v>
      </c>
      <c r="O221" s="27" t="s">
        <v>166</v>
      </c>
      <c r="P221" s="30" t="s">
        <v>241</v>
      </c>
      <c r="Q221" s="31">
        <v>654228933.85000002</v>
      </c>
      <c r="R221" s="31">
        <v>1357.48</v>
      </c>
      <c r="S221" s="32">
        <v>4.2389999999999997E-3</v>
      </c>
      <c r="T221" s="32" t="s">
        <v>139</v>
      </c>
      <c r="U221" s="32">
        <v>-1.794E-3</v>
      </c>
      <c r="V221" s="32">
        <v>1.897E-3</v>
      </c>
      <c r="W221" s="32">
        <v>7.3169999999999997E-3</v>
      </c>
      <c r="X221" s="32">
        <v>8.4989999999999996E-3</v>
      </c>
      <c r="Y221" s="32">
        <v>-4.6020000000000002E-3</v>
      </c>
      <c r="Z221" s="32">
        <v>8.8168999999999997E-2</v>
      </c>
      <c r="AA221" s="32">
        <v>0.20203499999999999</v>
      </c>
      <c r="AB221" s="32">
        <v>0.17680799999999999</v>
      </c>
    </row>
    <row r="222" spans="1:28" ht="15.6" customHeight="1" x14ac:dyDescent="0.25">
      <c r="A222" s="24" t="s">
        <v>415</v>
      </c>
      <c r="B222" s="50">
        <v>3781</v>
      </c>
      <c r="C222" s="25" t="s">
        <v>416</v>
      </c>
      <c r="D222" s="25" t="s">
        <v>137</v>
      </c>
      <c r="E222" s="25" t="s">
        <v>194</v>
      </c>
      <c r="F222" s="25" t="s">
        <v>103</v>
      </c>
      <c r="G222" s="26" t="s">
        <v>216</v>
      </c>
      <c r="H222" s="27" t="s">
        <v>386</v>
      </c>
      <c r="I222" s="24" t="s">
        <v>106</v>
      </c>
      <c r="J222" s="24" t="s">
        <v>107</v>
      </c>
      <c r="K222" s="28" t="s">
        <v>108</v>
      </c>
      <c r="L222" s="29">
        <v>5.0000000000000001E-3</v>
      </c>
      <c r="M222" s="29">
        <v>5.0000000000000001E-3</v>
      </c>
      <c r="N222" s="29">
        <v>6.0000000000000001E-3</v>
      </c>
      <c r="O222" s="27" t="s">
        <v>141</v>
      </c>
      <c r="P222" s="30" t="s">
        <v>142</v>
      </c>
      <c r="Q222" s="31">
        <v>97900029.769488007</v>
      </c>
      <c r="R222" s="31">
        <v>1257.03</v>
      </c>
      <c r="S222" s="32">
        <v>1.4994E-2</v>
      </c>
      <c r="T222" s="32" t="s">
        <v>139</v>
      </c>
      <c r="U222" s="32">
        <v>1.4300000000000001E-4</v>
      </c>
      <c r="V222" s="32">
        <v>1.554E-3</v>
      </c>
      <c r="W222" s="32">
        <v>5.3429999999999997E-3</v>
      </c>
      <c r="X222" s="32">
        <v>1.0824E-2</v>
      </c>
      <c r="Y222" s="32">
        <v>2.0607E-2</v>
      </c>
      <c r="Z222" s="32">
        <v>4.7018999999999998E-2</v>
      </c>
      <c r="AA222" s="32">
        <v>7.9765000000000003E-2</v>
      </c>
      <c r="AB222" s="32">
        <v>0.121777</v>
      </c>
    </row>
    <row r="223" spans="1:28" ht="15.6" customHeight="1" x14ac:dyDescent="0.25">
      <c r="A223" s="24" t="s">
        <v>1285</v>
      </c>
      <c r="B223" s="50">
        <v>3782</v>
      </c>
      <c r="C223" s="25" t="s">
        <v>1286</v>
      </c>
      <c r="D223" s="25" t="s">
        <v>137</v>
      </c>
      <c r="E223" s="25" t="s">
        <v>194</v>
      </c>
      <c r="F223" s="25" t="s">
        <v>113</v>
      </c>
      <c r="G223" s="26" t="s">
        <v>198</v>
      </c>
      <c r="H223" s="27" t="s">
        <v>1287</v>
      </c>
      <c r="I223" s="24" t="s">
        <v>998</v>
      </c>
      <c r="J223" s="24" t="s">
        <v>121</v>
      </c>
      <c r="K223" s="28" t="s">
        <v>108</v>
      </c>
      <c r="L223" s="29">
        <v>0.02</v>
      </c>
      <c r="M223" s="29">
        <v>0.02</v>
      </c>
      <c r="N223" s="29">
        <v>0.02</v>
      </c>
      <c r="O223" s="27" t="s">
        <v>148</v>
      </c>
      <c r="P223" s="30" t="s">
        <v>1288</v>
      </c>
      <c r="Q223" s="31">
        <v>53389981.915051997</v>
      </c>
      <c r="R223" s="31">
        <v>1033.6300000000001</v>
      </c>
      <c r="S223" s="32">
        <v>-4.0090000000000004E-3</v>
      </c>
      <c r="T223" s="32" t="s">
        <v>139</v>
      </c>
      <c r="U223" s="32">
        <v>-1.111E-3</v>
      </c>
      <c r="V223" s="32">
        <v>2.9E-5</v>
      </c>
      <c r="W223" s="32">
        <v>5.9999999999999995E-4</v>
      </c>
      <c r="X223" s="32">
        <v>1.366E-3</v>
      </c>
      <c r="Y223" s="32">
        <v>-7.7660000000000003E-3</v>
      </c>
      <c r="Z223" s="32">
        <v>9.2659999999999999E-3</v>
      </c>
      <c r="AA223" s="32">
        <v>3.5608000000000001E-2</v>
      </c>
      <c r="AB223" s="32">
        <v>2.1403999999999999E-2</v>
      </c>
    </row>
    <row r="224" spans="1:28" ht="15.6" customHeight="1" x14ac:dyDescent="0.25">
      <c r="A224" s="24" t="s">
        <v>1289</v>
      </c>
      <c r="B224" s="50">
        <v>3783</v>
      </c>
      <c r="C224" s="25" t="s">
        <v>1290</v>
      </c>
      <c r="D224" s="25" t="s">
        <v>355</v>
      </c>
      <c r="E224" s="25" t="s">
        <v>194</v>
      </c>
      <c r="F224" s="25" t="s">
        <v>113</v>
      </c>
      <c r="G224" s="26" t="s">
        <v>198</v>
      </c>
      <c r="H224" s="27" t="s">
        <v>120</v>
      </c>
      <c r="I224" s="24" t="s">
        <v>998</v>
      </c>
      <c r="J224" s="24" t="s">
        <v>107</v>
      </c>
      <c r="K224" s="28" t="s">
        <v>108</v>
      </c>
      <c r="L224" s="29">
        <v>0.02</v>
      </c>
      <c r="M224" s="29">
        <v>1.4999999999999999E-2</v>
      </c>
      <c r="N224" s="29">
        <v>0.02</v>
      </c>
      <c r="O224" s="27" t="s">
        <v>109</v>
      </c>
      <c r="P224" s="30" t="s">
        <v>355</v>
      </c>
      <c r="Q224" s="31">
        <v>1210393921.6500001</v>
      </c>
      <c r="R224" s="31">
        <v>1244.22</v>
      </c>
      <c r="S224" s="32">
        <v>-1.1794000000000001E-2</v>
      </c>
      <c r="T224" s="32" t="s">
        <v>139</v>
      </c>
      <c r="U224" s="32">
        <v>-1.8129999999999999E-3</v>
      </c>
      <c r="V224" s="32">
        <v>6.0300000000000002E-4</v>
      </c>
      <c r="W224" s="32">
        <v>1.513E-3</v>
      </c>
      <c r="X224" s="32">
        <v>-1.7329999999999999E-3</v>
      </c>
      <c r="Y224" s="32">
        <v>-2.6980000000000001E-2</v>
      </c>
      <c r="Z224" s="32">
        <v>3.8060999999999998E-2</v>
      </c>
      <c r="AA224" s="32">
        <v>0.10208399999999999</v>
      </c>
      <c r="AB224" s="32">
        <v>3.9995999999999997E-2</v>
      </c>
    </row>
    <row r="225" spans="1:28" ht="15.6" customHeight="1" x14ac:dyDescent="0.25">
      <c r="A225" s="24" t="s">
        <v>1291</v>
      </c>
      <c r="B225" s="50">
        <v>3787</v>
      </c>
      <c r="C225" s="25" t="s">
        <v>1292</v>
      </c>
      <c r="D225" s="25" t="s">
        <v>322</v>
      </c>
      <c r="E225" s="25" t="s">
        <v>194</v>
      </c>
      <c r="F225" s="25" t="s">
        <v>113</v>
      </c>
      <c r="G225" s="26" t="s">
        <v>1293</v>
      </c>
      <c r="H225" s="27" t="s">
        <v>115</v>
      </c>
      <c r="I225" s="24" t="s">
        <v>998</v>
      </c>
      <c r="J225" s="24" t="s">
        <v>107</v>
      </c>
      <c r="K225" s="28" t="s">
        <v>108</v>
      </c>
      <c r="L225" s="29">
        <v>0.03</v>
      </c>
      <c r="M225" s="29">
        <v>1.4999999999999999E-2</v>
      </c>
      <c r="N225" s="29">
        <v>0.02</v>
      </c>
      <c r="O225" s="27" t="s">
        <v>166</v>
      </c>
      <c r="P225" s="30" t="s">
        <v>322</v>
      </c>
      <c r="Q225" s="31">
        <v>558336330</v>
      </c>
      <c r="R225" s="31">
        <v>126.72</v>
      </c>
      <c r="S225" s="32">
        <v>-4.5560000000000002E-3</v>
      </c>
      <c r="T225" s="32" t="s">
        <v>139</v>
      </c>
      <c r="U225" s="32">
        <v>-1.1820000000000001E-3</v>
      </c>
      <c r="V225" s="32">
        <v>5.53E-4</v>
      </c>
      <c r="W225" s="32">
        <v>2.3730000000000001E-3</v>
      </c>
      <c r="X225" s="32">
        <v>2.7699999999999999E-3</v>
      </c>
      <c r="Y225" s="32">
        <v>-9.0709999999999992E-3</v>
      </c>
      <c r="Z225" s="32">
        <v>4.7185999999999999E-2</v>
      </c>
      <c r="AA225" s="32">
        <v>0.122708</v>
      </c>
      <c r="AB225" s="32">
        <v>4.3563999999999999E-2</v>
      </c>
    </row>
    <row r="226" spans="1:28" ht="15.6" customHeight="1" x14ac:dyDescent="0.25">
      <c r="A226" s="24" t="s">
        <v>417</v>
      </c>
      <c r="B226" s="50">
        <v>3788</v>
      </c>
      <c r="C226" s="25" t="s">
        <v>418</v>
      </c>
      <c r="D226" s="25" t="s">
        <v>322</v>
      </c>
      <c r="E226" s="25" t="s">
        <v>194</v>
      </c>
      <c r="F226" s="25" t="s">
        <v>128</v>
      </c>
      <c r="G226" s="26" t="s">
        <v>289</v>
      </c>
      <c r="H226" s="27" t="s">
        <v>130</v>
      </c>
      <c r="I226" s="24" t="s">
        <v>106</v>
      </c>
      <c r="J226" s="24" t="s">
        <v>107</v>
      </c>
      <c r="K226" s="28" t="s">
        <v>108</v>
      </c>
      <c r="L226" s="29">
        <v>0.03</v>
      </c>
      <c r="M226" s="29">
        <v>1.4999999999999999E-2</v>
      </c>
      <c r="N226" s="29">
        <v>0.02</v>
      </c>
      <c r="O226" s="27" t="s">
        <v>148</v>
      </c>
      <c r="P226" s="30" t="s">
        <v>322</v>
      </c>
      <c r="Q226" s="31">
        <v>2749679157.4899998</v>
      </c>
      <c r="R226" s="31">
        <v>133.26</v>
      </c>
      <c r="S226" s="32">
        <v>2.0915E-2</v>
      </c>
      <c r="T226" s="32" t="s">
        <v>139</v>
      </c>
      <c r="U226" s="32">
        <v>-7.4999999999999993E-5</v>
      </c>
      <c r="V226" s="32">
        <v>1.9550000000000001E-3</v>
      </c>
      <c r="W226" s="32">
        <v>7.6369999999999997E-3</v>
      </c>
      <c r="X226" s="32">
        <v>1.5469E-2</v>
      </c>
      <c r="Y226" s="32">
        <v>2.8955000000000002E-2</v>
      </c>
      <c r="Z226" s="32">
        <v>6.6591999999999998E-2</v>
      </c>
      <c r="AA226" s="32">
        <v>0.108652</v>
      </c>
      <c r="AB226" s="32">
        <v>0.150976</v>
      </c>
    </row>
    <row r="227" spans="1:28" ht="15.6" customHeight="1" x14ac:dyDescent="0.25">
      <c r="A227" s="24" t="s">
        <v>1294</v>
      </c>
      <c r="B227" s="50">
        <v>3793</v>
      </c>
      <c r="C227" s="25" t="s">
        <v>1295</v>
      </c>
      <c r="D227" s="25" t="s">
        <v>164</v>
      </c>
      <c r="E227" s="25" t="s">
        <v>194</v>
      </c>
      <c r="F227" s="25" t="s">
        <v>138</v>
      </c>
      <c r="G227" s="26" t="s">
        <v>139</v>
      </c>
      <c r="H227" s="27" t="s">
        <v>1296</v>
      </c>
      <c r="I227" s="24" t="s">
        <v>998</v>
      </c>
      <c r="J227" s="24" t="s">
        <v>107</v>
      </c>
      <c r="K227" s="28" t="s">
        <v>227</v>
      </c>
      <c r="L227" s="29">
        <v>0</v>
      </c>
      <c r="M227" s="29">
        <v>0</v>
      </c>
      <c r="N227" s="29">
        <v>0.02</v>
      </c>
      <c r="O227" s="27" t="s">
        <v>166</v>
      </c>
      <c r="P227" s="30" t="s">
        <v>164</v>
      </c>
      <c r="Q227" s="31">
        <v>413067096.63</v>
      </c>
      <c r="R227" s="31">
        <v>538549.02</v>
      </c>
      <c r="S227" s="32">
        <v>4.3748000000000002E-2</v>
      </c>
      <c r="T227" s="32" t="s">
        <v>139</v>
      </c>
      <c r="U227" s="32">
        <v>-9.3699999999999999E-3</v>
      </c>
      <c r="V227" s="32">
        <v>6.0599999999999998E-4</v>
      </c>
      <c r="W227" s="32">
        <v>1.3756000000000001E-2</v>
      </c>
      <c r="X227" s="32">
        <v>9.3766000000000002E-2</v>
      </c>
      <c r="Y227" s="32">
        <v>6.3639999999999999E-3</v>
      </c>
      <c r="Z227" s="32">
        <v>0.38395400000000002</v>
      </c>
      <c r="AA227" s="32">
        <v>0.60099000000000002</v>
      </c>
      <c r="AB227" s="32">
        <v>0.56810899999999998</v>
      </c>
    </row>
    <row r="228" spans="1:28" ht="15.6" customHeight="1" x14ac:dyDescent="0.25">
      <c r="A228" s="24" t="s">
        <v>419</v>
      </c>
      <c r="B228" s="50">
        <v>3794</v>
      </c>
      <c r="C228" s="25" t="s">
        <v>420</v>
      </c>
      <c r="D228" s="25" t="s">
        <v>145</v>
      </c>
      <c r="E228" s="25" t="s">
        <v>194</v>
      </c>
      <c r="F228" s="25" t="s">
        <v>138</v>
      </c>
      <c r="G228" s="26" t="s">
        <v>139</v>
      </c>
      <c r="H228" s="27" t="s">
        <v>421</v>
      </c>
      <c r="I228" s="24" t="s">
        <v>106</v>
      </c>
      <c r="J228" s="24" t="s">
        <v>107</v>
      </c>
      <c r="K228" s="28" t="s">
        <v>108</v>
      </c>
      <c r="L228" s="29">
        <v>0.01</v>
      </c>
      <c r="M228" s="29">
        <v>5.0000000000000001E-3</v>
      </c>
      <c r="N228" s="29">
        <v>0.02</v>
      </c>
      <c r="O228" s="27" t="s">
        <v>148</v>
      </c>
      <c r="P228" s="30" t="s">
        <v>145</v>
      </c>
      <c r="Q228" s="31">
        <v>1957777.08</v>
      </c>
      <c r="R228" s="31">
        <v>1408.47</v>
      </c>
      <c r="S228" s="32">
        <v>-1.2674E-2</v>
      </c>
      <c r="T228" s="32" t="s">
        <v>139</v>
      </c>
      <c r="U228" s="32">
        <v>-4.6430000000000004E-3</v>
      </c>
      <c r="V228" s="32">
        <v>-6.3489999999999996E-3</v>
      </c>
      <c r="W228" s="32">
        <v>2.8050000000000002E-3</v>
      </c>
      <c r="X228" s="32">
        <v>1.1113E-2</v>
      </c>
      <c r="Y228" s="32">
        <v>-3.5004E-2</v>
      </c>
      <c r="Z228" s="32">
        <v>0.11268499999999999</v>
      </c>
      <c r="AA228" s="32">
        <v>0.20253599999999999</v>
      </c>
      <c r="AB228" s="32">
        <v>0.235099</v>
      </c>
    </row>
    <row r="229" spans="1:28" ht="15.6" customHeight="1" x14ac:dyDescent="0.25">
      <c r="A229" s="24" t="s">
        <v>422</v>
      </c>
      <c r="B229" s="50">
        <v>3795</v>
      </c>
      <c r="C229" s="25" t="s">
        <v>423</v>
      </c>
      <c r="D229" s="25" t="s">
        <v>355</v>
      </c>
      <c r="E229" s="25" t="s">
        <v>194</v>
      </c>
      <c r="F229" s="25" t="s">
        <v>103</v>
      </c>
      <c r="G229" s="26" t="s">
        <v>392</v>
      </c>
      <c r="H229" s="27" t="s">
        <v>424</v>
      </c>
      <c r="I229" s="24" t="s">
        <v>106</v>
      </c>
      <c r="J229" s="24" t="s">
        <v>107</v>
      </c>
      <c r="K229" s="28" t="s">
        <v>108</v>
      </c>
      <c r="L229" s="29">
        <v>0.02</v>
      </c>
      <c r="M229" s="29">
        <v>1.4999999999999999E-2</v>
      </c>
      <c r="N229" s="29">
        <v>0.02</v>
      </c>
      <c r="O229" s="27" t="s">
        <v>166</v>
      </c>
      <c r="P229" s="30" t="s">
        <v>355</v>
      </c>
      <c r="Q229" s="31">
        <v>1838948232.25</v>
      </c>
      <c r="R229" s="31">
        <v>1287.6400000000001</v>
      </c>
      <c r="S229" s="32">
        <v>1.8856000000000001E-2</v>
      </c>
      <c r="T229" s="32" t="s">
        <v>139</v>
      </c>
      <c r="U229" s="32">
        <v>1.7899999999999999E-4</v>
      </c>
      <c r="V229" s="32">
        <v>1.766E-3</v>
      </c>
      <c r="W229" s="32">
        <v>6.9909999999999998E-3</v>
      </c>
      <c r="X229" s="32">
        <v>1.4201E-2</v>
      </c>
      <c r="Y229" s="32">
        <v>2.6261E-2</v>
      </c>
      <c r="Z229" s="32">
        <v>5.7236000000000002E-2</v>
      </c>
      <c r="AA229" s="32">
        <v>9.3592999999999996E-2</v>
      </c>
      <c r="AB229" s="32">
        <v>0.144569</v>
      </c>
    </row>
    <row r="230" spans="1:28" ht="15.6" customHeight="1" x14ac:dyDescent="0.25">
      <c r="A230" s="24" t="s">
        <v>425</v>
      </c>
      <c r="B230" s="50">
        <v>3796</v>
      </c>
      <c r="C230" s="25" t="s">
        <v>426</v>
      </c>
      <c r="D230" s="25" t="s">
        <v>355</v>
      </c>
      <c r="E230" s="25" t="s">
        <v>194</v>
      </c>
      <c r="F230" s="25" t="s">
        <v>128</v>
      </c>
      <c r="G230" s="26" t="s">
        <v>289</v>
      </c>
      <c r="H230" s="27" t="s">
        <v>130</v>
      </c>
      <c r="I230" s="24" t="s">
        <v>106</v>
      </c>
      <c r="J230" s="24" t="s">
        <v>107</v>
      </c>
      <c r="K230" s="28" t="s">
        <v>108</v>
      </c>
      <c r="L230" s="29">
        <v>0.02</v>
      </c>
      <c r="M230" s="29">
        <v>1.4999999999999999E-2</v>
      </c>
      <c r="N230" s="29">
        <v>0.02</v>
      </c>
      <c r="O230" s="27" t="s">
        <v>166</v>
      </c>
      <c r="P230" s="30" t="s">
        <v>355</v>
      </c>
      <c r="Q230" s="31">
        <v>4057516969.9200001</v>
      </c>
      <c r="R230" s="31">
        <v>1309.94</v>
      </c>
      <c r="S230" s="32">
        <v>2.06E-2</v>
      </c>
      <c r="T230" s="32" t="s">
        <v>139</v>
      </c>
      <c r="U230" s="32">
        <v>2.3E-5</v>
      </c>
      <c r="V230" s="32">
        <v>1.9889999999999999E-3</v>
      </c>
      <c r="W230" s="32">
        <v>7.9559999999999995E-3</v>
      </c>
      <c r="X230" s="32">
        <v>1.6001000000000001E-2</v>
      </c>
      <c r="Y230" s="32">
        <v>2.8509E-2</v>
      </c>
      <c r="Z230" s="32">
        <v>6.6092999999999999E-2</v>
      </c>
      <c r="AA230" s="32">
        <v>0.11082500000000001</v>
      </c>
      <c r="AB230" s="32">
        <v>0.14441200000000001</v>
      </c>
    </row>
    <row r="231" spans="1:28" ht="15.6" customHeight="1" x14ac:dyDescent="0.25">
      <c r="A231" s="24" t="s">
        <v>1297</v>
      </c>
      <c r="B231" s="50">
        <v>3798</v>
      </c>
      <c r="C231" s="25" t="s">
        <v>1298</v>
      </c>
      <c r="D231" s="25" t="s">
        <v>355</v>
      </c>
      <c r="E231" s="25" t="s">
        <v>194</v>
      </c>
      <c r="F231" s="25" t="s">
        <v>138</v>
      </c>
      <c r="G231" s="26" t="s">
        <v>139</v>
      </c>
      <c r="H231" s="27" t="s">
        <v>577</v>
      </c>
      <c r="I231" s="24" t="s">
        <v>998</v>
      </c>
      <c r="J231" s="24" t="s">
        <v>107</v>
      </c>
      <c r="K231" s="28" t="s">
        <v>108</v>
      </c>
      <c r="L231" s="29">
        <v>0.02</v>
      </c>
      <c r="M231" s="29">
        <v>1.4999999999999999E-2</v>
      </c>
      <c r="N231" s="29">
        <v>0.02</v>
      </c>
      <c r="O231" s="27" t="s">
        <v>161</v>
      </c>
      <c r="P231" s="30" t="s">
        <v>355</v>
      </c>
      <c r="Q231" s="31">
        <v>854673446.69000006</v>
      </c>
      <c r="R231" s="31">
        <v>1382.19</v>
      </c>
      <c r="S231" s="32">
        <v>-3.0932999999999999E-2</v>
      </c>
      <c r="T231" s="32" t="s">
        <v>139</v>
      </c>
      <c r="U231" s="32">
        <v>-3.4030000000000002E-3</v>
      </c>
      <c r="V231" s="32">
        <v>-4.8739999999999999E-3</v>
      </c>
      <c r="W231" s="32">
        <v>1.2942E-2</v>
      </c>
      <c r="X231" s="32">
        <v>3.2911000000000003E-2</v>
      </c>
      <c r="Y231" s="32">
        <v>-0.106974</v>
      </c>
      <c r="Z231" s="32">
        <v>0.12694800000000001</v>
      </c>
      <c r="AA231" s="32">
        <v>0.28902</v>
      </c>
      <c r="AB231" s="32">
        <v>0.169069</v>
      </c>
    </row>
    <row r="232" spans="1:28" ht="15.6" customHeight="1" x14ac:dyDescent="0.25">
      <c r="A232" s="24" t="s">
        <v>1299</v>
      </c>
      <c r="B232" s="50">
        <v>3799</v>
      </c>
      <c r="C232" s="25" t="s">
        <v>1300</v>
      </c>
      <c r="D232" s="25" t="s">
        <v>355</v>
      </c>
      <c r="E232" s="25" t="s">
        <v>194</v>
      </c>
      <c r="F232" s="25" t="s">
        <v>113</v>
      </c>
      <c r="G232" s="26" t="s">
        <v>151</v>
      </c>
      <c r="H232" s="27" t="s">
        <v>115</v>
      </c>
      <c r="I232" s="24" t="s">
        <v>998</v>
      </c>
      <c r="J232" s="24" t="s">
        <v>107</v>
      </c>
      <c r="K232" s="28" t="s">
        <v>108</v>
      </c>
      <c r="L232" s="29">
        <v>0.02</v>
      </c>
      <c r="M232" s="29">
        <v>1.4999999999999999E-2</v>
      </c>
      <c r="N232" s="29">
        <v>0.02</v>
      </c>
      <c r="O232" s="27" t="s">
        <v>161</v>
      </c>
      <c r="P232" s="30" t="s">
        <v>355</v>
      </c>
      <c r="Q232" s="31">
        <v>1123987</v>
      </c>
      <c r="R232" s="31">
        <v>1200.8399999999999</v>
      </c>
      <c r="S232" s="32">
        <v>3.1159999999999998E-3</v>
      </c>
      <c r="T232" s="32" t="s">
        <v>139</v>
      </c>
      <c r="U232" s="32">
        <v>-2.2850000000000001E-3</v>
      </c>
      <c r="V232" s="32">
        <v>1.1590000000000001E-3</v>
      </c>
      <c r="W232" s="32">
        <v>2.9399999999999999E-3</v>
      </c>
      <c r="X232" s="32">
        <v>6.8079999999999998E-3</v>
      </c>
      <c r="Y232" s="32">
        <v>-2.0000000000000001E-4</v>
      </c>
      <c r="Z232" s="32">
        <v>4.5045000000000002E-2</v>
      </c>
      <c r="AA232" s="32">
        <v>0.11451</v>
      </c>
      <c r="AB232" s="32">
        <v>2.1114000000000001E-2</v>
      </c>
    </row>
    <row r="233" spans="1:28" ht="15.6" customHeight="1" x14ac:dyDescent="0.25">
      <c r="A233" s="24" t="s">
        <v>427</v>
      </c>
      <c r="B233" s="50">
        <v>3800</v>
      </c>
      <c r="C233" s="25" t="s">
        <v>428</v>
      </c>
      <c r="D233" s="25" t="s">
        <v>137</v>
      </c>
      <c r="E233" s="25" t="s">
        <v>194</v>
      </c>
      <c r="F233" s="25" t="s">
        <v>128</v>
      </c>
      <c r="G233" s="26" t="s">
        <v>250</v>
      </c>
      <c r="H233" s="27" t="s">
        <v>210</v>
      </c>
      <c r="I233" s="24" t="s">
        <v>106</v>
      </c>
      <c r="J233" s="24" t="s">
        <v>107</v>
      </c>
      <c r="K233" s="28" t="s">
        <v>108</v>
      </c>
      <c r="L233" s="29">
        <v>0</v>
      </c>
      <c r="M233" s="29">
        <v>0</v>
      </c>
      <c r="N233" s="29">
        <v>0.01</v>
      </c>
      <c r="O233" s="27" t="s">
        <v>141</v>
      </c>
      <c r="P233" s="30" t="s">
        <v>137</v>
      </c>
      <c r="Q233" s="31">
        <v>2221221356.0670848</v>
      </c>
      <c r="R233" s="31">
        <v>1292911.1499999999</v>
      </c>
      <c r="S233" s="32">
        <v>1.9612999999999998E-2</v>
      </c>
      <c r="T233" s="32" t="s">
        <v>139</v>
      </c>
      <c r="U233" s="32">
        <v>-1.3999999999999999E-4</v>
      </c>
      <c r="V233" s="32">
        <v>1.83E-3</v>
      </c>
      <c r="W233" s="32">
        <v>6.8370000000000002E-3</v>
      </c>
      <c r="X233" s="32">
        <v>1.5323E-2</v>
      </c>
      <c r="Y233" s="32">
        <v>2.7688999999999998E-2</v>
      </c>
      <c r="Z233" s="32">
        <v>6.8352999999999997E-2</v>
      </c>
      <c r="AA233" s="32">
        <v>0.114394</v>
      </c>
      <c r="AB233" s="32">
        <v>0.162463</v>
      </c>
    </row>
    <row r="234" spans="1:28" ht="15.6" customHeight="1" x14ac:dyDescent="0.25">
      <c r="A234" s="24" t="s">
        <v>429</v>
      </c>
      <c r="B234" s="50">
        <v>3805</v>
      </c>
      <c r="C234" s="25" t="s">
        <v>430</v>
      </c>
      <c r="D234" s="25" t="s">
        <v>355</v>
      </c>
      <c r="E234" s="25" t="s">
        <v>194</v>
      </c>
      <c r="F234" s="25" t="s">
        <v>113</v>
      </c>
      <c r="G234" s="26" t="s">
        <v>431</v>
      </c>
      <c r="H234" s="27" t="s">
        <v>432</v>
      </c>
      <c r="I234" s="24" t="s">
        <v>106</v>
      </c>
      <c r="J234" s="24" t="s">
        <v>107</v>
      </c>
      <c r="K234" s="28" t="s">
        <v>108</v>
      </c>
      <c r="L234" s="29">
        <v>0.03</v>
      </c>
      <c r="M234" s="29">
        <v>1.4999999999999999E-2</v>
      </c>
      <c r="N234" s="29">
        <v>0.02</v>
      </c>
      <c r="O234" s="27" t="s">
        <v>166</v>
      </c>
      <c r="P234" s="30" t="s">
        <v>433</v>
      </c>
      <c r="Q234" s="31">
        <v>752834366.20000005</v>
      </c>
      <c r="R234" s="31">
        <v>1342.77</v>
      </c>
      <c r="S234" s="32">
        <v>2.9416000000000001E-2</v>
      </c>
      <c r="T234" s="32" t="s">
        <v>139</v>
      </c>
      <c r="U234" s="32">
        <v>-5.5800000000000001E-4</v>
      </c>
      <c r="V234" s="32">
        <v>1.835E-3</v>
      </c>
      <c r="W234" s="32">
        <v>1.4038999999999999E-2</v>
      </c>
      <c r="X234" s="32">
        <v>2.7501999999999999E-2</v>
      </c>
      <c r="Y234" s="32">
        <v>3.4181000000000003E-2</v>
      </c>
      <c r="Z234" s="32">
        <v>9.5619999999999997E-2</v>
      </c>
      <c r="AA234" s="32">
        <v>0.22969899999999999</v>
      </c>
      <c r="AB234" s="32">
        <v>0.19838800000000001</v>
      </c>
    </row>
    <row r="235" spans="1:28" ht="15.6" customHeight="1" x14ac:dyDescent="0.25">
      <c r="A235" s="24" t="s">
        <v>1301</v>
      </c>
      <c r="B235" s="50">
        <v>3806</v>
      </c>
      <c r="C235" s="25" t="s">
        <v>1302</v>
      </c>
      <c r="D235" s="25" t="s">
        <v>355</v>
      </c>
      <c r="E235" s="25" t="s">
        <v>194</v>
      </c>
      <c r="F235" s="25" t="s">
        <v>155</v>
      </c>
      <c r="G235" s="26" t="s">
        <v>139</v>
      </c>
      <c r="H235" s="27" t="s">
        <v>588</v>
      </c>
      <c r="I235" s="24" t="s">
        <v>998</v>
      </c>
      <c r="J235" s="24" t="s">
        <v>121</v>
      </c>
      <c r="K235" s="28" t="s">
        <v>180</v>
      </c>
      <c r="L235" s="29">
        <v>0</v>
      </c>
      <c r="M235" s="29">
        <v>0</v>
      </c>
      <c r="N235" s="29">
        <v>0.02</v>
      </c>
      <c r="O235" s="27" t="s">
        <v>166</v>
      </c>
      <c r="P235" s="30" t="s">
        <v>355</v>
      </c>
      <c r="Q235" s="31">
        <v>247998069.06</v>
      </c>
      <c r="R235" s="31">
        <v>1735.6</v>
      </c>
      <c r="S235" s="32">
        <v>3.4222000000000002E-2</v>
      </c>
      <c r="T235" s="32" t="s">
        <v>139</v>
      </c>
      <c r="U235" s="32">
        <v>-4.2110000000000003E-3</v>
      </c>
      <c r="V235" s="32">
        <v>-3.96E-3</v>
      </c>
      <c r="W235" s="32">
        <v>3.0598E-2</v>
      </c>
      <c r="X235" s="32">
        <v>0.11099000000000001</v>
      </c>
      <c r="Y235" s="32">
        <v>-9.7316E-2</v>
      </c>
      <c r="Z235" s="32">
        <v>0.36055799999999999</v>
      </c>
      <c r="AA235" s="32">
        <v>0.70846399999999998</v>
      </c>
      <c r="AB235" s="32">
        <v>0.68387900000000001</v>
      </c>
    </row>
    <row r="236" spans="1:28" ht="15.6" customHeight="1" x14ac:dyDescent="0.25">
      <c r="A236" s="24" t="s">
        <v>434</v>
      </c>
      <c r="B236" s="50">
        <v>3807</v>
      </c>
      <c r="C236" s="25" t="s">
        <v>435</v>
      </c>
      <c r="D236" s="25" t="s">
        <v>355</v>
      </c>
      <c r="E236" s="25" t="s">
        <v>194</v>
      </c>
      <c r="F236" s="25" t="s">
        <v>138</v>
      </c>
      <c r="G236" s="26" t="s">
        <v>139</v>
      </c>
      <c r="H236" s="27" t="s">
        <v>436</v>
      </c>
      <c r="I236" s="24" t="s">
        <v>106</v>
      </c>
      <c r="J236" s="24" t="s">
        <v>107</v>
      </c>
      <c r="K236" s="28" t="s">
        <v>108</v>
      </c>
      <c r="L236" s="29">
        <v>0.03</v>
      </c>
      <c r="M236" s="29">
        <v>1.4999999999999999E-2</v>
      </c>
      <c r="N236" s="29">
        <v>0.02</v>
      </c>
      <c r="O236" s="27" t="s">
        <v>166</v>
      </c>
      <c r="P236" s="30" t="s">
        <v>355</v>
      </c>
      <c r="Q236" s="31">
        <v>1099783413.3299999</v>
      </c>
      <c r="R236" s="31">
        <v>1222.97</v>
      </c>
      <c r="S236" s="32">
        <v>-3.5672000000000002E-2</v>
      </c>
      <c r="T236" s="32" t="s">
        <v>139</v>
      </c>
      <c r="U236" s="32">
        <v>-5.1009999999999996E-3</v>
      </c>
      <c r="V236" s="32">
        <v>-4.8170000000000001E-3</v>
      </c>
      <c r="W236" s="32">
        <v>1.0251E-2</v>
      </c>
      <c r="X236" s="32">
        <v>3.5774E-2</v>
      </c>
      <c r="Y236" s="32">
        <v>-0.104196</v>
      </c>
      <c r="Z236" s="32">
        <v>0.12285600000000001</v>
      </c>
      <c r="AA236" s="32">
        <v>0.273648</v>
      </c>
      <c r="AB236" s="32">
        <v>0.14899799999999999</v>
      </c>
    </row>
    <row r="237" spans="1:28" ht="15.6" customHeight="1" x14ac:dyDescent="0.25">
      <c r="A237" s="24" t="s">
        <v>1303</v>
      </c>
      <c r="B237" s="50">
        <v>3809</v>
      </c>
      <c r="C237" s="25" t="s">
        <v>1304</v>
      </c>
      <c r="D237" s="25" t="s">
        <v>241</v>
      </c>
      <c r="E237" s="25" t="s">
        <v>194</v>
      </c>
      <c r="F237" s="25" t="s">
        <v>138</v>
      </c>
      <c r="G237" s="26" t="s">
        <v>139</v>
      </c>
      <c r="H237" s="27" t="s">
        <v>283</v>
      </c>
      <c r="I237" s="24" t="s">
        <v>998</v>
      </c>
      <c r="J237" s="24" t="s">
        <v>107</v>
      </c>
      <c r="K237" s="28" t="s">
        <v>108</v>
      </c>
      <c r="L237" s="29">
        <v>0.03</v>
      </c>
      <c r="M237" s="29">
        <v>1.4999999999999999E-2</v>
      </c>
      <c r="N237" s="29">
        <v>0.02</v>
      </c>
      <c r="O237" s="27" t="s">
        <v>148</v>
      </c>
      <c r="P237" s="30" t="s">
        <v>241</v>
      </c>
      <c r="Q237" s="31">
        <v>966520215.38999999</v>
      </c>
      <c r="R237" s="31">
        <v>1308.47</v>
      </c>
      <c r="S237" s="32">
        <v>-1.0989999999999999E-3</v>
      </c>
      <c r="T237" s="32" t="s">
        <v>139</v>
      </c>
      <c r="U237" s="32">
        <v>-2.751E-3</v>
      </c>
      <c r="V237" s="32">
        <v>1.861E-3</v>
      </c>
      <c r="W237" s="32">
        <v>1.9248000000000001E-2</v>
      </c>
      <c r="X237" s="32">
        <v>4.1958000000000002E-2</v>
      </c>
      <c r="Y237" s="32">
        <v>-5.7299999999999997E-2</v>
      </c>
      <c r="Z237" s="32">
        <v>0.20017099999999999</v>
      </c>
      <c r="AA237" s="32">
        <v>0.425678</v>
      </c>
      <c r="AB237" s="32">
        <v>0.34171299999999999</v>
      </c>
    </row>
    <row r="238" spans="1:28" ht="15.6" customHeight="1" x14ac:dyDescent="0.25">
      <c r="A238" s="24" t="s">
        <v>437</v>
      </c>
      <c r="B238" s="50">
        <v>3810</v>
      </c>
      <c r="C238" s="25" t="s">
        <v>438</v>
      </c>
      <c r="D238" s="25" t="s">
        <v>241</v>
      </c>
      <c r="E238" s="25" t="s">
        <v>194</v>
      </c>
      <c r="F238" s="25" t="s">
        <v>113</v>
      </c>
      <c r="G238" s="26" t="s">
        <v>439</v>
      </c>
      <c r="H238" s="27" t="s">
        <v>440</v>
      </c>
      <c r="I238" s="24" t="s">
        <v>106</v>
      </c>
      <c r="J238" s="24" t="s">
        <v>121</v>
      </c>
      <c r="K238" s="28" t="s">
        <v>108</v>
      </c>
      <c r="L238" s="29">
        <v>0.03</v>
      </c>
      <c r="M238" s="29">
        <v>1.4999999999999999E-2</v>
      </c>
      <c r="N238" s="29">
        <v>0.02</v>
      </c>
      <c r="O238" s="27" t="s">
        <v>116</v>
      </c>
      <c r="P238" s="30" t="s">
        <v>241</v>
      </c>
      <c r="Q238" s="31">
        <v>3819744255</v>
      </c>
      <c r="R238" s="31">
        <v>1375.3</v>
      </c>
      <c r="S238" s="32">
        <v>7.0070000000000002E-3</v>
      </c>
      <c r="T238" s="32" t="s">
        <v>139</v>
      </c>
      <c r="U238" s="32">
        <v>-1.3649999999999999E-3</v>
      </c>
      <c r="V238" s="32">
        <v>2.274E-3</v>
      </c>
      <c r="W238" s="32">
        <v>6.293E-3</v>
      </c>
      <c r="X238" s="32">
        <v>1.0083999999999999E-2</v>
      </c>
      <c r="Y238" s="32">
        <v>5.7990000000000003E-3</v>
      </c>
      <c r="Z238" s="32">
        <v>8.2164000000000001E-2</v>
      </c>
      <c r="AA238" s="32">
        <v>0.18326799999999999</v>
      </c>
      <c r="AB238" s="32">
        <v>0.18706700000000001</v>
      </c>
    </row>
    <row r="239" spans="1:28" ht="15.6" customHeight="1" x14ac:dyDescent="0.25">
      <c r="A239" s="24" t="s">
        <v>441</v>
      </c>
      <c r="B239" s="50">
        <v>3811</v>
      </c>
      <c r="C239" s="25" t="s">
        <v>442</v>
      </c>
      <c r="D239" s="25" t="s">
        <v>241</v>
      </c>
      <c r="E239" s="25" t="s">
        <v>194</v>
      </c>
      <c r="F239" s="25" t="s">
        <v>128</v>
      </c>
      <c r="G239" s="26" t="s">
        <v>289</v>
      </c>
      <c r="H239" s="27" t="s">
        <v>130</v>
      </c>
      <c r="I239" s="24" t="s">
        <v>106</v>
      </c>
      <c r="J239" s="24" t="s">
        <v>107</v>
      </c>
      <c r="K239" s="28" t="s">
        <v>108</v>
      </c>
      <c r="L239" s="29">
        <v>0.03</v>
      </c>
      <c r="M239" s="29">
        <v>1.4999999999999999E-2</v>
      </c>
      <c r="N239" s="29">
        <v>0.02</v>
      </c>
      <c r="O239" s="27" t="s">
        <v>161</v>
      </c>
      <c r="P239" s="30" t="s">
        <v>241</v>
      </c>
      <c r="Q239" s="31">
        <v>55946683.539999999</v>
      </c>
      <c r="R239" s="31">
        <v>1213.8499999999999</v>
      </c>
      <c r="S239" s="32">
        <v>1.3788999999999999E-2</v>
      </c>
      <c r="T239" s="32" t="s">
        <v>139</v>
      </c>
      <c r="U239" s="32">
        <v>-9.8999999999999994E-5</v>
      </c>
      <c r="V239" s="32">
        <v>1.328E-3</v>
      </c>
      <c r="W239" s="32">
        <v>5.2170000000000003E-3</v>
      </c>
      <c r="X239" s="32">
        <v>1.0758E-2</v>
      </c>
      <c r="Y239" s="32">
        <v>1.9467999999999999E-2</v>
      </c>
      <c r="Z239" s="32">
        <v>4.7107999999999997E-2</v>
      </c>
      <c r="AA239" s="32">
        <v>8.0726000000000006E-2</v>
      </c>
      <c r="AB239" s="32">
        <v>0.11512799999999999</v>
      </c>
    </row>
    <row r="240" spans="1:28" ht="15.6" customHeight="1" x14ac:dyDescent="0.25">
      <c r="A240" s="24" t="s">
        <v>443</v>
      </c>
      <c r="B240" s="50">
        <v>3812</v>
      </c>
      <c r="C240" s="25" t="s">
        <v>444</v>
      </c>
      <c r="D240" s="25" t="s">
        <v>241</v>
      </c>
      <c r="E240" s="25" t="s">
        <v>194</v>
      </c>
      <c r="F240" s="25" t="s">
        <v>103</v>
      </c>
      <c r="G240" s="26" t="s">
        <v>445</v>
      </c>
      <c r="H240" s="27" t="s">
        <v>446</v>
      </c>
      <c r="I240" s="24" t="s">
        <v>106</v>
      </c>
      <c r="J240" s="24" t="s">
        <v>107</v>
      </c>
      <c r="K240" s="28" t="s">
        <v>108</v>
      </c>
      <c r="L240" s="29">
        <v>0</v>
      </c>
      <c r="M240" s="29">
        <v>0</v>
      </c>
      <c r="N240" s="29">
        <v>0.02</v>
      </c>
      <c r="O240" s="27" t="s">
        <v>161</v>
      </c>
      <c r="P240" s="30" t="s">
        <v>241</v>
      </c>
      <c r="Q240" s="31">
        <v>515108984.02999997</v>
      </c>
      <c r="R240" s="31">
        <v>1176.78</v>
      </c>
      <c r="S240" s="32">
        <v>1.2362E-2</v>
      </c>
      <c r="T240" s="32" t="s">
        <v>139</v>
      </c>
      <c r="U240" s="32">
        <v>8.5000000000000006E-5</v>
      </c>
      <c r="V240" s="32">
        <v>1.4040000000000001E-3</v>
      </c>
      <c r="W240" s="32">
        <v>4.104E-3</v>
      </c>
      <c r="X240" s="32">
        <v>8.9770000000000006E-3</v>
      </c>
      <c r="Y240" s="32">
        <v>1.8346000000000001E-2</v>
      </c>
      <c r="Z240" s="32">
        <v>4.2727000000000001E-2</v>
      </c>
      <c r="AA240" s="32">
        <v>7.3176000000000005E-2</v>
      </c>
      <c r="AB240" s="32">
        <v>0.11071499999999999</v>
      </c>
    </row>
    <row r="241" spans="1:28" ht="15.6" customHeight="1" x14ac:dyDescent="0.25">
      <c r="A241" s="24" t="s">
        <v>1305</v>
      </c>
      <c r="B241" s="50">
        <v>3813</v>
      </c>
      <c r="C241" s="25" t="s">
        <v>1306</v>
      </c>
      <c r="D241" s="25" t="s">
        <v>145</v>
      </c>
      <c r="E241" s="25" t="s">
        <v>194</v>
      </c>
      <c r="F241" s="25" t="s">
        <v>138</v>
      </c>
      <c r="G241" s="26" t="s">
        <v>139</v>
      </c>
      <c r="H241" s="27" t="s">
        <v>1307</v>
      </c>
      <c r="I241" s="24" t="s">
        <v>998</v>
      </c>
      <c r="J241" s="24" t="s">
        <v>121</v>
      </c>
      <c r="K241" s="28" t="s">
        <v>108</v>
      </c>
      <c r="L241" s="29">
        <v>0.03</v>
      </c>
      <c r="M241" s="29">
        <v>0.03</v>
      </c>
      <c r="N241" s="29">
        <v>0.02</v>
      </c>
      <c r="O241" s="27" t="s">
        <v>148</v>
      </c>
      <c r="P241" s="30" t="s">
        <v>145</v>
      </c>
      <c r="Q241" s="31">
        <v>634818658.71000004</v>
      </c>
      <c r="R241" s="31">
        <v>1417.41</v>
      </c>
      <c r="S241" s="32">
        <v>1.13E-4</v>
      </c>
      <c r="T241" s="32" t="s">
        <v>139</v>
      </c>
      <c r="U241" s="32">
        <v>-2.807E-3</v>
      </c>
      <c r="V241" s="32">
        <v>4.8000000000000001E-4</v>
      </c>
      <c r="W241" s="32">
        <v>1.5322000000000001E-2</v>
      </c>
      <c r="X241" s="32">
        <v>3.8783999999999999E-2</v>
      </c>
      <c r="Y241" s="32">
        <v>-4.3997000000000001E-2</v>
      </c>
      <c r="Z241" s="32">
        <v>0.17372199999999999</v>
      </c>
      <c r="AA241" s="32">
        <v>0.36439100000000002</v>
      </c>
      <c r="AB241" s="32">
        <v>0.27655200000000002</v>
      </c>
    </row>
    <row r="242" spans="1:28" ht="15.6" customHeight="1" x14ac:dyDescent="0.25">
      <c r="A242" s="24" t="s">
        <v>447</v>
      </c>
      <c r="B242" s="50">
        <v>3814</v>
      </c>
      <c r="C242" s="25" t="s">
        <v>448</v>
      </c>
      <c r="D242" s="25" t="s">
        <v>137</v>
      </c>
      <c r="E242" s="25" t="s">
        <v>194</v>
      </c>
      <c r="F242" s="25" t="s">
        <v>138</v>
      </c>
      <c r="G242" s="26" t="s">
        <v>139</v>
      </c>
      <c r="H242" s="27" t="s">
        <v>449</v>
      </c>
      <c r="I242" s="24" t="s">
        <v>106</v>
      </c>
      <c r="J242" s="24" t="s">
        <v>107</v>
      </c>
      <c r="K242" s="28" t="s">
        <v>108</v>
      </c>
      <c r="L242" s="29">
        <v>2E-3</v>
      </c>
      <c r="M242" s="29">
        <v>1E-3</v>
      </c>
      <c r="N242" s="29">
        <v>0.02</v>
      </c>
      <c r="O242" s="27" t="s">
        <v>141</v>
      </c>
      <c r="P242" s="30" t="s">
        <v>142</v>
      </c>
      <c r="Q242" s="31">
        <v>44538702.154287003</v>
      </c>
      <c r="R242" s="31">
        <v>1380.36</v>
      </c>
      <c r="S242" s="32">
        <v>-5.8E-5</v>
      </c>
      <c r="T242" s="32" t="s">
        <v>139</v>
      </c>
      <c r="U242" s="32">
        <v>-1.815E-3</v>
      </c>
      <c r="V242" s="32">
        <v>-1.526E-3</v>
      </c>
      <c r="W242" s="32">
        <v>1.1668E-2</v>
      </c>
      <c r="X242" s="32">
        <v>2.5672E-2</v>
      </c>
      <c r="Y242" s="32">
        <v>-2.7921999999999999E-2</v>
      </c>
      <c r="Z242" s="32">
        <v>0.12506999999999999</v>
      </c>
      <c r="AA242" s="32">
        <v>0.214112</v>
      </c>
      <c r="AB242" s="32">
        <v>0.25498700000000002</v>
      </c>
    </row>
    <row r="243" spans="1:28" ht="15.6" customHeight="1" x14ac:dyDescent="0.25">
      <c r="A243" s="24" t="s">
        <v>450</v>
      </c>
      <c r="B243" s="50">
        <v>3815</v>
      </c>
      <c r="C243" s="25" t="s">
        <v>451</v>
      </c>
      <c r="D243" s="25" t="s">
        <v>137</v>
      </c>
      <c r="E243" s="25" t="s">
        <v>194</v>
      </c>
      <c r="F243" s="25" t="s">
        <v>155</v>
      </c>
      <c r="G243" s="26" t="s">
        <v>139</v>
      </c>
      <c r="H243" s="27" t="s">
        <v>452</v>
      </c>
      <c r="I243" s="24" t="s">
        <v>106</v>
      </c>
      <c r="J243" s="24" t="s">
        <v>107</v>
      </c>
      <c r="K243" s="28" t="s">
        <v>108</v>
      </c>
      <c r="L243" s="29">
        <v>2.5000000000000001E-3</v>
      </c>
      <c r="M243" s="29">
        <v>2.5000000000000001E-3</v>
      </c>
      <c r="N243" s="29">
        <v>0.02</v>
      </c>
      <c r="O243" s="27" t="s">
        <v>141</v>
      </c>
      <c r="P243" s="30" t="s">
        <v>142</v>
      </c>
      <c r="Q243" s="31">
        <v>40971465.911513001</v>
      </c>
      <c r="R243" s="31">
        <v>1679.5</v>
      </c>
      <c r="S243" s="32">
        <v>-2.6748999999999998E-2</v>
      </c>
      <c r="T243" s="32" t="s">
        <v>139</v>
      </c>
      <c r="U243" s="32">
        <v>-6.5360000000000001E-3</v>
      </c>
      <c r="V243" s="32">
        <v>-4.7289999999999997E-3</v>
      </c>
      <c r="W243" s="32">
        <v>2.4698000000000001E-2</v>
      </c>
      <c r="X243" s="32">
        <v>7.5059000000000001E-2</v>
      </c>
      <c r="Y243" s="32">
        <v>-0.12436700000000001</v>
      </c>
      <c r="Z243" s="32">
        <v>0.25960899999999998</v>
      </c>
      <c r="AA243" s="32">
        <v>0.49266300000000002</v>
      </c>
      <c r="AB243" s="32">
        <v>0.51971699999999998</v>
      </c>
    </row>
    <row r="244" spans="1:28" ht="15.6" customHeight="1" x14ac:dyDescent="0.25">
      <c r="A244" s="24" t="s">
        <v>453</v>
      </c>
      <c r="B244" s="50">
        <v>3816</v>
      </c>
      <c r="C244" s="25" t="s">
        <v>454</v>
      </c>
      <c r="D244" s="25" t="s">
        <v>137</v>
      </c>
      <c r="E244" s="25" t="s">
        <v>194</v>
      </c>
      <c r="F244" s="25" t="s">
        <v>113</v>
      </c>
      <c r="G244" s="26" t="s">
        <v>455</v>
      </c>
      <c r="H244" s="27" t="s">
        <v>456</v>
      </c>
      <c r="I244" s="24" t="s">
        <v>106</v>
      </c>
      <c r="J244" s="24" t="s">
        <v>107</v>
      </c>
      <c r="K244" s="28" t="s">
        <v>108</v>
      </c>
      <c r="L244" s="29">
        <v>0</v>
      </c>
      <c r="M244" s="29">
        <v>0</v>
      </c>
      <c r="N244" s="29">
        <v>0.02</v>
      </c>
      <c r="O244" s="27" t="s">
        <v>141</v>
      </c>
      <c r="P244" s="30" t="s">
        <v>142</v>
      </c>
      <c r="Q244" s="31">
        <v>31572710.541336</v>
      </c>
      <c r="R244" s="31">
        <v>1177.9100000000001</v>
      </c>
      <c r="S244" s="32">
        <v>4.1599999999999997E-4</v>
      </c>
      <c r="T244" s="32" t="s">
        <v>139</v>
      </c>
      <c r="U244" s="32">
        <v>-8.4800000000000001E-4</v>
      </c>
      <c r="V244" s="32">
        <v>-2.4979999999999998E-3</v>
      </c>
      <c r="W244" s="32">
        <v>3.6640000000000002E-3</v>
      </c>
      <c r="X244" s="32">
        <v>1.1481E-2</v>
      </c>
      <c r="Y244" s="32">
        <v>-9.1020000000000007E-3</v>
      </c>
      <c r="Z244" s="32">
        <v>5.4889E-2</v>
      </c>
      <c r="AA244" s="32">
        <v>0.105697</v>
      </c>
      <c r="AB244" s="32">
        <v>0.10724599999999999</v>
      </c>
    </row>
    <row r="245" spans="1:28" ht="15.6" customHeight="1" x14ac:dyDescent="0.25">
      <c r="A245" s="24" t="s">
        <v>457</v>
      </c>
      <c r="B245" s="50">
        <v>3817</v>
      </c>
      <c r="C245" s="25" t="s">
        <v>458</v>
      </c>
      <c r="D245" s="25" t="s">
        <v>137</v>
      </c>
      <c r="E245" s="25" t="s">
        <v>194</v>
      </c>
      <c r="F245" s="25" t="s">
        <v>113</v>
      </c>
      <c r="G245" s="26" t="s">
        <v>459</v>
      </c>
      <c r="H245" s="27" t="s">
        <v>407</v>
      </c>
      <c r="I245" s="24" t="s">
        <v>106</v>
      </c>
      <c r="J245" s="24" t="s">
        <v>107</v>
      </c>
      <c r="K245" s="28" t="s">
        <v>108</v>
      </c>
      <c r="L245" s="29">
        <v>0</v>
      </c>
      <c r="M245" s="29">
        <v>0</v>
      </c>
      <c r="N245" s="29">
        <v>0.02</v>
      </c>
      <c r="O245" s="27" t="s">
        <v>141</v>
      </c>
      <c r="P245" s="30" t="s">
        <v>142</v>
      </c>
      <c r="Q245" s="31">
        <v>103354791.53306501</v>
      </c>
      <c r="R245" s="31">
        <v>1179.53</v>
      </c>
      <c r="S245" s="32">
        <v>1.5409000000000001E-2</v>
      </c>
      <c r="T245" s="32" t="s">
        <v>139</v>
      </c>
      <c r="U245" s="32">
        <v>-2.03E-4</v>
      </c>
      <c r="V245" s="32">
        <v>1.562E-3</v>
      </c>
      <c r="W245" s="32">
        <v>5.9100000000000003E-3</v>
      </c>
      <c r="X245" s="32">
        <v>1.2437E-2</v>
      </c>
      <c r="Y245" s="32">
        <v>1.9861E-2</v>
      </c>
      <c r="Z245" s="32">
        <v>4.8918999999999997E-2</v>
      </c>
      <c r="AA245" s="32">
        <v>8.5653999999999994E-2</v>
      </c>
      <c r="AB245" s="32">
        <v>0.10850799999999999</v>
      </c>
    </row>
    <row r="246" spans="1:28" ht="15.6" customHeight="1" x14ac:dyDescent="0.25">
      <c r="A246" s="24" t="s">
        <v>460</v>
      </c>
      <c r="B246" s="50">
        <v>3818</v>
      </c>
      <c r="C246" s="25" t="s">
        <v>461</v>
      </c>
      <c r="D246" s="25" t="s">
        <v>137</v>
      </c>
      <c r="E246" s="25" t="s">
        <v>194</v>
      </c>
      <c r="F246" s="25" t="s">
        <v>138</v>
      </c>
      <c r="G246" s="26" t="s">
        <v>139</v>
      </c>
      <c r="H246" s="27" t="s">
        <v>462</v>
      </c>
      <c r="I246" s="24" t="s">
        <v>106</v>
      </c>
      <c r="J246" s="24" t="s">
        <v>107</v>
      </c>
      <c r="K246" s="28" t="s">
        <v>108</v>
      </c>
      <c r="L246" s="29">
        <v>2E-3</v>
      </c>
      <c r="M246" s="29">
        <v>2E-3</v>
      </c>
      <c r="N246" s="29">
        <v>0.02</v>
      </c>
      <c r="O246" s="27" t="s">
        <v>141</v>
      </c>
      <c r="P246" s="30" t="s">
        <v>142</v>
      </c>
      <c r="Q246" s="31">
        <v>15700542.952509001</v>
      </c>
      <c r="R246" s="31">
        <v>1402.71</v>
      </c>
      <c r="S246" s="32">
        <v>-2.1472000000000002E-2</v>
      </c>
      <c r="T246" s="32" t="s">
        <v>139</v>
      </c>
      <c r="U246" s="32">
        <v>-1.523E-3</v>
      </c>
      <c r="V246" s="32">
        <v>-3.3470000000000001E-3</v>
      </c>
      <c r="W246" s="32">
        <v>1.7253000000000001E-2</v>
      </c>
      <c r="X246" s="32">
        <v>2.9444000000000001E-2</v>
      </c>
      <c r="Y246" s="32">
        <v>-5.9884E-2</v>
      </c>
      <c r="Z246" s="32">
        <v>0.167932</v>
      </c>
      <c r="AA246" s="32">
        <v>0.30082900000000001</v>
      </c>
      <c r="AB246" s="32">
        <v>0.27431</v>
      </c>
    </row>
    <row r="247" spans="1:28" ht="15.6" customHeight="1" x14ac:dyDescent="0.25">
      <c r="A247" s="24" t="s">
        <v>463</v>
      </c>
      <c r="B247" s="50">
        <v>3820</v>
      </c>
      <c r="C247" s="25" t="s">
        <v>464</v>
      </c>
      <c r="D247" s="25" t="s">
        <v>241</v>
      </c>
      <c r="E247" s="25" t="s">
        <v>194</v>
      </c>
      <c r="F247" s="25" t="s">
        <v>113</v>
      </c>
      <c r="G247" s="26" t="s">
        <v>465</v>
      </c>
      <c r="H247" s="27" t="s">
        <v>115</v>
      </c>
      <c r="I247" s="24" t="s">
        <v>106</v>
      </c>
      <c r="J247" s="24" t="s">
        <v>107</v>
      </c>
      <c r="K247" s="28" t="s">
        <v>108</v>
      </c>
      <c r="L247" s="29">
        <v>0.03</v>
      </c>
      <c r="M247" s="29">
        <v>1.4999999999999999E-2</v>
      </c>
      <c r="N247" s="29">
        <v>0.02</v>
      </c>
      <c r="O247" s="27" t="s">
        <v>161</v>
      </c>
      <c r="P247" s="30" t="s">
        <v>466</v>
      </c>
      <c r="Q247" s="31">
        <v>2219193572.5900002</v>
      </c>
      <c r="R247" s="31">
        <v>1207.8499999999999</v>
      </c>
      <c r="S247" s="32">
        <v>-2.4120000000000001E-3</v>
      </c>
      <c r="T247" s="32" t="s">
        <v>139</v>
      </c>
      <c r="U247" s="32">
        <v>-1.24E-3</v>
      </c>
      <c r="V247" s="32">
        <v>1.4840000000000001E-3</v>
      </c>
      <c r="W247" s="32">
        <v>4.4739999999999997E-3</v>
      </c>
      <c r="X247" s="32">
        <v>8.1209999999999997E-3</v>
      </c>
      <c r="Y247" s="32">
        <v>-9.724E-3</v>
      </c>
      <c r="Z247" s="32">
        <v>6.1454000000000002E-2</v>
      </c>
      <c r="AA247" s="32">
        <v>0.14690400000000001</v>
      </c>
      <c r="AB247" s="32">
        <v>9.5526E-2</v>
      </c>
    </row>
    <row r="248" spans="1:28" ht="15.6" customHeight="1" x14ac:dyDescent="0.25">
      <c r="A248" s="24" t="s">
        <v>467</v>
      </c>
      <c r="B248" s="50">
        <v>3821</v>
      </c>
      <c r="C248" s="25" t="s">
        <v>468</v>
      </c>
      <c r="D248" s="25" t="s">
        <v>241</v>
      </c>
      <c r="E248" s="25" t="s">
        <v>194</v>
      </c>
      <c r="F248" s="25" t="s">
        <v>155</v>
      </c>
      <c r="G248" s="26" t="s">
        <v>139</v>
      </c>
      <c r="H248" s="27" t="s">
        <v>156</v>
      </c>
      <c r="I248" s="24" t="s">
        <v>106</v>
      </c>
      <c r="J248" s="24" t="s">
        <v>121</v>
      </c>
      <c r="K248" s="28" t="s">
        <v>108</v>
      </c>
      <c r="L248" s="29">
        <v>0</v>
      </c>
      <c r="M248" s="29">
        <v>0</v>
      </c>
      <c r="N248" s="29">
        <v>0.02</v>
      </c>
      <c r="O248" s="27" t="s">
        <v>161</v>
      </c>
      <c r="P248" s="30" t="s">
        <v>466</v>
      </c>
      <c r="Q248" s="31">
        <v>2141848493.5999999</v>
      </c>
      <c r="R248" s="31">
        <v>2121.8200000000002</v>
      </c>
      <c r="S248" s="32">
        <v>3.4116E-2</v>
      </c>
      <c r="T248" s="32" t="s">
        <v>139</v>
      </c>
      <c r="U248" s="32">
        <v>-5.0920000000000002E-3</v>
      </c>
      <c r="V248" s="32">
        <v>1.529E-3</v>
      </c>
      <c r="W248" s="32">
        <v>4.6835000000000002E-2</v>
      </c>
      <c r="X248" s="32">
        <v>0.120001</v>
      </c>
      <c r="Y248" s="32">
        <v>-6.3235E-2</v>
      </c>
      <c r="Z248" s="32">
        <v>0.44322800000000001</v>
      </c>
      <c r="AA248" s="32">
        <v>0.82404500000000003</v>
      </c>
      <c r="AB248" s="32">
        <v>0.79755799999999999</v>
      </c>
    </row>
    <row r="249" spans="1:28" ht="15.6" customHeight="1" x14ac:dyDescent="0.25">
      <c r="A249" s="24" t="s">
        <v>1308</v>
      </c>
      <c r="B249" s="50">
        <v>3822</v>
      </c>
      <c r="C249" s="25" t="s">
        <v>1309</v>
      </c>
      <c r="D249" s="25" t="s">
        <v>159</v>
      </c>
      <c r="E249" s="25" t="s">
        <v>194</v>
      </c>
      <c r="F249" s="25" t="s">
        <v>138</v>
      </c>
      <c r="G249" s="26" t="s">
        <v>139</v>
      </c>
      <c r="H249" s="27" t="s">
        <v>1310</v>
      </c>
      <c r="I249" s="24" t="s">
        <v>998</v>
      </c>
      <c r="J249" s="24" t="s">
        <v>121</v>
      </c>
      <c r="K249" s="28" t="s">
        <v>227</v>
      </c>
      <c r="L249" s="29">
        <v>0</v>
      </c>
      <c r="M249" s="29">
        <v>0</v>
      </c>
      <c r="N249" s="29">
        <v>0.02</v>
      </c>
      <c r="O249" s="27" t="s">
        <v>161</v>
      </c>
      <c r="P249" s="30" t="s">
        <v>159</v>
      </c>
      <c r="Q249" s="31">
        <v>302292568.06</v>
      </c>
      <c r="R249" s="31">
        <v>1517.78</v>
      </c>
      <c r="S249" s="32">
        <v>8.4250000000000002E-3</v>
      </c>
      <c r="T249" s="32" t="s">
        <v>139</v>
      </c>
      <c r="U249" s="32">
        <v>-1.4339999999999999E-3</v>
      </c>
      <c r="V249" s="32">
        <v>1.0679999999999999E-3</v>
      </c>
      <c r="W249" s="32">
        <v>8.7530000000000004E-3</v>
      </c>
      <c r="X249" s="32">
        <v>1.8794999999999999E-2</v>
      </c>
      <c r="Y249" s="32">
        <v>-3.5130000000000001E-3</v>
      </c>
      <c r="Z249" s="32">
        <v>0.12926699999999999</v>
      </c>
      <c r="AA249" s="32">
        <v>0.27490999999999999</v>
      </c>
      <c r="AB249" s="32">
        <v>0.25930700000000001</v>
      </c>
    </row>
    <row r="250" spans="1:28" ht="15.6" customHeight="1" x14ac:dyDescent="0.25">
      <c r="A250" s="24" t="s">
        <v>469</v>
      </c>
      <c r="B250" s="50">
        <v>3823</v>
      </c>
      <c r="C250" s="25" t="s">
        <v>470</v>
      </c>
      <c r="D250" s="25" t="s">
        <v>145</v>
      </c>
      <c r="E250" s="25" t="s">
        <v>194</v>
      </c>
      <c r="F250" s="25" t="s">
        <v>113</v>
      </c>
      <c r="G250" s="26" t="s">
        <v>439</v>
      </c>
      <c r="H250" s="27" t="s">
        <v>471</v>
      </c>
      <c r="I250" s="24" t="s">
        <v>106</v>
      </c>
      <c r="J250" s="24" t="s">
        <v>121</v>
      </c>
      <c r="K250" s="28" t="s">
        <v>108</v>
      </c>
      <c r="L250" s="29">
        <v>0.03</v>
      </c>
      <c r="M250" s="29">
        <v>0.03</v>
      </c>
      <c r="N250" s="29">
        <v>0.02</v>
      </c>
      <c r="O250" s="27" t="s">
        <v>148</v>
      </c>
      <c r="P250" s="30" t="s">
        <v>145</v>
      </c>
      <c r="Q250" s="31">
        <v>3443864331.5</v>
      </c>
      <c r="R250" s="31">
        <v>1323.33</v>
      </c>
      <c r="S250" s="32">
        <v>6.365E-3</v>
      </c>
      <c r="T250" s="32" t="s">
        <v>139</v>
      </c>
      <c r="U250" s="32">
        <v>-1.328E-3</v>
      </c>
      <c r="V250" s="32">
        <v>2.2650000000000001E-3</v>
      </c>
      <c r="W250" s="32">
        <v>6.679E-3</v>
      </c>
      <c r="X250" s="32">
        <v>8.3049999999999999E-3</v>
      </c>
      <c r="Y250" s="32">
        <v>5.1269999999999996E-3</v>
      </c>
      <c r="Z250" s="32">
        <v>8.1425999999999998E-2</v>
      </c>
      <c r="AA250" s="32">
        <v>0.184368</v>
      </c>
      <c r="AB250" s="32">
        <v>0.18196699999999999</v>
      </c>
    </row>
    <row r="251" spans="1:28" ht="15.6" customHeight="1" x14ac:dyDescent="0.25">
      <c r="A251" s="24" t="s">
        <v>1311</v>
      </c>
      <c r="B251" s="50">
        <v>3824</v>
      </c>
      <c r="C251" s="25" t="s">
        <v>1312</v>
      </c>
      <c r="D251" s="25" t="s">
        <v>145</v>
      </c>
      <c r="E251" s="25" t="s">
        <v>194</v>
      </c>
      <c r="F251" s="25" t="s">
        <v>138</v>
      </c>
      <c r="G251" s="26" t="s">
        <v>139</v>
      </c>
      <c r="H251" s="27" t="s">
        <v>1313</v>
      </c>
      <c r="I251" s="24" t="s">
        <v>998</v>
      </c>
      <c r="J251" s="24" t="s">
        <v>121</v>
      </c>
      <c r="K251" s="28" t="s">
        <v>108</v>
      </c>
      <c r="L251" s="29">
        <v>0</v>
      </c>
      <c r="M251" s="29">
        <v>0</v>
      </c>
      <c r="N251" s="29">
        <v>0.02</v>
      </c>
      <c r="O251" s="27" t="s">
        <v>148</v>
      </c>
      <c r="P251" s="30" t="s">
        <v>145</v>
      </c>
      <c r="Q251" s="31">
        <v>308685065.16000003</v>
      </c>
      <c r="R251" s="31">
        <v>1547.92</v>
      </c>
      <c r="S251" s="32">
        <v>1.5036000000000001E-2</v>
      </c>
      <c r="T251" s="32" t="s">
        <v>139</v>
      </c>
      <c r="U251" s="32">
        <v>-1.555E-3</v>
      </c>
      <c r="V251" s="32">
        <v>1.119E-3</v>
      </c>
      <c r="W251" s="32">
        <v>1.0134000000000001E-2</v>
      </c>
      <c r="X251" s="32">
        <v>2.3505999999999999E-2</v>
      </c>
      <c r="Y251" s="32">
        <v>-7.4899999999999999E-4</v>
      </c>
      <c r="Z251" s="32">
        <v>0.14987800000000001</v>
      </c>
      <c r="AA251" s="32">
        <v>0.298373</v>
      </c>
      <c r="AB251" s="32">
        <v>0.28183599999999998</v>
      </c>
    </row>
    <row r="252" spans="1:28" ht="15.6" customHeight="1" x14ac:dyDescent="0.25">
      <c r="A252" s="24" t="s">
        <v>472</v>
      </c>
      <c r="B252" s="50">
        <v>3825</v>
      </c>
      <c r="C252" s="25" t="s">
        <v>473</v>
      </c>
      <c r="D252" s="25" t="s">
        <v>355</v>
      </c>
      <c r="E252" s="25" t="s">
        <v>194</v>
      </c>
      <c r="F252" s="25" t="s">
        <v>138</v>
      </c>
      <c r="G252" s="26" t="s">
        <v>139</v>
      </c>
      <c r="H252" s="27" t="s">
        <v>474</v>
      </c>
      <c r="I252" s="24" t="s">
        <v>106</v>
      </c>
      <c r="J252" s="24" t="s">
        <v>107</v>
      </c>
      <c r="K252" s="28" t="s">
        <v>108</v>
      </c>
      <c r="L252" s="29">
        <v>0.03</v>
      </c>
      <c r="M252" s="29">
        <v>1.4999999999999999E-2</v>
      </c>
      <c r="N252" s="29">
        <v>0.02</v>
      </c>
      <c r="O252" s="27" t="s">
        <v>109</v>
      </c>
      <c r="P252" s="30" t="s">
        <v>475</v>
      </c>
      <c r="Q252" s="31">
        <v>1541137969.05</v>
      </c>
      <c r="R252" s="31">
        <v>1310.49</v>
      </c>
      <c r="S252" s="32">
        <v>-2.1802999999999999E-2</v>
      </c>
      <c r="T252" s="32" t="s">
        <v>139</v>
      </c>
      <c r="U252" s="32">
        <v>-1.1130000000000001E-3</v>
      </c>
      <c r="V252" s="32">
        <v>3.97E-4</v>
      </c>
      <c r="W252" s="32">
        <v>1.6442999999999999E-2</v>
      </c>
      <c r="X252" s="32">
        <v>3.5493999999999998E-2</v>
      </c>
      <c r="Y252" s="32">
        <v>-8.2225999999999994E-2</v>
      </c>
      <c r="Z252" s="32">
        <v>0.136404</v>
      </c>
      <c r="AA252" s="32">
        <v>0.28322199999999997</v>
      </c>
      <c r="AB252" s="32">
        <v>0.165574</v>
      </c>
    </row>
    <row r="253" spans="1:28" ht="15.6" customHeight="1" x14ac:dyDescent="0.25">
      <c r="A253" s="24" t="s">
        <v>476</v>
      </c>
      <c r="B253" s="50">
        <v>3826</v>
      </c>
      <c r="C253" s="25" t="s">
        <v>477</v>
      </c>
      <c r="D253" s="25" t="s">
        <v>355</v>
      </c>
      <c r="E253" s="25" t="s">
        <v>194</v>
      </c>
      <c r="F253" s="25" t="s">
        <v>113</v>
      </c>
      <c r="G253" s="26" t="s">
        <v>465</v>
      </c>
      <c r="H253" s="27" t="s">
        <v>478</v>
      </c>
      <c r="I253" s="24" t="s">
        <v>106</v>
      </c>
      <c r="J253" s="24" t="s">
        <v>107</v>
      </c>
      <c r="K253" s="28" t="s">
        <v>108</v>
      </c>
      <c r="L253" s="29">
        <v>0.03</v>
      </c>
      <c r="M253" s="29">
        <v>1.4999999999999999E-2</v>
      </c>
      <c r="N253" s="29">
        <v>0.02</v>
      </c>
      <c r="O253" s="27" t="s">
        <v>109</v>
      </c>
      <c r="P253" s="30" t="s">
        <v>475</v>
      </c>
      <c r="Q253" s="31">
        <v>1575113206.0699999</v>
      </c>
      <c r="R253" s="31">
        <v>1201.22</v>
      </c>
      <c r="S253" s="32">
        <v>-1.2719999999999999E-3</v>
      </c>
      <c r="T253" s="32" t="s">
        <v>139</v>
      </c>
      <c r="U253" s="32">
        <v>-7.9000000000000001E-4</v>
      </c>
      <c r="V253" s="32">
        <v>4.0790000000000002E-3</v>
      </c>
      <c r="W253" s="32">
        <v>9.972E-3</v>
      </c>
      <c r="X253" s="32">
        <v>8.0479999999999996E-3</v>
      </c>
      <c r="Y253" s="32">
        <v>-1.5289000000000001E-2</v>
      </c>
      <c r="Z253" s="32">
        <v>5.3165999999999998E-2</v>
      </c>
      <c r="AA253" s="32">
        <v>0.13744400000000001</v>
      </c>
      <c r="AB253" s="32">
        <v>8.2647999999999999E-2</v>
      </c>
    </row>
    <row r="254" spans="1:28" ht="15.6" customHeight="1" x14ac:dyDescent="0.25">
      <c r="A254" s="24" t="s">
        <v>1314</v>
      </c>
      <c r="B254" s="50">
        <v>3827</v>
      </c>
      <c r="C254" s="25" t="s">
        <v>1315</v>
      </c>
      <c r="D254" s="25" t="s">
        <v>355</v>
      </c>
      <c r="E254" s="25" t="s">
        <v>194</v>
      </c>
      <c r="F254" s="25" t="s">
        <v>138</v>
      </c>
      <c r="G254" s="26" t="s">
        <v>139</v>
      </c>
      <c r="H254" s="27" t="s">
        <v>1316</v>
      </c>
      <c r="I254" s="24" t="s">
        <v>998</v>
      </c>
      <c r="J254" s="24" t="s">
        <v>121</v>
      </c>
      <c r="K254" s="28" t="s">
        <v>227</v>
      </c>
      <c r="L254" s="29">
        <v>0</v>
      </c>
      <c r="M254" s="29">
        <v>0</v>
      </c>
      <c r="N254" s="29">
        <v>0.02</v>
      </c>
      <c r="O254" s="27" t="s">
        <v>109</v>
      </c>
      <c r="P254" s="30" t="s">
        <v>355</v>
      </c>
      <c r="Q254" s="31">
        <v>418611336.81</v>
      </c>
      <c r="R254" s="31">
        <v>1258.6099999999999</v>
      </c>
      <c r="S254" s="32">
        <v>-1.6034E-2</v>
      </c>
      <c r="T254" s="32" t="s">
        <v>139</v>
      </c>
      <c r="U254" s="32">
        <v>-2.797E-3</v>
      </c>
      <c r="V254" s="32">
        <v>3.97E-4</v>
      </c>
      <c r="W254" s="32">
        <v>1.1923E-2</v>
      </c>
      <c r="X254" s="32">
        <v>2.7772000000000002E-2</v>
      </c>
      <c r="Y254" s="32">
        <v>-0.102134</v>
      </c>
      <c r="Z254" s="32">
        <v>0.13380800000000001</v>
      </c>
      <c r="AA254" s="32">
        <v>0.313639</v>
      </c>
      <c r="AB254" s="32">
        <v>0.26245600000000002</v>
      </c>
    </row>
    <row r="255" spans="1:28" ht="15.6" customHeight="1" x14ac:dyDescent="0.25">
      <c r="A255" s="24" t="s">
        <v>479</v>
      </c>
      <c r="B255" s="50">
        <v>3828</v>
      </c>
      <c r="C255" s="25" t="s">
        <v>480</v>
      </c>
      <c r="D255" s="25" t="s">
        <v>355</v>
      </c>
      <c r="E255" s="25" t="s">
        <v>194</v>
      </c>
      <c r="F255" s="25" t="s">
        <v>113</v>
      </c>
      <c r="G255" s="26" t="s">
        <v>465</v>
      </c>
      <c r="H255" s="27" t="s">
        <v>309</v>
      </c>
      <c r="I255" s="24" t="s">
        <v>106</v>
      </c>
      <c r="J255" s="24" t="s">
        <v>107</v>
      </c>
      <c r="K255" s="28" t="s">
        <v>108</v>
      </c>
      <c r="L255" s="29">
        <v>0.03</v>
      </c>
      <c r="M255" s="29">
        <v>1.4999999999999999E-2</v>
      </c>
      <c r="N255" s="29">
        <v>0.02</v>
      </c>
      <c r="O255" s="27" t="s">
        <v>109</v>
      </c>
      <c r="P255" s="30" t="s">
        <v>475</v>
      </c>
      <c r="Q255" s="31">
        <v>1140945.74</v>
      </c>
      <c r="R255" s="31">
        <v>1091.81</v>
      </c>
      <c r="S255" s="32">
        <v>5.7200000000000003E-3</v>
      </c>
      <c r="T255" s="32" t="s">
        <v>139</v>
      </c>
      <c r="U255" s="32">
        <v>-1.5820000000000001E-3</v>
      </c>
      <c r="V255" s="32">
        <v>7.3300000000000004E-4</v>
      </c>
      <c r="W255" s="32">
        <v>4.3600000000000002E-3</v>
      </c>
      <c r="X255" s="32">
        <v>6.5550000000000001E-3</v>
      </c>
      <c r="Y255" s="32">
        <v>3.8249999999999998E-3</v>
      </c>
      <c r="Z255" s="32">
        <v>4.1237000000000003E-2</v>
      </c>
      <c r="AA255" s="32">
        <v>9.5348000000000002E-2</v>
      </c>
      <c r="AB255" s="32">
        <v>-9.5969999999999996E-3</v>
      </c>
    </row>
    <row r="256" spans="1:28" ht="15.6" customHeight="1" x14ac:dyDescent="0.25">
      <c r="A256" s="24" t="s">
        <v>1317</v>
      </c>
      <c r="B256" s="50">
        <v>3829</v>
      </c>
      <c r="C256" s="25" t="s">
        <v>1318</v>
      </c>
      <c r="D256" s="25" t="s">
        <v>350</v>
      </c>
      <c r="E256" s="25" t="s">
        <v>194</v>
      </c>
      <c r="F256" s="25" t="s">
        <v>138</v>
      </c>
      <c r="G256" s="26" t="s">
        <v>139</v>
      </c>
      <c r="H256" s="27" t="s">
        <v>1319</v>
      </c>
      <c r="I256" s="24" t="s">
        <v>998</v>
      </c>
      <c r="J256" s="24" t="s">
        <v>107</v>
      </c>
      <c r="K256" s="28" t="s">
        <v>227</v>
      </c>
      <c r="L256" s="29">
        <v>0.03</v>
      </c>
      <c r="M256" s="29">
        <v>0.03</v>
      </c>
      <c r="N256" s="29">
        <v>0.02</v>
      </c>
      <c r="O256" s="27" t="s">
        <v>262</v>
      </c>
      <c r="P256" s="30" t="s">
        <v>350</v>
      </c>
      <c r="Q256" s="31">
        <v>604958602.96000004</v>
      </c>
      <c r="R256" s="31">
        <v>1202.98</v>
      </c>
      <c r="S256" s="32">
        <v>-4.4900000000000002E-4</v>
      </c>
      <c r="T256" s="32" t="s">
        <v>139</v>
      </c>
      <c r="U256" s="32">
        <v>4.2400000000000001E-4</v>
      </c>
      <c r="V256" s="32">
        <v>1.6739999999999999E-3</v>
      </c>
      <c r="W256" s="32">
        <v>1.0508E-2</v>
      </c>
      <c r="X256" s="32">
        <v>1.2770999999999999E-2</v>
      </c>
      <c r="Y256" s="32">
        <v>-4.3013000000000003E-2</v>
      </c>
      <c r="Z256" s="32">
        <v>0.136796</v>
      </c>
      <c r="AA256" s="32">
        <v>0.248423</v>
      </c>
      <c r="AB256" s="32">
        <v>0.20790800000000001</v>
      </c>
    </row>
    <row r="257" spans="1:28" ht="15.6" customHeight="1" x14ac:dyDescent="0.25">
      <c r="A257" s="24" t="s">
        <v>481</v>
      </c>
      <c r="B257" s="50">
        <v>3830</v>
      </c>
      <c r="C257" s="25" t="s">
        <v>482</v>
      </c>
      <c r="D257" s="25" t="s">
        <v>137</v>
      </c>
      <c r="E257" s="25" t="s">
        <v>194</v>
      </c>
      <c r="F257" s="25" t="s">
        <v>113</v>
      </c>
      <c r="G257" s="26" t="s">
        <v>238</v>
      </c>
      <c r="H257" s="27" t="s">
        <v>115</v>
      </c>
      <c r="I257" s="24" t="s">
        <v>106</v>
      </c>
      <c r="J257" s="24" t="s">
        <v>107</v>
      </c>
      <c r="K257" s="28" t="s">
        <v>108</v>
      </c>
      <c r="L257" s="29">
        <v>0</v>
      </c>
      <c r="M257" s="29">
        <v>0</v>
      </c>
      <c r="N257" s="29">
        <v>0.02</v>
      </c>
      <c r="O257" s="27" t="s">
        <v>141</v>
      </c>
      <c r="P257" s="30" t="s">
        <v>142</v>
      </c>
      <c r="Q257" s="31">
        <v>1540356611.388505</v>
      </c>
      <c r="R257" s="31">
        <v>1671.88</v>
      </c>
      <c r="S257" s="32">
        <v>-9.1399999999999999E-4</v>
      </c>
      <c r="T257" s="32" t="s">
        <v>139</v>
      </c>
      <c r="U257" s="32">
        <v>-9.68E-4</v>
      </c>
      <c r="V257" s="32">
        <v>2.4039999999999999E-3</v>
      </c>
      <c r="W257" s="32">
        <v>6.7019999999999996E-3</v>
      </c>
      <c r="X257" s="32">
        <v>1.1280999999999999E-2</v>
      </c>
      <c r="Y257" s="32">
        <v>-9.3620000000000005E-3</v>
      </c>
      <c r="Z257" s="32">
        <v>6.8505999999999997E-2</v>
      </c>
      <c r="AA257" s="32">
        <v>0.17116999999999999</v>
      </c>
      <c r="AB257" s="32">
        <v>0.21510899999999999</v>
      </c>
    </row>
    <row r="258" spans="1:28" ht="15.6" customHeight="1" x14ac:dyDescent="0.25">
      <c r="A258" s="24" t="s">
        <v>483</v>
      </c>
      <c r="B258" s="50">
        <v>3831</v>
      </c>
      <c r="C258" s="25" t="s">
        <v>484</v>
      </c>
      <c r="D258" s="25" t="s">
        <v>137</v>
      </c>
      <c r="E258" s="25" t="s">
        <v>194</v>
      </c>
      <c r="F258" s="25" t="s">
        <v>113</v>
      </c>
      <c r="G258" s="26" t="s">
        <v>238</v>
      </c>
      <c r="H258" s="27" t="s">
        <v>115</v>
      </c>
      <c r="I258" s="24" t="s">
        <v>106</v>
      </c>
      <c r="J258" s="24" t="s">
        <v>107</v>
      </c>
      <c r="K258" s="28" t="s">
        <v>108</v>
      </c>
      <c r="L258" s="29">
        <v>0</v>
      </c>
      <c r="M258" s="29">
        <v>0</v>
      </c>
      <c r="N258" s="29">
        <v>0.02</v>
      </c>
      <c r="O258" s="27" t="s">
        <v>141</v>
      </c>
      <c r="P258" s="30" t="s">
        <v>142</v>
      </c>
      <c r="Q258" s="31">
        <v>239231939.44967699</v>
      </c>
      <c r="R258" s="31">
        <v>1494.05</v>
      </c>
      <c r="S258" s="32">
        <v>-3.0760000000000002E-3</v>
      </c>
      <c r="T258" s="32" t="s">
        <v>139</v>
      </c>
      <c r="U258" s="32">
        <v>-3.01E-4</v>
      </c>
      <c r="V258" s="32">
        <v>2.2000000000000001E-3</v>
      </c>
      <c r="W258" s="32">
        <v>3.8630000000000001E-3</v>
      </c>
      <c r="X258" s="32">
        <v>5.2899999999999996E-4</v>
      </c>
      <c r="Y258" s="32">
        <v>-6.4180000000000001E-3</v>
      </c>
      <c r="Z258" s="32">
        <v>7.5652999999999998E-2</v>
      </c>
      <c r="AA258" s="32">
        <v>0.18248800000000001</v>
      </c>
      <c r="AB258" s="32">
        <v>0.115429</v>
      </c>
    </row>
    <row r="259" spans="1:28" ht="15.6" customHeight="1" x14ac:dyDescent="0.25">
      <c r="A259" s="24" t="s">
        <v>485</v>
      </c>
      <c r="B259" s="50">
        <v>3833</v>
      </c>
      <c r="C259" s="25" t="s">
        <v>486</v>
      </c>
      <c r="D259" s="25" t="s">
        <v>322</v>
      </c>
      <c r="E259" s="25" t="s">
        <v>194</v>
      </c>
      <c r="F259" s="25" t="s">
        <v>103</v>
      </c>
      <c r="G259" s="26" t="s">
        <v>487</v>
      </c>
      <c r="H259" s="27" t="s">
        <v>188</v>
      </c>
      <c r="I259" s="24" t="s">
        <v>106</v>
      </c>
      <c r="J259" s="24" t="s">
        <v>107</v>
      </c>
      <c r="K259" s="28" t="s">
        <v>108</v>
      </c>
      <c r="L259" s="29">
        <v>0.03</v>
      </c>
      <c r="M259" s="29">
        <v>1.4999999999999999E-2</v>
      </c>
      <c r="N259" s="29">
        <v>0.02</v>
      </c>
      <c r="O259" s="27" t="s">
        <v>166</v>
      </c>
      <c r="P259" s="30" t="s">
        <v>322</v>
      </c>
      <c r="Q259" s="31">
        <v>509527048.80000001</v>
      </c>
      <c r="R259" s="31">
        <v>119.83</v>
      </c>
      <c r="S259" s="32">
        <v>1.8530000000000001E-2</v>
      </c>
      <c r="T259" s="32" t="s">
        <v>139</v>
      </c>
      <c r="U259" s="32">
        <v>1.6699999999999999E-4</v>
      </c>
      <c r="V259" s="32">
        <v>1.6720000000000001E-3</v>
      </c>
      <c r="W259" s="32">
        <v>7.0590000000000002E-3</v>
      </c>
      <c r="X259" s="32">
        <v>1.4219000000000001E-2</v>
      </c>
      <c r="Y259" s="32">
        <v>2.6030000000000001E-2</v>
      </c>
      <c r="Z259" s="32">
        <v>7.1441000000000004E-2</v>
      </c>
      <c r="AA259" s="32">
        <v>0.19115299999999999</v>
      </c>
      <c r="AB259" s="32">
        <v>0.13335900000000001</v>
      </c>
    </row>
    <row r="260" spans="1:28" ht="15.6" customHeight="1" x14ac:dyDescent="0.25">
      <c r="A260" s="24" t="s">
        <v>1320</v>
      </c>
      <c r="B260" s="50">
        <v>3834</v>
      </c>
      <c r="C260" s="25" t="s">
        <v>1321</v>
      </c>
      <c r="D260" s="25" t="s">
        <v>322</v>
      </c>
      <c r="E260" s="25" t="s">
        <v>194</v>
      </c>
      <c r="F260" s="25" t="s">
        <v>113</v>
      </c>
      <c r="G260" s="26" t="s">
        <v>1322</v>
      </c>
      <c r="H260" s="27" t="s">
        <v>115</v>
      </c>
      <c r="I260" s="24" t="s">
        <v>998</v>
      </c>
      <c r="J260" s="24" t="s">
        <v>107</v>
      </c>
      <c r="K260" s="28" t="s">
        <v>108</v>
      </c>
      <c r="L260" s="29">
        <v>0.03</v>
      </c>
      <c r="M260" s="29">
        <v>1.4999999999999999E-2</v>
      </c>
      <c r="N260" s="29">
        <v>0.02</v>
      </c>
      <c r="O260" s="27" t="s">
        <v>116</v>
      </c>
      <c r="P260" s="30" t="s">
        <v>322</v>
      </c>
      <c r="Q260" s="31">
        <v>955727.93</v>
      </c>
      <c r="R260" s="31">
        <v>128.06</v>
      </c>
      <c r="S260" s="32">
        <v>2.34E-4</v>
      </c>
      <c r="T260" s="32" t="s">
        <v>139</v>
      </c>
      <c r="U260" s="32">
        <v>-1.4809999999999999E-3</v>
      </c>
      <c r="V260" s="32">
        <v>8.5999999999999998E-4</v>
      </c>
      <c r="W260" s="32">
        <v>3.6050000000000001E-3</v>
      </c>
      <c r="X260" s="32">
        <v>3.9979999999999998E-3</v>
      </c>
      <c r="Y260" s="32">
        <v>-5.2820000000000002E-3</v>
      </c>
      <c r="Z260" s="32">
        <v>4.5131999999999999E-2</v>
      </c>
      <c r="AA260" s="32">
        <v>0.18431500000000001</v>
      </c>
      <c r="AB260" s="32">
        <v>0.20425099999999999</v>
      </c>
    </row>
    <row r="261" spans="1:28" ht="15.6" customHeight="1" x14ac:dyDescent="0.25">
      <c r="A261" s="24" t="s">
        <v>488</v>
      </c>
      <c r="B261" s="50">
        <v>3835</v>
      </c>
      <c r="C261" s="25" t="s">
        <v>489</v>
      </c>
      <c r="D261" s="25" t="s">
        <v>322</v>
      </c>
      <c r="E261" s="25" t="s">
        <v>194</v>
      </c>
      <c r="F261" s="25" t="s">
        <v>138</v>
      </c>
      <c r="G261" s="26" t="s">
        <v>139</v>
      </c>
      <c r="H261" s="27" t="s">
        <v>490</v>
      </c>
      <c r="I261" s="24" t="s">
        <v>106</v>
      </c>
      <c r="J261" s="24" t="s">
        <v>107</v>
      </c>
      <c r="K261" s="28" t="s">
        <v>108</v>
      </c>
      <c r="L261" s="29">
        <v>0.03</v>
      </c>
      <c r="M261" s="29">
        <v>1.4999999999999999E-2</v>
      </c>
      <c r="N261" s="29">
        <v>0.02</v>
      </c>
      <c r="O261" s="27" t="s">
        <v>166</v>
      </c>
      <c r="P261" s="30" t="s">
        <v>322</v>
      </c>
      <c r="Q261" s="31">
        <v>3083223326.6999998</v>
      </c>
      <c r="R261" s="31">
        <v>124.19</v>
      </c>
      <c r="S261" s="32">
        <v>-1.5615E-2</v>
      </c>
      <c r="T261" s="32" t="s">
        <v>139</v>
      </c>
      <c r="U261" s="32">
        <v>-3.7699999999999999E-3</v>
      </c>
      <c r="V261" s="32">
        <v>-2.49E-3</v>
      </c>
      <c r="W261" s="32">
        <v>1.4956000000000001E-2</v>
      </c>
      <c r="X261" s="32">
        <v>4.5019000000000003E-2</v>
      </c>
      <c r="Y261" s="32">
        <v>-8.5088999999999998E-2</v>
      </c>
      <c r="Z261" s="32">
        <v>0.17094100000000001</v>
      </c>
      <c r="AA261" s="32">
        <v>0.34448400000000001</v>
      </c>
      <c r="AB261" s="32">
        <v>0.19620499999999999</v>
      </c>
    </row>
    <row r="262" spans="1:28" ht="15.6" customHeight="1" x14ac:dyDescent="0.25">
      <c r="A262" s="24" t="s">
        <v>491</v>
      </c>
      <c r="B262" s="50">
        <v>3836</v>
      </c>
      <c r="C262" s="25" t="s">
        <v>492</v>
      </c>
      <c r="D262" s="25" t="s">
        <v>145</v>
      </c>
      <c r="E262" s="25" t="s">
        <v>194</v>
      </c>
      <c r="F262" s="25" t="s">
        <v>113</v>
      </c>
      <c r="G262" s="26" t="s">
        <v>493</v>
      </c>
      <c r="H262" s="27" t="s">
        <v>115</v>
      </c>
      <c r="I262" s="24" t="s">
        <v>106</v>
      </c>
      <c r="J262" s="24" t="s">
        <v>107</v>
      </c>
      <c r="K262" s="28" t="s">
        <v>108</v>
      </c>
      <c r="L262" s="29">
        <v>0.02</v>
      </c>
      <c r="M262" s="29">
        <v>0.02</v>
      </c>
      <c r="N262" s="29">
        <v>0.01</v>
      </c>
      <c r="O262" s="27" t="s">
        <v>148</v>
      </c>
      <c r="P262" s="30" t="s">
        <v>494</v>
      </c>
      <c r="Q262" s="31">
        <v>4159354224.4200001</v>
      </c>
      <c r="R262" s="31">
        <v>1244.02</v>
      </c>
      <c r="S262" s="32">
        <v>1.7229999999999999E-3</v>
      </c>
      <c r="T262" s="32" t="s">
        <v>139</v>
      </c>
      <c r="U262" s="32">
        <v>-1.2930000000000001E-3</v>
      </c>
      <c r="V262" s="32">
        <v>2.5790000000000001E-3</v>
      </c>
      <c r="W262" s="32">
        <v>5.6670000000000002E-3</v>
      </c>
      <c r="X262" s="32">
        <v>5.594E-3</v>
      </c>
      <c r="Y262" s="32">
        <v>-2.0460000000000001E-3</v>
      </c>
      <c r="Z262" s="32">
        <v>7.8839000000000006E-2</v>
      </c>
      <c r="AA262" s="32">
        <v>0.188891</v>
      </c>
      <c r="AB262" s="32">
        <v>0.13803499999999999</v>
      </c>
    </row>
    <row r="263" spans="1:28" ht="15.6" customHeight="1" x14ac:dyDescent="0.25">
      <c r="A263" s="24" t="s">
        <v>495</v>
      </c>
      <c r="B263" s="50">
        <v>3837</v>
      </c>
      <c r="C263" s="25" t="s">
        <v>496</v>
      </c>
      <c r="D263" s="25" t="s">
        <v>145</v>
      </c>
      <c r="E263" s="25" t="s">
        <v>194</v>
      </c>
      <c r="F263" s="25" t="s">
        <v>138</v>
      </c>
      <c r="G263" s="26" t="s">
        <v>139</v>
      </c>
      <c r="H263" s="27" t="s">
        <v>497</v>
      </c>
      <c r="I263" s="24" t="s">
        <v>106</v>
      </c>
      <c r="J263" s="24" t="s">
        <v>107</v>
      </c>
      <c r="K263" s="28" t="s">
        <v>108</v>
      </c>
      <c r="L263" s="29">
        <v>0.03</v>
      </c>
      <c r="M263" s="29">
        <v>0.03</v>
      </c>
      <c r="N263" s="29">
        <v>0.02</v>
      </c>
      <c r="O263" s="27" t="s">
        <v>148</v>
      </c>
      <c r="P263" s="30" t="s">
        <v>494</v>
      </c>
      <c r="Q263" s="31">
        <v>1287918.73</v>
      </c>
      <c r="R263" s="31">
        <v>1304.8800000000001</v>
      </c>
      <c r="S263" s="32">
        <v>-2.0903999999999999E-2</v>
      </c>
      <c r="T263" s="32" t="s">
        <v>139</v>
      </c>
      <c r="U263" s="32">
        <v>-3.673E-3</v>
      </c>
      <c r="V263" s="32">
        <v>-6.3959999999999998E-3</v>
      </c>
      <c r="W263" s="32">
        <v>1.2049999999999999E-3</v>
      </c>
      <c r="X263" s="32">
        <v>6.0990000000000003E-3</v>
      </c>
      <c r="Y263" s="32">
        <v>-5.0139999999999997E-2</v>
      </c>
      <c r="Z263" s="32">
        <v>0.112724</v>
      </c>
      <c r="AA263" s="32">
        <v>0.247889</v>
      </c>
      <c r="AB263" s="32">
        <v>0.24601799999999999</v>
      </c>
    </row>
    <row r="264" spans="1:28" ht="15.6" customHeight="1" x14ac:dyDescent="0.25">
      <c r="A264" s="24" t="s">
        <v>498</v>
      </c>
      <c r="B264" s="50">
        <v>3838</v>
      </c>
      <c r="C264" s="25" t="s">
        <v>499</v>
      </c>
      <c r="D264" s="25" t="s">
        <v>145</v>
      </c>
      <c r="E264" s="25" t="s">
        <v>194</v>
      </c>
      <c r="F264" s="25" t="s">
        <v>128</v>
      </c>
      <c r="G264" s="26" t="s">
        <v>289</v>
      </c>
      <c r="H264" s="27" t="s">
        <v>373</v>
      </c>
      <c r="I264" s="24" t="s">
        <v>106</v>
      </c>
      <c r="J264" s="24" t="s">
        <v>107</v>
      </c>
      <c r="K264" s="28" t="s">
        <v>108</v>
      </c>
      <c r="L264" s="29">
        <v>0.01</v>
      </c>
      <c r="M264" s="29">
        <v>0.01</v>
      </c>
      <c r="N264" s="29">
        <v>0.01</v>
      </c>
      <c r="O264" s="27" t="s">
        <v>148</v>
      </c>
      <c r="P264" s="30" t="s">
        <v>494</v>
      </c>
      <c r="Q264" s="31">
        <v>3612356231.9000001</v>
      </c>
      <c r="R264" s="31">
        <v>1239.57</v>
      </c>
      <c r="S264" s="32">
        <v>2.145E-2</v>
      </c>
      <c r="T264" s="32" t="s">
        <v>139</v>
      </c>
      <c r="U264" s="32">
        <v>6.4999999999999994E-5</v>
      </c>
      <c r="V264" s="32">
        <v>1.908E-3</v>
      </c>
      <c r="W264" s="32">
        <v>7.4450000000000002E-3</v>
      </c>
      <c r="X264" s="32">
        <v>1.6024E-2</v>
      </c>
      <c r="Y264" s="32">
        <v>2.9038999999999999E-2</v>
      </c>
      <c r="Z264" s="32">
        <v>6.7839999999999998E-2</v>
      </c>
      <c r="AA264" s="32">
        <v>0.110318</v>
      </c>
      <c r="AB264" s="32">
        <v>0.16978099999999999</v>
      </c>
    </row>
    <row r="265" spans="1:28" ht="15.6" customHeight="1" x14ac:dyDescent="0.25">
      <c r="A265" s="24" t="s">
        <v>500</v>
      </c>
      <c r="B265" s="50">
        <v>3839</v>
      </c>
      <c r="C265" s="25" t="s">
        <v>501</v>
      </c>
      <c r="D265" s="25" t="s">
        <v>145</v>
      </c>
      <c r="E265" s="25" t="s">
        <v>194</v>
      </c>
      <c r="F265" s="25" t="s">
        <v>138</v>
      </c>
      <c r="G265" s="26" t="s">
        <v>139</v>
      </c>
      <c r="H265" s="27" t="s">
        <v>497</v>
      </c>
      <c r="I265" s="24" t="s">
        <v>106</v>
      </c>
      <c r="J265" s="24" t="s">
        <v>107</v>
      </c>
      <c r="K265" s="28" t="s">
        <v>108</v>
      </c>
      <c r="L265" s="29">
        <v>0.03</v>
      </c>
      <c r="M265" s="29">
        <v>0.03</v>
      </c>
      <c r="N265" s="29">
        <v>0.02</v>
      </c>
      <c r="O265" s="27" t="s">
        <v>148</v>
      </c>
      <c r="P265" s="30" t="s">
        <v>494</v>
      </c>
      <c r="Q265" s="31">
        <v>1119121.93</v>
      </c>
      <c r="R265" s="31">
        <v>1119.1199999999999</v>
      </c>
      <c r="S265" s="32">
        <v>-1.5716999999999998E-2</v>
      </c>
      <c r="T265" s="32" t="s">
        <v>139</v>
      </c>
      <c r="U265" s="32">
        <v>-2.709E-3</v>
      </c>
      <c r="V265" s="32">
        <v>-5.3860000000000002E-3</v>
      </c>
      <c r="W265" s="32">
        <v>1.737E-3</v>
      </c>
      <c r="X265" s="32">
        <v>6.9100000000000003E-3</v>
      </c>
      <c r="Y265" s="32">
        <v>-4.6144999999999999E-2</v>
      </c>
      <c r="Z265" s="32">
        <v>5.0757999999999998E-2</v>
      </c>
      <c r="AA265" s="32">
        <v>9.6972000000000003E-2</v>
      </c>
      <c r="AB265" s="32">
        <v>0.104115</v>
      </c>
    </row>
    <row r="266" spans="1:28" ht="15.6" customHeight="1" x14ac:dyDescent="0.25">
      <c r="A266" s="24" t="s">
        <v>1323</v>
      </c>
      <c r="B266" s="50">
        <v>3840</v>
      </c>
      <c r="C266" s="25" t="s">
        <v>1324</v>
      </c>
      <c r="D266" s="25" t="s">
        <v>504</v>
      </c>
      <c r="E266" s="25" t="s">
        <v>194</v>
      </c>
      <c r="F266" s="25" t="s">
        <v>138</v>
      </c>
      <c r="G266" s="26" t="s">
        <v>139</v>
      </c>
      <c r="H266" s="27" t="s">
        <v>577</v>
      </c>
      <c r="I266" s="24" t="s">
        <v>998</v>
      </c>
      <c r="J266" s="24" t="s">
        <v>107</v>
      </c>
      <c r="K266" s="28" t="s">
        <v>108</v>
      </c>
      <c r="L266" s="29">
        <v>0.02</v>
      </c>
      <c r="M266" s="29">
        <v>0.02</v>
      </c>
      <c r="N266" s="29">
        <v>0.02</v>
      </c>
      <c r="O266" s="27" t="s">
        <v>161</v>
      </c>
      <c r="P266" s="30" t="s">
        <v>504</v>
      </c>
      <c r="Q266" s="31">
        <v>2919946255.1700001</v>
      </c>
      <c r="R266" s="31">
        <v>1332.22</v>
      </c>
      <c r="S266" s="32">
        <v>-2.5207E-2</v>
      </c>
      <c r="T266" s="32" t="s">
        <v>139</v>
      </c>
      <c r="U266" s="32">
        <v>-2.777E-3</v>
      </c>
      <c r="V266" s="32">
        <v>-2.15E-3</v>
      </c>
      <c r="W266" s="32">
        <v>1.2302E-2</v>
      </c>
      <c r="X266" s="32">
        <v>3.0859000000000001E-2</v>
      </c>
      <c r="Y266" s="32">
        <v>-8.2455000000000001E-2</v>
      </c>
      <c r="Z266" s="32">
        <v>0.15134400000000001</v>
      </c>
      <c r="AA266" s="32">
        <v>0.31394300000000003</v>
      </c>
      <c r="AB266" s="32">
        <v>0.25201600000000002</v>
      </c>
    </row>
    <row r="267" spans="1:28" ht="15.6" customHeight="1" x14ac:dyDescent="0.25">
      <c r="A267" s="24" t="s">
        <v>502</v>
      </c>
      <c r="B267" s="50">
        <v>3841</v>
      </c>
      <c r="C267" s="25" t="s">
        <v>503</v>
      </c>
      <c r="D267" s="25" t="s">
        <v>504</v>
      </c>
      <c r="E267" s="25" t="s">
        <v>194</v>
      </c>
      <c r="F267" s="25" t="s">
        <v>128</v>
      </c>
      <c r="G267" s="26" t="s">
        <v>289</v>
      </c>
      <c r="H267" s="27" t="s">
        <v>130</v>
      </c>
      <c r="I267" s="24" t="s">
        <v>106</v>
      </c>
      <c r="J267" s="24" t="s">
        <v>107</v>
      </c>
      <c r="K267" s="28" t="s">
        <v>108</v>
      </c>
      <c r="L267" s="29">
        <v>0.02</v>
      </c>
      <c r="M267" s="29">
        <v>0.02</v>
      </c>
      <c r="N267" s="29">
        <v>0.02</v>
      </c>
      <c r="O267" s="27" t="s">
        <v>148</v>
      </c>
      <c r="P267" s="30" t="s">
        <v>504</v>
      </c>
      <c r="Q267" s="31">
        <v>2646822931.4899998</v>
      </c>
      <c r="R267" s="31">
        <v>1191.58</v>
      </c>
      <c r="S267" s="32">
        <v>1.7662000000000001E-2</v>
      </c>
      <c r="T267" s="32" t="s">
        <v>139</v>
      </c>
      <c r="U267" s="32">
        <v>-1.26E-4</v>
      </c>
      <c r="V267" s="32">
        <v>1.8240000000000001E-3</v>
      </c>
      <c r="W267" s="32">
        <v>6.6230000000000004E-3</v>
      </c>
      <c r="X267" s="32">
        <v>1.4059E-2</v>
      </c>
      <c r="Y267" s="32">
        <v>2.3844000000000001E-2</v>
      </c>
      <c r="Z267" s="32">
        <v>5.7847000000000003E-2</v>
      </c>
      <c r="AA267" s="32">
        <v>0.10130599999999999</v>
      </c>
      <c r="AB267" s="32">
        <v>0.13763300000000001</v>
      </c>
    </row>
    <row r="268" spans="1:28" ht="15.6" customHeight="1" x14ac:dyDescent="0.25">
      <c r="A268" s="24" t="s">
        <v>1325</v>
      </c>
      <c r="B268" s="50">
        <v>3842</v>
      </c>
      <c r="C268" s="25" t="s">
        <v>1326</v>
      </c>
      <c r="D268" s="25" t="s">
        <v>316</v>
      </c>
      <c r="E268" s="25" t="s">
        <v>194</v>
      </c>
      <c r="F268" s="25" t="s">
        <v>138</v>
      </c>
      <c r="G268" s="26" t="s">
        <v>139</v>
      </c>
      <c r="H268" s="27" t="s">
        <v>1327</v>
      </c>
      <c r="I268" s="24" t="s">
        <v>998</v>
      </c>
      <c r="J268" s="24" t="s">
        <v>107</v>
      </c>
      <c r="K268" s="28" t="s">
        <v>108</v>
      </c>
      <c r="L268" s="29">
        <v>0.03</v>
      </c>
      <c r="M268" s="29">
        <v>0.03</v>
      </c>
      <c r="N268" s="29">
        <v>0.02</v>
      </c>
      <c r="O268" s="27" t="s">
        <v>166</v>
      </c>
      <c r="P268" s="30" t="s">
        <v>316</v>
      </c>
      <c r="Q268" s="31">
        <v>343857704.47000003</v>
      </c>
      <c r="R268" s="31">
        <v>1184.55</v>
      </c>
      <c r="S268" s="32">
        <v>-4.8099999999999998E-4</v>
      </c>
      <c r="T268" s="32" t="s">
        <v>139</v>
      </c>
      <c r="U268" s="32">
        <v>-4.0610000000000004E-3</v>
      </c>
      <c r="V268" s="32">
        <v>-3.7009999999999999E-3</v>
      </c>
      <c r="W268" s="32">
        <v>2.2574E-2</v>
      </c>
      <c r="X268" s="32">
        <v>5.1792999999999999E-2</v>
      </c>
      <c r="Y268" s="32">
        <v>-6.7220000000000002E-2</v>
      </c>
      <c r="Z268" s="32">
        <v>0.18492600000000001</v>
      </c>
      <c r="AA268" s="32">
        <v>0.37102800000000002</v>
      </c>
      <c r="AB268" s="32">
        <v>0.21998000000000001</v>
      </c>
    </row>
    <row r="269" spans="1:28" ht="15.6" customHeight="1" x14ac:dyDescent="0.25">
      <c r="A269" s="24" t="s">
        <v>505</v>
      </c>
      <c r="B269" s="50">
        <v>3843</v>
      </c>
      <c r="C269" s="25" t="s">
        <v>506</v>
      </c>
      <c r="D269" s="25" t="s">
        <v>316</v>
      </c>
      <c r="E269" s="25" t="s">
        <v>194</v>
      </c>
      <c r="F269" s="25" t="s">
        <v>128</v>
      </c>
      <c r="G269" s="26" t="s">
        <v>289</v>
      </c>
      <c r="H269" s="27" t="s">
        <v>130</v>
      </c>
      <c r="I269" s="24" t="s">
        <v>106</v>
      </c>
      <c r="J269" s="24" t="s">
        <v>107</v>
      </c>
      <c r="K269" s="28" t="s">
        <v>108</v>
      </c>
      <c r="L269" s="29">
        <v>0.03</v>
      </c>
      <c r="M269" s="29">
        <v>0.03</v>
      </c>
      <c r="N269" s="29">
        <v>0.02</v>
      </c>
      <c r="O269" s="27" t="s">
        <v>161</v>
      </c>
      <c r="P269" s="30" t="s">
        <v>316</v>
      </c>
      <c r="Q269" s="31">
        <v>1352299575.3399999</v>
      </c>
      <c r="R269" s="31">
        <v>119948.52</v>
      </c>
      <c r="S269" s="32">
        <v>1.6368000000000001E-2</v>
      </c>
      <c r="T269" s="32" t="s">
        <v>139</v>
      </c>
      <c r="U269" s="32">
        <v>-2.52E-4</v>
      </c>
      <c r="V269" s="32">
        <v>1.7290000000000001E-3</v>
      </c>
      <c r="W269" s="32">
        <v>5.6620000000000004E-3</v>
      </c>
      <c r="X269" s="32">
        <v>1.2543E-2</v>
      </c>
      <c r="Y269" s="32">
        <v>2.2433000000000002E-2</v>
      </c>
      <c r="Z269" s="32">
        <v>5.8013000000000002E-2</v>
      </c>
      <c r="AA269" s="32">
        <v>0.10079200000000001</v>
      </c>
      <c r="AB269" s="32">
        <v>0.141124</v>
      </c>
    </row>
    <row r="270" spans="1:28" ht="15.6" customHeight="1" x14ac:dyDescent="0.25">
      <c r="A270" s="24" t="s">
        <v>507</v>
      </c>
      <c r="B270" s="50">
        <v>3844</v>
      </c>
      <c r="C270" s="25" t="s">
        <v>508</v>
      </c>
      <c r="D270" s="25" t="s">
        <v>504</v>
      </c>
      <c r="E270" s="25" t="s">
        <v>194</v>
      </c>
      <c r="F270" s="25" t="s">
        <v>103</v>
      </c>
      <c r="G270" s="26" t="s">
        <v>216</v>
      </c>
      <c r="H270" s="27" t="s">
        <v>509</v>
      </c>
      <c r="I270" s="24" t="s">
        <v>106</v>
      </c>
      <c r="J270" s="24" t="s">
        <v>107</v>
      </c>
      <c r="K270" s="28" t="s">
        <v>108</v>
      </c>
      <c r="L270" s="29">
        <v>0.02</v>
      </c>
      <c r="M270" s="29">
        <v>0.02</v>
      </c>
      <c r="N270" s="29">
        <v>0.02</v>
      </c>
      <c r="O270" s="27" t="s">
        <v>161</v>
      </c>
      <c r="P270" s="30" t="s">
        <v>504</v>
      </c>
      <c r="Q270" s="31">
        <v>2484911459.4000001</v>
      </c>
      <c r="R270" s="31">
        <v>1175.24</v>
      </c>
      <c r="S270" s="32">
        <v>1.7867999999999998E-2</v>
      </c>
      <c r="T270" s="32" t="s">
        <v>139</v>
      </c>
      <c r="U270" s="32">
        <v>2.13E-4</v>
      </c>
      <c r="V270" s="32">
        <v>1.756E-3</v>
      </c>
      <c r="W270" s="32">
        <v>6.3540000000000003E-3</v>
      </c>
      <c r="X270" s="32">
        <v>1.3365E-2</v>
      </c>
      <c r="Y270" s="32">
        <v>2.5891000000000001E-2</v>
      </c>
      <c r="Z270" s="32">
        <v>5.7679000000000001E-2</v>
      </c>
      <c r="AA270" s="32">
        <v>9.4682000000000002E-2</v>
      </c>
      <c r="AB270" s="32">
        <v>0.13969300000000001</v>
      </c>
    </row>
    <row r="271" spans="1:28" ht="15.6" customHeight="1" x14ac:dyDescent="0.25">
      <c r="A271" s="24" t="s">
        <v>1328</v>
      </c>
      <c r="B271" s="50">
        <v>3849</v>
      </c>
      <c r="C271" s="25" t="s">
        <v>1329</v>
      </c>
      <c r="D271" s="25" t="s">
        <v>159</v>
      </c>
      <c r="E271" s="25" t="s">
        <v>194</v>
      </c>
      <c r="F271" s="25" t="s">
        <v>113</v>
      </c>
      <c r="G271" s="26" t="s">
        <v>465</v>
      </c>
      <c r="H271" s="27" t="s">
        <v>120</v>
      </c>
      <c r="I271" s="24" t="s">
        <v>998</v>
      </c>
      <c r="J271" s="24" t="s">
        <v>107</v>
      </c>
      <c r="K271" s="28" t="s">
        <v>227</v>
      </c>
      <c r="L271" s="29">
        <v>0</v>
      </c>
      <c r="M271" s="29">
        <v>0</v>
      </c>
      <c r="N271" s="29">
        <v>0.02</v>
      </c>
      <c r="O271" s="27" t="s">
        <v>161</v>
      </c>
      <c r="P271" s="30" t="s">
        <v>513</v>
      </c>
      <c r="Q271" s="31">
        <v>2268778430.6900001</v>
      </c>
      <c r="R271" s="31">
        <v>1169.28</v>
      </c>
      <c r="S271" s="32">
        <v>3.5620000000000001E-3</v>
      </c>
      <c r="T271" s="32" t="s">
        <v>139</v>
      </c>
      <c r="U271" s="32">
        <v>-1.1529999999999999E-3</v>
      </c>
      <c r="V271" s="32">
        <v>2.0479999999999999E-3</v>
      </c>
      <c r="W271" s="32">
        <v>5.5729999999999998E-3</v>
      </c>
      <c r="X271" s="32">
        <v>5.7369999999999999E-3</v>
      </c>
      <c r="Y271" s="32">
        <v>3.614E-3</v>
      </c>
      <c r="Z271" s="32">
        <v>6.0802000000000002E-2</v>
      </c>
      <c r="AA271" s="32">
        <v>0.14657800000000001</v>
      </c>
      <c r="AB271" s="32">
        <v>0.1052</v>
      </c>
    </row>
    <row r="272" spans="1:28" ht="15.6" customHeight="1" x14ac:dyDescent="0.25">
      <c r="A272" s="24" t="s">
        <v>510</v>
      </c>
      <c r="B272" s="50">
        <v>3850</v>
      </c>
      <c r="C272" s="25" t="s">
        <v>511</v>
      </c>
      <c r="D272" s="25" t="s">
        <v>159</v>
      </c>
      <c r="E272" s="25" t="s">
        <v>194</v>
      </c>
      <c r="F272" s="25" t="s">
        <v>128</v>
      </c>
      <c r="G272" s="26" t="s">
        <v>289</v>
      </c>
      <c r="H272" s="27" t="s">
        <v>512</v>
      </c>
      <c r="I272" s="24" t="s">
        <v>106</v>
      </c>
      <c r="J272" s="24" t="s">
        <v>121</v>
      </c>
      <c r="K272" s="28" t="s">
        <v>227</v>
      </c>
      <c r="L272" s="29">
        <v>0</v>
      </c>
      <c r="M272" s="29">
        <v>0</v>
      </c>
      <c r="N272" s="29">
        <v>0.02</v>
      </c>
      <c r="O272" s="27" t="s">
        <v>161</v>
      </c>
      <c r="P272" s="30" t="s">
        <v>513</v>
      </c>
      <c r="Q272" s="31">
        <v>1205406019.5599999</v>
      </c>
      <c r="R272" s="31">
        <v>1156.5999999999999</v>
      </c>
      <c r="S272" s="32">
        <v>1.5755000000000002E-2</v>
      </c>
      <c r="T272" s="32" t="s">
        <v>139</v>
      </c>
      <c r="U272" s="32">
        <v>-3.4999999999999997E-5</v>
      </c>
      <c r="V272" s="32">
        <v>1.645E-3</v>
      </c>
      <c r="W272" s="32">
        <v>5.7039999999999999E-3</v>
      </c>
      <c r="X272" s="32">
        <v>1.2083999999999999E-2</v>
      </c>
      <c r="Y272" s="32">
        <v>2.1045999999999999E-2</v>
      </c>
      <c r="Z272" s="32">
        <v>5.0290000000000001E-2</v>
      </c>
      <c r="AA272" s="32">
        <v>8.6785000000000001E-2</v>
      </c>
      <c r="AB272" s="32">
        <v>0.123949</v>
      </c>
    </row>
    <row r="273" spans="1:28" ht="15.6" customHeight="1" x14ac:dyDescent="0.25">
      <c r="A273" s="24" t="s">
        <v>1330</v>
      </c>
      <c r="B273" s="50">
        <v>3851</v>
      </c>
      <c r="C273" s="25" t="s">
        <v>1331</v>
      </c>
      <c r="D273" s="25" t="s">
        <v>159</v>
      </c>
      <c r="E273" s="25" t="s">
        <v>194</v>
      </c>
      <c r="F273" s="25" t="s">
        <v>128</v>
      </c>
      <c r="G273" s="26" t="s">
        <v>289</v>
      </c>
      <c r="H273" s="27" t="s">
        <v>1332</v>
      </c>
      <c r="I273" s="24" t="s">
        <v>998</v>
      </c>
      <c r="J273" s="24" t="s">
        <v>107</v>
      </c>
      <c r="K273" s="28" t="s">
        <v>227</v>
      </c>
      <c r="L273" s="29">
        <v>0</v>
      </c>
      <c r="M273" s="29">
        <v>0</v>
      </c>
      <c r="N273" s="29">
        <v>0.02</v>
      </c>
      <c r="O273" s="27" t="s">
        <v>161</v>
      </c>
      <c r="P273" s="30" t="s">
        <v>513</v>
      </c>
      <c r="Q273" s="31">
        <v>1459994169.1700001</v>
      </c>
      <c r="R273" s="31">
        <v>1183.97</v>
      </c>
      <c r="S273" s="32">
        <v>2.2303E-2</v>
      </c>
      <c r="T273" s="32" t="s">
        <v>139</v>
      </c>
      <c r="U273" s="32">
        <v>0</v>
      </c>
      <c r="V273" s="32">
        <v>2.362E-3</v>
      </c>
      <c r="W273" s="32">
        <v>8.3119999999999999E-3</v>
      </c>
      <c r="X273" s="32">
        <v>1.7235E-2</v>
      </c>
      <c r="Y273" s="32">
        <v>3.0247E-2</v>
      </c>
      <c r="Z273" s="32">
        <v>6.4366999999999994E-2</v>
      </c>
      <c r="AA273" s="32">
        <v>0.10483099999999999</v>
      </c>
      <c r="AB273" s="32">
        <v>0.14824799999999999</v>
      </c>
    </row>
    <row r="274" spans="1:28" ht="15.6" customHeight="1" x14ac:dyDescent="0.25">
      <c r="A274" s="24" t="s">
        <v>514</v>
      </c>
      <c r="B274" s="50">
        <v>3852</v>
      </c>
      <c r="C274" s="25" t="s">
        <v>515</v>
      </c>
      <c r="D274" s="25" t="s">
        <v>355</v>
      </c>
      <c r="E274" s="25" t="s">
        <v>194</v>
      </c>
      <c r="F274" s="25" t="s">
        <v>113</v>
      </c>
      <c r="G274" s="26" t="s">
        <v>465</v>
      </c>
      <c r="H274" s="27" t="s">
        <v>309</v>
      </c>
      <c r="I274" s="24" t="s">
        <v>106</v>
      </c>
      <c r="J274" s="24" t="s">
        <v>107</v>
      </c>
      <c r="K274" s="28" t="s">
        <v>108</v>
      </c>
      <c r="L274" s="29">
        <v>0.03</v>
      </c>
      <c r="M274" s="29">
        <v>1.4999999999999999E-2</v>
      </c>
      <c r="N274" s="29">
        <v>0.02</v>
      </c>
      <c r="O274" s="27" t="s">
        <v>262</v>
      </c>
      <c r="P274" s="30" t="s">
        <v>516</v>
      </c>
      <c r="Q274" s="31">
        <v>738751600.13999999</v>
      </c>
      <c r="R274" s="31">
        <v>1200.28</v>
      </c>
      <c r="S274" s="32">
        <v>-4.8580000000000003E-3</v>
      </c>
      <c r="T274" s="32" t="s">
        <v>139</v>
      </c>
      <c r="U274" s="32">
        <v>-5.6599999999999999E-4</v>
      </c>
      <c r="V274" s="32">
        <v>-2.5000000000000001E-5</v>
      </c>
      <c r="W274" s="32">
        <v>-2.336E-3</v>
      </c>
      <c r="X274" s="32">
        <v>4.2499999999999998E-4</v>
      </c>
      <c r="Y274" s="32">
        <v>-7.803E-3</v>
      </c>
      <c r="Z274" s="32">
        <v>4.1937000000000002E-2</v>
      </c>
      <c r="AA274" s="32">
        <v>0.167906</v>
      </c>
      <c r="AB274" s="32">
        <v>0.142373</v>
      </c>
    </row>
    <row r="275" spans="1:28" ht="15.6" customHeight="1" x14ac:dyDescent="0.25">
      <c r="A275" s="24" t="s">
        <v>517</v>
      </c>
      <c r="B275" s="50">
        <v>3853</v>
      </c>
      <c r="C275" s="25" t="s">
        <v>518</v>
      </c>
      <c r="D275" s="25" t="s">
        <v>355</v>
      </c>
      <c r="E275" s="25" t="s">
        <v>194</v>
      </c>
      <c r="F275" s="25" t="s">
        <v>128</v>
      </c>
      <c r="G275" s="26" t="s">
        <v>289</v>
      </c>
      <c r="H275" s="27" t="s">
        <v>130</v>
      </c>
      <c r="I275" s="24" t="s">
        <v>106</v>
      </c>
      <c r="J275" s="24" t="s">
        <v>107</v>
      </c>
      <c r="K275" s="28" t="s">
        <v>108</v>
      </c>
      <c r="L275" s="29">
        <v>0.02</v>
      </c>
      <c r="M275" s="29">
        <v>1.4999999999999999E-2</v>
      </c>
      <c r="N275" s="29">
        <v>0.02</v>
      </c>
      <c r="O275" s="27" t="s">
        <v>262</v>
      </c>
      <c r="P275" s="30" t="s">
        <v>516</v>
      </c>
      <c r="Q275" s="31">
        <v>1057769.4099999999</v>
      </c>
      <c r="R275" s="31">
        <v>1142.3</v>
      </c>
      <c r="S275" s="32">
        <v>9.1520000000000004E-3</v>
      </c>
      <c r="T275" s="32" t="s">
        <v>139</v>
      </c>
      <c r="U275" s="32">
        <v>-1.75E-4</v>
      </c>
      <c r="V275" s="32">
        <v>9.3800000000000003E-4</v>
      </c>
      <c r="W275" s="32">
        <v>4.2900000000000004E-3</v>
      </c>
      <c r="X275" s="32">
        <v>7.8259999999999996E-3</v>
      </c>
      <c r="Y275" s="32">
        <v>1.1932999999999999E-2</v>
      </c>
      <c r="Z275" s="32">
        <v>3.3064000000000003E-2</v>
      </c>
      <c r="AA275" s="32">
        <v>6.1676000000000002E-2</v>
      </c>
      <c r="AB275" s="32">
        <v>0.110873</v>
      </c>
    </row>
    <row r="276" spans="1:28" ht="15.6" customHeight="1" x14ac:dyDescent="0.25">
      <c r="A276" s="24" t="s">
        <v>1333</v>
      </c>
      <c r="B276" s="50">
        <v>3854</v>
      </c>
      <c r="C276" s="25" t="s">
        <v>1334</v>
      </c>
      <c r="D276" s="25" t="s">
        <v>355</v>
      </c>
      <c r="E276" s="25" t="s">
        <v>194</v>
      </c>
      <c r="F276" s="25" t="s">
        <v>113</v>
      </c>
      <c r="G276" s="26" t="s">
        <v>531</v>
      </c>
      <c r="H276" s="27" t="s">
        <v>327</v>
      </c>
      <c r="I276" s="24" t="s">
        <v>998</v>
      </c>
      <c r="J276" s="24" t="s">
        <v>121</v>
      </c>
      <c r="K276" s="28" t="s">
        <v>227</v>
      </c>
      <c r="L276" s="29">
        <v>0</v>
      </c>
      <c r="M276" s="29">
        <v>0</v>
      </c>
      <c r="N276" s="29">
        <v>0.02</v>
      </c>
      <c r="O276" s="27" t="s">
        <v>161</v>
      </c>
      <c r="P276" s="30" t="s">
        <v>355</v>
      </c>
      <c r="Q276" s="31">
        <v>1021944891.34</v>
      </c>
      <c r="R276" s="31">
        <v>1180.4100000000001</v>
      </c>
      <c r="S276" s="32">
        <v>-1.2305E-2</v>
      </c>
      <c r="T276" s="32" t="s">
        <v>139</v>
      </c>
      <c r="U276" s="32">
        <v>-1.168E-3</v>
      </c>
      <c r="V276" s="32">
        <v>3.238E-3</v>
      </c>
      <c r="W276" s="32">
        <v>5.306E-3</v>
      </c>
      <c r="X276" s="32">
        <v>7.2000000000000005E-4</v>
      </c>
      <c r="Y276" s="32">
        <v>-3.1989999999999998E-2</v>
      </c>
      <c r="Z276" s="32">
        <v>0.103114</v>
      </c>
      <c r="AA276" s="32">
        <v>0.25289400000000001</v>
      </c>
      <c r="AB276" s="32">
        <v>0.191827</v>
      </c>
    </row>
    <row r="277" spans="1:28" ht="15.6" customHeight="1" x14ac:dyDescent="0.25">
      <c r="A277" s="24" t="s">
        <v>519</v>
      </c>
      <c r="B277" s="50">
        <v>3855</v>
      </c>
      <c r="C277" s="25" t="s">
        <v>520</v>
      </c>
      <c r="D277" s="25" t="s">
        <v>159</v>
      </c>
      <c r="E277" s="25" t="s">
        <v>194</v>
      </c>
      <c r="F277" s="25" t="s">
        <v>138</v>
      </c>
      <c r="G277" s="26" t="s">
        <v>139</v>
      </c>
      <c r="H277" s="27" t="s">
        <v>521</v>
      </c>
      <c r="I277" s="24" t="s">
        <v>106</v>
      </c>
      <c r="J277" s="24" t="s">
        <v>121</v>
      </c>
      <c r="K277" s="28" t="s">
        <v>227</v>
      </c>
      <c r="L277" s="29">
        <v>0</v>
      </c>
      <c r="M277" s="29">
        <v>0</v>
      </c>
      <c r="N277" s="29">
        <v>0.02</v>
      </c>
      <c r="O277" s="27" t="s">
        <v>161</v>
      </c>
      <c r="P277" s="30" t="s">
        <v>513</v>
      </c>
      <c r="Q277" s="31">
        <v>1237284281.6400001</v>
      </c>
      <c r="R277" s="31">
        <v>1285.6199999999999</v>
      </c>
      <c r="S277" s="32">
        <v>-1.2509999999999999E-3</v>
      </c>
      <c r="T277" s="32" t="s">
        <v>139</v>
      </c>
      <c r="U277" s="32">
        <v>-3.0709999999999999E-3</v>
      </c>
      <c r="V277" s="32">
        <v>-3.0299999999999999E-4</v>
      </c>
      <c r="W277" s="32">
        <v>1.2291E-2</v>
      </c>
      <c r="X277" s="32">
        <v>3.4554000000000001E-2</v>
      </c>
      <c r="Y277" s="32">
        <v>-3.6250999999999999E-2</v>
      </c>
      <c r="Z277" s="32">
        <v>0.18563499999999999</v>
      </c>
      <c r="AA277" s="32">
        <v>0.38570399999999999</v>
      </c>
      <c r="AB277" s="32">
        <v>0.358296</v>
      </c>
    </row>
    <row r="278" spans="1:28" ht="15.6" customHeight="1" x14ac:dyDescent="0.25">
      <c r="A278" s="24" t="s">
        <v>1335</v>
      </c>
      <c r="B278" s="50">
        <v>3856</v>
      </c>
      <c r="C278" s="25" t="s">
        <v>1336</v>
      </c>
      <c r="D278" s="25" t="s">
        <v>241</v>
      </c>
      <c r="E278" s="25" t="s">
        <v>194</v>
      </c>
      <c r="F278" s="25" t="s">
        <v>155</v>
      </c>
      <c r="G278" s="26" t="s">
        <v>139</v>
      </c>
      <c r="H278" s="27" t="s">
        <v>156</v>
      </c>
      <c r="I278" s="24" t="s">
        <v>998</v>
      </c>
      <c r="J278" s="24" t="s">
        <v>107</v>
      </c>
      <c r="K278" s="28" t="s">
        <v>108</v>
      </c>
      <c r="L278" s="29">
        <v>0.03</v>
      </c>
      <c r="M278" s="29">
        <v>1.4999999999999999E-2</v>
      </c>
      <c r="N278" s="29">
        <v>0.02</v>
      </c>
      <c r="O278" s="27" t="s">
        <v>166</v>
      </c>
      <c r="P278" s="30" t="s">
        <v>241</v>
      </c>
      <c r="Q278" s="31">
        <v>358643376.85000002</v>
      </c>
      <c r="R278" s="31">
        <v>1972.17</v>
      </c>
      <c r="S278" s="32">
        <v>1.0782999999999999E-2</v>
      </c>
      <c r="T278" s="32" t="s">
        <v>139</v>
      </c>
      <c r="U278" s="32">
        <v>-5.11E-3</v>
      </c>
      <c r="V278" s="32">
        <v>2.2720000000000001E-3</v>
      </c>
      <c r="W278" s="32">
        <v>3.1933999999999997E-2</v>
      </c>
      <c r="X278" s="32">
        <v>0.104504</v>
      </c>
      <c r="Y278" s="32">
        <v>-8.5082000000000005E-2</v>
      </c>
      <c r="Z278" s="32">
        <v>0.39539600000000003</v>
      </c>
      <c r="AA278" s="32">
        <v>0.73761299999999996</v>
      </c>
      <c r="AB278" s="32">
        <v>0.67798199999999997</v>
      </c>
    </row>
    <row r="279" spans="1:28" ht="15.6" customHeight="1" x14ac:dyDescent="0.25">
      <c r="A279" s="24" t="s">
        <v>1337</v>
      </c>
      <c r="B279" s="50">
        <v>3857</v>
      </c>
      <c r="C279" s="25" t="s">
        <v>1338</v>
      </c>
      <c r="D279" s="25" t="s">
        <v>241</v>
      </c>
      <c r="E279" s="25" t="s">
        <v>194</v>
      </c>
      <c r="F279" s="25" t="s">
        <v>138</v>
      </c>
      <c r="G279" s="26" t="s">
        <v>139</v>
      </c>
      <c r="H279" s="27" t="s">
        <v>283</v>
      </c>
      <c r="I279" s="24" t="s">
        <v>998</v>
      </c>
      <c r="J279" s="24" t="s">
        <v>107</v>
      </c>
      <c r="K279" s="28" t="s">
        <v>108</v>
      </c>
      <c r="L279" s="29">
        <v>0.03</v>
      </c>
      <c r="M279" s="29">
        <v>1.4999999999999999E-2</v>
      </c>
      <c r="N279" s="29">
        <v>0.02</v>
      </c>
      <c r="O279" s="27" t="s">
        <v>116</v>
      </c>
      <c r="P279" s="30" t="s">
        <v>241</v>
      </c>
      <c r="Q279" s="31">
        <v>1098261168.3800001</v>
      </c>
      <c r="R279" s="31">
        <v>1192.22</v>
      </c>
      <c r="S279" s="32">
        <v>-1.6462000000000001E-2</v>
      </c>
      <c r="T279" s="32" t="s">
        <v>139</v>
      </c>
      <c r="U279" s="32">
        <v>-4.8910000000000004E-3</v>
      </c>
      <c r="V279" s="32">
        <v>6.7299999999999999E-3</v>
      </c>
      <c r="W279" s="32">
        <v>3.6019000000000002E-2</v>
      </c>
      <c r="X279" s="32">
        <v>4.2210999999999999E-2</v>
      </c>
      <c r="Y279" s="32">
        <v>-8.2976999999999995E-2</v>
      </c>
      <c r="Z279" s="32">
        <v>0.13603100000000001</v>
      </c>
      <c r="AA279" s="32">
        <v>0.23963999999999999</v>
      </c>
      <c r="AB279" s="32">
        <v>0.120446</v>
      </c>
    </row>
    <row r="280" spans="1:28" ht="15.6" customHeight="1" x14ac:dyDescent="0.25">
      <c r="A280" s="24" t="s">
        <v>1339</v>
      </c>
      <c r="B280" s="50">
        <v>3858</v>
      </c>
      <c r="C280" s="25" t="s">
        <v>1340</v>
      </c>
      <c r="D280" s="25" t="s">
        <v>355</v>
      </c>
      <c r="E280" s="25" t="s">
        <v>194</v>
      </c>
      <c r="F280" s="25" t="s">
        <v>138</v>
      </c>
      <c r="G280" s="26" t="s">
        <v>139</v>
      </c>
      <c r="H280" s="27" t="s">
        <v>1341</v>
      </c>
      <c r="I280" s="24" t="s">
        <v>998</v>
      </c>
      <c r="J280" s="24" t="s">
        <v>121</v>
      </c>
      <c r="K280" s="28" t="s">
        <v>227</v>
      </c>
      <c r="L280" s="29">
        <v>0</v>
      </c>
      <c r="M280" s="29">
        <v>0</v>
      </c>
      <c r="N280" s="29">
        <v>0.02</v>
      </c>
      <c r="O280" s="27" t="s">
        <v>166</v>
      </c>
      <c r="P280" s="30" t="s">
        <v>355</v>
      </c>
      <c r="Q280" s="31">
        <v>1197388385.3499999</v>
      </c>
      <c r="R280" s="31">
        <v>1373.34</v>
      </c>
      <c r="S280" s="32">
        <v>-1.4199E-2</v>
      </c>
      <c r="T280" s="32" t="s">
        <v>139</v>
      </c>
      <c r="U280" s="32">
        <v>-3.5479999999999999E-3</v>
      </c>
      <c r="V280" s="32">
        <v>-3.7069999999999998E-3</v>
      </c>
      <c r="W280" s="32">
        <v>1.5723999999999998E-2</v>
      </c>
      <c r="X280" s="32">
        <v>1.489E-2</v>
      </c>
      <c r="Y280" s="32">
        <v>-6.9401000000000004E-2</v>
      </c>
      <c r="Z280" s="32">
        <v>0.14552399999999999</v>
      </c>
      <c r="AA280" s="32">
        <v>0.358211</v>
      </c>
      <c r="AB280" s="32">
        <v>0.347383</v>
      </c>
    </row>
    <row r="281" spans="1:28" ht="15.6" customHeight="1" x14ac:dyDescent="0.25">
      <c r="A281" s="24" t="s">
        <v>1342</v>
      </c>
      <c r="B281" s="50">
        <v>3859</v>
      </c>
      <c r="C281" s="25" t="s">
        <v>1343</v>
      </c>
      <c r="D281" s="25" t="s">
        <v>159</v>
      </c>
      <c r="E281" s="25" t="s">
        <v>194</v>
      </c>
      <c r="F281" s="25" t="s">
        <v>113</v>
      </c>
      <c r="G281" s="26" t="s">
        <v>1344</v>
      </c>
      <c r="H281" s="27" t="s">
        <v>115</v>
      </c>
      <c r="I281" s="24" t="s">
        <v>998</v>
      </c>
      <c r="J281" s="24" t="s">
        <v>121</v>
      </c>
      <c r="K281" s="28" t="s">
        <v>227</v>
      </c>
      <c r="L281" s="29">
        <v>0</v>
      </c>
      <c r="M281" s="29">
        <v>0</v>
      </c>
      <c r="N281" s="29">
        <v>0.02</v>
      </c>
      <c r="O281" s="27" t="s">
        <v>161</v>
      </c>
      <c r="P281" s="30" t="s">
        <v>159</v>
      </c>
      <c r="Q281" s="31">
        <v>3162573823.71</v>
      </c>
      <c r="R281" s="31">
        <v>1222.6099999999999</v>
      </c>
      <c r="S281" s="32">
        <v>-1.078E-3</v>
      </c>
      <c r="T281" s="32" t="s">
        <v>139</v>
      </c>
      <c r="U281" s="32">
        <v>-1.291E-3</v>
      </c>
      <c r="V281" s="32">
        <v>2.32E-3</v>
      </c>
      <c r="W281" s="32">
        <v>4.5849999999999997E-3</v>
      </c>
      <c r="X281" s="32">
        <v>2.7060000000000001E-3</v>
      </c>
      <c r="Y281" s="32">
        <v>-2.464E-3</v>
      </c>
      <c r="Z281" s="32">
        <v>7.6583999999999999E-2</v>
      </c>
      <c r="AA281" s="32">
        <v>0.183508</v>
      </c>
      <c r="AB281" s="32">
        <v>0.17730499999999999</v>
      </c>
    </row>
    <row r="282" spans="1:28" ht="15.6" customHeight="1" x14ac:dyDescent="0.25">
      <c r="A282" s="24" t="s">
        <v>522</v>
      </c>
      <c r="B282" s="50">
        <v>3860</v>
      </c>
      <c r="C282" s="25" t="s">
        <v>523</v>
      </c>
      <c r="D282" s="25" t="s">
        <v>524</v>
      </c>
      <c r="E282" s="25" t="s">
        <v>194</v>
      </c>
      <c r="F282" s="25" t="s">
        <v>103</v>
      </c>
      <c r="G282" s="26" t="s">
        <v>392</v>
      </c>
      <c r="H282" s="27" t="s">
        <v>188</v>
      </c>
      <c r="I282" s="24" t="s">
        <v>106</v>
      </c>
      <c r="J282" s="24" t="s">
        <v>107</v>
      </c>
      <c r="K282" s="28" t="s">
        <v>108</v>
      </c>
      <c r="L282" s="29">
        <v>0</v>
      </c>
      <c r="M282" s="29">
        <v>0</v>
      </c>
      <c r="N282" s="29">
        <v>6.0000000000000001E-3</v>
      </c>
      <c r="O282" s="27" t="s">
        <v>141</v>
      </c>
      <c r="P282" s="30" t="s">
        <v>525</v>
      </c>
      <c r="Q282" s="31">
        <v>1307777678.5999999</v>
      </c>
      <c r="R282" s="31">
        <v>1166.47</v>
      </c>
      <c r="S282" s="32">
        <v>1.6496E-2</v>
      </c>
      <c r="T282" s="32" t="s">
        <v>139</v>
      </c>
      <c r="U282" s="32">
        <v>2.14E-4</v>
      </c>
      <c r="V282" s="32">
        <v>1.6919999999999999E-3</v>
      </c>
      <c r="W282" s="32">
        <v>5.7419999999999997E-3</v>
      </c>
      <c r="X282" s="32">
        <v>1.2271000000000001E-2</v>
      </c>
      <c r="Y282" s="32">
        <v>2.4235E-2</v>
      </c>
      <c r="Z282" s="32">
        <v>5.5667000000000001E-2</v>
      </c>
      <c r="AA282" s="32">
        <v>9.3685000000000004E-2</v>
      </c>
      <c r="AB282" s="32">
        <v>0.139487</v>
      </c>
    </row>
    <row r="283" spans="1:28" ht="15.6" customHeight="1" x14ac:dyDescent="0.25">
      <c r="A283" s="24" t="s">
        <v>1345</v>
      </c>
      <c r="B283" s="50">
        <v>3861</v>
      </c>
      <c r="C283" s="25" t="s">
        <v>1346</v>
      </c>
      <c r="D283" s="25" t="s">
        <v>524</v>
      </c>
      <c r="E283" s="25" t="s">
        <v>194</v>
      </c>
      <c r="F283" s="25" t="s">
        <v>113</v>
      </c>
      <c r="G283" s="26" t="s">
        <v>465</v>
      </c>
      <c r="H283" s="27" t="s">
        <v>120</v>
      </c>
      <c r="I283" s="24" t="s">
        <v>998</v>
      </c>
      <c r="J283" s="24" t="s">
        <v>107</v>
      </c>
      <c r="K283" s="28" t="s">
        <v>108</v>
      </c>
      <c r="L283" s="29">
        <v>0</v>
      </c>
      <c r="M283" s="29">
        <v>0</v>
      </c>
      <c r="N283" s="29">
        <v>0.01</v>
      </c>
      <c r="O283" s="27" t="s">
        <v>141</v>
      </c>
      <c r="P283" s="30" t="s">
        <v>525</v>
      </c>
      <c r="Q283" s="31">
        <v>190099551.69</v>
      </c>
      <c r="R283" s="31">
        <v>1169.81</v>
      </c>
      <c r="S283" s="32">
        <v>5.4580000000000002E-3</v>
      </c>
      <c r="T283" s="32" t="s">
        <v>139</v>
      </c>
      <c r="U283" s="32">
        <v>-1.0499999999999999E-3</v>
      </c>
      <c r="V283" s="32">
        <v>7.8700000000000005E-4</v>
      </c>
      <c r="W283" s="32">
        <v>5.2329999999999998E-3</v>
      </c>
      <c r="X283" s="32">
        <v>1.7562000000000001E-2</v>
      </c>
      <c r="Y283" s="32">
        <v>-7.5339999999999999E-3</v>
      </c>
      <c r="Z283" s="32">
        <v>3.0261E-2</v>
      </c>
      <c r="AA283" s="32">
        <v>6.8046999999999996E-2</v>
      </c>
      <c r="AB283" s="32">
        <v>0.12648499999999999</v>
      </c>
    </row>
    <row r="284" spans="1:28" ht="15.6" customHeight="1" x14ac:dyDescent="0.25">
      <c r="A284" s="24" t="s">
        <v>1347</v>
      </c>
      <c r="B284" s="50">
        <v>3862</v>
      </c>
      <c r="C284" s="25" t="s">
        <v>1348</v>
      </c>
      <c r="D284" s="25" t="s">
        <v>355</v>
      </c>
      <c r="E284" s="25" t="s">
        <v>194</v>
      </c>
      <c r="F284" s="25" t="s">
        <v>113</v>
      </c>
      <c r="G284" s="26" t="s">
        <v>1349</v>
      </c>
      <c r="H284" s="27" t="s">
        <v>115</v>
      </c>
      <c r="I284" s="24" t="s">
        <v>998</v>
      </c>
      <c r="J284" s="24" t="s">
        <v>121</v>
      </c>
      <c r="K284" s="28" t="s">
        <v>108</v>
      </c>
      <c r="L284" s="29">
        <v>0</v>
      </c>
      <c r="M284" s="29">
        <v>0</v>
      </c>
      <c r="N284" s="29">
        <v>0.02</v>
      </c>
      <c r="O284" s="27" t="s">
        <v>548</v>
      </c>
      <c r="P284" s="30" t="s">
        <v>355</v>
      </c>
      <c r="Q284" s="31">
        <v>2544068534.9499998</v>
      </c>
      <c r="R284" s="31">
        <v>121076.93</v>
      </c>
      <c r="S284" s="32">
        <v>1.3519999999999999E-3</v>
      </c>
      <c r="T284" s="32" t="s">
        <v>139</v>
      </c>
      <c r="U284" s="32">
        <v>-1.343E-3</v>
      </c>
      <c r="V284" s="32">
        <v>1.905E-3</v>
      </c>
      <c r="W284" s="32">
        <v>7.5110000000000003E-3</v>
      </c>
      <c r="X284" s="32">
        <v>9.3930000000000003E-3</v>
      </c>
      <c r="Y284" s="32">
        <v>-1.1875999999999999E-2</v>
      </c>
      <c r="Z284" s="32">
        <v>9.1704999999999995E-2</v>
      </c>
      <c r="AA284" s="32">
        <v>0.218776</v>
      </c>
      <c r="AB284" s="32">
        <v>0.16020599999999999</v>
      </c>
    </row>
    <row r="285" spans="1:28" ht="15.6" customHeight="1" x14ac:dyDescent="0.25">
      <c r="A285" s="24" t="s">
        <v>1350</v>
      </c>
      <c r="B285" s="50">
        <v>3863</v>
      </c>
      <c r="C285" s="25" t="s">
        <v>1351</v>
      </c>
      <c r="D285" s="25" t="s">
        <v>316</v>
      </c>
      <c r="E285" s="25" t="s">
        <v>194</v>
      </c>
      <c r="F285" s="25" t="s">
        <v>113</v>
      </c>
      <c r="G285" s="26" t="s">
        <v>1349</v>
      </c>
      <c r="H285" s="27" t="s">
        <v>115</v>
      </c>
      <c r="I285" s="24" t="s">
        <v>998</v>
      </c>
      <c r="J285" s="24" t="s">
        <v>121</v>
      </c>
      <c r="K285" s="28" t="s">
        <v>108</v>
      </c>
      <c r="L285" s="29">
        <v>0</v>
      </c>
      <c r="M285" s="29">
        <v>0</v>
      </c>
      <c r="N285" s="29">
        <v>0.02</v>
      </c>
      <c r="O285" s="27" t="s">
        <v>548</v>
      </c>
      <c r="P285" s="30" t="s">
        <v>316</v>
      </c>
      <c r="Q285" s="31">
        <v>3032712353.6999998</v>
      </c>
      <c r="R285" s="31">
        <v>1212.6099999999999</v>
      </c>
      <c r="S285" s="32">
        <v>-4.7850000000000002E-3</v>
      </c>
      <c r="T285" s="32" t="s">
        <v>139</v>
      </c>
      <c r="U285" s="32">
        <v>-2.189E-3</v>
      </c>
      <c r="V285" s="32">
        <v>1.5529999999999999E-3</v>
      </c>
      <c r="W285" s="32">
        <v>7.084E-3</v>
      </c>
      <c r="X285" s="32">
        <v>6.9170000000000004E-3</v>
      </c>
      <c r="Y285" s="32">
        <v>-1.6034E-2</v>
      </c>
      <c r="Z285" s="32">
        <v>8.1249000000000002E-2</v>
      </c>
      <c r="AA285" s="32">
        <v>0.20422899999999999</v>
      </c>
      <c r="AB285" s="32">
        <v>0.163108</v>
      </c>
    </row>
    <row r="286" spans="1:28" ht="15.6" customHeight="1" x14ac:dyDescent="0.25">
      <c r="A286" s="24" t="s">
        <v>1352</v>
      </c>
      <c r="B286" s="50">
        <v>3864</v>
      </c>
      <c r="C286" s="25" t="s">
        <v>1353</v>
      </c>
      <c r="D286" s="25" t="s">
        <v>504</v>
      </c>
      <c r="E286" s="25" t="s">
        <v>194</v>
      </c>
      <c r="F286" s="25" t="s">
        <v>113</v>
      </c>
      <c r="G286" s="26" t="s">
        <v>1349</v>
      </c>
      <c r="H286" s="27" t="s">
        <v>115</v>
      </c>
      <c r="I286" s="24" t="s">
        <v>998</v>
      </c>
      <c r="J286" s="24" t="s">
        <v>121</v>
      </c>
      <c r="K286" s="28" t="s">
        <v>108</v>
      </c>
      <c r="L286" s="29">
        <v>0</v>
      </c>
      <c r="M286" s="29">
        <v>0</v>
      </c>
      <c r="N286" s="29">
        <v>0.02</v>
      </c>
      <c r="O286" s="27" t="s">
        <v>548</v>
      </c>
      <c r="P286" s="30" t="s">
        <v>504</v>
      </c>
      <c r="Q286" s="31">
        <v>3020073538.8800001</v>
      </c>
      <c r="R286" s="31">
        <v>122917.11</v>
      </c>
      <c r="S286" s="32">
        <v>-3.8170000000000001E-3</v>
      </c>
      <c r="T286" s="32" t="s">
        <v>139</v>
      </c>
      <c r="U286" s="32">
        <v>-1.387E-3</v>
      </c>
      <c r="V286" s="32">
        <v>1.9059999999999999E-3</v>
      </c>
      <c r="W286" s="32">
        <v>5.4689999999999999E-3</v>
      </c>
      <c r="X286" s="32">
        <v>6.8170000000000001E-3</v>
      </c>
      <c r="Y286" s="32">
        <v>-1.4648E-2</v>
      </c>
      <c r="Z286" s="32">
        <v>8.7279999999999996E-2</v>
      </c>
      <c r="AA286" s="32">
        <v>0.20271900000000001</v>
      </c>
      <c r="AB286" s="32">
        <v>0.18145800000000001</v>
      </c>
    </row>
    <row r="287" spans="1:28" ht="15.6" customHeight="1" x14ac:dyDescent="0.25">
      <c r="A287" s="24" t="s">
        <v>526</v>
      </c>
      <c r="B287" s="50">
        <v>3865</v>
      </c>
      <c r="C287" s="25" t="s">
        <v>527</v>
      </c>
      <c r="D287" s="25" t="s">
        <v>524</v>
      </c>
      <c r="E287" s="25" t="s">
        <v>194</v>
      </c>
      <c r="F287" s="25" t="s">
        <v>128</v>
      </c>
      <c r="G287" s="26" t="s">
        <v>289</v>
      </c>
      <c r="H287" s="27" t="s">
        <v>130</v>
      </c>
      <c r="I287" s="24" t="s">
        <v>106</v>
      </c>
      <c r="J287" s="24" t="s">
        <v>107</v>
      </c>
      <c r="K287" s="28" t="s">
        <v>108</v>
      </c>
      <c r="L287" s="29">
        <v>0</v>
      </c>
      <c r="M287" s="29">
        <v>0</v>
      </c>
      <c r="N287" s="29">
        <v>8.0000000000000002E-3</v>
      </c>
      <c r="O287" s="27" t="s">
        <v>262</v>
      </c>
      <c r="P287" s="30" t="s">
        <v>528</v>
      </c>
      <c r="Q287" s="31">
        <v>1183442773.8099999</v>
      </c>
      <c r="R287" s="31">
        <v>1189.81</v>
      </c>
      <c r="S287" s="32">
        <v>1.959E-2</v>
      </c>
      <c r="T287" s="32" t="s">
        <v>139</v>
      </c>
      <c r="U287" s="32">
        <v>-1.6799999999999999E-4</v>
      </c>
      <c r="V287" s="32">
        <v>2.0890000000000001E-3</v>
      </c>
      <c r="W287" s="32">
        <v>7.2979999999999998E-3</v>
      </c>
      <c r="X287" s="32">
        <v>1.5890000000000001E-2</v>
      </c>
      <c r="Y287" s="32">
        <v>2.6530000000000001E-2</v>
      </c>
      <c r="Z287" s="32">
        <v>6.7669000000000007E-2</v>
      </c>
      <c r="AA287" s="32">
        <v>0.109877</v>
      </c>
      <c r="AB287" s="32">
        <v>0.158304</v>
      </c>
    </row>
    <row r="288" spans="1:28" ht="15.6" customHeight="1" x14ac:dyDescent="0.25">
      <c r="A288" s="24" t="s">
        <v>1354</v>
      </c>
      <c r="B288" s="50">
        <v>3866</v>
      </c>
      <c r="C288" s="25" t="s">
        <v>1355</v>
      </c>
      <c r="D288" s="25" t="s">
        <v>322</v>
      </c>
      <c r="E288" s="25" t="s">
        <v>194</v>
      </c>
      <c r="F288" s="25" t="s">
        <v>113</v>
      </c>
      <c r="G288" s="26" t="s">
        <v>1349</v>
      </c>
      <c r="H288" s="27" t="s">
        <v>115</v>
      </c>
      <c r="I288" s="24" t="s">
        <v>998</v>
      </c>
      <c r="J288" s="24" t="s">
        <v>121</v>
      </c>
      <c r="K288" s="28" t="s">
        <v>108</v>
      </c>
      <c r="L288" s="29">
        <v>0</v>
      </c>
      <c r="M288" s="29">
        <v>0</v>
      </c>
      <c r="N288" s="29">
        <v>0.02</v>
      </c>
      <c r="O288" s="27" t="s">
        <v>548</v>
      </c>
      <c r="P288" s="30" t="s">
        <v>322</v>
      </c>
      <c r="Q288" s="31">
        <v>3324047790.4899998</v>
      </c>
      <c r="R288" s="31">
        <v>119.37</v>
      </c>
      <c r="S288" s="32">
        <v>-4.6690000000000004E-3</v>
      </c>
      <c r="T288" s="32" t="s">
        <v>139</v>
      </c>
      <c r="U288" s="32">
        <v>-1.673E-3</v>
      </c>
      <c r="V288" s="32">
        <v>1.678E-3</v>
      </c>
      <c r="W288" s="32">
        <v>6.5770000000000004E-3</v>
      </c>
      <c r="X288" s="32">
        <v>9.5569999999999995E-3</v>
      </c>
      <c r="Y288" s="32">
        <v>-1.8581E-2</v>
      </c>
      <c r="Z288" s="32">
        <v>8.0662999999999999E-2</v>
      </c>
      <c r="AA288" s="32">
        <v>0.201873</v>
      </c>
      <c r="AB288" s="32">
        <v>0.144597</v>
      </c>
    </row>
    <row r="289" spans="1:28" ht="15.6" customHeight="1" x14ac:dyDescent="0.25">
      <c r="A289" s="24" t="s">
        <v>1356</v>
      </c>
      <c r="B289" s="50">
        <v>3867</v>
      </c>
      <c r="C289" s="25" t="s">
        <v>1357</v>
      </c>
      <c r="D289" s="25" t="s">
        <v>145</v>
      </c>
      <c r="E289" s="25" t="s">
        <v>194</v>
      </c>
      <c r="F289" s="25" t="s">
        <v>113</v>
      </c>
      <c r="G289" s="26" t="s">
        <v>1358</v>
      </c>
      <c r="H289" s="27" t="s">
        <v>120</v>
      </c>
      <c r="I289" s="24" t="s">
        <v>998</v>
      </c>
      <c r="J289" s="24" t="s">
        <v>121</v>
      </c>
      <c r="K289" s="28" t="s">
        <v>108</v>
      </c>
      <c r="L289" s="29">
        <v>0.02</v>
      </c>
      <c r="M289" s="29">
        <v>0.02</v>
      </c>
      <c r="N289" s="29">
        <v>0.02</v>
      </c>
      <c r="O289" s="27" t="s">
        <v>148</v>
      </c>
      <c r="P289" s="30" t="s">
        <v>145</v>
      </c>
      <c r="Q289" s="31">
        <v>11319937456.32</v>
      </c>
      <c r="R289" s="31">
        <v>1875.48</v>
      </c>
      <c r="S289" s="32">
        <v>1.1258000000000001E-2</v>
      </c>
      <c r="T289" s="32" t="s">
        <v>139</v>
      </c>
      <c r="U289" s="32">
        <v>-1.31E-3</v>
      </c>
      <c r="V289" s="32">
        <v>1.6720000000000001E-3</v>
      </c>
      <c r="W289" s="32">
        <v>5.8780000000000004E-3</v>
      </c>
      <c r="X289" s="32">
        <v>1.2234999999999999E-2</v>
      </c>
      <c r="Y289" s="32">
        <v>1.3285999999999999E-2</v>
      </c>
      <c r="Z289" s="32">
        <v>5.8169999999999999E-2</v>
      </c>
      <c r="AA289" s="32">
        <v>0.114089</v>
      </c>
      <c r="AB289" s="32">
        <v>0.13037899999999999</v>
      </c>
    </row>
    <row r="290" spans="1:28" ht="15.6" customHeight="1" x14ac:dyDescent="0.25">
      <c r="A290" s="24" t="s">
        <v>1359</v>
      </c>
      <c r="B290" s="50">
        <v>3868</v>
      </c>
      <c r="C290" s="25" t="s">
        <v>1360</v>
      </c>
      <c r="D290" s="25" t="s">
        <v>145</v>
      </c>
      <c r="E290" s="25" t="s">
        <v>194</v>
      </c>
      <c r="F290" s="25" t="s">
        <v>113</v>
      </c>
      <c r="G290" s="26" t="s">
        <v>198</v>
      </c>
      <c r="H290" s="27" t="s">
        <v>120</v>
      </c>
      <c r="I290" s="24" t="s">
        <v>998</v>
      </c>
      <c r="J290" s="24" t="s">
        <v>121</v>
      </c>
      <c r="K290" s="28" t="s">
        <v>108</v>
      </c>
      <c r="L290" s="29">
        <v>0.02</v>
      </c>
      <c r="M290" s="29">
        <v>0.02</v>
      </c>
      <c r="N290" s="29">
        <v>0.02</v>
      </c>
      <c r="O290" s="27" t="s">
        <v>148</v>
      </c>
      <c r="P290" s="30" t="s">
        <v>145</v>
      </c>
      <c r="Q290" s="31">
        <v>1168718034.3699999</v>
      </c>
      <c r="R290" s="31">
        <v>29.46</v>
      </c>
      <c r="S290" s="32">
        <v>1.0635E-2</v>
      </c>
      <c r="T290" s="32" t="s">
        <v>139</v>
      </c>
      <c r="U290" s="32">
        <v>-6.78E-4</v>
      </c>
      <c r="V290" s="32">
        <v>1.6999999999999999E-3</v>
      </c>
      <c r="W290" s="32">
        <v>6.1479999999999998E-3</v>
      </c>
      <c r="X290" s="32">
        <v>1.1329000000000001E-2</v>
      </c>
      <c r="Y290" s="32">
        <v>1.5162E-2</v>
      </c>
      <c r="Z290" s="32">
        <v>6.4690999999999999E-2</v>
      </c>
      <c r="AA290" s="32">
        <v>0.12357</v>
      </c>
      <c r="AB290" s="32">
        <v>0.14141799999999999</v>
      </c>
    </row>
    <row r="291" spans="1:28" ht="15.6" customHeight="1" x14ac:dyDescent="0.25">
      <c r="A291" s="24" t="s">
        <v>1361</v>
      </c>
      <c r="B291" s="50">
        <v>3869</v>
      </c>
      <c r="C291" s="25" t="s">
        <v>1362</v>
      </c>
      <c r="D291" s="25" t="s">
        <v>145</v>
      </c>
      <c r="E291" s="25" t="s">
        <v>194</v>
      </c>
      <c r="F291" s="25" t="s">
        <v>113</v>
      </c>
      <c r="G291" s="26" t="s">
        <v>198</v>
      </c>
      <c r="H291" s="27" t="s">
        <v>120</v>
      </c>
      <c r="I291" s="24" t="s">
        <v>998</v>
      </c>
      <c r="J291" s="24" t="s">
        <v>121</v>
      </c>
      <c r="K291" s="28" t="s">
        <v>108</v>
      </c>
      <c r="L291" s="29">
        <v>0.02</v>
      </c>
      <c r="M291" s="29">
        <v>0.02</v>
      </c>
      <c r="N291" s="29">
        <v>0.02</v>
      </c>
      <c r="O291" s="27" t="s">
        <v>148</v>
      </c>
      <c r="P291" s="30" t="s">
        <v>145</v>
      </c>
      <c r="Q291" s="31">
        <v>1647000000.3800001</v>
      </c>
      <c r="R291" s="31">
        <v>1601.09</v>
      </c>
      <c r="S291" s="32">
        <v>9.3550000000000005E-3</v>
      </c>
      <c r="T291" s="32" t="s">
        <v>139</v>
      </c>
      <c r="U291" s="32">
        <v>-1.3290000000000001E-3</v>
      </c>
      <c r="V291" s="32">
        <v>1.157E-3</v>
      </c>
      <c r="W291" s="32">
        <v>5.2300000000000003E-3</v>
      </c>
      <c r="X291" s="32">
        <v>1.0866000000000001E-2</v>
      </c>
      <c r="Y291" s="32">
        <v>1.4388E-2</v>
      </c>
      <c r="Z291" s="32">
        <v>6.4363000000000004E-2</v>
      </c>
      <c r="AA291" s="32">
        <v>0.122076</v>
      </c>
      <c r="AB291" s="32">
        <v>0.12561</v>
      </c>
    </row>
    <row r="292" spans="1:28" ht="15.6" customHeight="1" x14ac:dyDescent="0.25">
      <c r="A292" s="24" t="s">
        <v>1363</v>
      </c>
      <c r="B292" s="50">
        <v>3870</v>
      </c>
      <c r="C292" s="25" t="s">
        <v>1364</v>
      </c>
      <c r="D292" s="25" t="s">
        <v>101</v>
      </c>
      <c r="E292" s="25" t="s">
        <v>194</v>
      </c>
      <c r="F292" s="25" t="s">
        <v>138</v>
      </c>
      <c r="G292" s="26" t="s">
        <v>139</v>
      </c>
      <c r="H292" s="27" t="s">
        <v>139</v>
      </c>
      <c r="I292" s="24" t="s">
        <v>998</v>
      </c>
      <c r="J292" s="24" t="s">
        <v>121</v>
      </c>
      <c r="K292" s="28" t="s">
        <v>108</v>
      </c>
      <c r="L292" s="29">
        <v>0</v>
      </c>
      <c r="M292" s="29">
        <v>0</v>
      </c>
      <c r="N292" s="29">
        <v>0.02</v>
      </c>
      <c r="O292" s="27" t="s">
        <v>109</v>
      </c>
      <c r="P292" s="30" t="s">
        <v>101</v>
      </c>
      <c r="Q292" s="31">
        <v>74606039</v>
      </c>
      <c r="R292" s="31">
        <v>611524.91</v>
      </c>
      <c r="S292" s="32">
        <v>-1.3044E-2</v>
      </c>
      <c r="T292" s="32" t="s">
        <v>139</v>
      </c>
      <c r="U292" s="32">
        <v>-7.9900000000000001E-4</v>
      </c>
      <c r="V292" s="32">
        <v>-1.944E-3</v>
      </c>
      <c r="W292" s="32">
        <v>1.7062000000000001E-2</v>
      </c>
      <c r="X292" s="32">
        <v>2.1953E-2</v>
      </c>
      <c r="Y292" s="32">
        <v>-3.7844000000000003E-2</v>
      </c>
      <c r="Z292" s="32">
        <v>8.9756000000000002E-2</v>
      </c>
      <c r="AA292" s="32">
        <v>0.20761599999999999</v>
      </c>
      <c r="AB292" s="32">
        <v>0.21862599999999999</v>
      </c>
    </row>
    <row r="293" spans="1:28" ht="15.6" customHeight="1" x14ac:dyDescent="0.25">
      <c r="A293" s="24" t="s">
        <v>1365</v>
      </c>
      <c r="B293" s="50">
        <v>3871</v>
      </c>
      <c r="C293" s="25" t="s">
        <v>1366</v>
      </c>
      <c r="D293" s="25" t="s">
        <v>350</v>
      </c>
      <c r="E293" s="25" t="s">
        <v>194</v>
      </c>
      <c r="F293" s="25" t="s">
        <v>113</v>
      </c>
      <c r="G293" s="26" t="s">
        <v>406</v>
      </c>
      <c r="H293" s="27" t="s">
        <v>839</v>
      </c>
      <c r="I293" s="24" t="s">
        <v>998</v>
      </c>
      <c r="J293" s="24" t="s">
        <v>107</v>
      </c>
      <c r="K293" s="28" t="s">
        <v>108</v>
      </c>
      <c r="L293" s="29">
        <v>0.03</v>
      </c>
      <c r="M293" s="29">
        <v>0.03</v>
      </c>
      <c r="N293" s="29">
        <v>0.02</v>
      </c>
      <c r="O293" s="27" t="s">
        <v>148</v>
      </c>
      <c r="P293" s="30" t="s">
        <v>350</v>
      </c>
      <c r="Q293" s="31">
        <v>92973629.420000002</v>
      </c>
      <c r="R293" s="31">
        <v>147.79</v>
      </c>
      <c r="S293" s="32">
        <v>4.2810000000000001E-3</v>
      </c>
      <c r="T293" s="32" t="s">
        <v>139</v>
      </c>
      <c r="U293" s="32">
        <v>-5.4100000000000003E-4</v>
      </c>
      <c r="V293" s="32">
        <v>1.83E-3</v>
      </c>
      <c r="W293" s="32">
        <v>5.7850000000000002E-3</v>
      </c>
      <c r="X293" s="32">
        <v>9.5630000000000003E-3</v>
      </c>
      <c r="Y293" s="32">
        <v>7.293E-3</v>
      </c>
      <c r="Z293" s="32">
        <v>0.14477100000000001</v>
      </c>
      <c r="AA293" s="32">
        <v>0.224441</v>
      </c>
      <c r="AB293" s="32">
        <v>0.190223</v>
      </c>
    </row>
    <row r="294" spans="1:28" ht="15.6" customHeight="1" x14ac:dyDescent="0.25">
      <c r="A294" s="24" t="s">
        <v>1367</v>
      </c>
      <c r="B294" s="50">
        <v>3872</v>
      </c>
      <c r="C294" s="25" t="s">
        <v>1368</v>
      </c>
      <c r="D294" s="25" t="s">
        <v>127</v>
      </c>
      <c r="E294" s="25" t="s">
        <v>194</v>
      </c>
      <c r="F294" s="25" t="s">
        <v>155</v>
      </c>
      <c r="G294" s="26" t="s">
        <v>139</v>
      </c>
      <c r="H294" s="27" t="s">
        <v>1218</v>
      </c>
      <c r="I294" s="24" t="s">
        <v>998</v>
      </c>
      <c r="J294" s="24" t="s">
        <v>121</v>
      </c>
      <c r="K294" s="28" t="s">
        <v>227</v>
      </c>
      <c r="L294" s="29">
        <v>0.03</v>
      </c>
      <c r="M294" s="29">
        <v>0.02</v>
      </c>
      <c r="N294" s="29">
        <v>0.02</v>
      </c>
      <c r="O294" s="27" t="s">
        <v>131</v>
      </c>
      <c r="P294" s="30" t="s">
        <v>131</v>
      </c>
      <c r="Q294" s="31">
        <v>620089739.37</v>
      </c>
      <c r="R294" s="31">
        <v>1965.73</v>
      </c>
      <c r="S294" s="32">
        <v>1.1506000000000001E-2</v>
      </c>
      <c r="T294" s="32" t="s">
        <v>139</v>
      </c>
      <c r="U294" s="32">
        <v>-6.7359999999999998E-3</v>
      </c>
      <c r="V294" s="32">
        <v>-4.1390000000000003E-3</v>
      </c>
      <c r="W294" s="32">
        <v>2.9404E-2</v>
      </c>
      <c r="X294" s="32">
        <v>0.115118</v>
      </c>
      <c r="Y294" s="32">
        <v>-9.6286999999999998E-2</v>
      </c>
      <c r="Z294" s="32">
        <v>0.32308199999999998</v>
      </c>
      <c r="AA294" s="32">
        <v>0.683392</v>
      </c>
      <c r="AB294" s="32">
        <v>0.60035300000000003</v>
      </c>
    </row>
    <row r="295" spans="1:28" ht="15.6" customHeight="1" x14ac:dyDescent="0.25">
      <c r="A295" s="24" t="s">
        <v>529</v>
      </c>
      <c r="B295" s="50">
        <v>3873</v>
      </c>
      <c r="C295" s="25" t="s">
        <v>530</v>
      </c>
      <c r="D295" s="25" t="s">
        <v>127</v>
      </c>
      <c r="E295" s="25" t="s">
        <v>194</v>
      </c>
      <c r="F295" s="25" t="s">
        <v>113</v>
      </c>
      <c r="G295" s="26" t="s">
        <v>531</v>
      </c>
      <c r="H295" s="27" t="s">
        <v>309</v>
      </c>
      <c r="I295" s="24" t="s">
        <v>106</v>
      </c>
      <c r="J295" s="24" t="s">
        <v>121</v>
      </c>
      <c r="K295" s="28" t="s">
        <v>108</v>
      </c>
      <c r="L295" s="29">
        <v>0.03</v>
      </c>
      <c r="M295" s="29">
        <v>0.02</v>
      </c>
      <c r="N295" s="29">
        <v>0.02</v>
      </c>
      <c r="O295" s="27" t="s">
        <v>131</v>
      </c>
      <c r="P295" s="30" t="s">
        <v>131</v>
      </c>
      <c r="Q295" s="31">
        <v>2083743625.0599999</v>
      </c>
      <c r="R295" s="31">
        <v>1246.4000000000001</v>
      </c>
      <c r="S295" s="32">
        <v>6.6880000000000004E-3</v>
      </c>
      <c r="T295" s="32" t="s">
        <v>139</v>
      </c>
      <c r="U295" s="32">
        <v>-1.354E-3</v>
      </c>
      <c r="V295" s="32">
        <v>2.3E-3</v>
      </c>
      <c r="W295" s="32">
        <v>6.7609999999999996E-3</v>
      </c>
      <c r="X295" s="32">
        <v>1.0482999999999999E-2</v>
      </c>
      <c r="Y295" s="32">
        <v>7.9089999999999994E-3</v>
      </c>
      <c r="Z295" s="32">
        <v>7.8844999999999998E-2</v>
      </c>
      <c r="AA295" s="32">
        <v>0.17938699999999999</v>
      </c>
      <c r="AB295" s="32">
        <v>0.18357599999999999</v>
      </c>
    </row>
    <row r="296" spans="1:28" ht="15.6" customHeight="1" x14ac:dyDescent="0.25">
      <c r="A296" s="24" t="s">
        <v>532</v>
      </c>
      <c r="B296" s="50">
        <v>3875</v>
      </c>
      <c r="C296" s="25" t="s">
        <v>533</v>
      </c>
      <c r="D296" s="25" t="s">
        <v>241</v>
      </c>
      <c r="E296" s="25" t="s">
        <v>194</v>
      </c>
      <c r="F296" s="25" t="s">
        <v>128</v>
      </c>
      <c r="G296" s="26" t="s">
        <v>289</v>
      </c>
      <c r="H296" s="27" t="s">
        <v>130</v>
      </c>
      <c r="I296" s="24" t="s">
        <v>106</v>
      </c>
      <c r="J296" s="24" t="s">
        <v>107</v>
      </c>
      <c r="K296" s="28" t="s">
        <v>108</v>
      </c>
      <c r="L296" s="29">
        <v>0.03</v>
      </c>
      <c r="M296" s="29">
        <v>1.4999999999999999E-2</v>
      </c>
      <c r="N296" s="29">
        <v>0.02</v>
      </c>
      <c r="O296" s="27" t="s">
        <v>166</v>
      </c>
      <c r="P296" s="30" t="s">
        <v>534</v>
      </c>
      <c r="Q296" s="31">
        <v>3232220487.5900002</v>
      </c>
      <c r="R296" s="31">
        <v>1170.55</v>
      </c>
      <c r="S296" s="32">
        <v>1.8977000000000001E-2</v>
      </c>
      <c r="T296" s="32" t="s">
        <v>139</v>
      </c>
      <c r="U296" s="32">
        <v>-1.2E-4</v>
      </c>
      <c r="V296" s="32">
        <v>1.874E-3</v>
      </c>
      <c r="W296" s="32">
        <v>7.0549999999999996E-3</v>
      </c>
      <c r="X296" s="32">
        <v>1.4922E-2</v>
      </c>
      <c r="Y296" s="32">
        <v>2.6572999999999999E-2</v>
      </c>
      <c r="Z296" s="32">
        <v>6.2734999999999999E-2</v>
      </c>
      <c r="AA296" s="32">
        <v>0.106139</v>
      </c>
      <c r="AB296" s="32">
        <v>0.14149900000000001</v>
      </c>
    </row>
    <row r="297" spans="1:28" ht="15.6" customHeight="1" x14ac:dyDescent="0.25">
      <c r="A297" s="24" t="s">
        <v>535</v>
      </c>
      <c r="B297" s="50">
        <v>3876</v>
      </c>
      <c r="C297" s="25" t="s">
        <v>536</v>
      </c>
      <c r="D297" s="25" t="s">
        <v>241</v>
      </c>
      <c r="E297" s="25" t="s">
        <v>194</v>
      </c>
      <c r="F297" s="25" t="s">
        <v>103</v>
      </c>
      <c r="G297" s="26" t="s">
        <v>244</v>
      </c>
      <c r="H297" s="27" t="s">
        <v>188</v>
      </c>
      <c r="I297" s="24" t="s">
        <v>106</v>
      </c>
      <c r="J297" s="24" t="s">
        <v>107</v>
      </c>
      <c r="K297" s="28" t="s">
        <v>108</v>
      </c>
      <c r="L297" s="29">
        <v>0.03</v>
      </c>
      <c r="M297" s="29">
        <v>1.4999999999999999E-2</v>
      </c>
      <c r="N297" s="29">
        <v>0.02</v>
      </c>
      <c r="O297" s="27" t="s">
        <v>116</v>
      </c>
      <c r="P297" s="30" t="s">
        <v>534</v>
      </c>
      <c r="Q297" s="31">
        <v>1798292444.01</v>
      </c>
      <c r="R297" s="31">
        <v>1155.96</v>
      </c>
      <c r="S297" s="32">
        <v>1.7104999999999999E-2</v>
      </c>
      <c r="T297" s="32" t="s">
        <v>139</v>
      </c>
      <c r="U297" s="32">
        <v>1.9000000000000001E-4</v>
      </c>
      <c r="V297" s="32">
        <v>1.7160000000000001E-3</v>
      </c>
      <c r="W297" s="32">
        <v>5.9350000000000002E-3</v>
      </c>
      <c r="X297" s="32">
        <v>1.2357E-2</v>
      </c>
      <c r="Y297" s="32">
        <v>2.5514999999999999E-2</v>
      </c>
      <c r="Z297" s="32">
        <v>5.7496999999999999E-2</v>
      </c>
      <c r="AA297" s="32">
        <v>9.5841999999999997E-2</v>
      </c>
      <c r="AB297" s="32">
        <v>0.14254700000000001</v>
      </c>
    </row>
    <row r="298" spans="1:28" ht="15.6" customHeight="1" x14ac:dyDescent="0.25">
      <c r="A298" s="24" t="s">
        <v>537</v>
      </c>
      <c r="B298" s="50">
        <v>3877</v>
      </c>
      <c r="C298" s="25" t="s">
        <v>538</v>
      </c>
      <c r="D298" s="25" t="s">
        <v>241</v>
      </c>
      <c r="E298" s="25" t="s">
        <v>194</v>
      </c>
      <c r="F298" s="25" t="s">
        <v>113</v>
      </c>
      <c r="G298" s="26" t="s">
        <v>531</v>
      </c>
      <c r="H298" s="27" t="s">
        <v>309</v>
      </c>
      <c r="I298" s="24" t="s">
        <v>106</v>
      </c>
      <c r="J298" s="24" t="s">
        <v>121</v>
      </c>
      <c r="K298" s="28" t="s">
        <v>108</v>
      </c>
      <c r="L298" s="29">
        <v>0.03</v>
      </c>
      <c r="M298" s="29">
        <v>1.4999999999999999E-2</v>
      </c>
      <c r="N298" s="29">
        <v>0.02</v>
      </c>
      <c r="O298" s="27" t="s">
        <v>262</v>
      </c>
      <c r="P298" s="30" t="s">
        <v>241</v>
      </c>
      <c r="Q298" s="31">
        <v>1293208090.6800001</v>
      </c>
      <c r="R298" s="31">
        <v>1159.1099999999999</v>
      </c>
      <c r="S298" s="32">
        <v>-4.2519999999999997E-3</v>
      </c>
      <c r="T298" s="32" t="s">
        <v>139</v>
      </c>
      <c r="U298" s="32">
        <v>-1.542E-3</v>
      </c>
      <c r="V298" s="32">
        <v>1.867E-3</v>
      </c>
      <c r="W298" s="32">
        <v>1.0576E-2</v>
      </c>
      <c r="X298" s="32">
        <v>1.047E-2</v>
      </c>
      <c r="Y298" s="32">
        <v>-1.1310000000000001E-2</v>
      </c>
      <c r="Z298" s="32">
        <v>7.5092000000000006E-2</v>
      </c>
      <c r="AA298" s="32">
        <v>0.164162</v>
      </c>
      <c r="AB298" s="32">
        <v>0.119329</v>
      </c>
    </row>
    <row r="299" spans="1:28" ht="15.6" customHeight="1" x14ac:dyDescent="0.25">
      <c r="A299" s="24" t="s">
        <v>1369</v>
      </c>
      <c r="B299" s="50">
        <v>3878</v>
      </c>
      <c r="C299" s="25" t="s">
        <v>1370</v>
      </c>
      <c r="D299" s="25" t="s">
        <v>241</v>
      </c>
      <c r="E299" s="25" t="s">
        <v>194</v>
      </c>
      <c r="F299" s="25" t="s">
        <v>113</v>
      </c>
      <c r="G299" s="26" t="s">
        <v>531</v>
      </c>
      <c r="H299" s="27" t="s">
        <v>115</v>
      </c>
      <c r="I299" s="24" t="s">
        <v>998</v>
      </c>
      <c r="J299" s="24" t="s">
        <v>121</v>
      </c>
      <c r="K299" s="28" t="s">
        <v>108</v>
      </c>
      <c r="L299" s="29">
        <v>0.03</v>
      </c>
      <c r="M299" s="29">
        <v>1.4999999999999999E-2</v>
      </c>
      <c r="N299" s="29">
        <v>0.02</v>
      </c>
      <c r="O299" s="27" t="s">
        <v>262</v>
      </c>
      <c r="P299" s="30" t="s">
        <v>241</v>
      </c>
      <c r="Q299" s="31">
        <v>148831874.00999999</v>
      </c>
      <c r="R299" s="31">
        <v>1209.8</v>
      </c>
      <c r="S299" s="32">
        <v>5.6610000000000002E-3</v>
      </c>
      <c r="T299" s="32" t="s">
        <v>139</v>
      </c>
      <c r="U299" s="32">
        <v>-1.7899999999999999E-3</v>
      </c>
      <c r="V299" s="32">
        <v>2.029E-3</v>
      </c>
      <c r="W299" s="32">
        <v>5.9789999999999999E-3</v>
      </c>
      <c r="X299" s="32">
        <v>8.8730000000000007E-3</v>
      </c>
      <c r="Y299" s="32">
        <v>2.1870000000000001E-3</v>
      </c>
      <c r="Z299" s="32">
        <v>0.100438</v>
      </c>
      <c r="AA299" s="32">
        <v>0.230159</v>
      </c>
      <c r="AB299" s="32">
        <v>0.21701699999999999</v>
      </c>
    </row>
    <row r="300" spans="1:28" ht="15.6" customHeight="1" x14ac:dyDescent="0.25">
      <c r="A300" s="24" t="s">
        <v>1371</v>
      </c>
      <c r="B300" s="50">
        <v>3879</v>
      </c>
      <c r="C300" s="25" t="s">
        <v>1372</v>
      </c>
      <c r="D300" s="25" t="s">
        <v>159</v>
      </c>
      <c r="E300" s="25" t="s">
        <v>194</v>
      </c>
      <c r="F300" s="25" t="s">
        <v>113</v>
      </c>
      <c r="G300" s="26" t="s">
        <v>638</v>
      </c>
      <c r="H300" s="27" t="s">
        <v>1157</v>
      </c>
      <c r="I300" s="24" t="s">
        <v>998</v>
      </c>
      <c r="J300" s="24" t="s">
        <v>121</v>
      </c>
      <c r="K300" s="28" t="s">
        <v>227</v>
      </c>
      <c r="L300" s="29">
        <v>0</v>
      </c>
      <c r="M300" s="29">
        <v>0</v>
      </c>
      <c r="N300" s="29">
        <v>0.02</v>
      </c>
      <c r="O300" s="27" t="s">
        <v>161</v>
      </c>
      <c r="P300" s="30" t="s">
        <v>159</v>
      </c>
      <c r="Q300" s="31">
        <v>711704655.39999998</v>
      </c>
      <c r="R300" s="31">
        <v>1198.4000000000001</v>
      </c>
      <c r="S300" s="32">
        <v>-1.059E-3</v>
      </c>
      <c r="T300" s="32" t="s">
        <v>139</v>
      </c>
      <c r="U300" s="32">
        <v>-2.1150000000000001E-3</v>
      </c>
      <c r="V300" s="32">
        <v>1.5460000000000001E-3</v>
      </c>
      <c r="W300" s="32">
        <v>6.3150000000000003E-3</v>
      </c>
      <c r="X300" s="32">
        <v>1.0156999999999999E-2</v>
      </c>
      <c r="Y300" s="32">
        <v>-1.2508E-2</v>
      </c>
      <c r="Z300" s="32">
        <v>9.8945000000000005E-2</v>
      </c>
      <c r="AA300" s="32">
        <v>0.21824499999999999</v>
      </c>
      <c r="AB300" s="32">
        <v>0.188276</v>
      </c>
    </row>
    <row r="301" spans="1:28" ht="15.6" customHeight="1" x14ac:dyDescent="0.25">
      <c r="A301" s="24" t="s">
        <v>1373</v>
      </c>
      <c r="B301" s="50">
        <v>3880</v>
      </c>
      <c r="C301" s="25" t="s">
        <v>1374</v>
      </c>
      <c r="D301" s="25" t="s">
        <v>159</v>
      </c>
      <c r="E301" s="25" t="s">
        <v>194</v>
      </c>
      <c r="F301" s="25" t="s">
        <v>113</v>
      </c>
      <c r="G301" s="26" t="s">
        <v>1179</v>
      </c>
      <c r="H301" s="27" t="s">
        <v>309</v>
      </c>
      <c r="I301" s="24" t="s">
        <v>998</v>
      </c>
      <c r="J301" s="24" t="s">
        <v>121</v>
      </c>
      <c r="K301" s="28" t="s">
        <v>227</v>
      </c>
      <c r="L301" s="29">
        <v>0</v>
      </c>
      <c r="M301" s="29">
        <v>0</v>
      </c>
      <c r="N301" s="29">
        <v>0.02</v>
      </c>
      <c r="O301" s="27" t="s">
        <v>161</v>
      </c>
      <c r="P301" s="30" t="s">
        <v>159</v>
      </c>
      <c r="Q301" s="31">
        <v>603597746.57000005</v>
      </c>
      <c r="R301" s="31">
        <v>3103.33</v>
      </c>
      <c r="S301" s="32">
        <v>7.4570000000000001E-3</v>
      </c>
      <c r="T301" s="32" t="s">
        <v>139</v>
      </c>
      <c r="U301" s="32">
        <v>-9.6599999999999995E-4</v>
      </c>
      <c r="V301" s="32">
        <v>2.0920000000000001E-3</v>
      </c>
      <c r="W301" s="32">
        <v>6.0039999999999998E-3</v>
      </c>
      <c r="X301" s="32">
        <v>7.6990000000000001E-3</v>
      </c>
      <c r="Y301" s="32">
        <v>6.3619999999999996E-3</v>
      </c>
      <c r="Z301" s="32">
        <v>7.2013999999999995E-2</v>
      </c>
      <c r="AA301" s="32">
        <v>0.14988399999999999</v>
      </c>
      <c r="AB301" s="32">
        <v>2.0771130000000002</v>
      </c>
    </row>
    <row r="302" spans="1:28" ht="15.6" customHeight="1" x14ac:dyDescent="0.25">
      <c r="A302" s="24" t="s">
        <v>539</v>
      </c>
      <c r="B302" s="50">
        <v>3881</v>
      </c>
      <c r="C302" s="25" t="s">
        <v>540</v>
      </c>
      <c r="D302" s="25" t="s">
        <v>112</v>
      </c>
      <c r="E302" s="25" t="s">
        <v>194</v>
      </c>
      <c r="F302" s="25" t="s">
        <v>128</v>
      </c>
      <c r="G302" s="26" t="s">
        <v>289</v>
      </c>
      <c r="H302" s="27" t="s">
        <v>258</v>
      </c>
      <c r="I302" s="24" t="s">
        <v>106</v>
      </c>
      <c r="J302" s="24" t="s">
        <v>107</v>
      </c>
      <c r="K302" s="28" t="s">
        <v>108</v>
      </c>
      <c r="L302" s="29">
        <v>0.03</v>
      </c>
      <c r="M302" s="29">
        <v>1.4999999999999999E-2</v>
      </c>
      <c r="N302" s="29">
        <v>0.02</v>
      </c>
      <c r="O302" s="27" t="s">
        <v>116</v>
      </c>
      <c r="P302" s="30" t="s">
        <v>112</v>
      </c>
      <c r="Q302" s="31">
        <v>1103451.72</v>
      </c>
      <c r="R302" s="31">
        <v>1103.45</v>
      </c>
      <c r="S302" s="32">
        <v>1.2572E-2</v>
      </c>
      <c r="T302" s="32" t="s">
        <v>139</v>
      </c>
      <c r="U302" s="32">
        <v>-6.3E-5</v>
      </c>
      <c r="V302" s="32">
        <v>1.17E-3</v>
      </c>
      <c r="W302" s="32">
        <v>4.3959999999999997E-3</v>
      </c>
      <c r="X302" s="32">
        <v>9.4870000000000006E-3</v>
      </c>
      <c r="Y302" s="32">
        <v>1.6930000000000001E-2</v>
      </c>
      <c r="Z302" s="32">
        <v>4.0205999999999999E-2</v>
      </c>
      <c r="AA302" s="32">
        <v>6.8096000000000004E-2</v>
      </c>
      <c r="AB302" s="32">
        <v>9.8343E-2</v>
      </c>
    </row>
    <row r="303" spans="1:28" ht="15.6" customHeight="1" x14ac:dyDescent="0.25">
      <c r="A303" s="24" t="s">
        <v>541</v>
      </c>
      <c r="B303" s="50">
        <v>3882</v>
      </c>
      <c r="C303" s="25" t="s">
        <v>542</v>
      </c>
      <c r="D303" s="25" t="s">
        <v>112</v>
      </c>
      <c r="E303" s="25" t="s">
        <v>194</v>
      </c>
      <c r="F303" s="25" t="s">
        <v>155</v>
      </c>
      <c r="G303" s="26" t="s">
        <v>139</v>
      </c>
      <c r="H303" s="27" t="s">
        <v>543</v>
      </c>
      <c r="I303" s="24" t="s">
        <v>106</v>
      </c>
      <c r="J303" s="24" t="s">
        <v>107</v>
      </c>
      <c r="K303" s="28" t="s">
        <v>108</v>
      </c>
      <c r="L303" s="29">
        <v>0.03</v>
      </c>
      <c r="M303" s="29">
        <v>1.4999999999999999E-2</v>
      </c>
      <c r="N303" s="29">
        <v>0.02</v>
      </c>
      <c r="O303" s="27" t="s">
        <v>116</v>
      </c>
      <c r="P303" s="30" t="s">
        <v>544</v>
      </c>
      <c r="Q303" s="31">
        <v>47370372.450000003</v>
      </c>
      <c r="R303" s="31">
        <v>1344.06</v>
      </c>
      <c r="S303" s="32">
        <v>-0.10223</v>
      </c>
      <c r="T303" s="32" t="s">
        <v>139</v>
      </c>
      <c r="U303" s="32">
        <v>-6.2989999999999999E-3</v>
      </c>
      <c r="V303" s="32">
        <v>-1.3867000000000001E-2</v>
      </c>
      <c r="W303" s="32">
        <v>-1.0921E-2</v>
      </c>
      <c r="X303" s="32">
        <v>2.3025E-2</v>
      </c>
      <c r="Y303" s="32">
        <v>-0.191188</v>
      </c>
      <c r="Z303" s="32">
        <v>0.154225</v>
      </c>
      <c r="AA303" s="32">
        <v>0.377774</v>
      </c>
      <c r="AB303" s="32">
        <v>0.247168</v>
      </c>
    </row>
    <row r="304" spans="1:28" ht="15.6" customHeight="1" x14ac:dyDescent="0.25">
      <c r="A304" s="24" t="s">
        <v>1375</v>
      </c>
      <c r="B304" s="50">
        <v>3883</v>
      </c>
      <c r="C304" s="25" t="s">
        <v>1376</v>
      </c>
      <c r="D304" s="25" t="s">
        <v>137</v>
      </c>
      <c r="E304" s="25" t="s">
        <v>194</v>
      </c>
      <c r="F304" s="25" t="s">
        <v>138</v>
      </c>
      <c r="G304" s="26" t="s">
        <v>139</v>
      </c>
      <c r="H304" s="27" t="s">
        <v>1377</v>
      </c>
      <c r="I304" s="24" t="s">
        <v>998</v>
      </c>
      <c r="J304" s="24" t="s">
        <v>121</v>
      </c>
      <c r="K304" s="28" t="s">
        <v>227</v>
      </c>
      <c r="L304" s="29">
        <v>0</v>
      </c>
      <c r="M304" s="29">
        <v>0</v>
      </c>
      <c r="N304" s="29">
        <v>0.02</v>
      </c>
      <c r="O304" s="27" t="s">
        <v>141</v>
      </c>
      <c r="P304" s="30" t="s">
        <v>137</v>
      </c>
      <c r="Q304" s="31">
        <v>834438031.98087502</v>
      </c>
      <c r="R304" s="31">
        <v>11972.54</v>
      </c>
      <c r="S304" s="32">
        <v>-2.676E-3</v>
      </c>
      <c r="T304" s="32" t="s">
        <v>139</v>
      </c>
      <c r="U304" s="32">
        <v>-2.9550000000000002E-3</v>
      </c>
      <c r="V304" s="32">
        <v>-6.3E-5</v>
      </c>
      <c r="W304" s="32">
        <v>1.1186E-2</v>
      </c>
      <c r="X304" s="32">
        <v>2.6744E-2</v>
      </c>
      <c r="Y304" s="32">
        <v>-4.1403000000000002E-2</v>
      </c>
      <c r="Z304" s="32">
        <v>0.14435400000000001</v>
      </c>
      <c r="AA304" s="32">
        <v>0.279005</v>
      </c>
      <c r="AB304" s="32">
        <v>0.25590499999999999</v>
      </c>
    </row>
    <row r="305" spans="1:28" ht="15.6" customHeight="1" x14ac:dyDescent="0.25">
      <c r="A305" s="24" t="s">
        <v>545</v>
      </c>
      <c r="B305" s="50">
        <v>3884</v>
      </c>
      <c r="C305" s="25" t="s">
        <v>546</v>
      </c>
      <c r="D305" s="25" t="s">
        <v>159</v>
      </c>
      <c r="E305" s="25" t="s">
        <v>194</v>
      </c>
      <c r="F305" s="25" t="s">
        <v>138</v>
      </c>
      <c r="G305" s="26" t="s">
        <v>139</v>
      </c>
      <c r="H305" s="27" t="s">
        <v>547</v>
      </c>
      <c r="I305" s="24" t="s">
        <v>106</v>
      </c>
      <c r="J305" s="24" t="s">
        <v>121</v>
      </c>
      <c r="K305" s="28" t="s">
        <v>108</v>
      </c>
      <c r="L305" s="29">
        <v>0</v>
      </c>
      <c r="M305" s="29">
        <v>0</v>
      </c>
      <c r="N305" s="29">
        <v>0.02</v>
      </c>
      <c r="O305" s="27" t="s">
        <v>548</v>
      </c>
      <c r="P305" s="30" t="s">
        <v>159</v>
      </c>
      <c r="Q305" s="31">
        <v>5827538296.0799999</v>
      </c>
      <c r="R305" s="31">
        <v>1323.35</v>
      </c>
      <c r="S305" s="32">
        <v>4.7990000000000003E-3</v>
      </c>
      <c r="T305" s="32" t="s">
        <v>139</v>
      </c>
      <c r="U305" s="32">
        <v>-3.0439999999999998E-3</v>
      </c>
      <c r="V305" s="32">
        <v>-3.8499999999999998E-4</v>
      </c>
      <c r="W305" s="32">
        <v>1.4015E-2</v>
      </c>
      <c r="X305" s="32">
        <v>3.7962000000000003E-2</v>
      </c>
      <c r="Y305" s="32">
        <v>-2.9815999999999999E-2</v>
      </c>
      <c r="Z305" s="32">
        <v>0.166019</v>
      </c>
      <c r="AA305" s="32">
        <v>0.32654699999999998</v>
      </c>
      <c r="AB305" s="32">
        <v>0.27731600000000001</v>
      </c>
    </row>
    <row r="306" spans="1:28" ht="15.6" customHeight="1" x14ac:dyDescent="0.25">
      <c r="A306" s="24" t="s">
        <v>549</v>
      </c>
      <c r="B306" s="50">
        <v>3885</v>
      </c>
      <c r="C306" s="25" t="s">
        <v>550</v>
      </c>
      <c r="D306" s="25" t="s">
        <v>322</v>
      </c>
      <c r="E306" s="25" t="s">
        <v>194</v>
      </c>
      <c r="F306" s="25" t="s">
        <v>138</v>
      </c>
      <c r="G306" s="26" t="s">
        <v>139</v>
      </c>
      <c r="H306" s="27" t="s">
        <v>551</v>
      </c>
      <c r="I306" s="24" t="s">
        <v>106</v>
      </c>
      <c r="J306" s="24" t="s">
        <v>121</v>
      </c>
      <c r="K306" s="28" t="s">
        <v>108</v>
      </c>
      <c r="L306" s="29">
        <v>0.03</v>
      </c>
      <c r="M306" s="29">
        <v>1.4999999999999999E-2</v>
      </c>
      <c r="N306" s="29">
        <v>0.02</v>
      </c>
      <c r="O306" s="27" t="s">
        <v>548</v>
      </c>
      <c r="P306" s="30" t="s">
        <v>322</v>
      </c>
      <c r="Q306" s="31">
        <v>1881369830.7</v>
      </c>
      <c r="R306" s="31">
        <v>1347.26</v>
      </c>
      <c r="S306" s="32">
        <v>1.7676000000000001E-2</v>
      </c>
      <c r="T306" s="32" t="s">
        <v>139</v>
      </c>
      <c r="U306" s="32">
        <v>-3.248E-3</v>
      </c>
      <c r="V306" s="32">
        <v>2.0899999999999998E-3</v>
      </c>
      <c r="W306" s="32">
        <v>2.1548999999999999E-2</v>
      </c>
      <c r="X306" s="32">
        <v>5.1256999999999997E-2</v>
      </c>
      <c r="Y306" s="32">
        <v>-1.8068000000000001E-2</v>
      </c>
      <c r="Z306" s="32">
        <v>0.169263</v>
      </c>
      <c r="AA306" s="32">
        <v>0.32342500000000002</v>
      </c>
      <c r="AB306" s="32">
        <v>0.293962</v>
      </c>
    </row>
    <row r="307" spans="1:28" ht="15.6" customHeight="1" x14ac:dyDescent="0.25">
      <c r="A307" s="24" t="s">
        <v>552</v>
      </c>
      <c r="B307" s="50">
        <v>3886</v>
      </c>
      <c r="C307" s="25" t="s">
        <v>553</v>
      </c>
      <c r="D307" s="25" t="s">
        <v>145</v>
      </c>
      <c r="E307" s="25" t="s">
        <v>194</v>
      </c>
      <c r="F307" s="25" t="s">
        <v>138</v>
      </c>
      <c r="G307" s="26" t="s">
        <v>139</v>
      </c>
      <c r="H307" s="27" t="s">
        <v>554</v>
      </c>
      <c r="I307" s="24" t="s">
        <v>106</v>
      </c>
      <c r="J307" s="24" t="s">
        <v>121</v>
      </c>
      <c r="K307" s="28" t="s">
        <v>108</v>
      </c>
      <c r="L307" s="29">
        <v>0.03</v>
      </c>
      <c r="M307" s="29">
        <v>1.4999999999999999E-2</v>
      </c>
      <c r="N307" s="29">
        <v>0.02</v>
      </c>
      <c r="O307" s="27" t="s">
        <v>548</v>
      </c>
      <c r="P307" s="30" t="s">
        <v>145</v>
      </c>
      <c r="Q307" s="31">
        <v>5804226073.2399998</v>
      </c>
      <c r="R307" s="31">
        <v>1323.29</v>
      </c>
      <c r="S307" s="32">
        <v>4.1200000000000004E-3</v>
      </c>
      <c r="T307" s="32" t="s">
        <v>139</v>
      </c>
      <c r="U307" s="32">
        <v>-3.2989999999999998E-3</v>
      </c>
      <c r="V307" s="32">
        <v>1.13E-4</v>
      </c>
      <c r="W307" s="32">
        <v>1.593E-2</v>
      </c>
      <c r="X307" s="32">
        <v>3.8053999999999998E-2</v>
      </c>
      <c r="Y307" s="32">
        <v>-3.1146E-2</v>
      </c>
      <c r="Z307" s="32">
        <v>0.15639900000000001</v>
      </c>
      <c r="AA307" s="32">
        <v>0.316969</v>
      </c>
      <c r="AB307" s="32">
        <v>0.27328799999999998</v>
      </c>
    </row>
    <row r="308" spans="1:28" ht="15.6" customHeight="1" x14ac:dyDescent="0.25">
      <c r="A308" s="24" t="s">
        <v>555</v>
      </c>
      <c r="B308" s="50">
        <v>3887</v>
      </c>
      <c r="C308" s="25" t="s">
        <v>556</v>
      </c>
      <c r="D308" s="25" t="s">
        <v>137</v>
      </c>
      <c r="E308" s="25" t="s">
        <v>194</v>
      </c>
      <c r="F308" s="25" t="s">
        <v>138</v>
      </c>
      <c r="G308" s="26" t="s">
        <v>139</v>
      </c>
      <c r="H308" s="27" t="s">
        <v>557</v>
      </c>
      <c r="I308" s="24" t="s">
        <v>106</v>
      </c>
      <c r="J308" s="24" t="s">
        <v>121</v>
      </c>
      <c r="K308" s="28" t="s">
        <v>108</v>
      </c>
      <c r="L308" s="29">
        <v>0.03</v>
      </c>
      <c r="M308" s="29">
        <v>1.4999999999999999E-2</v>
      </c>
      <c r="N308" s="29">
        <v>0.02</v>
      </c>
      <c r="O308" s="27" t="s">
        <v>141</v>
      </c>
      <c r="P308" s="30" t="s">
        <v>137</v>
      </c>
      <c r="Q308" s="31">
        <v>2583085982.8560929</v>
      </c>
      <c r="R308" s="31">
        <v>1368.83</v>
      </c>
      <c r="S308" s="32">
        <v>4.6379999999999998E-3</v>
      </c>
      <c r="T308" s="32" t="s">
        <v>139</v>
      </c>
      <c r="U308" s="32">
        <v>-2.8050000000000002E-3</v>
      </c>
      <c r="V308" s="32">
        <v>-2.2599999999999999E-4</v>
      </c>
      <c r="W308" s="32">
        <v>1.2463E-2</v>
      </c>
      <c r="X308" s="32">
        <v>3.9511999999999999E-2</v>
      </c>
      <c r="Y308" s="32">
        <v>-3.2539999999999999E-2</v>
      </c>
      <c r="Z308" s="32">
        <v>0.16525899999999999</v>
      </c>
      <c r="AA308" s="32">
        <v>0.33079599999999998</v>
      </c>
      <c r="AB308" s="32">
        <v>0.31768999999999997</v>
      </c>
    </row>
    <row r="309" spans="1:28" ht="15.6" customHeight="1" x14ac:dyDescent="0.25">
      <c r="A309" s="24" t="s">
        <v>1378</v>
      </c>
      <c r="B309" s="50">
        <v>3888</v>
      </c>
      <c r="C309" s="25" t="s">
        <v>1379</v>
      </c>
      <c r="D309" s="25" t="s">
        <v>164</v>
      </c>
      <c r="E309" s="25" t="s">
        <v>194</v>
      </c>
      <c r="F309" s="25" t="s">
        <v>155</v>
      </c>
      <c r="G309" s="26" t="s">
        <v>139</v>
      </c>
      <c r="H309" s="27" t="s">
        <v>588</v>
      </c>
      <c r="I309" s="24" t="s">
        <v>998</v>
      </c>
      <c r="J309" s="24" t="s">
        <v>121</v>
      </c>
      <c r="K309" s="28" t="s">
        <v>227</v>
      </c>
      <c r="L309" s="29">
        <v>0.03</v>
      </c>
      <c r="M309" s="29">
        <v>1.4999999999999999E-2</v>
      </c>
      <c r="N309" s="29">
        <v>0.02</v>
      </c>
      <c r="O309" s="27" t="s">
        <v>166</v>
      </c>
      <c r="P309" s="30" t="s">
        <v>164</v>
      </c>
      <c r="Q309" s="31">
        <v>241479097.46000001</v>
      </c>
      <c r="R309" s="31">
        <v>18822.91</v>
      </c>
      <c r="S309" s="32">
        <v>7.3304999999999995E-2</v>
      </c>
      <c r="T309" s="32" t="s">
        <v>139</v>
      </c>
      <c r="U309" s="32">
        <v>-4.6470000000000001E-3</v>
      </c>
      <c r="V309" s="32">
        <v>4.084E-3</v>
      </c>
      <c r="W309" s="32">
        <v>4.6035E-2</v>
      </c>
      <c r="X309" s="32">
        <v>0.15010899999999999</v>
      </c>
      <c r="Y309" s="32">
        <v>-3.774E-3</v>
      </c>
      <c r="Z309" s="32">
        <v>0.456812</v>
      </c>
      <c r="AA309" s="32">
        <v>0.79374500000000003</v>
      </c>
      <c r="AB309" s="32">
        <v>0.69082200000000005</v>
      </c>
    </row>
    <row r="310" spans="1:28" ht="15.6" customHeight="1" x14ac:dyDescent="0.25">
      <c r="A310" s="24" t="s">
        <v>558</v>
      </c>
      <c r="B310" s="50">
        <v>3889</v>
      </c>
      <c r="C310" s="25" t="s">
        <v>559</v>
      </c>
      <c r="D310" s="25" t="s">
        <v>137</v>
      </c>
      <c r="E310" s="25" t="s">
        <v>194</v>
      </c>
      <c r="F310" s="25" t="s">
        <v>103</v>
      </c>
      <c r="G310" s="26" t="s">
        <v>244</v>
      </c>
      <c r="H310" s="27" t="s">
        <v>217</v>
      </c>
      <c r="I310" s="24" t="s">
        <v>106</v>
      </c>
      <c r="J310" s="24" t="s">
        <v>107</v>
      </c>
      <c r="K310" s="28" t="s">
        <v>108</v>
      </c>
      <c r="L310" s="29">
        <v>5.0000000000000001E-3</v>
      </c>
      <c r="M310" s="29">
        <v>5.0000000000000001E-3</v>
      </c>
      <c r="N310" s="29">
        <v>0.02</v>
      </c>
      <c r="O310" s="27" t="s">
        <v>141</v>
      </c>
      <c r="P310" s="30" t="s">
        <v>142</v>
      </c>
      <c r="Q310" s="31">
        <v>5547834657.5614214</v>
      </c>
      <c r="R310" s="31">
        <v>1523.88</v>
      </c>
      <c r="S310" s="32">
        <v>1.7989999999999999E-2</v>
      </c>
      <c r="T310" s="32" t="s">
        <v>139</v>
      </c>
      <c r="U310" s="32">
        <v>1.44E-4</v>
      </c>
      <c r="V310" s="32">
        <v>1.7619999999999999E-3</v>
      </c>
      <c r="W310" s="32">
        <v>6.3990000000000002E-3</v>
      </c>
      <c r="X310" s="32">
        <v>1.3387E-2</v>
      </c>
      <c r="Y310" s="32">
        <v>2.5326000000000001E-2</v>
      </c>
      <c r="Z310" s="32">
        <v>5.5889000000000001E-2</v>
      </c>
      <c r="AA310" s="32">
        <v>9.3547000000000005E-2</v>
      </c>
      <c r="AB310" s="32">
        <v>0.14033899999999999</v>
      </c>
    </row>
    <row r="311" spans="1:28" ht="15.6" customHeight="1" x14ac:dyDescent="0.25">
      <c r="A311" s="24" t="s">
        <v>560</v>
      </c>
      <c r="B311" s="50">
        <v>3890</v>
      </c>
      <c r="C311" s="25" t="s">
        <v>561</v>
      </c>
      <c r="D311" s="25" t="s">
        <v>355</v>
      </c>
      <c r="E311" s="25" t="s">
        <v>194</v>
      </c>
      <c r="F311" s="25" t="s">
        <v>113</v>
      </c>
      <c r="G311" s="26" t="s">
        <v>562</v>
      </c>
      <c r="H311" s="27" t="s">
        <v>309</v>
      </c>
      <c r="I311" s="24" t="s">
        <v>106</v>
      </c>
      <c r="J311" s="24" t="s">
        <v>121</v>
      </c>
      <c r="K311" s="28" t="s">
        <v>108</v>
      </c>
      <c r="L311" s="29">
        <v>0</v>
      </c>
      <c r="M311" s="29">
        <v>0</v>
      </c>
      <c r="N311" s="29">
        <v>0.02</v>
      </c>
      <c r="O311" s="27" t="s">
        <v>161</v>
      </c>
      <c r="P311" s="30" t="s">
        <v>355</v>
      </c>
      <c r="Q311" s="31">
        <v>1027142174.25</v>
      </c>
      <c r="R311" s="31">
        <v>1178.54</v>
      </c>
      <c r="S311" s="32">
        <v>2.1940000000000002E-3</v>
      </c>
      <c r="T311" s="32" t="s">
        <v>139</v>
      </c>
      <c r="U311" s="32">
        <v>-1.72E-3</v>
      </c>
      <c r="V311" s="32">
        <v>1.521E-3</v>
      </c>
      <c r="W311" s="32">
        <v>6.0870000000000004E-3</v>
      </c>
      <c r="X311" s="32">
        <v>9.2230000000000003E-3</v>
      </c>
      <c r="Y311" s="32">
        <v>-9.7549999999999998E-3</v>
      </c>
      <c r="Z311" s="32">
        <v>6.8892999999999996E-2</v>
      </c>
      <c r="AA311" s="32">
        <v>0.166825</v>
      </c>
      <c r="AB311" s="32">
        <v>0.17203499999999999</v>
      </c>
    </row>
    <row r="312" spans="1:28" ht="15.6" customHeight="1" x14ac:dyDescent="0.25">
      <c r="A312" s="24" t="s">
        <v>1380</v>
      </c>
      <c r="B312" s="50">
        <v>3891</v>
      </c>
      <c r="C312" s="25" t="s">
        <v>1381</v>
      </c>
      <c r="D312" s="25" t="s">
        <v>159</v>
      </c>
      <c r="E312" s="25" t="s">
        <v>194</v>
      </c>
      <c r="F312" s="25" t="s">
        <v>138</v>
      </c>
      <c r="G312" s="26" t="s">
        <v>139</v>
      </c>
      <c r="H312" s="27" t="s">
        <v>741</v>
      </c>
      <c r="I312" s="24" t="s">
        <v>998</v>
      </c>
      <c r="J312" s="24" t="s">
        <v>121</v>
      </c>
      <c r="K312" s="28" t="s">
        <v>227</v>
      </c>
      <c r="L312" s="29">
        <v>0</v>
      </c>
      <c r="M312" s="29">
        <v>0</v>
      </c>
      <c r="N312" s="29">
        <v>0.02</v>
      </c>
      <c r="O312" s="27" t="s">
        <v>161</v>
      </c>
      <c r="P312" s="30" t="s">
        <v>513</v>
      </c>
      <c r="Q312" s="31">
        <v>24413519.649999999</v>
      </c>
      <c r="R312" s="31">
        <v>1109.71</v>
      </c>
      <c r="S312" s="32">
        <v>-3.0990000000000002E-3</v>
      </c>
      <c r="T312" s="32" t="s">
        <v>139</v>
      </c>
      <c r="U312" s="32">
        <v>-1.0169999999999999E-3</v>
      </c>
      <c r="V312" s="32">
        <v>1.08E-4</v>
      </c>
      <c r="W312" s="32">
        <v>9.4699999999999993E-3</v>
      </c>
      <c r="X312" s="32">
        <v>1.2611000000000001E-2</v>
      </c>
      <c r="Y312" s="32">
        <v>-7.6899999999999998E-3</v>
      </c>
      <c r="Z312" s="32">
        <v>9.0816999999999995E-2</v>
      </c>
      <c r="AA312" s="32">
        <v>0.128775</v>
      </c>
      <c r="AB312" s="32">
        <v>0.107915</v>
      </c>
    </row>
    <row r="313" spans="1:28" ht="15.6" customHeight="1" x14ac:dyDescent="0.25">
      <c r="A313" s="24" t="s">
        <v>563</v>
      </c>
      <c r="B313" s="50">
        <v>3892</v>
      </c>
      <c r="C313" s="25" t="s">
        <v>564</v>
      </c>
      <c r="D313" s="25" t="s">
        <v>112</v>
      </c>
      <c r="E313" s="25" t="s">
        <v>194</v>
      </c>
      <c r="F313" s="25" t="s">
        <v>128</v>
      </c>
      <c r="G313" s="26" t="s">
        <v>289</v>
      </c>
      <c r="H313" s="27" t="s">
        <v>373</v>
      </c>
      <c r="I313" s="24" t="s">
        <v>106</v>
      </c>
      <c r="J313" s="24" t="s">
        <v>107</v>
      </c>
      <c r="K313" s="28" t="s">
        <v>108</v>
      </c>
      <c r="L313" s="29">
        <v>0.03</v>
      </c>
      <c r="M313" s="29">
        <v>1.4999999999999999E-2</v>
      </c>
      <c r="N313" s="29">
        <v>0.02</v>
      </c>
      <c r="O313" s="27" t="s">
        <v>166</v>
      </c>
      <c r="P313" s="30" t="s">
        <v>112</v>
      </c>
      <c r="Q313" s="31">
        <v>1121218.47</v>
      </c>
      <c r="R313" s="31">
        <v>1121.21</v>
      </c>
      <c r="S313" s="32">
        <v>1.3174999999999999E-2</v>
      </c>
      <c r="T313" s="32" t="s">
        <v>139</v>
      </c>
      <c r="U313" s="32">
        <v>-9.7999999999999997E-5</v>
      </c>
      <c r="V313" s="32">
        <v>1.5009999999999999E-3</v>
      </c>
      <c r="W313" s="32">
        <v>5.0470000000000003E-3</v>
      </c>
      <c r="X313" s="32">
        <v>1.0172E-2</v>
      </c>
      <c r="Y313" s="32">
        <v>1.7912000000000001E-2</v>
      </c>
      <c r="Z313" s="32">
        <v>4.2161999999999998E-2</v>
      </c>
      <c r="AA313" s="32">
        <v>7.2743000000000002E-2</v>
      </c>
      <c r="AB313" s="32">
        <v>0.11670999999999999</v>
      </c>
    </row>
    <row r="314" spans="1:28" ht="15.6" customHeight="1" x14ac:dyDescent="0.25">
      <c r="A314" s="24" t="s">
        <v>1382</v>
      </c>
      <c r="B314" s="50">
        <v>3893</v>
      </c>
      <c r="C314" s="25" t="s">
        <v>1383</v>
      </c>
      <c r="D314" s="25" t="s">
        <v>504</v>
      </c>
      <c r="E314" s="25" t="s">
        <v>194</v>
      </c>
      <c r="F314" s="25" t="s">
        <v>113</v>
      </c>
      <c r="G314" s="26" t="s">
        <v>493</v>
      </c>
      <c r="H314" s="27" t="s">
        <v>115</v>
      </c>
      <c r="I314" s="24" t="s">
        <v>998</v>
      </c>
      <c r="J314" s="24" t="s">
        <v>121</v>
      </c>
      <c r="K314" s="28" t="s">
        <v>227</v>
      </c>
      <c r="L314" s="29">
        <v>0</v>
      </c>
      <c r="M314" s="29">
        <v>0</v>
      </c>
      <c r="N314" s="29">
        <v>0.02</v>
      </c>
      <c r="O314" s="27" t="s">
        <v>161</v>
      </c>
      <c r="P314" s="30" t="s">
        <v>504</v>
      </c>
      <c r="Q314" s="31">
        <v>530845537.19</v>
      </c>
      <c r="R314" s="31">
        <v>1082.78</v>
      </c>
      <c r="S314" s="32">
        <v>-3.405E-3</v>
      </c>
      <c r="T314" s="32" t="s">
        <v>139</v>
      </c>
      <c r="U314" s="32">
        <v>-1.3929999999999999E-3</v>
      </c>
      <c r="V314" s="32">
        <v>1.637E-3</v>
      </c>
      <c r="W314" s="32">
        <v>4.006E-3</v>
      </c>
      <c r="X314" s="32">
        <v>5.1989999999999996E-3</v>
      </c>
      <c r="Y314" s="32">
        <v>-1.1339999999999999E-2</v>
      </c>
      <c r="Z314" s="32">
        <v>7.6130000000000003E-2</v>
      </c>
      <c r="AA314" s="32">
        <v>0.18188099999999999</v>
      </c>
      <c r="AB314" s="32">
        <v>7.7146999999999993E-2</v>
      </c>
    </row>
    <row r="315" spans="1:28" ht="15.6" customHeight="1" x14ac:dyDescent="0.25">
      <c r="A315" s="24" t="s">
        <v>565</v>
      </c>
      <c r="B315" s="50">
        <v>3894</v>
      </c>
      <c r="C315" s="25" t="s">
        <v>566</v>
      </c>
      <c r="D315" s="25" t="s">
        <v>112</v>
      </c>
      <c r="E315" s="25" t="s">
        <v>194</v>
      </c>
      <c r="F315" s="25" t="s">
        <v>103</v>
      </c>
      <c r="G315" s="26" t="s">
        <v>401</v>
      </c>
      <c r="H315" s="27" t="s">
        <v>567</v>
      </c>
      <c r="I315" s="24" t="s">
        <v>106</v>
      </c>
      <c r="J315" s="24" t="s">
        <v>107</v>
      </c>
      <c r="K315" s="28" t="s">
        <v>108</v>
      </c>
      <c r="L315" s="29">
        <v>0.03</v>
      </c>
      <c r="M315" s="29">
        <v>1.4999999999999999E-2</v>
      </c>
      <c r="N315" s="29">
        <v>0.02</v>
      </c>
      <c r="O315" s="27" t="s">
        <v>166</v>
      </c>
      <c r="P315" s="30" t="s">
        <v>112</v>
      </c>
      <c r="Q315" s="31">
        <v>4960890.5</v>
      </c>
      <c r="R315" s="31">
        <v>1118.82</v>
      </c>
      <c r="S315" s="32">
        <v>1.5188999999999999E-2</v>
      </c>
      <c r="T315" s="32" t="s">
        <v>139</v>
      </c>
      <c r="U315" s="32">
        <v>1.7000000000000001E-4</v>
      </c>
      <c r="V315" s="32">
        <v>1.567E-3</v>
      </c>
      <c r="W315" s="32">
        <v>5.5909999999999996E-3</v>
      </c>
      <c r="X315" s="32">
        <v>1.1152E-2</v>
      </c>
      <c r="Y315" s="32">
        <v>2.1259E-2</v>
      </c>
      <c r="Z315" s="32">
        <v>4.5733999999999997E-2</v>
      </c>
      <c r="AA315" s="32">
        <v>7.4682999999999999E-2</v>
      </c>
      <c r="AB315" s="32">
        <v>0.11654200000000001</v>
      </c>
    </row>
    <row r="316" spans="1:28" ht="15.6" customHeight="1" x14ac:dyDescent="0.25">
      <c r="A316" s="24" t="s">
        <v>568</v>
      </c>
      <c r="B316" s="50">
        <v>3895</v>
      </c>
      <c r="C316" s="25" t="s">
        <v>569</v>
      </c>
      <c r="D316" s="25" t="s">
        <v>570</v>
      </c>
      <c r="E316" s="25" t="s">
        <v>194</v>
      </c>
      <c r="F316" s="25" t="s">
        <v>103</v>
      </c>
      <c r="G316" s="26" t="s">
        <v>244</v>
      </c>
      <c r="H316" s="27" t="s">
        <v>188</v>
      </c>
      <c r="I316" s="24" t="s">
        <v>106</v>
      </c>
      <c r="J316" s="24" t="s">
        <v>107</v>
      </c>
      <c r="K316" s="28" t="s">
        <v>227</v>
      </c>
      <c r="L316" s="29">
        <v>0.03</v>
      </c>
      <c r="M316" s="29">
        <v>1.4999999999999999E-2</v>
      </c>
      <c r="N316" s="29">
        <v>0.02</v>
      </c>
      <c r="O316" s="27" t="s">
        <v>131</v>
      </c>
      <c r="P316" s="30" t="s">
        <v>570</v>
      </c>
      <c r="Q316" s="31">
        <v>3503161734.6300001</v>
      </c>
      <c r="R316" s="31">
        <v>1841.71</v>
      </c>
      <c r="S316" s="32">
        <v>1.8492999999999999E-2</v>
      </c>
      <c r="T316" s="32" t="s">
        <v>139</v>
      </c>
      <c r="U316" s="32">
        <v>1.5200000000000001E-4</v>
      </c>
      <c r="V316" s="32">
        <v>1.877E-3</v>
      </c>
      <c r="W316" s="32">
        <v>6.4260000000000003E-3</v>
      </c>
      <c r="X316" s="32">
        <v>1.3421000000000001E-2</v>
      </c>
      <c r="Y316" s="32">
        <v>2.6217000000000001E-2</v>
      </c>
      <c r="Z316" s="32">
        <v>6.0532000000000002E-2</v>
      </c>
      <c r="AA316" s="32">
        <v>9.9246000000000001E-2</v>
      </c>
      <c r="AB316" s="32">
        <v>0.15284800000000001</v>
      </c>
    </row>
    <row r="317" spans="1:28" ht="15.6" customHeight="1" x14ac:dyDescent="0.25">
      <c r="A317" s="24" t="s">
        <v>571</v>
      </c>
      <c r="B317" s="50">
        <v>3896</v>
      </c>
      <c r="C317" s="25" t="s">
        <v>572</v>
      </c>
      <c r="D317" s="25" t="s">
        <v>570</v>
      </c>
      <c r="E317" s="25" t="s">
        <v>194</v>
      </c>
      <c r="F317" s="25" t="s">
        <v>128</v>
      </c>
      <c r="G317" s="26" t="s">
        <v>289</v>
      </c>
      <c r="H317" s="27" t="s">
        <v>130</v>
      </c>
      <c r="I317" s="24" t="s">
        <v>106</v>
      </c>
      <c r="J317" s="24" t="s">
        <v>107</v>
      </c>
      <c r="K317" s="28" t="s">
        <v>227</v>
      </c>
      <c r="L317" s="29">
        <v>0.03</v>
      </c>
      <c r="M317" s="29">
        <v>1.4999999999999999E-2</v>
      </c>
      <c r="N317" s="29">
        <v>0.02</v>
      </c>
      <c r="O317" s="27" t="s">
        <v>131</v>
      </c>
      <c r="P317" s="30" t="s">
        <v>570</v>
      </c>
      <c r="Q317" s="31">
        <v>6496087703.1899996</v>
      </c>
      <c r="R317" s="31">
        <v>1925.72</v>
      </c>
      <c r="S317" s="32">
        <v>2.1330999999999999E-2</v>
      </c>
      <c r="T317" s="32" t="s">
        <v>139</v>
      </c>
      <c r="U317" s="32">
        <v>-1.1400000000000001E-4</v>
      </c>
      <c r="V317" s="32">
        <v>1.946E-3</v>
      </c>
      <c r="W317" s="32">
        <v>7.5389999999999997E-3</v>
      </c>
      <c r="X317" s="32">
        <v>1.5932000000000002E-2</v>
      </c>
      <c r="Y317" s="32">
        <v>2.8999E-2</v>
      </c>
      <c r="Z317" s="32">
        <v>6.9380999999999998E-2</v>
      </c>
      <c r="AA317" s="32">
        <v>0.11679299999999999</v>
      </c>
      <c r="AB317" s="32">
        <v>0.17714099999999999</v>
      </c>
    </row>
    <row r="318" spans="1:28" ht="15.6" customHeight="1" x14ac:dyDescent="0.25">
      <c r="A318" s="24" t="s">
        <v>573</v>
      </c>
      <c r="B318" s="50">
        <v>3897</v>
      </c>
      <c r="C318" s="25" t="s">
        <v>574</v>
      </c>
      <c r="D318" s="25" t="s">
        <v>570</v>
      </c>
      <c r="E318" s="25" t="s">
        <v>194</v>
      </c>
      <c r="F318" s="25" t="s">
        <v>113</v>
      </c>
      <c r="G318" s="26" t="s">
        <v>493</v>
      </c>
      <c r="H318" s="27" t="s">
        <v>115</v>
      </c>
      <c r="I318" s="24" t="s">
        <v>106</v>
      </c>
      <c r="J318" s="24" t="s">
        <v>107</v>
      </c>
      <c r="K318" s="28" t="s">
        <v>108</v>
      </c>
      <c r="L318" s="29">
        <v>0.03</v>
      </c>
      <c r="M318" s="29">
        <v>0.03</v>
      </c>
      <c r="N318" s="29">
        <v>0.02</v>
      </c>
      <c r="O318" s="27" t="s">
        <v>131</v>
      </c>
      <c r="P318" s="30" t="s">
        <v>570</v>
      </c>
      <c r="Q318" s="31">
        <v>1112383020.54</v>
      </c>
      <c r="R318" s="31">
        <v>2419.38</v>
      </c>
      <c r="S318" s="32">
        <v>-1.1998E-2</v>
      </c>
      <c r="T318" s="32" t="s">
        <v>139</v>
      </c>
      <c r="U318" s="32">
        <v>-2.0539999999999998E-3</v>
      </c>
      <c r="V318" s="32">
        <v>3.9300000000000001E-4</v>
      </c>
      <c r="W318" s="32">
        <v>4.3880000000000004E-3</v>
      </c>
      <c r="X318" s="32">
        <v>4.7889999999999999E-3</v>
      </c>
      <c r="Y318" s="32">
        <v>-2.7224999999999999E-2</v>
      </c>
      <c r="Z318" s="32">
        <v>6.6689999999999999E-2</v>
      </c>
      <c r="AA318" s="32">
        <v>0.178702</v>
      </c>
      <c r="AB318" s="32">
        <v>0.20518900000000001</v>
      </c>
    </row>
    <row r="319" spans="1:28" ht="15.6" customHeight="1" x14ac:dyDescent="0.25">
      <c r="A319" s="24" t="s">
        <v>575</v>
      </c>
      <c r="B319" s="50">
        <v>3898</v>
      </c>
      <c r="C319" s="25" t="s">
        <v>576</v>
      </c>
      <c r="D319" s="25" t="s">
        <v>570</v>
      </c>
      <c r="E319" s="25" t="s">
        <v>194</v>
      </c>
      <c r="F319" s="25" t="s">
        <v>138</v>
      </c>
      <c r="G319" s="26" t="s">
        <v>139</v>
      </c>
      <c r="H319" s="27" t="s">
        <v>577</v>
      </c>
      <c r="I319" s="24" t="s">
        <v>106</v>
      </c>
      <c r="J319" s="24" t="s">
        <v>107</v>
      </c>
      <c r="K319" s="28" t="s">
        <v>227</v>
      </c>
      <c r="L319" s="29">
        <v>0.03</v>
      </c>
      <c r="M319" s="29">
        <v>1.4999999999999999E-2</v>
      </c>
      <c r="N319" s="29">
        <v>0.02</v>
      </c>
      <c r="O319" s="27" t="s">
        <v>131</v>
      </c>
      <c r="P319" s="30" t="s">
        <v>570</v>
      </c>
      <c r="Q319" s="31">
        <v>2143917005.1400001</v>
      </c>
      <c r="R319" s="31">
        <v>4652.58</v>
      </c>
      <c r="S319" s="32">
        <v>-1.9254E-2</v>
      </c>
      <c r="T319" s="32" t="s">
        <v>139</v>
      </c>
      <c r="U319" s="32">
        <v>-5.2339999999999999E-3</v>
      </c>
      <c r="V319" s="32">
        <v>-3.2369999999999999E-3</v>
      </c>
      <c r="W319" s="32">
        <v>1.4775E-2</v>
      </c>
      <c r="X319" s="32">
        <v>4.8951000000000001E-2</v>
      </c>
      <c r="Y319" s="32">
        <v>-8.6683999999999997E-2</v>
      </c>
      <c r="Z319" s="32">
        <v>0.14974499999999999</v>
      </c>
      <c r="AA319" s="32">
        <v>0.32953300000000002</v>
      </c>
      <c r="AB319" s="32">
        <v>0.272706</v>
      </c>
    </row>
    <row r="320" spans="1:28" ht="15.6" customHeight="1" x14ac:dyDescent="0.25">
      <c r="A320" s="24" t="s">
        <v>578</v>
      </c>
      <c r="B320" s="50">
        <v>3899</v>
      </c>
      <c r="C320" s="25" t="s">
        <v>14</v>
      </c>
      <c r="D320" s="25" t="s">
        <v>570</v>
      </c>
      <c r="E320" s="25" t="s">
        <v>194</v>
      </c>
      <c r="F320" s="25" t="s">
        <v>155</v>
      </c>
      <c r="G320" s="26" t="s">
        <v>139</v>
      </c>
      <c r="H320" s="27" t="s">
        <v>156</v>
      </c>
      <c r="I320" s="24" t="s">
        <v>106</v>
      </c>
      <c r="J320" s="24" t="s">
        <v>107</v>
      </c>
      <c r="K320" s="28" t="s">
        <v>227</v>
      </c>
      <c r="L320" s="29">
        <v>0.03</v>
      </c>
      <c r="M320" s="29">
        <v>1.4999999999999999E-2</v>
      </c>
      <c r="N320" s="29">
        <v>0.02</v>
      </c>
      <c r="O320" s="27" t="s">
        <v>131</v>
      </c>
      <c r="P320" s="30" t="s">
        <v>570</v>
      </c>
      <c r="Q320" s="31">
        <v>1076245766.0699999</v>
      </c>
      <c r="R320" s="31">
        <v>8615.82</v>
      </c>
      <c r="S320" s="32">
        <v>1.3324000000000001E-2</v>
      </c>
      <c r="T320" s="32" t="s">
        <v>139</v>
      </c>
      <c r="U320" s="32">
        <v>-4.7029999999999997E-3</v>
      </c>
      <c r="V320" s="32">
        <v>-5.9690000000000003E-3</v>
      </c>
      <c r="W320" s="32">
        <v>3.3042000000000002E-2</v>
      </c>
      <c r="X320" s="32">
        <v>0.123999</v>
      </c>
      <c r="Y320" s="32">
        <v>-0.10441300000000001</v>
      </c>
      <c r="Z320" s="32">
        <v>0.35077199999999997</v>
      </c>
      <c r="AA320" s="32">
        <v>0.63830900000000002</v>
      </c>
      <c r="AB320" s="32">
        <v>0.56876599999999999</v>
      </c>
    </row>
    <row r="321" spans="1:28" ht="15.6" customHeight="1" x14ac:dyDescent="0.25">
      <c r="A321" s="24" t="s">
        <v>579</v>
      </c>
      <c r="B321" s="50">
        <v>3900</v>
      </c>
      <c r="C321" s="25" t="s">
        <v>580</v>
      </c>
      <c r="D321" s="25" t="s">
        <v>159</v>
      </c>
      <c r="E321" s="25" t="s">
        <v>194</v>
      </c>
      <c r="F321" s="25" t="s">
        <v>113</v>
      </c>
      <c r="G321" s="26" t="s">
        <v>465</v>
      </c>
      <c r="H321" s="27" t="s">
        <v>512</v>
      </c>
      <c r="I321" s="24" t="s">
        <v>106</v>
      </c>
      <c r="J321" s="24" t="s">
        <v>107</v>
      </c>
      <c r="K321" s="28" t="s">
        <v>227</v>
      </c>
      <c r="L321" s="29">
        <v>0</v>
      </c>
      <c r="M321" s="29">
        <v>0</v>
      </c>
      <c r="N321" s="29">
        <v>0.02</v>
      </c>
      <c r="O321" s="27" t="s">
        <v>161</v>
      </c>
      <c r="P321" s="30" t="s">
        <v>581</v>
      </c>
      <c r="Q321" s="31">
        <v>1100206.6000000001</v>
      </c>
      <c r="R321" s="31">
        <v>1090.3900000000001</v>
      </c>
      <c r="S321" s="32">
        <v>1.4448000000000001E-2</v>
      </c>
      <c r="T321" s="32" t="s">
        <v>139</v>
      </c>
      <c r="U321" s="32">
        <v>-2.1410000000000001E-3</v>
      </c>
      <c r="V321" s="32">
        <v>1.8469999999999999E-3</v>
      </c>
      <c r="W321" s="32">
        <v>8.1639999999999994E-3</v>
      </c>
      <c r="X321" s="32">
        <v>1.3684E-2</v>
      </c>
      <c r="Y321" s="32">
        <v>1.8057E-2</v>
      </c>
      <c r="Z321" s="32">
        <v>5.1394000000000002E-2</v>
      </c>
      <c r="AA321" s="32">
        <v>9.3989000000000003E-2</v>
      </c>
      <c r="AB321" s="32">
        <v>8.8886999999999994E-2</v>
      </c>
    </row>
    <row r="322" spans="1:28" ht="15.6" customHeight="1" x14ac:dyDescent="0.25">
      <c r="A322" s="24" t="s">
        <v>582</v>
      </c>
      <c r="B322" s="50">
        <v>3901</v>
      </c>
      <c r="C322" s="25" t="s">
        <v>583</v>
      </c>
      <c r="D322" s="25" t="s">
        <v>159</v>
      </c>
      <c r="E322" s="25" t="s">
        <v>194</v>
      </c>
      <c r="F322" s="25" t="s">
        <v>128</v>
      </c>
      <c r="G322" s="26" t="s">
        <v>289</v>
      </c>
      <c r="H322" s="27" t="s">
        <v>270</v>
      </c>
      <c r="I322" s="24" t="s">
        <v>106</v>
      </c>
      <c r="J322" s="24" t="s">
        <v>107</v>
      </c>
      <c r="K322" s="28" t="s">
        <v>227</v>
      </c>
      <c r="L322" s="29">
        <v>0</v>
      </c>
      <c r="M322" s="29">
        <v>0</v>
      </c>
      <c r="N322" s="29">
        <v>0.02</v>
      </c>
      <c r="O322" s="27" t="s">
        <v>161</v>
      </c>
      <c r="P322" s="30" t="s">
        <v>581</v>
      </c>
      <c r="Q322" s="31">
        <v>1109644.1000000001</v>
      </c>
      <c r="R322" s="31">
        <v>1109.6400000000001</v>
      </c>
      <c r="S322" s="32">
        <v>1.3065E-2</v>
      </c>
      <c r="T322" s="32" t="s">
        <v>139</v>
      </c>
      <c r="U322" s="32">
        <v>-3.6000000000000001E-5</v>
      </c>
      <c r="V322" s="32">
        <v>1.2719999999999999E-3</v>
      </c>
      <c r="W322" s="32">
        <v>4.7809999999999997E-3</v>
      </c>
      <c r="X322" s="32">
        <v>1.0316000000000001E-2</v>
      </c>
      <c r="Y322" s="32">
        <v>1.7868999999999999E-2</v>
      </c>
      <c r="Z322" s="32">
        <v>4.3777999999999997E-2</v>
      </c>
      <c r="AA322" s="32">
        <v>7.7917E-2</v>
      </c>
      <c r="AB322" s="32">
        <v>0.107503</v>
      </c>
    </row>
    <row r="323" spans="1:28" ht="15.6" customHeight="1" x14ac:dyDescent="0.25">
      <c r="A323" s="24" t="s">
        <v>1384</v>
      </c>
      <c r="B323" s="50">
        <v>3902</v>
      </c>
      <c r="C323" s="25" t="s">
        <v>1385</v>
      </c>
      <c r="D323" s="25" t="s">
        <v>145</v>
      </c>
      <c r="E323" s="25" t="s">
        <v>194</v>
      </c>
      <c r="F323" s="25" t="s">
        <v>155</v>
      </c>
      <c r="G323" s="26" t="s">
        <v>139</v>
      </c>
      <c r="H323" s="27" t="s">
        <v>156</v>
      </c>
      <c r="I323" s="24" t="s">
        <v>998</v>
      </c>
      <c r="J323" s="24" t="s">
        <v>121</v>
      </c>
      <c r="K323" s="28" t="s">
        <v>227</v>
      </c>
      <c r="L323" s="29">
        <v>0</v>
      </c>
      <c r="M323" s="29">
        <v>0</v>
      </c>
      <c r="N323" s="29">
        <v>0.02</v>
      </c>
      <c r="O323" s="27" t="s">
        <v>148</v>
      </c>
      <c r="P323" s="30" t="s">
        <v>145</v>
      </c>
      <c r="Q323" s="31">
        <v>229126793.22</v>
      </c>
      <c r="R323" s="31">
        <v>240.67</v>
      </c>
      <c r="S323" s="32">
        <v>1.7675E-2</v>
      </c>
      <c r="T323" s="32" t="s">
        <v>139</v>
      </c>
      <c r="U323" s="32">
        <v>-7.2189999999999997E-3</v>
      </c>
      <c r="V323" s="32">
        <v>-4.0549999999999996E-3</v>
      </c>
      <c r="W323" s="32">
        <v>3.8130999999999998E-2</v>
      </c>
      <c r="X323" s="32">
        <v>0.121325</v>
      </c>
      <c r="Y323" s="32">
        <v>-8.9175000000000004E-2</v>
      </c>
      <c r="Z323" s="32">
        <v>0.41682799999999998</v>
      </c>
      <c r="AA323" s="32">
        <v>0.78156199999999998</v>
      </c>
      <c r="AB323" s="32">
        <v>0.69835599999999998</v>
      </c>
    </row>
    <row r="324" spans="1:28" ht="15.6" customHeight="1" x14ac:dyDescent="0.25">
      <c r="A324" s="24" t="s">
        <v>584</v>
      </c>
      <c r="B324" s="50">
        <v>3903</v>
      </c>
      <c r="C324" s="25" t="s">
        <v>585</v>
      </c>
      <c r="D324" s="25" t="s">
        <v>145</v>
      </c>
      <c r="E324" s="25" t="s">
        <v>194</v>
      </c>
      <c r="F324" s="25" t="s">
        <v>155</v>
      </c>
      <c r="G324" s="26" t="s">
        <v>139</v>
      </c>
      <c r="H324" s="27" t="s">
        <v>156</v>
      </c>
      <c r="I324" s="24" t="s">
        <v>106</v>
      </c>
      <c r="J324" s="24" t="s">
        <v>121</v>
      </c>
      <c r="K324" s="28" t="s">
        <v>227</v>
      </c>
      <c r="L324" s="29">
        <v>0</v>
      </c>
      <c r="M324" s="29">
        <v>0</v>
      </c>
      <c r="N324" s="29">
        <v>0.02</v>
      </c>
      <c r="O324" s="27" t="s">
        <v>148</v>
      </c>
      <c r="P324" s="30" t="s">
        <v>145</v>
      </c>
      <c r="Q324" s="31">
        <v>1441014399.5599999</v>
      </c>
      <c r="R324" s="31">
        <v>1805.08</v>
      </c>
      <c r="S324" s="32">
        <v>1.6619999999999999E-2</v>
      </c>
      <c r="T324" s="32" t="s">
        <v>139</v>
      </c>
      <c r="U324" s="32">
        <v>-6.6699999999999997E-3</v>
      </c>
      <c r="V324" s="32">
        <v>-3.7309999999999999E-3</v>
      </c>
      <c r="W324" s="32">
        <v>3.7671000000000003E-2</v>
      </c>
      <c r="X324" s="32">
        <v>0.120667</v>
      </c>
      <c r="Y324" s="32">
        <v>-8.9617000000000002E-2</v>
      </c>
      <c r="Z324" s="32">
        <v>0.40370499999999998</v>
      </c>
      <c r="AA324" s="32">
        <v>0.76472099999999998</v>
      </c>
      <c r="AB324" s="32">
        <v>0.70245599999999997</v>
      </c>
    </row>
    <row r="325" spans="1:28" ht="15.6" customHeight="1" x14ac:dyDescent="0.25">
      <c r="A325" s="24" t="s">
        <v>586</v>
      </c>
      <c r="B325" s="50">
        <v>3905</v>
      </c>
      <c r="C325" s="25" t="s">
        <v>587</v>
      </c>
      <c r="D325" s="25" t="s">
        <v>164</v>
      </c>
      <c r="E325" s="25" t="s">
        <v>194</v>
      </c>
      <c r="F325" s="25" t="s">
        <v>155</v>
      </c>
      <c r="G325" s="26" t="s">
        <v>139</v>
      </c>
      <c r="H325" s="27" t="s">
        <v>588</v>
      </c>
      <c r="I325" s="24" t="s">
        <v>106</v>
      </c>
      <c r="J325" s="24" t="s">
        <v>107</v>
      </c>
      <c r="K325" s="28" t="s">
        <v>227</v>
      </c>
      <c r="L325" s="29">
        <v>0</v>
      </c>
      <c r="M325" s="29">
        <v>0</v>
      </c>
      <c r="N325" s="29">
        <v>0.01</v>
      </c>
      <c r="O325" s="27" t="s">
        <v>166</v>
      </c>
      <c r="P325" s="30" t="s">
        <v>164</v>
      </c>
      <c r="Q325" s="31">
        <v>215613023.81</v>
      </c>
      <c r="R325" s="31">
        <v>1620.36</v>
      </c>
      <c r="S325" s="32">
        <v>0.11182300000000001</v>
      </c>
      <c r="T325" s="32" t="s">
        <v>139</v>
      </c>
      <c r="U325" s="32">
        <v>-1.743E-3</v>
      </c>
      <c r="V325" s="32">
        <v>2.4499999999999999E-3</v>
      </c>
      <c r="W325" s="32">
        <v>5.0980999999999999E-2</v>
      </c>
      <c r="X325" s="32">
        <v>0.16104099999999999</v>
      </c>
      <c r="Y325" s="32">
        <v>4.0841000000000002E-2</v>
      </c>
      <c r="Z325" s="32">
        <v>0.48383300000000001</v>
      </c>
      <c r="AA325" s="32">
        <v>0.72285200000000005</v>
      </c>
      <c r="AB325" s="32" t="s">
        <v>139</v>
      </c>
    </row>
    <row r="326" spans="1:28" ht="15.6" customHeight="1" x14ac:dyDescent="0.25">
      <c r="A326" s="24" t="s">
        <v>1386</v>
      </c>
      <c r="B326" s="50">
        <v>3906</v>
      </c>
      <c r="C326" s="25" t="s">
        <v>1387</v>
      </c>
      <c r="D326" s="25" t="s">
        <v>164</v>
      </c>
      <c r="E326" s="25" t="s">
        <v>194</v>
      </c>
      <c r="F326" s="25" t="s">
        <v>155</v>
      </c>
      <c r="G326" s="26" t="s">
        <v>139</v>
      </c>
      <c r="H326" s="27" t="s">
        <v>588</v>
      </c>
      <c r="I326" s="24" t="s">
        <v>998</v>
      </c>
      <c r="J326" s="24" t="s">
        <v>107</v>
      </c>
      <c r="K326" s="28" t="s">
        <v>108</v>
      </c>
      <c r="L326" s="29">
        <v>0</v>
      </c>
      <c r="M326" s="29">
        <v>0</v>
      </c>
      <c r="N326" s="29">
        <v>0.01</v>
      </c>
      <c r="O326" s="27" t="s">
        <v>166</v>
      </c>
      <c r="P326" s="30" t="s">
        <v>164</v>
      </c>
      <c r="Q326" s="31">
        <v>208028998.56</v>
      </c>
      <c r="R326" s="31">
        <v>1505.51</v>
      </c>
      <c r="S326" s="32">
        <v>8.9929999999999996E-2</v>
      </c>
      <c r="T326" s="32" t="s">
        <v>139</v>
      </c>
      <c r="U326" s="32">
        <v>-9.5069999999999998E-3</v>
      </c>
      <c r="V326" s="32">
        <v>-5.1079999999999997E-3</v>
      </c>
      <c r="W326" s="32">
        <v>3.3188000000000002E-2</v>
      </c>
      <c r="X326" s="32">
        <v>0.156421</v>
      </c>
      <c r="Y326" s="32">
        <v>-1.3809E-2</v>
      </c>
      <c r="Z326" s="32">
        <v>0.44959900000000003</v>
      </c>
      <c r="AA326" s="32">
        <v>0.68356399999999995</v>
      </c>
      <c r="AB326" s="32" t="s">
        <v>139</v>
      </c>
    </row>
    <row r="327" spans="1:28" ht="15.6" customHeight="1" x14ac:dyDescent="0.25">
      <c r="A327" s="24" t="s">
        <v>589</v>
      </c>
      <c r="B327" s="50">
        <v>3907</v>
      </c>
      <c r="C327" s="25" t="s">
        <v>590</v>
      </c>
      <c r="D327" s="25" t="s">
        <v>322</v>
      </c>
      <c r="E327" s="25" t="s">
        <v>194</v>
      </c>
      <c r="F327" s="25" t="s">
        <v>113</v>
      </c>
      <c r="G327" s="26" t="s">
        <v>465</v>
      </c>
      <c r="H327" s="27" t="s">
        <v>120</v>
      </c>
      <c r="I327" s="24" t="s">
        <v>106</v>
      </c>
      <c r="J327" s="24" t="s">
        <v>107</v>
      </c>
      <c r="K327" s="28" t="s">
        <v>108</v>
      </c>
      <c r="L327" s="29">
        <v>0.03</v>
      </c>
      <c r="M327" s="29">
        <v>1.4999999999999999E-2</v>
      </c>
      <c r="N327" s="29">
        <v>0.02</v>
      </c>
      <c r="O327" s="27" t="s">
        <v>548</v>
      </c>
      <c r="P327" s="30" t="s">
        <v>322</v>
      </c>
      <c r="Q327" s="31">
        <v>443411818.20999998</v>
      </c>
      <c r="R327" s="31">
        <v>104.66</v>
      </c>
      <c r="S327" s="32">
        <v>-3.6180000000000001E-3</v>
      </c>
      <c r="T327" s="32" t="s">
        <v>139</v>
      </c>
      <c r="U327" s="32">
        <v>-2.0019999999999999E-3</v>
      </c>
      <c r="V327" s="32">
        <v>7.6499999999999995E-4</v>
      </c>
      <c r="W327" s="32">
        <v>5.2830000000000004E-3</v>
      </c>
      <c r="X327" s="32">
        <v>8.7709999999999993E-3</v>
      </c>
      <c r="Y327" s="32">
        <v>-1.1148999999999999E-2</v>
      </c>
      <c r="Z327" s="32">
        <v>4.3990000000000001E-2</v>
      </c>
      <c r="AA327" s="32">
        <v>0.105291</v>
      </c>
      <c r="AB327" s="32" t="s">
        <v>139</v>
      </c>
    </row>
    <row r="328" spans="1:28" ht="15.6" customHeight="1" x14ac:dyDescent="0.25">
      <c r="A328" s="24" t="s">
        <v>1388</v>
      </c>
      <c r="B328" s="50">
        <v>3908</v>
      </c>
      <c r="C328" s="25" t="s">
        <v>1389</v>
      </c>
      <c r="D328" s="25" t="s">
        <v>322</v>
      </c>
      <c r="E328" s="25" t="s">
        <v>194</v>
      </c>
      <c r="F328" s="25" t="s">
        <v>113</v>
      </c>
      <c r="G328" s="26" t="s">
        <v>638</v>
      </c>
      <c r="H328" s="27" t="s">
        <v>1390</v>
      </c>
      <c r="I328" s="24" t="s">
        <v>998</v>
      </c>
      <c r="J328" s="24" t="s">
        <v>107</v>
      </c>
      <c r="K328" s="28" t="s">
        <v>108</v>
      </c>
      <c r="L328" s="29">
        <v>0.03</v>
      </c>
      <c r="M328" s="29">
        <v>1.4999999999999999E-2</v>
      </c>
      <c r="N328" s="29">
        <v>0.02</v>
      </c>
      <c r="O328" s="27" t="s">
        <v>166</v>
      </c>
      <c r="P328" s="30" t="s">
        <v>322</v>
      </c>
      <c r="Q328" s="31">
        <v>128325102.59999999</v>
      </c>
      <c r="R328" s="31">
        <v>113.62</v>
      </c>
      <c r="S328" s="32">
        <v>-1.2600999999999999E-2</v>
      </c>
      <c r="T328" s="32" t="s">
        <v>139</v>
      </c>
      <c r="U328" s="32">
        <v>-8.7900000000000001E-4</v>
      </c>
      <c r="V328" s="32">
        <v>1.057E-3</v>
      </c>
      <c r="W328" s="32">
        <v>-5.2800000000000004E-4</v>
      </c>
      <c r="X328" s="32">
        <v>-4.7299999999999998E-3</v>
      </c>
      <c r="Y328" s="32">
        <v>-1.891E-2</v>
      </c>
      <c r="Z328" s="32">
        <v>4.4301E-2</v>
      </c>
      <c r="AA328" s="32">
        <v>0.31641799999999998</v>
      </c>
      <c r="AB328" s="32" t="s">
        <v>139</v>
      </c>
    </row>
    <row r="329" spans="1:28" ht="15.6" customHeight="1" x14ac:dyDescent="0.25">
      <c r="A329" s="24" t="s">
        <v>591</v>
      </c>
      <c r="B329" s="50">
        <v>3909</v>
      </c>
      <c r="C329" s="25" t="s">
        <v>592</v>
      </c>
      <c r="D329" s="25" t="s">
        <v>355</v>
      </c>
      <c r="E329" s="25" t="s">
        <v>194</v>
      </c>
      <c r="F329" s="25" t="s">
        <v>155</v>
      </c>
      <c r="G329" s="26" t="s">
        <v>139</v>
      </c>
      <c r="H329" s="27" t="s">
        <v>156</v>
      </c>
      <c r="I329" s="24" t="s">
        <v>106</v>
      </c>
      <c r="J329" s="24" t="s">
        <v>107</v>
      </c>
      <c r="K329" s="28" t="s">
        <v>108</v>
      </c>
      <c r="L329" s="29">
        <v>0.03</v>
      </c>
      <c r="M329" s="29">
        <v>1.4999999999999999E-2</v>
      </c>
      <c r="N329" s="29">
        <v>0.02</v>
      </c>
      <c r="O329" s="27" t="s">
        <v>161</v>
      </c>
      <c r="P329" s="30" t="s">
        <v>355</v>
      </c>
      <c r="Q329" s="31">
        <v>914621925.53999996</v>
      </c>
      <c r="R329" s="31">
        <v>1454.6</v>
      </c>
      <c r="S329" s="32">
        <v>-3.5366000000000002E-2</v>
      </c>
      <c r="T329" s="32" t="s">
        <v>139</v>
      </c>
      <c r="U329" s="32">
        <v>-9.0539999999999995E-3</v>
      </c>
      <c r="V329" s="32">
        <v>-7.2680000000000002E-3</v>
      </c>
      <c r="W329" s="32">
        <v>2.6904999999999998E-2</v>
      </c>
      <c r="X329" s="32">
        <v>7.5704999999999995E-2</v>
      </c>
      <c r="Y329" s="32">
        <v>-0.14536299999999999</v>
      </c>
      <c r="Z329" s="32">
        <v>0.26539800000000002</v>
      </c>
      <c r="AA329" s="32">
        <v>0.58709</v>
      </c>
      <c r="AB329" s="32" t="s">
        <v>139</v>
      </c>
    </row>
    <row r="330" spans="1:28" ht="15.6" customHeight="1" x14ac:dyDescent="0.25">
      <c r="A330" s="24" t="s">
        <v>1391</v>
      </c>
      <c r="B330" s="50">
        <v>3910</v>
      </c>
      <c r="C330" s="25" t="s">
        <v>1392</v>
      </c>
      <c r="D330" s="25" t="s">
        <v>159</v>
      </c>
      <c r="E330" s="25" t="s">
        <v>194</v>
      </c>
      <c r="F330" s="25" t="s">
        <v>138</v>
      </c>
      <c r="G330" s="26" t="s">
        <v>139</v>
      </c>
      <c r="H330" s="27" t="s">
        <v>139</v>
      </c>
      <c r="I330" s="24" t="s">
        <v>998</v>
      </c>
      <c r="J330" s="24" t="s">
        <v>107</v>
      </c>
      <c r="K330" s="28" t="s">
        <v>108</v>
      </c>
      <c r="L330" s="29">
        <v>2E-3</v>
      </c>
      <c r="M330" s="29">
        <v>2E-3</v>
      </c>
      <c r="N330" s="29">
        <v>0.02</v>
      </c>
      <c r="O330" s="27" t="s">
        <v>161</v>
      </c>
      <c r="P330" s="30" t="s">
        <v>1393</v>
      </c>
      <c r="Q330" s="31">
        <v>569347529.88</v>
      </c>
      <c r="R330" s="31">
        <v>1174.8</v>
      </c>
      <c r="S330" s="32">
        <v>6.8050000000000003E-3</v>
      </c>
      <c r="T330" s="32" t="s">
        <v>139</v>
      </c>
      <c r="U330" s="32">
        <v>-1.3010000000000001E-3</v>
      </c>
      <c r="V330" s="32">
        <v>-2.4699999999999999E-4</v>
      </c>
      <c r="W330" s="32">
        <v>1.0963000000000001E-2</v>
      </c>
      <c r="X330" s="32">
        <v>3.2791000000000001E-2</v>
      </c>
      <c r="Y330" s="32">
        <v>-1.5032999999999999E-2</v>
      </c>
      <c r="Z330" s="32">
        <v>0.112953</v>
      </c>
      <c r="AA330" s="32">
        <v>0.181226</v>
      </c>
      <c r="AB330" s="32" t="s">
        <v>139</v>
      </c>
    </row>
    <row r="331" spans="1:28" ht="15.6" customHeight="1" x14ac:dyDescent="0.25">
      <c r="A331" s="24" t="s">
        <v>593</v>
      </c>
      <c r="B331" s="50">
        <v>3911</v>
      </c>
      <c r="C331" s="25" t="s">
        <v>594</v>
      </c>
      <c r="D331" s="25" t="s">
        <v>261</v>
      </c>
      <c r="E331" s="25" t="s">
        <v>194</v>
      </c>
      <c r="F331" s="25" t="s">
        <v>128</v>
      </c>
      <c r="G331" s="26" t="s">
        <v>289</v>
      </c>
      <c r="H331" s="27" t="s">
        <v>270</v>
      </c>
      <c r="I331" s="24" t="s">
        <v>106</v>
      </c>
      <c r="J331" s="24" t="s">
        <v>107</v>
      </c>
      <c r="K331" s="28" t="s">
        <v>108</v>
      </c>
      <c r="L331" s="29">
        <v>0.03</v>
      </c>
      <c r="M331" s="29">
        <v>1.4999999999999999E-2</v>
      </c>
      <c r="N331" s="29">
        <v>0.02</v>
      </c>
      <c r="O331" s="27" t="s">
        <v>262</v>
      </c>
      <c r="P331" s="30" t="s">
        <v>595</v>
      </c>
      <c r="Q331" s="31">
        <v>1879166341.8800001</v>
      </c>
      <c r="R331" s="31">
        <v>1147.3800000000001</v>
      </c>
      <c r="S331" s="32">
        <v>1.8742999999999999E-2</v>
      </c>
      <c r="T331" s="32" t="s">
        <v>139</v>
      </c>
      <c r="U331" s="32">
        <v>-1.4799999999999999E-4</v>
      </c>
      <c r="V331" s="32">
        <v>1.9300000000000001E-3</v>
      </c>
      <c r="W331" s="32">
        <v>6.509E-3</v>
      </c>
      <c r="X331" s="32">
        <v>1.4213999999999999E-2</v>
      </c>
      <c r="Y331" s="32">
        <v>2.6747E-2</v>
      </c>
      <c r="Z331" s="32">
        <v>6.3876000000000002E-2</v>
      </c>
      <c r="AA331" s="32">
        <v>0.10793700000000001</v>
      </c>
      <c r="AB331" s="32" t="s">
        <v>139</v>
      </c>
    </row>
    <row r="332" spans="1:28" ht="15.6" customHeight="1" x14ac:dyDescent="0.25">
      <c r="A332" s="24" t="s">
        <v>596</v>
      </c>
      <c r="B332" s="50">
        <v>3912</v>
      </c>
      <c r="C332" s="25" t="s">
        <v>597</v>
      </c>
      <c r="D332" s="25" t="s">
        <v>261</v>
      </c>
      <c r="E332" s="25" t="s">
        <v>194</v>
      </c>
      <c r="F332" s="25" t="s">
        <v>113</v>
      </c>
      <c r="G332" s="26" t="s">
        <v>465</v>
      </c>
      <c r="H332" s="27" t="s">
        <v>598</v>
      </c>
      <c r="I332" s="24" t="s">
        <v>106</v>
      </c>
      <c r="J332" s="24" t="s">
        <v>107</v>
      </c>
      <c r="K332" s="28" t="s">
        <v>108</v>
      </c>
      <c r="L332" s="29">
        <v>0.03</v>
      </c>
      <c r="M332" s="29">
        <v>1.4999999999999999E-2</v>
      </c>
      <c r="N332" s="29">
        <v>0.02</v>
      </c>
      <c r="O332" s="27" t="s">
        <v>262</v>
      </c>
      <c r="P332" s="30" t="s">
        <v>595</v>
      </c>
      <c r="Q332" s="31">
        <v>391172917.19</v>
      </c>
      <c r="R332" s="31">
        <v>1150.96</v>
      </c>
      <c r="S332" s="32">
        <v>-5.7359999999999998E-3</v>
      </c>
      <c r="T332" s="32" t="s">
        <v>139</v>
      </c>
      <c r="U332" s="32">
        <v>-2.911E-3</v>
      </c>
      <c r="V332" s="32">
        <v>-4.0000000000000002E-4</v>
      </c>
      <c r="W332" s="32">
        <v>4.7400000000000003E-3</v>
      </c>
      <c r="X332" s="32">
        <v>5.5830000000000003E-3</v>
      </c>
      <c r="Y332" s="32">
        <v>-1.0777999999999999E-2</v>
      </c>
      <c r="Z332" s="32">
        <v>6.6474000000000005E-2</v>
      </c>
      <c r="AA332" s="32">
        <v>0.13647000000000001</v>
      </c>
      <c r="AB332" s="32" t="s">
        <v>139</v>
      </c>
    </row>
    <row r="333" spans="1:28" ht="15.6" customHeight="1" x14ac:dyDescent="0.25">
      <c r="A333" s="24" t="s">
        <v>1394</v>
      </c>
      <c r="B333" s="50">
        <v>3913</v>
      </c>
      <c r="C333" s="25" t="s">
        <v>11</v>
      </c>
      <c r="D333" s="25" t="s">
        <v>112</v>
      </c>
      <c r="E333" s="25" t="s">
        <v>194</v>
      </c>
      <c r="F333" s="25" t="s">
        <v>155</v>
      </c>
      <c r="G333" s="26" t="s">
        <v>139</v>
      </c>
      <c r="H333" s="27" t="s">
        <v>1395</v>
      </c>
      <c r="I333" s="24" t="s">
        <v>998</v>
      </c>
      <c r="J333" s="24" t="s">
        <v>107</v>
      </c>
      <c r="K333" s="28" t="s">
        <v>108</v>
      </c>
      <c r="L333" s="29">
        <v>0.03</v>
      </c>
      <c r="M333" s="29">
        <v>1.4999999999999999E-2</v>
      </c>
      <c r="N333" s="29">
        <v>0.02</v>
      </c>
      <c r="O333" s="27" t="s">
        <v>116</v>
      </c>
      <c r="P333" s="30" t="s">
        <v>112</v>
      </c>
      <c r="Q333" s="31">
        <v>250113007.55000001</v>
      </c>
      <c r="R333" s="31">
        <v>962.8</v>
      </c>
      <c r="S333" s="32">
        <v>1.8318999999999998E-2</v>
      </c>
      <c r="T333" s="32" t="s">
        <v>139</v>
      </c>
      <c r="U333" s="32">
        <v>2.7E-4</v>
      </c>
      <c r="V333" s="32">
        <v>4.7479999999999996E-3</v>
      </c>
      <c r="W333" s="32">
        <v>4.0988999999999998E-2</v>
      </c>
      <c r="X333" s="32">
        <v>0.106298</v>
      </c>
      <c r="Y333" s="32">
        <v>-8.4520999999999999E-2</v>
      </c>
      <c r="Z333" s="32">
        <v>3.7612E-2</v>
      </c>
      <c r="AA333" s="32">
        <v>0.131215</v>
      </c>
      <c r="AB333" s="32" t="s">
        <v>139</v>
      </c>
    </row>
    <row r="334" spans="1:28" ht="15.6" customHeight="1" x14ac:dyDescent="0.25">
      <c r="A334" s="24" t="s">
        <v>599</v>
      </c>
      <c r="B334" s="50">
        <v>3914</v>
      </c>
      <c r="C334" s="25" t="s">
        <v>600</v>
      </c>
      <c r="D334" s="25" t="s">
        <v>342</v>
      </c>
      <c r="E334" s="25" t="s">
        <v>194</v>
      </c>
      <c r="F334" s="25" t="s">
        <v>128</v>
      </c>
      <c r="G334" s="26" t="s">
        <v>289</v>
      </c>
      <c r="H334" s="27" t="s">
        <v>130</v>
      </c>
      <c r="I334" s="24" t="s">
        <v>106</v>
      </c>
      <c r="J334" s="24" t="s">
        <v>107</v>
      </c>
      <c r="K334" s="28" t="s">
        <v>108</v>
      </c>
      <c r="L334" s="29">
        <v>0.03</v>
      </c>
      <c r="M334" s="29">
        <v>0.03</v>
      </c>
      <c r="N334" s="29">
        <v>0.02</v>
      </c>
      <c r="O334" s="27" t="s">
        <v>141</v>
      </c>
      <c r="P334" s="30" t="s">
        <v>344</v>
      </c>
      <c r="Q334" s="31">
        <v>2073886942.0799999</v>
      </c>
      <c r="R334" s="31">
        <v>1153.44</v>
      </c>
      <c r="S334" s="32">
        <v>1.9831999999999999E-2</v>
      </c>
      <c r="T334" s="32" t="s">
        <v>139</v>
      </c>
      <c r="U334" s="32">
        <v>-1.21E-4</v>
      </c>
      <c r="V334" s="32">
        <v>2.0330000000000001E-3</v>
      </c>
      <c r="W334" s="32">
        <v>7.345E-3</v>
      </c>
      <c r="X334" s="32">
        <v>1.5280999999999999E-2</v>
      </c>
      <c r="Y334" s="32">
        <v>2.7994000000000002E-2</v>
      </c>
      <c r="Z334" s="32">
        <v>6.7664000000000002E-2</v>
      </c>
      <c r="AA334" s="32">
        <v>0.114467</v>
      </c>
      <c r="AB334" s="32" t="s">
        <v>139</v>
      </c>
    </row>
    <row r="335" spans="1:28" ht="15.6" customHeight="1" x14ac:dyDescent="0.25">
      <c r="A335" s="24" t="s">
        <v>1396</v>
      </c>
      <c r="B335" s="50">
        <v>3915</v>
      </c>
      <c r="C335" s="25" t="s">
        <v>1397</v>
      </c>
      <c r="D335" s="25" t="s">
        <v>342</v>
      </c>
      <c r="E335" s="25" t="s">
        <v>194</v>
      </c>
      <c r="F335" s="25" t="s">
        <v>113</v>
      </c>
      <c r="G335" s="26" t="s">
        <v>1072</v>
      </c>
      <c r="H335" s="27" t="s">
        <v>115</v>
      </c>
      <c r="I335" s="24" t="s">
        <v>998</v>
      </c>
      <c r="J335" s="24" t="s">
        <v>107</v>
      </c>
      <c r="K335" s="28" t="s">
        <v>108</v>
      </c>
      <c r="L335" s="29">
        <v>0.03</v>
      </c>
      <c r="M335" s="29">
        <v>0.03</v>
      </c>
      <c r="N335" s="29">
        <v>0.02</v>
      </c>
      <c r="O335" s="27" t="s">
        <v>141</v>
      </c>
      <c r="P335" s="30" t="s">
        <v>344</v>
      </c>
      <c r="Q335" s="31">
        <v>3159977870.8000002</v>
      </c>
      <c r="R335" s="31">
        <v>1165.21</v>
      </c>
      <c r="S335" s="32">
        <v>-5.9290000000000002E-3</v>
      </c>
      <c r="T335" s="32" t="s">
        <v>139</v>
      </c>
      <c r="U335" s="32">
        <v>-2.0040000000000001E-3</v>
      </c>
      <c r="V335" s="32">
        <v>8.1599999999999999E-4</v>
      </c>
      <c r="W335" s="32">
        <v>5.1149999999999998E-3</v>
      </c>
      <c r="X335" s="32">
        <v>5.9309999999999996E-3</v>
      </c>
      <c r="Y335" s="32">
        <v>-1.9316E-2</v>
      </c>
      <c r="Z335" s="32">
        <v>9.0837000000000001E-2</v>
      </c>
      <c r="AA335" s="32">
        <v>0.18859000000000001</v>
      </c>
      <c r="AB335" s="32" t="s">
        <v>139</v>
      </c>
    </row>
    <row r="336" spans="1:28" ht="15.6" customHeight="1" x14ac:dyDescent="0.25">
      <c r="A336" s="24" t="s">
        <v>601</v>
      </c>
      <c r="B336" s="50">
        <v>3916</v>
      </c>
      <c r="C336" s="25" t="s">
        <v>602</v>
      </c>
      <c r="D336" s="25" t="s">
        <v>355</v>
      </c>
      <c r="E336" s="25" t="s">
        <v>194</v>
      </c>
      <c r="F336" s="25" t="s">
        <v>138</v>
      </c>
      <c r="G336" s="26" t="s">
        <v>139</v>
      </c>
      <c r="H336" s="27" t="s">
        <v>603</v>
      </c>
      <c r="I336" s="24" t="s">
        <v>106</v>
      </c>
      <c r="J336" s="24" t="s">
        <v>107</v>
      </c>
      <c r="K336" s="28" t="s">
        <v>108</v>
      </c>
      <c r="L336" s="29">
        <v>0.03</v>
      </c>
      <c r="M336" s="29">
        <v>1.4999999999999999E-2</v>
      </c>
      <c r="N336" s="29">
        <v>0.02</v>
      </c>
      <c r="O336" s="27" t="s">
        <v>161</v>
      </c>
      <c r="P336" s="30" t="s">
        <v>355</v>
      </c>
      <c r="Q336" s="31">
        <v>720632356.22000003</v>
      </c>
      <c r="R336" s="31">
        <v>1351.03</v>
      </c>
      <c r="S336" s="32">
        <v>-2.2155000000000001E-2</v>
      </c>
      <c r="T336" s="32" t="s">
        <v>139</v>
      </c>
      <c r="U336" s="32">
        <v>-5.777E-3</v>
      </c>
      <c r="V336" s="32">
        <v>-4.3920000000000001E-3</v>
      </c>
      <c r="W336" s="32">
        <v>1.0297000000000001E-2</v>
      </c>
      <c r="X336" s="32">
        <v>3.3577000000000003E-2</v>
      </c>
      <c r="Y336" s="32">
        <v>-8.1476000000000007E-2</v>
      </c>
      <c r="Z336" s="32">
        <v>0.26045400000000002</v>
      </c>
      <c r="AA336" s="32">
        <v>0.40095999999999998</v>
      </c>
      <c r="AB336" s="32" t="s">
        <v>139</v>
      </c>
    </row>
    <row r="337" spans="1:28" ht="15.6" customHeight="1" x14ac:dyDescent="0.25">
      <c r="A337" s="24" t="s">
        <v>604</v>
      </c>
      <c r="B337" s="50">
        <v>3917</v>
      </c>
      <c r="C337" s="25" t="s">
        <v>605</v>
      </c>
      <c r="D337" s="25" t="s">
        <v>355</v>
      </c>
      <c r="E337" s="25" t="s">
        <v>194</v>
      </c>
      <c r="F337" s="25" t="s">
        <v>113</v>
      </c>
      <c r="G337" s="26" t="s">
        <v>493</v>
      </c>
      <c r="H337" s="27" t="s">
        <v>115</v>
      </c>
      <c r="I337" s="24" t="s">
        <v>106</v>
      </c>
      <c r="J337" s="24" t="s">
        <v>107</v>
      </c>
      <c r="K337" s="28" t="s">
        <v>108</v>
      </c>
      <c r="L337" s="29">
        <v>0.03</v>
      </c>
      <c r="M337" s="29">
        <v>1.4999999999999999E-2</v>
      </c>
      <c r="N337" s="29">
        <v>0.02</v>
      </c>
      <c r="O337" s="27" t="s">
        <v>161</v>
      </c>
      <c r="P337" s="30" t="s">
        <v>355</v>
      </c>
      <c r="Q337" s="31">
        <v>1073791.31</v>
      </c>
      <c r="R337" s="31">
        <v>1073.79</v>
      </c>
      <c r="S337" s="32">
        <v>6.9680000000000002E-3</v>
      </c>
      <c r="T337" s="32" t="s">
        <v>139</v>
      </c>
      <c r="U337" s="32">
        <v>-1.5900000000000001E-3</v>
      </c>
      <c r="V337" s="32">
        <v>1.418E-3</v>
      </c>
      <c r="W337" s="32">
        <v>4.5750000000000001E-3</v>
      </c>
      <c r="X337" s="32">
        <v>8.5380000000000005E-3</v>
      </c>
      <c r="Y337" s="32">
        <v>5.045E-3</v>
      </c>
      <c r="Z337" s="32">
        <v>4.4482000000000001E-2</v>
      </c>
      <c r="AA337" s="32">
        <v>9.2794000000000001E-2</v>
      </c>
      <c r="AB337" s="32" t="s">
        <v>139</v>
      </c>
    </row>
    <row r="338" spans="1:28" ht="15.6" customHeight="1" x14ac:dyDescent="0.25">
      <c r="A338" s="24" t="s">
        <v>1398</v>
      </c>
      <c r="B338" s="50">
        <v>3918</v>
      </c>
      <c r="C338" s="25" t="s">
        <v>1399</v>
      </c>
      <c r="D338" s="25" t="s">
        <v>342</v>
      </c>
      <c r="E338" s="25" t="s">
        <v>194</v>
      </c>
      <c r="F338" s="25" t="s">
        <v>113</v>
      </c>
      <c r="G338" s="26" t="s">
        <v>702</v>
      </c>
      <c r="H338" s="27" t="s">
        <v>115</v>
      </c>
      <c r="I338" s="24" t="s">
        <v>998</v>
      </c>
      <c r="J338" s="24" t="s">
        <v>121</v>
      </c>
      <c r="K338" s="28" t="s">
        <v>108</v>
      </c>
      <c r="L338" s="29">
        <v>0</v>
      </c>
      <c r="M338" s="29">
        <v>0</v>
      </c>
      <c r="N338" s="29">
        <v>0.02</v>
      </c>
      <c r="O338" s="27" t="s">
        <v>548</v>
      </c>
      <c r="P338" s="30" t="s">
        <v>342</v>
      </c>
      <c r="Q338" s="31">
        <v>2911333800.5599999</v>
      </c>
      <c r="R338" s="31">
        <v>1263.4100000000001</v>
      </c>
      <c r="S338" s="32">
        <v>1.451E-3</v>
      </c>
      <c r="T338" s="32" t="s">
        <v>139</v>
      </c>
      <c r="U338" s="32">
        <v>-1.4940000000000001E-3</v>
      </c>
      <c r="V338" s="32">
        <v>1.7600000000000001E-3</v>
      </c>
      <c r="W338" s="32">
        <v>8.2030000000000002E-3</v>
      </c>
      <c r="X338" s="32">
        <v>1.2031E-2</v>
      </c>
      <c r="Y338" s="32">
        <v>-1.1129999999999999E-2</v>
      </c>
      <c r="Z338" s="32">
        <v>0.100234</v>
      </c>
      <c r="AA338" s="32">
        <v>0.224021</v>
      </c>
      <c r="AB338" s="32" t="s">
        <v>139</v>
      </c>
    </row>
    <row r="339" spans="1:28" ht="15.6" customHeight="1" x14ac:dyDescent="0.25">
      <c r="A339" s="24" t="s">
        <v>1400</v>
      </c>
      <c r="B339" s="50">
        <v>3919</v>
      </c>
      <c r="C339" s="25" t="s">
        <v>1401</v>
      </c>
      <c r="D339" s="25" t="s">
        <v>524</v>
      </c>
      <c r="E339" s="25" t="s">
        <v>194</v>
      </c>
      <c r="F339" s="25" t="s">
        <v>113</v>
      </c>
      <c r="G339" s="26" t="s">
        <v>493</v>
      </c>
      <c r="H339" s="27" t="s">
        <v>115</v>
      </c>
      <c r="I339" s="24" t="s">
        <v>998</v>
      </c>
      <c r="J339" s="24" t="s">
        <v>107</v>
      </c>
      <c r="K339" s="28" t="s">
        <v>108</v>
      </c>
      <c r="L339" s="29">
        <v>0</v>
      </c>
      <c r="M339" s="29">
        <v>0</v>
      </c>
      <c r="N339" s="29">
        <v>0.01</v>
      </c>
      <c r="O339" s="27" t="s">
        <v>141</v>
      </c>
      <c r="P339" s="30" t="s">
        <v>525</v>
      </c>
      <c r="Q339" s="31">
        <v>237704973.22</v>
      </c>
      <c r="R339" s="31">
        <v>1152.75</v>
      </c>
      <c r="S339" s="32">
        <v>-1.3698E-2</v>
      </c>
      <c r="T339" s="32" t="s">
        <v>139</v>
      </c>
      <c r="U339" s="32">
        <v>-1.5590000000000001E-3</v>
      </c>
      <c r="V339" s="32">
        <v>8.7699999999999996E-4</v>
      </c>
      <c r="W339" s="32">
        <v>3.4910000000000002E-3</v>
      </c>
      <c r="X339" s="32">
        <v>-5.1199999999999998E-4</v>
      </c>
      <c r="Y339" s="32">
        <v>-3.3827999999999997E-2</v>
      </c>
      <c r="Z339" s="32">
        <v>5.3220999999999997E-2</v>
      </c>
      <c r="AA339" s="32">
        <v>0.14741499999999999</v>
      </c>
      <c r="AB339" s="32" t="s">
        <v>139</v>
      </c>
    </row>
    <row r="340" spans="1:28" ht="15.6" customHeight="1" x14ac:dyDescent="0.25">
      <c r="A340" s="24" t="s">
        <v>1402</v>
      </c>
      <c r="B340" s="50">
        <v>3920</v>
      </c>
      <c r="C340" s="25" t="s">
        <v>1403</v>
      </c>
      <c r="D340" s="25" t="s">
        <v>524</v>
      </c>
      <c r="E340" s="25" t="s">
        <v>194</v>
      </c>
      <c r="F340" s="25" t="s">
        <v>138</v>
      </c>
      <c r="G340" s="26" t="s">
        <v>139</v>
      </c>
      <c r="H340" s="27" t="s">
        <v>223</v>
      </c>
      <c r="I340" s="24" t="s">
        <v>998</v>
      </c>
      <c r="J340" s="24" t="s">
        <v>107</v>
      </c>
      <c r="K340" s="28" t="s">
        <v>108</v>
      </c>
      <c r="L340" s="29">
        <v>1.4999999999999999E-2</v>
      </c>
      <c r="M340" s="29">
        <v>1.4999999999999999E-2</v>
      </c>
      <c r="N340" s="29">
        <v>0.01</v>
      </c>
      <c r="O340" s="27" t="s">
        <v>141</v>
      </c>
      <c r="P340" s="30" t="s">
        <v>525</v>
      </c>
      <c r="Q340" s="31">
        <v>286188879.88</v>
      </c>
      <c r="R340" s="31">
        <v>1199.23</v>
      </c>
      <c r="S340" s="32">
        <v>-3.3526E-2</v>
      </c>
      <c r="T340" s="32" t="s">
        <v>139</v>
      </c>
      <c r="U340" s="32">
        <v>-3.3579999999999999E-3</v>
      </c>
      <c r="V340" s="32">
        <v>-2.9099999999999998E-3</v>
      </c>
      <c r="W340" s="32">
        <v>1.1684E-2</v>
      </c>
      <c r="X340" s="32">
        <v>2.5211000000000001E-2</v>
      </c>
      <c r="Y340" s="32">
        <v>-0.110304</v>
      </c>
      <c r="Z340" s="32">
        <v>0.12288499999999999</v>
      </c>
      <c r="AA340" s="32">
        <v>0.19051499999999999</v>
      </c>
      <c r="AB340" s="32" t="s">
        <v>139</v>
      </c>
    </row>
    <row r="341" spans="1:28" ht="15.6" customHeight="1" x14ac:dyDescent="0.25">
      <c r="A341" s="24" t="s">
        <v>606</v>
      </c>
      <c r="B341" s="50">
        <v>3921</v>
      </c>
      <c r="C341" s="25" t="s">
        <v>67</v>
      </c>
      <c r="D341" s="25" t="s">
        <v>145</v>
      </c>
      <c r="E341" s="25" t="s">
        <v>194</v>
      </c>
      <c r="F341" s="25" t="s">
        <v>138</v>
      </c>
      <c r="G341" s="26" t="s">
        <v>139</v>
      </c>
      <c r="H341" s="27" t="s">
        <v>607</v>
      </c>
      <c r="I341" s="24" t="s">
        <v>106</v>
      </c>
      <c r="J341" s="24" t="s">
        <v>107</v>
      </c>
      <c r="K341" s="28" t="s">
        <v>108</v>
      </c>
      <c r="L341" s="29">
        <v>0.02</v>
      </c>
      <c r="M341" s="29">
        <v>0.01</v>
      </c>
      <c r="N341" s="29">
        <v>0.02</v>
      </c>
      <c r="O341" s="27" t="s">
        <v>148</v>
      </c>
      <c r="P341" s="30" t="s">
        <v>145</v>
      </c>
      <c r="Q341" s="31">
        <v>812377200.90999997</v>
      </c>
      <c r="R341" s="31">
        <v>1470.52</v>
      </c>
      <c r="S341" s="32">
        <v>-2.5513000000000001E-2</v>
      </c>
      <c r="T341" s="32" t="s">
        <v>139</v>
      </c>
      <c r="U341" s="32">
        <v>9.3300000000000002E-4</v>
      </c>
      <c r="V341" s="32">
        <v>2.905E-3</v>
      </c>
      <c r="W341" s="32">
        <v>1.4123999999999999E-2</v>
      </c>
      <c r="X341" s="32">
        <v>1.7399999999999999E-2</v>
      </c>
      <c r="Y341" s="32">
        <v>-8.2594000000000001E-2</v>
      </c>
      <c r="Z341" s="32">
        <v>0.105879</v>
      </c>
      <c r="AA341" s="32">
        <v>0.25392900000000002</v>
      </c>
      <c r="AB341" s="32">
        <v>0.129605</v>
      </c>
    </row>
    <row r="342" spans="1:28" ht="15.6" customHeight="1" x14ac:dyDescent="0.25">
      <c r="A342" s="24" t="s">
        <v>1404</v>
      </c>
      <c r="B342" s="50">
        <v>3922</v>
      </c>
      <c r="C342" s="25" t="s">
        <v>1405</v>
      </c>
      <c r="D342" s="25" t="s">
        <v>322</v>
      </c>
      <c r="E342" s="25" t="s">
        <v>194</v>
      </c>
      <c r="F342" s="25" t="s">
        <v>138</v>
      </c>
      <c r="G342" s="26" t="s">
        <v>139</v>
      </c>
      <c r="H342" s="27" t="s">
        <v>1406</v>
      </c>
      <c r="I342" s="24" t="s">
        <v>998</v>
      </c>
      <c r="J342" s="24" t="s">
        <v>121</v>
      </c>
      <c r="K342" s="28" t="s">
        <v>227</v>
      </c>
      <c r="L342" s="29">
        <v>0</v>
      </c>
      <c r="M342" s="29">
        <v>0</v>
      </c>
      <c r="N342" s="29">
        <v>0.02</v>
      </c>
      <c r="O342" s="27" t="s">
        <v>166</v>
      </c>
      <c r="P342" s="30" t="s">
        <v>322</v>
      </c>
      <c r="Q342" s="31">
        <v>518875053.70999998</v>
      </c>
      <c r="R342" s="31">
        <v>252.66</v>
      </c>
      <c r="S342" s="32">
        <v>1.8211999999999999E-2</v>
      </c>
      <c r="T342" s="32" t="s">
        <v>139</v>
      </c>
      <c r="U342" s="32">
        <v>-3.9420000000000002E-3</v>
      </c>
      <c r="V342" s="32">
        <v>2.3410000000000002E-3</v>
      </c>
      <c r="W342" s="32">
        <v>2.8034E-2</v>
      </c>
      <c r="X342" s="32">
        <v>6.8544999999999995E-2</v>
      </c>
      <c r="Y342" s="32">
        <v>-3.9245000000000002E-2</v>
      </c>
      <c r="Z342" s="32">
        <v>0.232795</v>
      </c>
      <c r="AA342" s="32">
        <v>0.44414500000000001</v>
      </c>
      <c r="AB342" s="32">
        <v>0.383046</v>
      </c>
    </row>
    <row r="343" spans="1:28" ht="15.6" customHeight="1" x14ac:dyDescent="0.25">
      <c r="A343" s="24" t="s">
        <v>608</v>
      </c>
      <c r="B343" s="50">
        <v>3923</v>
      </c>
      <c r="C343" s="25" t="s">
        <v>609</v>
      </c>
      <c r="D343" s="25" t="s">
        <v>145</v>
      </c>
      <c r="E343" s="25" t="s">
        <v>194</v>
      </c>
      <c r="F343" s="25" t="s">
        <v>113</v>
      </c>
      <c r="G343" s="26" t="s">
        <v>610</v>
      </c>
      <c r="H343" s="27" t="s">
        <v>115</v>
      </c>
      <c r="I343" s="24" t="s">
        <v>106</v>
      </c>
      <c r="J343" s="24" t="s">
        <v>107</v>
      </c>
      <c r="K343" s="28" t="s">
        <v>227</v>
      </c>
      <c r="L343" s="29">
        <v>0.02</v>
      </c>
      <c r="M343" s="29">
        <v>0.01</v>
      </c>
      <c r="N343" s="29">
        <v>0.02</v>
      </c>
      <c r="O343" s="27" t="s">
        <v>148</v>
      </c>
      <c r="P343" s="30" t="s">
        <v>494</v>
      </c>
      <c r="Q343" s="31">
        <v>1131315.19</v>
      </c>
      <c r="R343" s="31">
        <v>1131.31</v>
      </c>
      <c r="S343" s="32">
        <v>6.79E-3</v>
      </c>
      <c r="T343" s="32" t="s">
        <v>139</v>
      </c>
      <c r="U343" s="32">
        <v>-7.7700000000000002E-4</v>
      </c>
      <c r="V343" s="32">
        <v>2.0899999999999998E-3</v>
      </c>
      <c r="W343" s="32">
        <v>5.1619999999999999E-3</v>
      </c>
      <c r="X343" s="32">
        <v>7.5789999999999998E-3</v>
      </c>
      <c r="Y343" s="32">
        <v>7.077E-3</v>
      </c>
      <c r="Z343" s="32">
        <v>4.8878999999999999E-2</v>
      </c>
      <c r="AA343" s="32">
        <v>0.106892</v>
      </c>
      <c r="AB343" s="32" t="s">
        <v>139</v>
      </c>
    </row>
    <row r="344" spans="1:28" ht="15.6" customHeight="1" x14ac:dyDescent="0.25">
      <c r="A344" s="24" t="s">
        <v>1407</v>
      </c>
      <c r="B344" s="50">
        <v>3924</v>
      </c>
      <c r="C344" s="25" t="s">
        <v>1408</v>
      </c>
      <c r="D344" s="25" t="s">
        <v>570</v>
      </c>
      <c r="E344" s="25" t="s">
        <v>194</v>
      </c>
      <c r="F344" s="25" t="s">
        <v>113</v>
      </c>
      <c r="G344" s="26" t="s">
        <v>1066</v>
      </c>
      <c r="H344" s="27" t="s">
        <v>152</v>
      </c>
      <c r="I344" s="24" t="s">
        <v>998</v>
      </c>
      <c r="J344" s="24" t="s">
        <v>121</v>
      </c>
      <c r="K344" s="28" t="s">
        <v>108</v>
      </c>
      <c r="L344" s="29">
        <v>0</v>
      </c>
      <c r="M344" s="29">
        <v>0</v>
      </c>
      <c r="N344" s="29">
        <v>0.02</v>
      </c>
      <c r="O344" s="27" t="s">
        <v>548</v>
      </c>
      <c r="P344" s="30" t="s">
        <v>570</v>
      </c>
      <c r="Q344" s="31">
        <v>2856481080.98</v>
      </c>
      <c r="R344" s="31">
        <v>1257.58</v>
      </c>
      <c r="S344" s="32">
        <v>-7.1500000000000003E-4</v>
      </c>
      <c r="T344" s="32" t="s">
        <v>139</v>
      </c>
      <c r="U344" s="32">
        <v>-1.9680000000000001E-3</v>
      </c>
      <c r="V344" s="32">
        <v>1.3619999999999999E-3</v>
      </c>
      <c r="W344" s="32">
        <v>7.4419999999999998E-3</v>
      </c>
      <c r="X344" s="32">
        <v>1.2919E-2</v>
      </c>
      <c r="Y344" s="32">
        <v>-1.5384999999999999E-2</v>
      </c>
      <c r="Z344" s="32">
        <v>9.1762999999999997E-2</v>
      </c>
      <c r="AA344" s="32">
        <v>0.21349399999999999</v>
      </c>
      <c r="AB344" s="32" t="s">
        <v>139</v>
      </c>
    </row>
    <row r="345" spans="1:28" ht="15.6" customHeight="1" x14ac:dyDescent="0.25">
      <c r="A345" s="24" t="s">
        <v>611</v>
      </c>
      <c r="B345" s="50">
        <v>3928</v>
      </c>
      <c r="C345" s="25" t="s">
        <v>612</v>
      </c>
      <c r="D345" s="25" t="s">
        <v>101</v>
      </c>
      <c r="E345" s="25" t="s">
        <v>194</v>
      </c>
      <c r="F345" s="25" t="s">
        <v>128</v>
      </c>
      <c r="G345" s="26" t="s">
        <v>129</v>
      </c>
      <c r="H345" s="27" t="s">
        <v>130</v>
      </c>
      <c r="I345" s="24" t="s">
        <v>106</v>
      </c>
      <c r="J345" s="24" t="s">
        <v>107</v>
      </c>
      <c r="K345" s="28" t="s">
        <v>180</v>
      </c>
      <c r="L345" s="29">
        <v>0</v>
      </c>
      <c r="M345" s="29">
        <v>0</v>
      </c>
      <c r="N345" s="29">
        <v>0.02</v>
      </c>
      <c r="O345" s="27" t="s">
        <v>109</v>
      </c>
      <c r="P345" s="30" t="s">
        <v>101</v>
      </c>
      <c r="Q345" s="31">
        <v>4768705.8600000003</v>
      </c>
      <c r="R345" s="31">
        <v>134.21</v>
      </c>
      <c r="S345" s="32">
        <v>1.3518000000000001E-2</v>
      </c>
      <c r="T345" s="32" t="s">
        <v>139</v>
      </c>
      <c r="U345" s="32">
        <v>-3.7199999999999999E-4</v>
      </c>
      <c r="V345" s="32">
        <v>1.268E-3</v>
      </c>
      <c r="W345" s="32">
        <v>4.5659999999999997E-3</v>
      </c>
      <c r="X345" s="32">
        <v>1.0618000000000001E-2</v>
      </c>
      <c r="Y345" s="32">
        <v>1.8207999999999998E-2</v>
      </c>
      <c r="Z345" s="32">
        <v>4.6226999999999997E-2</v>
      </c>
      <c r="AA345" s="32">
        <v>9.0216000000000005E-2</v>
      </c>
      <c r="AB345" s="32">
        <v>0.13284299999999999</v>
      </c>
    </row>
    <row r="346" spans="1:28" ht="15.6" customHeight="1" x14ac:dyDescent="0.25">
      <c r="A346" s="24" t="s">
        <v>1409</v>
      </c>
      <c r="B346" s="50">
        <v>3929</v>
      </c>
      <c r="C346" s="25" t="s">
        <v>1410</v>
      </c>
      <c r="D346" s="25" t="s">
        <v>908</v>
      </c>
      <c r="E346" s="25" t="s">
        <v>194</v>
      </c>
      <c r="F346" s="25" t="s">
        <v>113</v>
      </c>
      <c r="G346" s="26" t="s">
        <v>702</v>
      </c>
      <c r="H346" s="27" t="s">
        <v>115</v>
      </c>
      <c r="I346" s="24" t="s">
        <v>998</v>
      </c>
      <c r="J346" s="24" t="s">
        <v>121</v>
      </c>
      <c r="K346" s="28" t="s">
        <v>108</v>
      </c>
      <c r="L346" s="29">
        <v>0</v>
      </c>
      <c r="M346" s="29">
        <v>0</v>
      </c>
      <c r="N346" s="29">
        <v>0.02</v>
      </c>
      <c r="O346" s="27" t="s">
        <v>548</v>
      </c>
      <c r="P346" s="30" t="s">
        <v>908</v>
      </c>
      <c r="Q346" s="31">
        <v>2192410475.6599998</v>
      </c>
      <c r="R346" s="31">
        <v>1259.95</v>
      </c>
      <c r="S346" s="32">
        <v>7.6540000000000002E-3</v>
      </c>
      <c r="T346" s="32" t="s">
        <v>139</v>
      </c>
      <c r="U346" s="32">
        <v>-1.2210000000000001E-3</v>
      </c>
      <c r="V346" s="32">
        <v>2.6419999999999998E-3</v>
      </c>
      <c r="W346" s="32">
        <v>8.7270000000000004E-3</v>
      </c>
      <c r="X346" s="32">
        <v>1.3971000000000001E-2</v>
      </c>
      <c r="Y346" s="32">
        <v>-3.0149999999999999E-3</v>
      </c>
      <c r="Z346" s="32">
        <v>9.7354999999999997E-2</v>
      </c>
      <c r="AA346" s="32">
        <v>0.211176</v>
      </c>
      <c r="AB346" s="32" t="s">
        <v>139</v>
      </c>
    </row>
    <row r="347" spans="1:28" ht="15.6" customHeight="1" x14ac:dyDescent="0.25">
      <c r="A347" s="24" t="s">
        <v>613</v>
      </c>
      <c r="B347" s="50">
        <v>3931</v>
      </c>
      <c r="C347" s="25" t="s">
        <v>614</v>
      </c>
      <c r="D347" s="25" t="s">
        <v>137</v>
      </c>
      <c r="E347" s="25" t="s">
        <v>194</v>
      </c>
      <c r="F347" s="25" t="s">
        <v>138</v>
      </c>
      <c r="G347" s="26" t="s">
        <v>139</v>
      </c>
      <c r="H347" s="27" t="s">
        <v>577</v>
      </c>
      <c r="I347" s="24" t="s">
        <v>106</v>
      </c>
      <c r="J347" s="24" t="s">
        <v>107</v>
      </c>
      <c r="K347" s="28" t="s">
        <v>227</v>
      </c>
      <c r="L347" s="29">
        <v>0.03</v>
      </c>
      <c r="M347" s="29">
        <v>1.4999999999999999E-2</v>
      </c>
      <c r="N347" s="29">
        <v>0.02</v>
      </c>
      <c r="O347" s="27" t="s">
        <v>141</v>
      </c>
      <c r="P347" s="30" t="s">
        <v>142</v>
      </c>
      <c r="Q347" s="31">
        <v>97448692.473324001</v>
      </c>
      <c r="R347" s="31">
        <v>1245.49</v>
      </c>
      <c r="S347" s="32">
        <v>3.4770000000000002E-2</v>
      </c>
      <c r="T347" s="32" t="s">
        <v>139</v>
      </c>
      <c r="U347" s="32">
        <v>-2.2430000000000002E-3</v>
      </c>
      <c r="V347" s="32">
        <v>-1.4430000000000001E-3</v>
      </c>
      <c r="W347" s="32">
        <v>8.5839999999999996E-3</v>
      </c>
      <c r="X347" s="32">
        <v>3.9641000000000003E-2</v>
      </c>
      <c r="Y347" s="32">
        <v>-1.4348E-2</v>
      </c>
      <c r="Z347" s="32">
        <v>0.14868999999999999</v>
      </c>
      <c r="AA347" s="32">
        <v>0.20907300000000001</v>
      </c>
      <c r="AB347" s="32" t="s">
        <v>139</v>
      </c>
    </row>
    <row r="348" spans="1:28" ht="15.6" customHeight="1" x14ac:dyDescent="0.25">
      <c r="A348" s="24" t="s">
        <v>615</v>
      </c>
      <c r="B348" s="50">
        <v>3932</v>
      </c>
      <c r="C348" s="25" t="s">
        <v>616</v>
      </c>
      <c r="D348" s="25" t="s">
        <v>137</v>
      </c>
      <c r="E348" s="25" t="s">
        <v>194</v>
      </c>
      <c r="F348" s="25" t="s">
        <v>138</v>
      </c>
      <c r="G348" s="26" t="s">
        <v>139</v>
      </c>
      <c r="H348" s="27" t="s">
        <v>617</v>
      </c>
      <c r="I348" s="24" t="s">
        <v>106</v>
      </c>
      <c r="J348" s="24" t="s">
        <v>107</v>
      </c>
      <c r="K348" s="28" t="s">
        <v>108</v>
      </c>
      <c r="L348" s="29">
        <v>0.03</v>
      </c>
      <c r="M348" s="29">
        <v>1.4999999999999999E-2</v>
      </c>
      <c r="N348" s="29">
        <v>0.02</v>
      </c>
      <c r="O348" s="27" t="s">
        <v>141</v>
      </c>
      <c r="P348" s="30" t="s">
        <v>142</v>
      </c>
      <c r="Q348" s="31">
        <v>94680822.551436007</v>
      </c>
      <c r="R348" s="31">
        <v>1219.58</v>
      </c>
      <c r="S348" s="32">
        <v>-1.2710000000000001E-2</v>
      </c>
      <c r="T348" s="32" t="s">
        <v>139</v>
      </c>
      <c r="U348" s="32">
        <v>-3.8470000000000002E-3</v>
      </c>
      <c r="V348" s="32">
        <v>-4.1159999999999999E-3</v>
      </c>
      <c r="W348" s="32">
        <v>1.4945999999999999E-2</v>
      </c>
      <c r="X348" s="32">
        <v>6.8822999999999995E-2</v>
      </c>
      <c r="Y348" s="32">
        <v>-1.9007E-2</v>
      </c>
      <c r="Z348" s="32">
        <v>9.5297000000000007E-2</v>
      </c>
      <c r="AA348" s="32">
        <v>0.16899700000000001</v>
      </c>
      <c r="AB348" s="32" t="s">
        <v>139</v>
      </c>
    </row>
    <row r="349" spans="1:28" ht="15.6" customHeight="1" x14ac:dyDescent="0.25">
      <c r="A349" s="24" t="s">
        <v>618</v>
      </c>
      <c r="B349" s="50">
        <v>3933</v>
      </c>
      <c r="C349" s="25" t="s">
        <v>619</v>
      </c>
      <c r="D349" s="25" t="s">
        <v>159</v>
      </c>
      <c r="E349" s="25" t="s">
        <v>194</v>
      </c>
      <c r="F349" s="25" t="s">
        <v>138</v>
      </c>
      <c r="G349" s="26" t="s">
        <v>139</v>
      </c>
      <c r="H349" s="27" t="s">
        <v>620</v>
      </c>
      <c r="I349" s="24" t="s">
        <v>106</v>
      </c>
      <c r="J349" s="24" t="s">
        <v>121</v>
      </c>
      <c r="K349" s="28" t="s">
        <v>227</v>
      </c>
      <c r="L349" s="29">
        <v>0</v>
      </c>
      <c r="M349" s="29">
        <v>0</v>
      </c>
      <c r="N349" s="29">
        <v>0.02</v>
      </c>
      <c r="O349" s="27" t="s">
        <v>161</v>
      </c>
      <c r="P349" s="30" t="s">
        <v>159</v>
      </c>
      <c r="Q349" s="31">
        <v>1104864.01</v>
      </c>
      <c r="R349" s="31">
        <v>1104.8599999999999</v>
      </c>
      <c r="S349" s="32">
        <v>-6.4739999999999997E-3</v>
      </c>
      <c r="T349" s="32" t="s">
        <v>139</v>
      </c>
      <c r="U349" s="32">
        <v>-1.8879999999999999E-3</v>
      </c>
      <c r="V349" s="32">
        <v>1.823E-3</v>
      </c>
      <c r="W349" s="32">
        <v>1.2583E-2</v>
      </c>
      <c r="X349" s="32">
        <v>1.5571E-2</v>
      </c>
      <c r="Y349" s="32">
        <v>-2.0209999999999999E-2</v>
      </c>
      <c r="Z349" s="32">
        <v>6.1467000000000001E-2</v>
      </c>
      <c r="AA349" s="32">
        <v>8.9273000000000005E-2</v>
      </c>
      <c r="AB349" s="32" t="s">
        <v>139</v>
      </c>
    </row>
    <row r="350" spans="1:28" ht="15.6" customHeight="1" x14ac:dyDescent="0.25">
      <c r="A350" s="24" t="s">
        <v>1411</v>
      </c>
      <c r="B350" s="50">
        <v>3934</v>
      </c>
      <c r="C350" s="25" t="s">
        <v>1412</v>
      </c>
      <c r="D350" s="25" t="s">
        <v>159</v>
      </c>
      <c r="E350" s="25" t="s">
        <v>194</v>
      </c>
      <c r="F350" s="25" t="s">
        <v>138</v>
      </c>
      <c r="G350" s="26" t="s">
        <v>139</v>
      </c>
      <c r="H350" s="27" t="s">
        <v>521</v>
      </c>
      <c r="I350" s="24" t="s">
        <v>998</v>
      </c>
      <c r="J350" s="24" t="s">
        <v>121</v>
      </c>
      <c r="K350" s="28" t="s">
        <v>227</v>
      </c>
      <c r="L350" s="29">
        <v>0</v>
      </c>
      <c r="M350" s="29">
        <v>0</v>
      </c>
      <c r="N350" s="29">
        <v>0.02</v>
      </c>
      <c r="O350" s="27" t="s">
        <v>161</v>
      </c>
      <c r="P350" s="30" t="s">
        <v>159</v>
      </c>
      <c r="Q350" s="31">
        <v>1091805.96</v>
      </c>
      <c r="R350" s="31">
        <v>1091.81</v>
      </c>
      <c r="S350" s="32">
        <v>-9.1210000000000006E-3</v>
      </c>
      <c r="T350" s="32" t="s">
        <v>139</v>
      </c>
      <c r="U350" s="32">
        <v>-2.1480000000000002E-3</v>
      </c>
      <c r="V350" s="32">
        <v>1.578E-3</v>
      </c>
      <c r="W350" s="32">
        <v>1.2257000000000001E-2</v>
      </c>
      <c r="X350" s="32">
        <v>1.3554E-2</v>
      </c>
      <c r="Y350" s="32">
        <v>-2.3976000000000001E-2</v>
      </c>
      <c r="Z350" s="32">
        <v>5.4246999999999997E-2</v>
      </c>
      <c r="AA350" s="32">
        <v>7.8224000000000002E-2</v>
      </c>
      <c r="AB350" s="32" t="s">
        <v>139</v>
      </c>
    </row>
    <row r="351" spans="1:28" ht="15.6" customHeight="1" x14ac:dyDescent="0.25">
      <c r="A351" s="24" t="s">
        <v>621</v>
      </c>
      <c r="B351" s="50">
        <v>3935</v>
      </c>
      <c r="C351" s="25" t="s">
        <v>622</v>
      </c>
      <c r="D351" s="25" t="s">
        <v>241</v>
      </c>
      <c r="E351" s="25" t="s">
        <v>194</v>
      </c>
      <c r="F351" s="25" t="s">
        <v>138</v>
      </c>
      <c r="G351" s="26" t="s">
        <v>139</v>
      </c>
      <c r="H351" s="27" t="s">
        <v>623</v>
      </c>
      <c r="I351" s="24" t="s">
        <v>106</v>
      </c>
      <c r="J351" s="24" t="s">
        <v>121</v>
      </c>
      <c r="K351" s="28" t="s">
        <v>108</v>
      </c>
      <c r="L351" s="29">
        <v>0</v>
      </c>
      <c r="M351" s="29">
        <v>0</v>
      </c>
      <c r="N351" s="29">
        <v>0.02</v>
      </c>
      <c r="O351" s="27" t="s">
        <v>148</v>
      </c>
      <c r="P351" s="30" t="s">
        <v>241</v>
      </c>
      <c r="Q351" s="31">
        <v>869934.58</v>
      </c>
      <c r="R351" s="31">
        <v>178.52</v>
      </c>
      <c r="S351" s="32">
        <v>-1.6419E-2</v>
      </c>
      <c r="T351" s="32" t="s">
        <v>139</v>
      </c>
      <c r="U351" s="32">
        <v>-3.3599999999999998E-4</v>
      </c>
      <c r="V351" s="32">
        <v>-3.6280000000000001E-3</v>
      </c>
      <c r="W351" s="32">
        <v>1.8658999999999999E-2</v>
      </c>
      <c r="X351" s="32">
        <v>2.3859000000000002E-2</v>
      </c>
      <c r="Y351" s="32">
        <v>-5.4448999999999997E-2</v>
      </c>
      <c r="Z351" s="32">
        <v>0.20580899999999999</v>
      </c>
      <c r="AA351" s="32">
        <v>0.35808299999999998</v>
      </c>
      <c r="AB351" s="32">
        <v>0.34803299999999998</v>
      </c>
    </row>
    <row r="352" spans="1:28" ht="15.6" customHeight="1" x14ac:dyDescent="0.25">
      <c r="A352" s="24" t="s">
        <v>624</v>
      </c>
      <c r="B352" s="50">
        <v>3936</v>
      </c>
      <c r="C352" s="25" t="s">
        <v>625</v>
      </c>
      <c r="D352" s="25" t="s">
        <v>164</v>
      </c>
      <c r="E352" s="25" t="s">
        <v>194</v>
      </c>
      <c r="F352" s="25" t="s">
        <v>138</v>
      </c>
      <c r="G352" s="26" t="s">
        <v>139</v>
      </c>
      <c r="H352" s="27" t="s">
        <v>626</v>
      </c>
      <c r="I352" s="24" t="s">
        <v>106</v>
      </c>
      <c r="J352" s="24" t="s">
        <v>107</v>
      </c>
      <c r="K352" s="28" t="s">
        <v>180</v>
      </c>
      <c r="L352" s="29">
        <v>0.02</v>
      </c>
      <c r="M352" s="29">
        <v>0.02</v>
      </c>
      <c r="N352" s="29">
        <v>0.02</v>
      </c>
      <c r="O352" s="27" t="s">
        <v>166</v>
      </c>
      <c r="P352" s="30" t="s">
        <v>627</v>
      </c>
      <c r="Q352" s="31">
        <v>1083591032.52</v>
      </c>
      <c r="R352" s="31">
        <v>1727.6</v>
      </c>
      <c r="S352" s="32">
        <v>9.2525999999999997E-2</v>
      </c>
      <c r="T352" s="32" t="s">
        <v>139</v>
      </c>
      <c r="U352" s="32">
        <v>-8.1000000000000004E-5</v>
      </c>
      <c r="V352" s="32">
        <v>6.0740000000000004E-3</v>
      </c>
      <c r="W352" s="32">
        <v>3.3370999999999998E-2</v>
      </c>
      <c r="X352" s="32">
        <v>0.10102700000000001</v>
      </c>
      <c r="Y352" s="32">
        <v>2.8444000000000001E-2</v>
      </c>
      <c r="Z352" s="32">
        <v>0.251168</v>
      </c>
      <c r="AA352" s="32">
        <v>0.32938299999999998</v>
      </c>
      <c r="AB352" s="32">
        <v>0.28400300000000001</v>
      </c>
    </row>
    <row r="353" spans="1:28" ht="15.6" customHeight="1" x14ac:dyDescent="0.25">
      <c r="A353" s="24" t="s">
        <v>628</v>
      </c>
      <c r="B353" s="50">
        <v>3937</v>
      </c>
      <c r="C353" s="25" t="s">
        <v>629</v>
      </c>
      <c r="D353" s="25" t="s">
        <v>570</v>
      </c>
      <c r="E353" s="25" t="s">
        <v>194</v>
      </c>
      <c r="F353" s="25" t="s">
        <v>113</v>
      </c>
      <c r="G353" s="26" t="s">
        <v>531</v>
      </c>
      <c r="H353" s="27" t="s">
        <v>327</v>
      </c>
      <c r="I353" s="24" t="s">
        <v>106</v>
      </c>
      <c r="J353" s="24" t="s">
        <v>121</v>
      </c>
      <c r="K353" s="28" t="s">
        <v>227</v>
      </c>
      <c r="L353" s="29">
        <v>0</v>
      </c>
      <c r="M353" s="29">
        <v>0</v>
      </c>
      <c r="N353" s="29">
        <v>0.02</v>
      </c>
      <c r="O353" s="27" t="s">
        <v>166</v>
      </c>
      <c r="P353" s="30" t="s">
        <v>570</v>
      </c>
      <c r="Q353" s="31">
        <v>1227966936.73</v>
      </c>
      <c r="R353" s="31">
        <v>1125.1300000000001</v>
      </c>
      <c r="S353" s="32">
        <v>-3.1101E-2</v>
      </c>
      <c r="T353" s="32" t="s">
        <v>139</v>
      </c>
      <c r="U353" s="32">
        <v>-1.9689999999999998E-3</v>
      </c>
      <c r="V353" s="32">
        <v>8.7200000000000005E-4</v>
      </c>
      <c r="W353" s="32">
        <v>4.3559999999999996E-3</v>
      </c>
      <c r="X353" s="32">
        <v>3.6700000000000001E-3</v>
      </c>
      <c r="Y353" s="32">
        <v>-4.0702000000000002E-2</v>
      </c>
      <c r="Z353" s="32">
        <v>0.101964</v>
      </c>
      <c r="AA353" s="32">
        <v>0.24760799999999999</v>
      </c>
      <c r="AB353" s="32" t="s">
        <v>139</v>
      </c>
    </row>
    <row r="354" spans="1:28" ht="15.6" customHeight="1" x14ac:dyDescent="0.25">
      <c r="A354" s="24" t="s">
        <v>1413</v>
      </c>
      <c r="B354" s="50">
        <v>3938</v>
      </c>
      <c r="C354" s="25" t="s">
        <v>1414</v>
      </c>
      <c r="D354" s="25" t="s">
        <v>350</v>
      </c>
      <c r="E354" s="25" t="s">
        <v>194</v>
      </c>
      <c r="F354" s="25" t="s">
        <v>113</v>
      </c>
      <c r="G354" s="26" t="s">
        <v>1415</v>
      </c>
      <c r="H354" s="27" t="s">
        <v>115</v>
      </c>
      <c r="I354" s="24" t="s">
        <v>998</v>
      </c>
      <c r="J354" s="24" t="s">
        <v>121</v>
      </c>
      <c r="K354" s="28" t="s">
        <v>108</v>
      </c>
      <c r="L354" s="29">
        <v>0.03</v>
      </c>
      <c r="M354" s="29">
        <v>0.03</v>
      </c>
      <c r="N354" s="29">
        <v>0.02</v>
      </c>
      <c r="O354" s="27" t="s">
        <v>262</v>
      </c>
      <c r="P354" s="30" t="s">
        <v>350</v>
      </c>
      <c r="Q354" s="31">
        <v>2552926884.6999998</v>
      </c>
      <c r="R354" s="31">
        <v>250.32</v>
      </c>
      <c r="S354" s="32">
        <v>4.8000000000000001E-4</v>
      </c>
      <c r="T354" s="32" t="s">
        <v>139</v>
      </c>
      <c r="U354" s="32">
        <v>-1.1169999999999999E-3</v>
      </c>
      <c r="V354" s="32">
        <v>2.3219999999999998E-3</v>
      </c>
      <c r="W354" s="32">
        <v>4.6150000000000002E-3</v>
      </c>
      <c r="X354" s="32">
        <v>5.5030000000000001E-3</v>
      </c>
      <c r="Y354" s="32">
        <v>-4.9690000000000003E-3</v>
      </c>
      <c r="Z354" s="32">
        <v>7.6044E-2</v>
      </c>
      <c r="AA354" s="32">
        <v>0.177035</v>
      </c>
      <c r="AB354" s="32">
        <v>0.16292699999999999</v>
      </c>
    </row>
    <row r="355" spans="1:28" ht="15.6" customHeight="1" x14ac:dyDescent="0.25">
      <c r="A355" s="24" t="s">
        <v>1416</v>
      </c>
      <c r="B355" s="50">
        <v>3939</v>
      </c>
      <c r="C355" s="25" t="s">
        <v>1417</v>
      </c>
      <c r="D355" s="25" t="s">
        <v>322</v>
      </c>
      <c r="E355" s="25" t="s">
        <v>194</v>
      </c>
      <c r="F355" s="25" t="s">
        <v>138</v>
      </c>
      <c r="G355" s="26" t="s">
        <v>139</v>
      </c>
      <c r="H355" s="27" t="s">
        <v>1418</v>
      </c>
      <c r="I355" s="24" t="s">
        <v>998</v>
      </c>
      <c r="J355" s="24" t="s">
        <v>107</v>
      </c>
      <c r="K355" s="28" t="s">
        <v>227</v>
      </c>
      <c r="L355" s="29">
        <v>0.03</v>
      </c>
      <c r="M355" s="29">
        <v>1.4999999999999999E-2</v>
      </c>
      <c r="N355" s="29">
        <v>0.02</v>
      </c>
      <c r="O355" s="27" t="s">
        <v>161</v>
      </c>
      <c r="P355" s="30" t="s">
        <v>322</v>
      </c>
      <c r="Q355" s="31">
        <v>1231586351.3499999</v>
      </c>
      <c r="R355" s="31">
        <v>140.88</v>
      </c>
      <c r="S355" s="32">
        <v>-9.0039999999999999E-3</v>
      </c>
      <c r="T355" s="32" t="s">
        <v>139</v>
      </c>
      <c r="U355" s="32">
        <v>-2.9719999999999998E-3</v>
      </c>
      <c r="V355" s="32">
        <v>-4.26E-4</v>
      </c>
      <c r="W355" s="32">
        <v>9.8919999999999998E-3</v>
      </c>
      <c r="X355" s="32">
        <v>2.0278000000000001E-2</v>
      </c>
      <c r="Y355" s="32">
        <v>-4.0327000000000002E-2</v>
      </c>
      <c r="Z355" s="32">
        <v>0.273895</v>
      </c>
      <c r="AA355" s="32">
        <v>0.40739300000000001</v>
      </c>
      <c r="AB355" s="32" t="s">
        <v>139</v>
      </c>
    </row>
    <row r="356" spans="1:28" ht="15.6" customHeight="1" x14ac:dyDescent="0.25">
      <c r="A356" s="24" t="s">
        <v>1419</v>
      </c>
      <c r="B356" s="50">
        <v>3940</v>
      </c>
      <c r="C356" s="25" t="s">
        <v>1420</v>
      </c>
      <c r="D356" s="25" t="s">
        <v>322</v>
      </c>
      <c r="E356" s="25" t="s">
        <v>194</v>
      </c>
      <c r="F356" s="25" t="s">
        <v>155</v>
      </c>
      <c r="G356" s="26" t="s">
        <v>139</v>
      </c>
      <c r="H356" s="27" t="s">
        <v>156</v>
      </c>
      <c r="I356" s="24" t="s">
        <v>998</v>
      </c>
      <c r="J356" s="24" t="s">
        <v>107</v>
      </c>
      <c r="K356" s="28" t="s">
        <v>227</v>
      </c>
      <c r="L356" s="29">
        <v>0.03</v>
      </c>
      <c r="M356" s="29">
        <v>1.4999999999999999E-2</v>
      </c>
      <c r="N356" s="29">
        <v>0.02</v>
      </c>
      <c r="O356" s="27" t="s">
        <v>161</v>
      </c>
      <c r="P356" s="30" t="s">
        <v>322</v>
      </c>
      <c r="Q356" s="31">
        <v>1613296.54</v>
      </c>
      <c r="R356" s="31">
        <v>161.33000000000001</v>
      </c>
      <c r="S356" s="32">
        <v>-5.0105999999999998E-2</v>
      </c>
      <c r="T356" s="32" t="s">
        <v>139</v>
      </c>
      <c r="U356" s="32">
        <v>-6.038E-3</v>
      </c>
      <c r="V356" s="32">
        <v>-1.5440000000000001E-2</v>
      </c>
      <c r="W356" s="32">
        <v>2.1205000000000002E-2</v>
      </c>
      <c r="X356" s="32">
        <v>3.7491999999999998E-2</v>
      </c>
      <c r="Y356" s="32">
        <v>-8.1892000000000006E-2</v>
      </c>
      <c r="Z356" s="32">
        <v>0.37571399999999999</v>
      </c>
      <c r="AA356" s="32">
        <v>0.60735300000000003</v>
      </c>
      <c r="AB356" s="32" t="s">
        <v>139</v>
      </c>
    </row>
    <row r="357" spans="1:28" ht="15.6" customHeight="1" x14ac:dyDescent="0.25">
      <c r="A357" s="24" t="s">
        <v>630</v>
      </c>
      <c r="B357" s="50">
        <v>3941</v>
      </c>
      <c r="C357" s="25" t="s">
        <v>631</v>
      </c>
      <c r="D357" s="25" t="s">
        <v>241</v>
      </c>
      <c r="E357" s="25" t="s">
        <v>194</v>
      </c>
      <c r="F357" s="25" t="s">
        <v>155</v>
      </c>
      <c r="G357" s="26" t="s">
        <v>139</v>
      </c>
      <c r="H357" s="27" t="s">
        <v>632</v>
      </c>
      <c r="I357" s="24" t="s">
        <v>106</v>
      </c>
      <c r="J357" s="24" t="s">
        <v>107</v>
      </c>
      <c r="K357" s="28" t="s">
        <v>108</v>
      </c>
      <c r="L357" s="29">
        <v>0.03</v>
      </c>
      <c r="M357" s="29">
        <v>1.4999999999999999E-2</v>
      </c>
      <c r="N357" s="29">
        <v>0.02</v>
      </c>
      <c r="O357" s="27" t="s">
        <v>166</v>
      </c>
      <c r="P357" s="30" t="s">
        <v>633</v>
      </c>
      <c r="Q357" s="31">
        <v>345571766.54000002</v>
      </c>
      <c r="R357" s="31">
        <v>1881.48</v>
      </c>
      <c r="S357" s="32">
        <v>1.1169999999999999E-3</v>
      </c>
      <c r="T357" s="32" t="s">
        <v>139</v>
      </c>
      <c r="U357" s="32">
        <v>-6.8199999999999997E-3</v>
      </c>
      <c r="V357" s="32">
        <v>-2.4020000000000001E-3</v>
      </c>
      <c r="W357" s="32">
        <v>4.0629999999999999E-2</v>
      </c>
      <c r="X357" s="32">
        <v>0.108487</v>
      </c>
      <c r="Y357" s="32">
        <v>-9.8774000000000001E-2</v>
      </c>
      <c r="Z357" s="32">
        <v>0.40593600000000002</v>
      </c>
      <c r="AA357" s="32">
        <v>0.81359700000000001</v>
      </c>
      <c r="AB357" s="32" t="s">
        <v>139</v>
      </c>
    </row>
    <row r="358" spans="1:28" ht="15.6" customHeight="1" x14ac:dyDescent="0.25">
      <c r="A358" s="24" t="s">
        <v>1421</v>
      </c>
      <c r="B358" s="50">
        <v>3942</v>
      </c>
      <c r="C358" s="25" t="s">
        <v>1422</v>
      </c>
      <c r="D358" s="25" t="s">
        <v>241</v>
      </c>
      <c r="E358" s="25" t="s">
        <v>194</v>
      </c>
      <c r="F358" s="25" t="s">
        <v>138</v>
      </c>
      <c r="G358" s="26" t="s">
        <v>139</v>
      </c>
      <c r="H358" s="27" t="s">
        <v>623</v>
      </c>
      <c r="I358" s="24" t="s">
        <v>998</v>
      </c>
      <c r="J358" s="24" t="s">
        <v>121</v>
      </c>
      <c r="K358" s="28" t="s">
        <v>227</v>
      </c>
      <c r="L358" s="29">
        <v>0</v>
      </c>
      <c r="M358" s="29">
        <v>0</v>
      </c>
      <c r="N358" s="29">
        <v>0.02</v>
      </c>
      <c r="O358" s="27" t="s">
        <v>131</v>
      </c>
      <c r="P358" s="30" t="s">
        <v>633</v>
      </c>
      <c r="Q358" s="31">
        <v>1841614026.27</v>
      </c>
      <c r="R358" s="31">
        <v>1318.65</v>
      </c>
      <c r="S358" s="32">
        <v>8.8830000000000003E-3</v>
      </c>
      <c r="T358" s="32" t="s">
        <v>139</v>
      </c>
      <c r="U358" s="32">
        <v>-8.5599999999999999E-4</v>
      </c>
      <c r="V358" s="32">
        <v>3.3779999999999999E-3</v>
      </c>
      <c r="W358" s="32">
        <v>1.4501999999999999E-2</v>
      </c>
      <c r="X358" s="32">
        <v>2.7851000000000001E-2</v>
      </c>
      <c r="Y358" s="32">
        <v>-1.6071999999999999E-2</v>
      </c>
      <c r="Z358" s="32">
        <v>0.15612200000000001</v>
      </c>
      <c r="AA358" s="32">
        <v>0.30731599999999998</v>
      </c>
      <c r="AB358" s="32" t="s">
        <v>139</v>
      </c>
    </row>
    <row r="359" spans="1:28" ht="15.6" customHeight="1" x14ac:dyDescent="0.25">
      <c r="A359" s="24" t="s">
        <v>634</v>
      </c>
      <c r="B359" s="50">
        <v>3943</v>
      </c>
      <c r="C359" s="25" t="s">
        <v>635</v>
      </c>
      <c r="D359" s="25" t="s">
        <v>241</v>
      </c>
      <c r="E359" s="25" t="s">
        <v>194</v>
      </c>
      <c r="F359" s="25" t="s">
        <v>113</v>
      </c>
      <c r="G359" s="26" t="s">
        <v>439</v>
      </c>
      <c r="H359" s="27" t="s">
        <v>115</v>
      </c>
      <c r="I359" s="24" t="s">
        <v>106</v>
      </c>
      <c r="J359" s="24" t="s">
        <v>121</v>
      </c>
      <c r="K359" s="28" t="s">
        <v>227</v>
      </c>
      <c r="L359" s="29">
        <v>0.03</v>
      </c>
      <c r="M359" s="29">
        <v>1.4999999999999999E-2</v>
      </c>
      <c r="N359" s="29">
        <v>0.02</v>
      </c>
      <c r="O359" s="27" t="s">
        <v>161</v>
      </c>
      <c r="P359" s="30" t="s">
        <v>241</v>
      </c>
      <c r="Q359" s="31">
        <v>998783707.13</v>
      </c>
      <c r="R359" s="31">
        <v>1280.3699999999999</v>
      </c>
      <c r="S359" s="32">
        <v>-1.6861999999999999E-2</v>
      </c>
      <c r="T359" s="32" t="s">
        <v>139</v>
      </c>
      <c r="U359" s="32">
        <v>-1.8940000000000001E-3</v>
      </c>
      <c r="V359" s="32">
        <v>2.0430000000000001E-3</v>
      </c>
      <c r="W359" s="32">
        <v>6.509E-3</v>
      </c>
      <c r="X359" s="32">
        <v>3.9760000000000004E-3</v>
      </c>
      <c r="Y359" s="32">
        <v>-2.1760000000000002E-2</v>
      </c>
      <c r="Z359" s="32">
        <v>0.11353000000000001</v>
      </c>
      <c r="AA359" s="32">
        <v>0.26248199999999999</v>
      </c>
      <c r="AB359" s="32" t="s">
        <v>139</v>
      </c>
    </row>
    <row r="360" spans="1:28" ht="15.6" customHeight="1" x14ac:dyDescent="0.25">
      <c r="A360" s="24" t="s">
        <v>636</v>
      </c>
      <c r="B360" s="50">
        <v>3944</v>
      </c>
      <c r="C360" s="25" t="s">
        <v>637</v>
      </c>
      <c r="D360" s="25" t="s">
        <v>570</v>
      </c>
      <c r="E360" s="25" t="s">
        <v>194</v>
      </c>
      <c r="F360" s="25" t="s">
        <v>113</v>
      </c>
      <c r="G360" s="26" t="s">
        <v>638</v>
      </c>
      <c r="H360" s="27" t="s">
        <v>115</v>
      </c>
      <c r="I360" s="24" t="s">
        <v>106</v>
      </c>
      <c r="J360" s="24" t="s">
        <v>107</v>
      </c>
      <c r="K360" s="28" t="s">
        <v>227</v>
      </c>
      <c r="L360" s="29">
        <v>0.03</v>
      </c>
      <c r="M360" s="29">
        <v>0.03</v>
      </c>
      <c r="N360" s="29">
        <v>0.02</v>
      </c>
      <c r="O360" s="27" t="s">
        <v>166</v>
      </c>
      <c r="P360" s="30" t="s">
        <v>570</v>
      </c>
      <c r="Q360" s="31">
        <v>2512241270.8299999</v>
      </c>
      <c r="R360" s="31">
        <v>1222.1600000000001</v>
      </c>
      <c r="S360" s="32">
        <v>-1.1093E-2</v>
      </c>
      <c r="T360" s="32" t="s">
        <v>139</v>
      </c>
      <c r="U360" s="32">
        <v>-1.642E-3</v>
      </c>
      <c r="V360" s="32">
        <v>1.557E-3</v>
      </c>
      <c r="W360" s="32">
        <v>2.5179999999999998E-3</v>
      </c>
      <c r="X360" s="32">
        <v>2.395E-3</v>
      </c>
      <c r="Y360" s="32">
        <v>-2.7678000000000001E-2</v>
      </c>
      <c r="Z360" s="32">
        <v>7.1083999999999994E-2</v>
      </c>
      <c r="AA360" s="32">
        <v>0.19114300000000001</v>
      </c>
      <c r="AB360" s="32" t="s">
        <v>139</v>
      </c>
    </row>
    <row r="361" spans="1:28" ht="15.6" customHeight="1" x14ac:dyDescent="0.25">
      <c r="A361" s="24" t="s">
        <v>639</v>
      </c>
      <c r="B361" s="50">
        <v>3945</v>
      </c>
      <c r="C361" s="25" t="s">
        <v>640</v>
      </c>
      <c r="D361" s="25" t="s">
        <v>570</v>
      </c>
      <c r="E361" s="25" t="s">
        <v>194</v>
      </c>
      <c r="F361" s="25" t="s">
        <v>138</v>
      </c>
      <c r="G361" s="26" t="s">
        <v>139</v>
      </c>
      <c r="H361" s="27" t="s">
        <v>641</v>
      </c>
      <c r="I361" s="24" t="s">
        <v>106</v>
      </c>
      <c r="J361" s="24" t="s">
        <v>121</v>
      </c>
      <c r="K361" s="28" t="s">
        <v>227</v>
      </c>
      <c r="L361" s="29">
        <v>0.03</v>
      </c>
      <c r="M361" s="29">
        <v>0.03</v>
      </c>
      <c r="N361" s="29">
        <v>0.02</v>
      </c>
      <c r="O361" s="27" t="s">
        <v>161</v>
      </c>
      <c r="P361" s="30" t="s">
        <v>570</v>
      </c>
      <c r="Q361" s="31">
        <v>921480755.60000002</v>
      </c>
      <c r="R361" s="31">
        <v>1346.08</v>
      </c>
      <c r="S361" s="32">
        <v>-7.9299999999999995E-3</v>
      </c>
      <c r="T361" s="32" t="s">
        <v>139</v>
      </c>
      <c r="U361" s="32">
        <v>-3.1099999999999999E-3</v>
      </c>
      <c r="V361" s="32">
        <v>8.8500000000000004E-4</v>
      </c>
      <c r="W361" s="32">
        <v>1.5724999999999999E-2</v>
      </c>
      <c r="X361" s="32">
        <v>3.9531999999999998E-2</v>
      </c>
      <c r="Y361" s="32">
        <v>-4.3945999999999999E-2</v>
      </c>
      <c r="Z361" s="32">
        <v>0.17630999999999999</v>
      </c>
      <c r="AA361" s="32">
        <v>0.38580700000000001</v>
      </c>
      <c r="AB361" s="32" t="s">
        <v>139</v>
      </c>
    </row>
    <row r="362" spans="1:28" ht="15.6" customHeight="1" x14ac:dyDescent="0.25">
      <c r="A362" s="24" t="s">
        <v>642</v>
      </c>
      <c r="B362" s="50">
        <v>3946</v>
      </c>
      <c r="C362" s="25" t="s">
        <v>643</v>
      </c>
      <c r="D362" s="25" t="s">
        <v>350</v>
      </c>
      <c r="E362" s="25" t="s">
        <v>194</v>
      </c>
      <c r="F362" s="25" t="s">
        <v>128</v>
      </c>
      <c r="G362" s="26" t="s">
        <v>644</v>
      </c>
      <c r="H362" s="27" t="s">
        <v>130</v>
      </c>
      <c r="I362" s="24" t="s">
        <v>106</v>
      </c>
      <c r="J362" s="24" t="s">
        <v>107</v>
      </c>
      <c r="K362" s="28" t="s">
        <v>108</v>
      </c>
      <c r="L362" s="29">
        <v>0.03</v>
      </c>
      <c r="M362" s="29">
        <v>0.03</v>
      </c>
      <c r="N362" s="29">
        <v>0.02</v>
      </c>
      <c r="O362" s="27" t="s">
        <v>148</v>
      </c>
      <c r="P362" s="30" t="s">
        <v>350</v>
      </c>
      <c r="Q362" s="31">
        <v>51708145.380000003</v>
      </c>
      <c r="R362" s="31">
        <v>148.31</v>
      </c>
      <c r="S362" s="32">
        <v>1.7982999999999999E-2</v>
      </c>
      <c r="T362" s="32" t="s">
        <v>139</v>
      </c>
      <c r="U362" s="32">
        <v>-1.35E-4</v>
      </c>
      <c r="V362" s="32">
        <v>1.892E-3</v>
      </c>
      <c r="W362" s="32">
        <v>6.5830000000000003E-3</v>
      </c>
      <c r="X362" s="32">
        <v>1.4016000000000001E-2</v>
      </c>
      <c r="Y362" s="32">
        <v>2.5232000000000001E-2</v>
      </c>
      <c r="Z362" s="32">
        <v>5.8978999999999997E-2</v>
      </c>
      <c r="AA362" s="32">
        <v>8.0504000000000006E-2</v>
      </c>
      <c r="AB362" s="32">
        <v>6.8747000000000003E-2</v>
      </c>
    </row>
    <row r="363" spans="1:28" ht="15.6" customHeight="1" x14ac:dyDescent="0.25">
      <c r="A363" s="24" t="s">
        <v>645</v>
      </c>
      <c r="B363" s="50">
        <v>3947</v>
      </c>
      <c r="C363" s="25" t="s">
        <v>646</v>
      </c>
      <c r="D363" s="25" t="s">
        <v>164</v>
      </c>
      <c r="E363" s="25" t="s">
        <v>194</v>
      </c>
      <c r="F363" s="25" t="s">
        <v>113</v>
      </c>
      <c r="G363" s="26" t="s">
        <v>647</v>
      </c>
      <c r="H363" s="27" t="s">
        <v>327</v>
      </c>
      <c r="I363" s="24" t="s">
        <v>106</v>
      </c>
      <c r="J363" s="24" t="s">
        <v>121</v>
      </c>
      <c r="K363" s="28" t="s">
        <v>227</v>
      </c>
      <c r="L363" s="29">
        <v>0.03</v>
      </c>
      <c r="M363" s="29">
        <v>1.4999999999999999E-2</v>
      </c>
      <c r="N363" s="29">
        <v>0.02</v>
      </c>
      <c r="O363" s="27" t="s">
        <v>161</v>
      </c>
      <c r="P363" s="30" t="s">
        <v>164</v>
      </c>
      <c r="Q363" s="31">
        <v>382283210.76999998</v>
      </c>
      <c r="R363" s="31">
        <v>842033.5</v>
      </c>
      <c r="S363" s="32">
        <v>-1.4647E-2</v>
      </c>
      <c r="T363" s="32" t="s">
        <v>139</v>
      </c>
      <c r="U363" s="32">
        <v>-1.041E-3</v>
      </c>
      <c r="V363" s="32">
        <v>2.5950000000000001E-3</v>
      </c>
      <c r="W363" s="32">
        <v>1.3320000000000001E-3</v>
      </c>
      <c r="X363" s="32">
        <v>-3.4719999999999998E-3</v>
      </c>
      <c r="Y363" s="32">
        <v>-2.4615999999999999E-2</v>
      </c>
      <c r="Z363" s="32">
        <v>5.9970999999999997E-2</v>
      </c>
      <c r="AA363" s="32">
        <v>0.236813</v>
      </c>
      <c r="AB363" s="32">
        <v>0.116449</v>
      </c>
    </row>
    <row r="364" spans="1:28" ht="15.6" customHeight="1" x14ac:dyDescent="0.25">
      <c r="A364" s="24" t="s">
        <v>1423</v>
      </c>
      <c r="B364" s="50">
        <v>3948</v>
      </c>
      <c r="C364" s="25" t="s">
        <v>1424</v>
      </c>
      <c r="D364" s="25" t="s">
        <v>164</v>
      </c>
      <c r="E364" s="25" t="s">
        <v>194</v>
      </c>
      <c r="F364" s="25" t="s">
        <v>138</v>
      </c>
      <c r="G364" s="26" t="s">
        <v>139</v>
      </c>
      <c r="H364" s="27" t="s">
        <v>1425</v>
      </c>
      <c r="I364" s="24" t="s">
        <v>998</v>
      </c>
      <c r="J364" s="24" t="s">
        <v>121</v>
      </c>
      <c r="K364" s="28" t="s">
        <v>227</v>
      </c>
      <c r="L364" s="29">
        <v>0</v>
      </c>
      <c r="M364" s="29">
        <v>0</v>
      </c>
      <c r="N364" s="29">
        <v>0.02</v>
      </c>
      <c r="O364" s="27" t="s">
        <v>166</v>
      </c>
      <c r="P364" s="30" t="s">
        <v>164</v>
      </c>
      <c r="Q364" s="31">
        <v>216012840.96000001</v>
      </c>
      <c r="R364" s="31">
        <v>2023.71</v>
      </c>
      <c r="S364" s="32">
        <v>1.8346999999999999E-2</v>
      </c>
      <c r="T364" s="32" t="s">
        <v>139</v>
      </c>
      <c r="U364" s="32">
        <v>-3.6240000000000001E-3</v>
      </c>
      <c r="V364" s="32">
        <v>-1.5200000000000001E-3</v>
      </c>
      <c r="W364" s="32">
        <v>2.5364000000000001E-2</v>
      </c>
      <c r="X364" s="32">
        <v>6.2297999999999999E-2</v>
      </c>
      <c r="Y364" s="32">
        <v>-2.274E-2</v>
      </c>
      <c r="Z364" s="32">
        <v>0.23002400000000001</v>
      </c>
      <c r="AA364" s="32">
        <v>0.40953400000000001</v>
      </c>
      <c r="AB364" s="32">
        <v>0.366282</v>
      </c>
    </row>
    <row r="365" spans="1:28" ht="15.6" customHeight="1" x14ac:dyDescent="0.25">
      <c r="A365" s="24" t="s">
        <v>648</v>
      </c>
      <c r="B365" s="50">
        <v>3949</v>
      </c>
      <c r="C365" s="25" t="s">
        <v>649</v>
      </c>
      <c r="D365" s="25" t="s">
        <v>145</v>
      </c>
      <c r="E365" s="25" t="s">
        <v>194</v>
      </c>
      <c r="F365" s="25" t="s">
        <v>361</v>
      </c>
      <c r="G365" s="26" t="s">
        <v>139</v>
      </c>
      <c r="H365" s="27" t="s">
        <v>188</v>
      </c>
      <c r="I365" s="24" t="s">
        <v>106</v>
      </c>
      <c r="J365" s="24" t="s">
        <v>107</v>
      </c>
      <c r="K365" s="28" t="s">
        <v>108</v>
      </c>
      <c r="L365" s="29">
        <v>0.01</v>
      </c>
      <c r="M365" s="29">
        <v>0.01</v>
      </c>
      <c r="N365" s="29">
        <v>0.02</v>
      </c>
      <c r="O365" s="27" t="s">
        <v>148</v>
      </c>
      <c r="P365" s="30" t="s">
        <v>145</v>
      </c>
      <c r="Q365" s="31">
        <v>1559702191</v>
      </c>
      <c r="R365" s="31">
        <v>1061.4100000000001</v>
      </c>
      <c r="S365" s="32">
        <v>1.4286E-2</v>
      </c>
      <c r="T365" s="32" t="s">
        <v>139</v>
      </c>
      <c r="U365" s="32">
        <v>3.9599999999999998E-4</v>
      </c>
      <c r="V365" s="32">
        <v>1.5759999999999999E-3</v>
      </c>
      <c r="W365" s="32">
        <v>5.1330000000000004E-3</v>
      </c>
      <c r="X365" s="32">
        <v>1.0289E-2</v>
      </c>
      <c r="Y365" s="32">
        <v>2.0577000000000002E-2</v>
      </c>
      <c r="Z365" s="32">
        <v>4.3985999999999997E-2</v>
      </c>
      <c r="AA365" s="32" t="s">
        <v>139</v>
      </c>
      <c r="AB365" s="32" t="s">
        <v>139</v>
      </c>
    </row>
    <row r="366" spans="1:28" ht="15.6" customHeight="1" x14ac:dyDescent="0.25">
      <c r="A366" s="24" t="s">
        <v>1426</v>
      </c>
      <c r="B366" s="50">
        <v>3950</v>
      </c>
      <c r="C366" s="25" t="s">
        <v>1427</v>
      </c>
      <c r="D366" s="25" t="s">
        <v>159</v>
      </c>
      <c r="E366" s="25" t="s">
        <v>102</v>
      </c>
      <c r="F366" s="25" t="s">
        <v>113</v>
      </c>
      <c r="G366" s="26" t="s">
        <v>1428</v>
      </c>
      <c r="H366" s="27" t="s">
        <v>1429</v>
      </c>
      <c r="I366" s="24" t="s">
        <v>998</v>
      </c>
      <c r="J366" s="24" t="s">
        <v>121</v>
      </c>
      <c r="K366" s="28" t="s">
        <v>108</v>
      </c>
      <c r="L366" s="29">
        <v>0</v>
      </c>
      <c r="M366" s="29">
        <v>0</v>
      </c>
      <c r="N366" s="29">
        <v>0.02</v>
      </c>
      <c r="O366" s="27" t="s">
        <v>161</v>
      </c>
      <c r="P366" s="30" t="s">
        <v>159</v>
      </c>
      <c r="Q366" s="31">
        <v>476704359.69</v>
      </c>
      <c r="R366" s="31">
        <v>1107.33</v>
      </c>
      <c r="S366" s="32">
        <v>9.7300000000000008E-3</v>
      </c>
      <c r="T366" s="32" t="s">
        <v>139</v>
      </c>
      <c r="U366" s="32">
        <v>-3.0699999999999998E-4</v>
      </c>
      <c r="V366" s="32">
        <v>2.2539999999999999E-3</v>
      </c>
      <c r="W366" s="32">
        <v>6.3889999999999997E-3</v>
      </c>
      <c r="X366" s="32">
        <v>9.1959999999999993E-3</v>
      </c>
      <c r="Y366" s="32">
        <v>1.0347E-2</v>
      </c>
      <c r="Z366" s="32">
        <v>8.0059000000000005E-2</v>
      </c>
      <c r="AA366" s="32" t="s">
        <v>139</v>
      </c>
      <c r="AB366" s="32" t="s">
        <v>139</v>
      </c>
    </row>
    <row r="367" spans="1:28" ht="15.6" customHeight="1" x14ac:dyDescent="0.25">
      <c r="A367" s="24" t="s">
        <v>650</v>
      </c>
      <c r="B367" s="50">
        <v>3951</v>
      </c>
      <c r="C367" s="25" t="s">
        <v>651</v>
      </c>
      <c r="D367" s="25" t="s">
        <v>261</v>
      </c>
      <c r="E367" s="25" t="s">
        <v>194</v>
      </c>
      <c r="F367" s="25" t="s">
        <v>113</v>
      </c>
      <c r="G367" s="26" t="s">
        <v>652</v>
      </c>
      <c r="H367" s="27" t="s">
        <v>653</v>
      </c>
      <c r="I367" s="24" t="s">
        <v>106</v>
      </c>
      <c r="J367" s="24" t="s">
        <v>121</v>
      </c>
      <c r="K367" s="28" t="s">
        <v>108</v>
      </c>
      <c r="L367" s="29">
        <v>0</v>
      </c>
      <c r="M367" s="29">
        <v>0</v>
      </c>
      <c r="N367" s="29">
        <v>0</v>
      </c>
      <c r="O367" s="27" t="s">
        <v>262</v>
      </c>
      <c r="P367" s="30" t="s">
        <v>261</v>
      </c>
      <c r="Q367" s="31">
        <v>763589946.62</v>
      </c>
      <c r="R367" s="31">
        <v>1084.17</v>
      </c>
      <c r="S367" s="32">
        <v>-1.7284999999999998E-2</v>
      </c>
      <c r="T367" s="32" t="s">
        <v>139</v>
      </c>
      <c r="U367" s="32">
        <v>-3.0439999999999998E-3</v>
      </c>
      <c r="V367" s="32">
        <v>-8.3900000000000001E-4</v>
      </c>
      <c r="W367" s="32">
        <v>3.369E-3</v>
      </c>
      <c r="X367" s="32">
        <v>2.1719999999999999E-3</v>
      </c>
      <c r="Y367" s="32">
        <v>-2.8695999999999999E-2</v>
      </c>
      <c r="Z367" s="32">
        <v>6.0831999999999997E-2</v>
      </c>
      <c r="AA367" s="32" t="s">
        <v>139</v>
      </c>
      <c r="AB367" s="32" t="s">
        <v>139</v>
      </c>
    </row>
    <row r="368" spans="1:28" ht="15.6" customHeight="1" x14ac:dyDescent="0.25">
      <c r="A368" s="24" t="s">
        <v>1430</v>
      </c>
      <c r="B368" s="50">
        <v>3952</v>
      </c>
      <c r="C368" s="25" t="s">
        <v>1431</v>
      </c>
      <c r="D368" s="25" t="s">
        <v>261</v>
      </c>
      <c r="E368" s="25" t="s">
        <v>194</v>
      </c>
      <c r="F368" s="25" t="s">
        <v>113</v>
      </c>
      <c r="G368" s="26" t="s">
        <v>702</v>
      </c>
      <c r="H368" s="27" t="s">
        <v>653</v>
      </c>
      <c r="I368" s="24" t="s">
        <v>998</v>
      </c>
      <c r="J368" s="24" t="s">
        <v>121</v>
      </c>
      <c r="K368" s="28" t="s">
        <v>108</v>
      </c>
      <c r="L368" s="29">
        <v>0</v>
      </c>
      <c r="M368" s="29">
        <v>0</v>
      </c>
      <c r="N368" s="29">
        <v>0</v>
      </c>
      <c r="O368" s="27" t="s">
        <v>548</v>
      </c>
      <c r="P368" s="30" t="s">
        <v>261</v>
      </c>
      <c r="Q368" s="31">
        <v>544474628.26999998</v>
      </c>
      <c r="R368" s="31">
        <v>1132.25</v>
      </c>
      <c r="S368" s="32">
        <v>-2.1770000000000001E-3</v>
      </c>
      <c r="T368" s="32" t="s">
        <v>139</v>
      </c>
      <c r="U368" s="32">
        <v>-1.596E-3</v>
      </c>
      <c r="V368" s="32">
        <v>1.2999999999999999E-3</v>
      </c>
      <c r="W368" s="32">
        <v>7.5909999999999997E-3</v>
      </c>
      <c r="X368" s="32">
        <v>9.8829999999999994E-3</v>
      </c>
      <c r="Y368" s="32">
        <v>-1.1386E-2</v>
      </c>
      <c r="Z368" s="32">
        <v>8.7510000000000004E-2</v>
      </c>
      <c r="AA368" s="32" t="s">
        <v>139</v>
      </c>
      <c r="AB368" s="32" t="s">
        <v>139</v>
      </c>
    </row>
    <row r="369" spans="1:28" ht="15.6" customHeight="1" x14ac:dyDescent="0.25">
      <c r="A369" s="24" t="s">
        <v>1432</v>
      </c>
      <c r="B369" s="50">
        <v>3953</v>
      </c>
      <c r="C369" s="25" t="s">
        <v>1433</v>
      </c>
      <c r="D369" s="25" t="s">
        <v>164</v>
      </c>
      <c r="E369" s="25" t="s">
        <v>194</v>
      </c>
      <c r="F369" s="25" t="s">
        <v>138</v>
      </c>
      <c r="G369" s="26" t="s">
        <v>139</v>
      </c>
      <c r="H369" s="27" t="s">
        <v>1434</v>
      </c>
      <c r="I369" s="24" t="s">
        <v>998</v>
      </c>
      <c r="J369" s="24" t="s">
        <v>107</v>
      </c>
      <c r="K369" s="28" t="s">
        <v>227</v>
      </c>
      <c r="L369" s="29">
        <v>0.02</v>
      </c>
      <c r="M369" s="29">
        <v>0.02</v>
      </c>
      <c r="N369" s="29">
        <v>0.02</v>
      </c>
      <c r="O369" s="27" t="s">
        <v>166</v>
      </c>
      <c r="P369" s="30" t="s">
        <v>164</v>
      </c>
      <c r="Q369" s="31">
        <v>851985452.36000001</v>
      </c>
      <c r="R369" s="31">
        <v>1145141.74</v>
      </c>
      <c r="S369" s="32">
        <v>6.8806999999999993E-2</v>
      </c>
      <c r="T369" s="32" t="s">
        <v>139</v>
      </c>
      <c r="U369" s="32">
        <v>-3.9769999999999996E-3</v>
      </c>
      <c r="V369" s="32">
        <v>1.1259E-2</v>
      </c>
      <c r="W369" s="32">
        <v>3.4856999999999999E-2</v>
      </c>
      <c r="X369" s="32">
        <v>8.7839E-2</v>
      </c>
      <c r="Y369" s="32">
        <v>5.1334999999999999E-2</v>
      </c>
      <c r="Z369" s="32">
        <v>0.127554</v>
      </c>
      <c r="AA369" s="32" t="s">
        <v>139</v>
      </c>
      <c r="AB369" s="32" t="s">
        <v>139</v>
      </c>
    </row>
    <row r="370" spans="1:28" ht="15.6" customHeight="1" x14ac:dyDescent="0.25">
      <c r="A370" s="24" t="s">
        <v>654</v>
      </c>
      <c r="B370" s="50">
        <v>3954</v>
      </c>
      <c r="C370" s="25" t="s">
        <v>655</v>
      </c>
      <c r="D370" s="25" t="s">
        <v>504</v>
      </c>
      <c r="E370" s="25" t="s">
        <v>194</v>
      </c>
      <c r="F370" s="25" t="s">
        <v>113</v>
      </c>
      <c r="G370" s="26" t="s">
        <v>439</v>
      </c>
      <c r="H370" s="27" t="s">
        <v>115</v>
      </c>
      <c r="I370" s="24" t="s">
        <v>106</v>
      </c>
      <c r="J370" s="24" t="s">
        <v>121</v>
      </c>
      <c r="K370" s="28" t="s">
        <v>108</v>
      </c>
      <c r="L370" s="29">
        <v>0</v>
      </c>
      <c r="M370" s="29">
        <v>0</v>
      </c>
      <c r="N370" s="29">
        <v>0.02</v>
      </c>
      <c r="O370" s="27" t="s">
        <v>161</v>
      </c>
      <c r="P370" s="30" t="s">
        <v>504</v>
      </c>
      <c r="Q370" s="31">
        <v>2323811155.6300001</v>
      </c>
      <c r="R370" s="31">
        <v>1208.99</v>
      </c>
      <c r="S370" s="32">
        <v>7.3999999999999996E-5</v>
      </c>
      <c r="T370" s="32" t="s">
        <v>139</v>
      </c>
      <c r="U370" s="32">
        <v>-7.4399999999999998E-4</v>
      </c>
      <c r="V370" s="32">
        <v>2.3879999999999999E-3</v>
      </c>
      <c r="W370" s="32">
        <v>4.2360000000000002E-3</v>
      </c>
      <c r="X370" s="32">
        <v>5.0379999999999999E-3</v>
      </c>
      <c r="Y370" s="32">
        <v>-3.388E-3</v>
      </c>
      <c r="Z370" s="32">
        <v>7.5680999999999998E-2</v>
      </c>
      <c r="AA370" s="32">
        <v>0.172593</v>
      </c>
      <c r="AB370" s="32" t="s">
        <v>139</v>
      </c>
    </row>
    <row r="371" spans="1:28" ht="15.6" customHeight="1" x14ac:dyDescent="0.25">
      <c r="A371" s="24" t="s">
        <v>1435</v>
      </c>
      <c r="B371" s="50">
        <v>3955</v>
      </c>
      <c r="C371" s="25" t="s">
        <v>1436</v>
      </c>
      <c r="D371" s="25" t="s">
        <v>342</v>
      </c>
      <c r="E371" s="25" t="s">
        <v>194</v>
      </c>
      <c r="F371" s="25" t="s">
        <v>138</v>
      </c>
      <c r="G371" s="26" t="s">
        <v>139</v>
      </c>
      <c r="H371" s="27" t="s">
        <v>1273</v>
      </c>
      <c r="I371" s="24" t="s">
        <v>998</v>
      </c>
      <c r="J371" s="24" t="s">
        <v>107</v>
      </c>
      <c r="K371" s="28" t="s">
        <v>180</v>
      </c>
      <c r="L371" s="29">
        <v>0.03</v>
      </c>
      <c r="M371" s="29">
        <v>0.03</v>
      </c>
      <c r="N371" s="29">
        <v>0.02</v>
      </c>
      <c r="O371" s="27" t="s">
        <v>166</v>
      </c>
      <c r="P371" s="30" t="s">
        <v>344</v>
      </c>
      <c r="Q371" s="31">
        <v>503057408.66000003</v>
      </c>
      <c r="R371" s="31">
        <v>1115.27</v>
      </c>
      <c r="S371" s="32">
        <v>-4.8793999999999997E-2</v>
      </c>
      <c r="T371" s="32" t="s">
        <v>139</v>
      </c>
      <c r="U371" s="32">
        <v>2.1389999999999998E-3</v>
      </c>
      <c r="V371" s="32">
        <v>-7.3499999999999998E-4</v>
      </c>
      <c r="W371" s="32">
        <v>9.7420000000000007E-3</v>
      </c>
      <c r="X371" s="32">
        <v>1.7683999999999998E-2</v>
      </c>
      <c r="Y371" s="32">
        <v>-9.8429000000000003E-2</v>
      </c>
      <c r="Z371" s="32">
        <v>0.115303</v>
      </c>
      <c r="AA371" s="32" t="s">
        <v>139</v>
      </c>
      <c r="AB371" s="32" t="s">
        <v>139</v>
      </c>
    </row>
    <row r="372" spans="1:28" ht="15.6" customHeight="1" x14ac:dyDescent="0.25">
      <c r="A372" s="24" t="s">
        <v>656</v>
      </c>
      <c r="B372" s="50">
        <v>3957</v>
      </c>
      <c r="C372" s="25" t="s">
        <v>657</v>
      </c>
      <c r="D372" s="25" t="s">
        <v>570</v>
      </c>
      <c r="E372" s="25" t="s">
        <v>194</v>
      </c>
      <c r="F372" s="25" t="s">
        <v>113</v>
      </c>
      <c r="G372" s="26" t="s">
        <v>638</v>
      </c>
      <c r="H372" s="27" t="s">
        <v>658</v>
      </c>
      <c r="I372" s="24" t="s">
        <v>106</v>
      </c>
      <c r="J372" s="24" t="s">
        <v>107</v>
      </c>
      <c r="K372" s="28" t="s">
        <v>227</v>
      </c>
      <c r="L372" s="29">
        <v>0.03</v>
      </c>
      <c r="M372" s="29">
        <v>0.03</v>
      </c>
      <c r="N372" s="29">
        <v>0.02</v>
      </c>
      <c r="O372" s="27" t="s">
        <v>659</v>
      </c>
      <c r="P372" s="30" t="s">
        <v>570</v>
      </c>
      <c r="Q372" s="31">
        <v>1161821892.1199999</v>
      </c>
      <c r="R372" s="31">
        <v>1097.6600000000001</v>
      </c>
      <c r="S372" s="32">
        <v>-1.3533999999999999E-2</v>
      </c>
      <c r="T372" s="32" t="s">
        <v>139</v>
      </c>
      <c r="U372" s="32">
        <v>-2.245E-3</v>
      </c>
      <c r="V372" s="32">
        <v>-1.73E-4</v>
      </c>
      <c r="W372" s="32">
        <v>3.0149999999999999E-3</v>
      </c>
      <c r="X372" s="32">
        <v>3.5200000000000001E-3</v>
      </c>
      <c r="Y372" s="32">
        <v>-2.6585999999999999E-2</v>
      </c>
      <c r="Z372" s="32" t="s">
        <v>139</v>
      </c>
      <c r="AA372" s="32" t="s">
        <v>139</v>
      </c>
      <c r="AB372" s="32" t="s">
        <v>139</v>
      </c>
    </row>
    <row r="373" spans="1:28" ht="15.6" customHeight="1" x14ac:dyDescent="0.25">
      <c r="A373" s="24" t="s">
        <v>1437</v>
      </c>
      <c r="B373" s="50">
        <v>3959</v>
      </c>
      <c r="C373" s="25" t="s">
        <v>1438</v>
      </c>
      <c r="D373" s="25" t="s">
        <v>145</v>
      </c>
      <c r="E373" s="25" t="s">
        <v>194</v>
      </c>
      <c r="F373" s="25" t="s">
        <v>113</v>
      </c>
      <c r="G373" s="26" t="s">
        <v>1344</v>
      </c>
      <c r="H373" s="27" t="s">
        <v>152</v>
      </c>
      <c r="I373" s="24" t="s">
        <v>998</v>
      </c>
      <c r="J373" s="24" t="s">
        <v>121</v>
      </c>
      <c r="K373" s="28" t="s">
        <v>227</v>
      </c>
      <c r="L373" s="29">
        <v>0</v>
      </c>
      <c r="M373" s="29">
        <v>0</v>
      </c>
      <c r="N373" s="29">
        <v>0.02</v>
      </c>
      <c r="O373" s="27" t="s">
        <v>148</v>
      </c>
      <c r="P373" s="30" t="s">
        <v>145</v>
      </c>
      <c r="Q373" s="31">
        <v>2119542138.5</v>
      </c>
      <c r="R373" s="31">
        <v>1229.8599999999999</v>
      </c>
      <c r="S373" s="32">
        <v>4.64E-4</v>
      </c>
      <c r="T373" s="32" t="s">
        <v>139</v>
      </c>
      <c r="U373" s="32">
        <v>-1.0560000000000001E-3</v>
      </c>
      <c r="V373" s="32">
        <v>2.4620000000000002E-3</v>
      </c>
      <c r="W373" s="32">
        <v>2.5019999999999999E-3</v>
      </c>
      <c r="X373" s="32">
        <v>1.8649999999999999E-3</v>
      </c>
      <c r="Y373" s="32">
        <v>-2.6359999999999999E-3</v>
      </c>
      <c r="Z373" s="32" t="s">
        <v>139</v>
      </c>
      <c r="AA373" s="32" t="s">
        <v>139</v>
      </c>
      <c r="AB373" s="32" t="s">
        <v>139</v>
      </c>
    </row>
    <row r="374" spans="1:28" ht="15.6" customHeight="1" x14ac:dyDescent="0.25">
      <c r="A374" s="24" t="s">
        <v>660</v>
      </c>
      <c r="B374" s="50">
        <v>3960</v>
      </c>
      <c r="C374" s="25" t="s">
        <v>661</v>
      </c>
      <c r="D374" s="25" t="s">
        <v>241</v>
      </c>
      <c r="E374" s="25" t="s">
        <v>194</v>
      </c>
      <c r="F374" s="25" t="s">
        <v>138</v>
      </c>
      <c r="G374" s="26" t="s">
        <v>139</v>
      </c>
      <c r="H374" s="27" t="s">
        <v>662</v>
      </c>
      <c r="I374" s="24" t="s">
        <v>106</v>
      </c>
      <c r="J374" s="24" t="s">
        <v>107</v>
      </c>
      <c r="K374" s="28" t="s">
        <v>227</v>
      </c>
      <c r="L374" s="29">
        <v>0.03</v>
      </c>
      <c r="M374" s="29">
        <v>1.4999999999999999E-2</v>
      </c>
      <c r="N374" s="29">
        <v>0.02</v>
      </c>
      <c r="O374" s="27" t="s">
        <v>663</v>
      </c>
      <c r="P374" s="30" t="s">
        <v>241</v>
      </c>
      <c r="Q374" s="31">
        <v>1592746211.3599999</v>
      </c>
      <c r="R374" s="31">
        <v>1183.8399999999999</v>
      </c>
      <c r="S374" s="32">
        <v>-1.5779999999999999E-2</v>
      </c>
      <c r="T374" s="32" t="s">
        <v>139</v>
      </c>
      <c r="U374" s="32">
        <v>-3.326E-3</v>
      </c>
      <c r="V374" s="32">
        <v>6.3400000000000001E-4</v>
      </c>
      <c r="W374" s="32">
        <v>1.6337000000000001E-2</v>
      </c>
      <c r="X374" s="32">
        <v>3.5540000000000002E-2</v>
      </c>
      <c r="Y374" s="32">
        <v>-6.2193999999999999E-2</v>
      </c>
      <c r="Z374" s="32" t="s">
        <v>139</v>
      </c>
      <c r="AA374" s="32" t="s">
        <v>139</v>
      </c>
      <c r="AB374" s="32" t="s">
        <v>139</v>
      </c>
    </row>
    <row r="375" spans="1:28" ht="15.6" customHeight="1" x14ac:dyDescent="0.25">
      <c r="A375" s="24" t="s">
        <v>1439</v>
      </c>
      <c r="B375" s="50">
        <v>3961</v>
      </c>
      <c r="C375" s="25" t="s">
        <v>1440</v>
      </c>
      <c r="D375" s="25" t="s">
        <v>101</v>
      </c>
      <c r="E375" s="25" t="s">
        <v>194</v>
      </c>
      <c r="F375" s="25" t="s">
        <v>113</v>
      </c>
      <c r="G375" s="26" t="s">
        <v>1441</v>
      </c>
      <c r="H375" s="27" t="s">
        <v>115</v>
      </c>
      <c r="I375" s="24" t="s">
        <v>998</v>
      </c>
      <c r="J375" s="24" t="s">
        <v>121</v>
      </c>
      <c r="K375" s="28" t="s">
        <v>108</v>
      </c>
      <c r="L375" s="29">
        <v>0</v>
      </c>
      <c r="M375" s="29">
        <v>0</v>
      </c>
      <c r="N375" s="29">
        <v>0.02</v>
      </c>
      <c r="O375" s="27" t="s">
        <v>548</v>
      </c>
      <c r="P375" s="30" t="s">
        <v>101</v>
      </c>
      <c r="Q375" s="31">
        <v>1027787880.61</v>
      </c>
      <c r="R375" s="31">
        <v>1131.8800000000001</v>
      </c>
      <c r="S375" s="32">
        <v>7.1599999999999995E-4</v>
      </c>
      <c r="T375" s="32" t="s">
        <v>139</v>
      </c>
      <c r="U375" s="32">
        <v>-1.3060000000000001E-3</v>
      </c>
      <c r="V375" s="32">
        <v>1.9300000000000001E-3</v>
      </c>
      <c r="W375" s="32">
        <v>6.4910000000000002E-3</v>
      </c>
      <c r="X375" s="32">
        <v>1.0688E-2</v>
      </c>
      <c r="Y375" s="32">
        <v>-9.9710000000000007E-3</v>
      </c>
      <c r="Z375" s="32" t="s">
        <v>139</v>
      </c>
      <c r="AA375" s="32" t="s">
        <v>139</v>
      </c>
      <c r="AB375" s="32" t="s">
        <v>139</v>
      </c>
    </row>
    <row r="376" spans="1:28" ht="15.6" customHeight="1" x14ac:dyDescent="0.25">
      <c r="A376" s="24" t="s">
        <v>664</v>
      </c>
      <c r="B376" s="50">
        <v>3962</v>
      </c>
      <c r="C376" s="25" t="s">
        <v>665</v>
      </c>
      <c r="D376" s="25" t="s">
        <v>241</v>
      </c>
      <c r="E376" s="25" t="s">
        <v>194</v>
      </c>
      <c r="F376" s="25" t="s">
        <v>113</v>
      </c>
      <c r="G376" s="26" t="s">
        <v>666</v>
      </c>
      <c r="H376" s="27" t="s">
        <v>667</v>
      </c>
      <c r="I376" s="24" t="s">
        <v>106</v>
      </c>
      <c r="J376" s="24" t="s">
        <v>121</v>
      </c>
      <c r="K376" s="28" t="s">
        <v>227</v>
      </c>
      <c r="L376" s="29">
        <v>0</v>
      </c>
      <c r="M376" s="29">
        <v>0</v>
      </c>
      <c r="N376" s="29">
        <v>0.02</v>
      </c>
      <c r="O376" s="27" t="s">
        <v>173</v>
      </c>
      <c r="P376" s="30" t="s">
        <v>241</v>
      </c>
      <c r="Q376" s="31">
        <v>887219312.48000002</v>
      </c>
      <c r="R376" s="31">
        <v>1076.7</v>
      </c>
      <c r="S376" s="32">
        <v>1.6195999999999999E-2</v>
      </c>
      <c r="T376" s="32" t="s">
        <v>139</v>
      </c>
      <c r="U376" s="32">
        <v>-8.8199999999999997E-4</v>
      </c>
      <c r="V376" s="32">
        <v>2.4390000000000002E-3</v>
      </c>
      <c r="W376" s="32">
        <v>8.9300000000000004E-3</v>
      </c>
      <c r="X376" s="32">
        <v>1.5103999999999999E-2</v>
      </c>
      <c r="Y376" s="32">
        <v>1.968E-2</v>
      </c>
      <c r="Z376" s="32" t="s">
        <v>139</v>
      </c>
      <c r="AA376" s="32" t="s">
        <v>139</v>
      </c>
      <c r="AB376" s="32" t="s">
        <v>139</v>
      </c>
    </row>
    <row r="377" spans="1:28" ht="15.6" customHeight="1" x14ac:dyDescent="0.25">
      <c r="A377" s="24" t="s">
        <v>668</v>
      </c>
      <c r="B377" s="50">
        <v>3963</v>
      </c>
      <c r="C377" s="25" t="s">
        <v>669</v>
      </c>
      <c r="D377" s="25" t="s">
        <v>316</v>
      </c>
      <c r="E377" s="25" t="s">
        <v>194</v>
      </c>
      <c r="F377" s="25" t="s">
        <v>113</v>
      </c>
      <c r="G377" s="26" t="s">
        <v>670</v>
      </c>
      <c r="H377" s="27" t="s">
        <v>115</v>
      </c>
      <c r="I377" s="24" t="s">
        <v>106</v>
      </c>
      <c r="J377" s="24" t="s">
        <v>107</v>
      </c>
      <c r="K377" s="28" t="s">
        <v>108</v>
      </c>
      <c r="L377" s="29">
        <v>0.03</v>
      </c>
      <c r="M377" s="29">
        <v>0.03</v>
      </c>
      <c r="N377" s="29">
        <v>0.02</v>
      </c>
      <c r="O377" s="27" t="s">
        <v>161</v>
      </c>
      <c r="P377" s="30" t="s">
        <v>316</v>
      </c>
      <c r="Q377" s="31">
        <v>1056663250.4</v>
      </c>
      <c r="R377" s="31">
        <v>1031.08</v>
      </c>
      <c r="S377" s="32">
        <v>-6.5900000000000004E-3</v>
      </c>
      <c r="T377" s="32" t="s">
        <v>139</v>
      </c>
      <c r="U377" s="32">
        <v>-1.9750000000000002E-3</v>
      </c>
      <c r="V377" s="32">
        <v>1.6609999999999999E-3</v>
      </c>
      <c r="W377" s="32">
        <v>6.0889999999999998E-3</v>
      </c>
      <c r="X377" s="32">
        <v>7.1700000000000002E-3</v>
      </c>
      <c r="Y377" s="32">
        <v>-2.0164999999999999E-2</v>
      </c>
      <c r="Z377" s="32" t="s">
        <v>139</v>
      </c>
      <c r="AA377" s="32" t="s">
        <v>139</v>
      </c>
      <c r="AB377" s="32" t="s">
        <v>139</v>
      </c>
    </row>
    <row r="378" spans="1:28" ht="15.6" customHeight="1" x14ac:dyDescent="0.25">
      <c r="A378" s="24" t="s">
        <v>671</v>
      </c>
      <c r="B378" s="50">
        <v>3965</v>
      </c>
      <c r="C378" s="25" t="s">
        <v>672</v>
      </c>
      <c r="D378" s="25" t="s">
        <v>504</v>
      </c>
      <c r="E378" s="25" t="s">
        <v>194</v>
      </c>
      <c r="F378" s="25" t="s">
        <v>113</v>
      </c>
      <c r="G378" s="26" t="s">
        <v>439</v>
      </c>
      <c r="H378" s="27" t="s">
        <v>115</v>
      </c>
      <c r="I378" s="24" t="s">
        <v>106</v>
      </c>
      <c r="J378" s="24" t="s">
        <v>121</v>
      </c>
      <c r="K378" s="28" t="s">
        <v>108</v>
      </c>
      <c r="L378" s="29">
        <v>0</v>
      </c>
      <c r="M378" s="29">
        <v>0</v>
      </c>
      <c r="N378" s="29">
        <v>0.02</v>
      </c>
      <c r="O378" s="27" t="s">
        <v>161</v>
      </c>
      <c r="P378" s="30" t="s">
        <v>673</v>
      </c>
      <c r="Q378" s="31">
        <v>1122154.02</v>
      </c>
      <c r="R378" s="31">
        <v>1122.1500000000001</v>
      </c>
      <c r="S378" s="32">
        <v>-3.6499999999999998E-4</v>
      </c>
      <c r="T378" s="32" t="s">
        <v>139</v>
      </c>
      <c r="U378" s="32">
        <v>-1.6639999999999999E-3</v>
      </c>
      <c r="V378" s="32">
        <v>1.8929999999999999E-3</v>
      </c>
      <c r="W378" s="32">
        <v>5.006E-3</v>
      </c>
      <c r="X378" s="32">
        <v>3.9189999999999997E-3</v>
      </c>
      <c r="Y378" s="32">
        <v>-6.1199999999999996E-3</v>
      </c>
      <c r="Z378" s="32">
        <v>6.6175999999999999E-2</v>
      </c>
      <c r="AA378" s="32">
        <v>0.146338</v>
      </c>
      <c r="AB378" s="32" t="s">
        <v>139</v>
      </c>
    </row>
    <row r="379" spans="1:28" ht="15.6" customHeight="1" x14ac:dyDescent="0.25">
      <c r="A379" s="24" t="s">
        <v>674</v>
      </c>
      <c r="B379" s="50">
        <v>3966</v>
      </c>
      <c r="C379" s="25" t="s">
        <v>675</v>
      </c>
      <c r="D379" s="25" t="s">
        <v>241</v>
      </c>
      <c r="E379" s="25" t="s">
        <v>194</v>
      </c>
      <c r="F379" s="25" t="s">
        <v>113</v>
      </c>
      <c r="G379" s="26" t="s">
        <v>676</v>
      </c>
      <c r="H379" s="27" t="s">
        <v>120</v>
      </c>
      <c r="I379" s="24" t="s">
        <v>106</v>
      </c>
      <c r="J379" s="24" t="s">
        <v>121</v>
      </c>
      <c r="K379" s="28" t="s">
        <v>227</v>
      </c>
      <c r="L379" s="29">
        <v>0</v>
      </c>
      <c r="M379" s="29">
        <v>0</v>
      </c>
      <c r="N379" s="29">
        <v>0.02</v>
      </c>
      <c r="O379" s="27" t="s">
        <v>262</v>
      </c>
      <c r="P379" s="30" t="s">
        <v>241</v>
      </c>
      <c r="Q379" s="31">
        <v>37647354.380000003</v>
      </c>
      <c r="R379" s="31">
        <v>1356.71</v>
      </c>
      <c r="S379" s="32">
        <v>1.3643000000000001E-2</v>
      </c>
      <c r="T379" s="32" t="s">
        <v>139</v>
      </c>
      <c r="U379" s="32">
        <v>-1.1559999999999999E-3</v>
      </c>
      <c r="V379" s="32">
        <v>1.9419999999999999E-3</v>
      </c>
      <c r="W379" s="32">
        <v>5.7000000000000002E-3</v>
      </c>
      <c r="X379" s="32">
        <v>1.3181E-2</v>
      </c>
      <c r="Y379" s="32">
        <v>1.1195E-2</v>
      </c>
      <c r="Z379" s="32">
        <v>0.10155599999999999</v>
      </c>
      <c r="AA379" s="32">
        <v>0.238541</v>
      </c>
      <c r="AB379" s="32">
        <v>0.28240700000000002</v>
      </c>
    </row>
    <row r="380" spans="1:28" ht="15.6" customHeight="1" x14ac:dyDescent="0.25">
      <c r="A380" s="24" t="s">
        <v>677</v>
      </c>
      <c r="B380" s="50">
        <v>3967</v>
      </c>
      <c r="C380" s="25" t="s">
        <v>678</v>
      </c>
      <c r="D380" s="25" t="s">
        <v>679</v>
      </c>
      <c r="E380" s="25" t="s">
        <v>194</v>
      </c>
      <c r="F380" s="25" t="s">
        <v>138</v>
      </c>
      <c r="G380" s="26" t="s">
        <v>139</v>
      </c>
      <c r="H380" s="27" t="s">
        <v>680</v>
      </c>
      <c r="I380" s="24" t="s">
        <v>106</v>
      </c>
      <c r="J380" s="24" t="s">
        <v>107</v>
      </c>
      <c r="K380" s="28" t="s">
        <v>108</v>
      </c>
      <c r="L380" s="29">
        <v>0.03</v>
      </c>
      <c r="M380" s="29">
        <v>1.4999999999999999E-2</v>
      </c>
      <c r="N380" s="29">
        <v>0.02</v>
      </c>
      <c r="O380" s="27" t="s">
        <v>659</v>
      </c>
      <c r="P380" s="30" t="s">
        <v>679</v>
      </c>
      <c r="Q380" s="31">
        <v>263306043.75</v>
      </c>
      <c r="R380" s="31">
        <v>983.17</v>
      </c>
      <c r="S380" s="32">
        <v>-1.8693999999999999E-2</v>
      </c>
      <c r="T380" s="32" t="s">
        <v>139</v>
      </c>
      <c r="U380" s="32">
        <v>-5.3119999999999999E-3</v>
      </c>
      <c r="V380" s="32">
        <v>-3.0620000000000001E-3</v>
      </c>
      <c r="W380" s="32">
        <v>1.5011E-2</v>
      </c>
      <c r="X380" s="32">
        <v>4.0787999999999998E-2</v>
      </c>
      <c r="Y380" s="32">
        <v>-8.1459000000000004E-2</v>
      </c>
      <c r="Z380" s="32" t="s">
        <v>139</v>
      </c>
      <c r="AA380" s="32" t="s">
        <v>139</v>
      </c>
      <c r="AB380" s="32" t="s">
        <v>139</v>
      </c>
    </row>
    <row r="381" spans="1:28" ht="15.6" customHeight="1" x14ac:dyDescent="0.25">
      <c r="A381" s="24" t="s">
        <v>681</v>
      </c>
      <c r="B381" s="50">
        <v>3968</v>
      </c>
      <c r="C381" s="25" t="s">
        <v>682</v>
      </c>
      <c r="D381" s="25" t="s">
        <v>679</v>
      </c>
      <c r="E381" s="25" t="s">
        <v>194</v>
      </c>
      <c r="F381" s="25" t="s">
        <v>103</v>
      </c>
      <c r="G381" s="26" t="s">
        <v>392</v>
      </c>
      <c r="H381" s="27" t="s">
        <v>188</v>
      </c>
      <c r="I381" s="24" t="s">
        <v>106</v>
      </c>
      <c r="J381" s="24" t="s">
        <v>107</v>
      </c>
      <c r="K381" s="28" t="s">
        <v>108</v>
      </c>
      <c r="L381" s="29">
        <v>0.03</v>
      </c>
      <c r="M381" s="29">
        <v>1.4999999999999999E-2</v>
      </c>
      <c r="N381" s="29">
        <v>0.02</v>
      </c>
      <c r="O381" s="27" t="s">
        <v>659</v>
      </c>
      <c r="P381" s="30" t="s">
        <v>679</v>
      </c>
      <c r="Q381" s="31">
        <v>949812957.69000006</v>
      </c>
      <c r="R381" s="31">
        <v>1031.17</v>
      </c>
      <c r="S381" s="32">
        <v>1.7614999999999999E-2</v>
      </c>
      <c r="T381" s="32" t="s">
        <v>139</v>
      </c>
      <c r="U381" s="32">
        <v>1.26E-4</v>
      </c>
      <c r="V381" s="32">
        <v>1.681E-3</v>
      </c>
      <c r="W381" s="32">
        <v>6.0390000000000001E-3</v>
      </c>
      <c r="X381" s="32">
        <v>1.2966999999999999E-2</v>
      </c>
      <c r="Y381" s="32">
        <v>2.5100999999999998E-2</v>
      </c>
      <c r="Z381" s="32" t="s">
        <v>139</v>
      </c>
      <c r="AA381" s="32" t="s">
        <v>139</v>
      </c>
      <c r="AB381" s="32" t="s">
        <v>139</v>
      </c>
    </row>
    <row r="382" spans="1:28" ht="15.6" customHeight="1" x14ac:dyDescent="0.25">
      <c r="A382" s="24" t="s">
        <v>683</v>
      </c>
      <c r="B382" s="50">
        <v>3969</v>
      </c>
      <c r="C382" s="25" t="s">
        <v>684</v>
      </c>
      <c r="D382" s="25" t="s">
        <v>679</v>
      </c>
      <c r="E382" s="25" t="s">
        <v>194</v>
      </c>
      <c r="F382" s="25" t="s">
        <v>113</v>
      </c>
      <c r="G382" s="26" t="s">
        <v>685</v>
      </c>
      <c r="H382" s="27" t="s">
        <v>115</v>
      </c>
      <c r="I382" s="24" t="s">
        <v>106</v>
      </c>
      <c r="J382" s="24" t="s">
        <v>107</v>
      </c>
      <c r="K382" s="28" t="s">
        <v>108</v>
      </c>
      <c r="L382" s="29">
        <v>0.03</v>
      </c>
      <c r="M382" s="29">
        <v>1.4999999999999999E-2</v>
      </c>
      <c r="N382" s="29">
        <v>0.02</v>
      </c>
      <c r="O382" s="27" t="s">
        <v>659</v>
      </c>
      <c r="P382" s="30" t="s">
        <v>679</v>
      </c>
      <c r="Q382" s="31">
        <v>519536121.81</v>
      </c>
      <c r="R382" s="31">
        <v>1008.47</v>
      </c>
      <c r="S382" s="32">
        <v>-7.2750000000000002E-3</v>
      </c>
      <c r="T382" s="32" t="s">
        <v>139</v>
      </c>
      <c r="U382" s="32">
        <v>-2.3739999999999998E-3</v>
      </c>
      <c r="V382" s="32">
        <v>-3.3700000000000001E-4</v>
      </c>
      <c r="W382" s="32">
        <v>4.352E-3</v>
      </c>
      <c r="X382" s="32">
        <v>3.5130000000000001E-3</v>
      </c>
      <c r="Y382" s="32">
        <v>-1.1788E-2</v>
      </c>
      <c r="Z382" s="32" t="s">
        <v>139</v>
      </c>
      <c r="AA382" s="32" t="s">
        <v>139</v>
      </c>
      <c r="AB382" s="32" t="s">
        <v>139</v>
      </c>
    </row>
    <row r="383" spans="1:28" ht="15.6" customHeight="1" x14ac:dyDescent="0.25">
      <c r="A383" s="24" t="s">
        <v>686</v>
      </c>
      <c r="B383" s="50">
        <v>3970</v>
      </c>
      <c r="C383" s="25" t="s">
        <v>687</v>
      </c>
      <c r="D383" s="25" t="s">
        <v>679</v>
      </c>
      <c r="E383" s="25" t="s">
        <v>194</v>
      </c>
      <c r="F383" s="25" t="s">
        <v>113</v>
      </c>
      <c r="G383" s="26" t="s">
        <v>685</v>
      </c>
      <c r="H383" s="27" t="s">
        <v>115</v>
      </c>
      <c r="I383" s="24" t="s">
        <v>106</v>
      </c>
      <c r="J383" s="24" t="s">
        <v>107</v>
      </c>
      <c r="K383" s="28" t="s">
        <v>108</v>
      </c>
      <c r="L383" s="29">
        <v>0.03</v>
      </c>
      <c r="M383" s="29">
        <v>1.4999999999999999E-2</v>
      </c>
      <c r="N383" s="29">
        <v>0.02</v>
      </c>
      <c r="O383" s="27" t="s">
        <v>148</v>
      </c>
      <c r="P383" s="30" t="s">
        <v>679</v>
      </c>
      <c r="Q383" s="31">
        <v>288906345.47000003</v>
      </c>
      <c r="R383" s="31">
        <v>1075.3399999999999</v>
      </c>
      <c r="S383" s="32">
        <v>5.9145999999999997E-2</v>
      </c>
      <c r="T383" s="32" t="s">
        <v>139</v>
      </c>
      <c r="U383" s="32">
        <v>-1.3470000000000001E-3</v>
      </c>
      <c r="V383" s="32">
        <v>2.3019999999999998E-3</v>
      </c>
      <c r="W383" s="32">
        <v>2.5730000000000002E-3</v>
      </c>
      <c r="X383" s="32">
        <v>-3.7199999999999999E-4</v>
      </c>
      <c r="Y383" s="32">
        <v>5.8134999999999999E-2</v>
      </c>
      <c r="Z383" s="32" t="s">
        <v>139</v>
      </c>
      <c r="AA383" s="32" t="s">
        <v>139</v>
      </c>
      <c r="AB383" s="32" t="s">
        <v>139</v>
      </c>
    </row>
    <row r="384" spans="1:28" ht="15.6" customHeight="1" x14ac:dyDescent="0.25">
      <c r="A384" s="24" t="s">
        <v>688</v>
      </c>
      <c r="B384" s="50">
        <v>3971</v>
      </c>
      <c r="C384" s="25" t="s">
        <v>689</v>
      </c>
      <c r="D384" s="25" t="s">
        <v>679</v>
      </c>
      <c r="E384" s="25" t="s">
        <v>194</v>
      </c>
      <c r="F384" s="25" t="s">
        <v>128</v>
      </c>
      <c r="G384" s="26" t="s">
        <v>690</v>
      </c>
      <c r="H384" s="27" t="s">
        <v>130</v>
      </c>
      <c r="I384" s="24" t="s">
        <v>106</v>
      </c>
      <c r="J384" s="24" t="s">
        <v>107</v>
      </c>
      <c r="K384" s="28" t="s">
        <v>108</v>
      </c>
      <c r="L384" s="29">
        <v>0.03</v>
      </c>
      <c r="M384" s="29">
        <v>1.4999999999999999E-2</v>
      </c>
      <c r="N384" s="29">
        <v>0.02</v>
      </c>
      <c r="O384" s="27" t="s">
        <v>148</v>
      </c>
      <c r="P384" s="30" t="s">
        <v>679</v>
      </c>
      <c r="Q384" s="31">
        <v>929449200.92999995</v>
      </c>
      <c r="R384" s="31">
        <v>1033.46</v>
      </c>
      <c r="S384" s="32">
        <v>1.9372E-2</v>
      </c>
      <c r="T384" s="32" t="s">
        <v>139</v>
      </c>
      <c r="U384" s="32">
        <v>-9.7E-5</v>
      </c>
      <c r="V384" s="32">
        <v>1.91E-3</v>
      </c>
      <c r="W384" s="32">
        <v>6.8690000000000001E-3</v>
      </c>
      <c r="X384" s="32">
        <v>1.4519000000000001E-2</v>
      </c>
      <c r="Y384" s="32">
        <v>2.6602000000000001E-2</v>
      </c>
      <c r="Z384" s="32" t="s">
        <v>139</v>
      </c>
      <c r="AA384" s="32" t="s">
        <v>139</v>
      </c>
      <c r="AB384" s="32" t="s">
        <v>139</v>
      </c>
    </row>
    <row r="385" spans="1:28" ht="15.6" customHeight="1" x14ac:dyDescent="0.25">
      <c r="A385" s="24" t="s">
        <v>691</v>
      </c>
      <c r="B385" s="50">
        <v>3972</v>
      </c>
      <c r="C385" s="25" t="s">
        <v>8</v>
      </c>
      <c r="D385" s="25" t="s">
        <v>679</v>
      </c>
      <c r="E385" s="25" t="s">
        <v>194</v>
      </c>
      <c r="F385" s="25" t="s">
        <v>155</v>
      </c>
      <c r="G385" s="26" t="s">
        <v>139</v>
      </c>
      <c r="H385" s="27" t="s">
        <v>156</v>
      </c>
      <c r="I385" s="24" t="s">
        <v>106</v>
      </c>
      <c r="J385" s="24" t="s">
        <v>107</v>
      </c>
      <c r="K385" s="28" t="s">
        <v>108</v>
      </c>
      <c r="L385" s="29">
        <v>0.03</v>
      </c>
      <c r="M385" s="29">
        <v>1.4999999999999999E-2</v>
      </c>
      <c r="N385" s="29">
        <v>0.02</v>
      </c>
      <c r="O385" s="27" t="s">
        <v>148</v>
      </c>
      <c r="P385" s="30" t="s">
        <v>679</v>
      </c>
      <c r="Q385" s="31">
        <v>110643714.34</v>
      </c>
      <c r="R385" s="31">
        <v>985.54</v>
      </c>
      <c r="S385" s="32">
        <v>1.4504E-2</v>
      </c>
      <c r="T385" s="32" t="s">
        <v>139</v>
      </c>
      <c r="U385" s="32">
        <v>-7.5030000000000001E-3</v>
      </c>
      <c r="V385" s="32">
        <v>-4.8770000000000003E-3</v>
      </c>
      <c r="W385" s="32">
        <v>3.2888000000000001E-2</v>
      </c>
      <c r="X385" s="32">
        <v>0.117354</v>
      </c>
      <c r="Y385" s="32">
        <v>-8.5541000000000006E-2</v>
      </c>
      <c r="Z385" s="32" t="s">
        <v>139</v>
      </c>
      <c r="AA385" s="32" t="s">
        <v>139</v>
      </c>
      <c r="AB385" s="32" t="s">
        <v>139</v>
      </c>
    </row>
    <row r="386" spans="1:28" ht="15.6" customHeight="1" x14ac:dyDescent="0.25">
      <c r="A386" s="24" t="s">
        <v>692</v>
      </c>
      <c r="B386" s="50">
        <v>3973</v>
      </c>
      <c r="C386" s="25" t="s">
        <v>693</v>
      </c>
      <c r="D386" s="25" t="s">
        <v>504</v>
      </c>
      <c r="E386" s="25" t="s">
        <v>194</v>
      </c>
      <c r="F386" s="25" t="s">
        <v>138</v>
      </c>
      <c r="G386" s="26" t="s">
        <v>139</v>
      </c>
      <c r="H386" s="27" t="s">
        <v>694</v>
      </c>
      <c r="I386" s="24" t="s">
        <v>106</v>
      </c>
      <c r="J386" s="24" t="s">
        <v>121</v>
      </c>
      <c r="K386" s="28" t="s">
        <v>227</v>
      </c>
      <c r="L386" s="29">
        <v>0.02</v>
      </c>
      <c r="M386" s="29">
        <v>0.02</v>
      </c>
      <c r="N386" s="29">
        <v>0.02</v>
      </c>
      <c r="O386" s="27" t="s">
        <v>116</v>
      </c>
      <c r="P386" s="30" t="s">
        <v>504</v>
      </c>
      <c r="Q386" s="31">
        <v>243670703.58000001</v>
      </c>
      <c r="R386" s="31">
        <v>1388.8</v>
      </c>
      <c r="S386" s="32">
        <v>-4.1804000000000001E-2</v>
      </c>
      <c r="T386" s="32" t="s">
        <v>139</v>
      </c>
      <c r="U386" s="32">
        <v>-2.2490000000000001E-3</v>
      </c>
      <c r="V386" s="32">
        <v>2.1069999999999999E-3</v>
      </c>
      <c r="W386" s="32">
        <v>2.1207E-2</v>
      </c>
      <c r="X386" s="32">
        <v>8.8039999999999993E-3</v>
      </c>
      <c r="Y386" s="32">
        <v>-9.0884999999999994E-2</v>
      </c>
      <c r="Z386" s="32">
        <v>0.202851</v>
      </c>
      <c r="AA386" s="32">
        <v>0.433674</v>
      </c>
      <c r="AB386" s="32" t="s">
        <v>139</v>
      </c>
    </row>
    <row r="387" spans="1:28" ht="15.6" customHeight="1" x14ac:dyDescent="0.25">
      <c r="A387" s="24" t="s">
        <v>695</v>
      </c>
      <c r="B387" s="50">
        <v>3974</v>
      </c>
      <c r="C387" s="25" t="s">
        <v>696</v>
      </c>
      <c r="D387" s="25" t="s">
        <v>101</v>
      </c>
      <c r="E387" s="25" t="s">
        <v>194</v>
      </c>
      <c r="F387" s="25" t="s">
        <v>128</v>
      </c>
      <c r="G387" s="26" t="s">
        <v>129</v>
      </c>
      <c r="H387" s="27" t="s">
        <v>130</v>
      </c>
      <c r="I387" s="24" t="s">
        <v>106</v>
      </c>
      <c r="J387" s="24" t="s">
        <v>121</v>
      </c>
      <c r="K387" s="28" t="s">
        <v>227</v>
      </c>
      <c r="L387" s="29">
        <v>0</v>
      </c>
      <c r="M387" s="29">
        <v>0.05</v>
      </c>
      <c r="N387" s="29">
        <v>0.02</v>
      </c>
      <c r="O387" s="27" t="s">
        <v>262</v>
      </c>
      <c r="P387" s="30" t="s">
        <v>697</v>
      </c>
      <c r="Q387" s="31">
        <v>1003721.62</v>
      </c>
      <c r="R387" s="31">
        <v>1003.72</v>
      </c>
      <c r="S387" s="32">
        <v>3.6900000000000001E-3</v>
      </c>
      <c r="T387" s="32" t="s">
        <v>139</v>
      </c>
      <c r="U387" s="32">
        <v>-5.0799999999999999E-4</v>
      </c>
      <c r="V387" s="32">
        <v>3.6900000000000002E-4</v>
      </c>
      <c r="W387" s="32">
        <v>1.407E-3</v>
      </c>
      <c r="X387" s="32">
        <v>3.339E-3</v>
      </c>
      <c r="Y387" s="32">
        <v>3.5490000000000001E-3</v>
      </c>
      <c r="Z387" s="32" t="s">
        <v>139</v>
      </c>
      <c r="AA387" s="32" t="s">
        <v>139</v>
      </c>
      <c r="AB387" s="32" t="s">
        <v>139</v>
      </c>
    </row>
    <row r="388" spans="1:28" ht="15.6" customHeight="1" x14ac:dyDescent="0.25">
      <c r="A388" s="24" t="s">
        <v>698</v>
      </c>
      <c r="B388" s="50">
        <v>3975</v>
      </c>
      <c r="C388" s="25" t="s">
        <v>699</v>
      </c>
      <c r="D388" s="25" t="s">
        <v>570</v>
      </c>
      <c r="E388" s="25" t="s">
        <v>194</v>
      </c>
      <c r="F388" s="25" t="s">
        <v>138</v>
      </c>
      <c r="G388" s="26" t="s">
        <v>139</v>
      </c>
      <c r="H388" s="27" t="s">
        <v>195</v>
      </c>
      <c r="I388" s="24" t="s">
        <v>106</v>
      </c>
      <c r="J388" s="24" t="s">
        <v>107</v>
      </c>
      <c r="K388" s="28" t="s">
        <v>227</v>
      </c>
      <c r="L388" s="29">
        <v>0.03</v>
      </c>
      <c r="M388" s="29">
        <v>0.03</v>
      </c>
      <c r="N388" s="29">
        <v>0.02</v>
      </c>
      <c r="O388" s="27" t="s">
        <v>161</v>
      </c>
      <c r="P388" s="30" t="s">
        <v>570</v>
      </c>
      <c r="Q388" s="31">
        <v>845763960.64999998</v>
      </c>
      <c r="R388" s="31">
        <v>941.59</v>
      </c>
      <c r="S388" s="32">
        <v>3.4640000000000001E-3</v>
      </c>
      <c r="T388" s="32" t="s">
        <v>139</v>
      </c>
      <c r="U388" s="32">
        <v>-6.1539999999999997E-3</v>
      </c>
      <c r="V388" s="32">
        <v>-1.908E-3</v>
      </c>
      <c r="W388" s="32">
        <v>2.0969999999999999E-2</v>
      </c>
      <c r="X388" s="32">
        <v>8.2448999999999995E-2</v>
      </c>
      <c r="Y388" s="32">
        <v>-7.4139999999999998E-2</v>
      </c>
      <c r="Z388" s="32" t="s">
        <v>139</v>
      </c>
      <c r="AA388" s="32" t="s">
        <v>139</v>
      </c>
      <c r="AB388" s="32" t="s">
        <v>139</v>
      </c>
    </row>
    <row r="389" spans="1:28" ht="15.6" customHeight="1" x14ac:dyDescent="0.25">
      <c r="A389" s="24" t="s">
        <v>1442</v>
      </c>
      <c r="B389" s="50">
        <v>3976</v>
      </c>
      <c r="C389" s="25" t="s">
        <v>1443</v>
      </c>
      <c r="D389" s="25" t="s">
        <v>164</v>
      </c>
      <c r="E389" s="25" t="s">
        <v>194</v>
      </c>
      <c r="F389" s="25" t="s">
        <v>138</v>
      </c>
      <c r="G389" s="26" t="s">
        <v>139</v>
      </c>
      <c r="H389" s="27" t="s">
        <v>1444</v>
      </c>
      <c r="I389" s="24" t="s">
        <v>998</v>
      </c>
      <c r="J389" s="24" t="s">
        <v>107</v>
      </c>
      <c r="K389" s="28" t="s">
        <v>108</v>
      </c>
      <c r="L389" s="29">
        <v>0.03</v>
      </c>
      <c r="M389" s="29">
        <v>0.03</v>
      </c>
      <c r="N389" s="29">
        <v>0.02</v>
      </c>
      <c r="O389" s="27" t="s">
        <v>166</v>
      </c>
      <c r="P389" s="30" t="s">
        <v>164</v>
      </c>
      <c r="Q389" s="31">
        <v>161005189.81</v>
      </c>
      <c r="R389" s="31">
        <v>2078.4499999999998</v>
      </c>
      <c r="S389" s="32">
        <v>2.0393999999999999E-2</v>
      </c>
      <c r="T389" s="32" t="s">
        <v>139</v>
      </c>
      <c r="U389" s="32">
        <v>-4.359E-3</v>
      </c>
      <c r="V389" s="32">
        <v>4.9600000000000002E-4</v>
      </c>
      <c r="W389" s="32">
        <v>1.2406E-2</v>
      </c>
      <c r="X389" s="32">
        <v>3.8628000000000003E-2</v>
      </c>
      <c r="Y389" s="32">
        <v>8.0070000000000002E-3</v>
      </c>
      <c r="Z389" s="32">
        <v>0.20572299999999999</v>
      </c>
      <c r="AA389" s="32">
        <v>0.32152199999999997</v>
      </c>
      <c r="AB389" s="32">
        <v>0.22611600000000001</v>
      </c>
    </row>
    <row r="390" spans="1:28" ht="15.6" customHeight="1" x14ac:dyDescent="0.25">
      <c r="A390" s="24" t="s">
        <v>700</v>
      </c>
      <c r="B390" s="50">
        <v>3977</v>
      </c>
      <c r="C390" s="25" t="s">
        <v>701</v>
      </c>
      <c r="D390" s="25" t="s">
        <v>164</v>
      </c>
      <c r="E390" s="25" t="s">
        <v>194</v>
      </c>
      <c r="F390" s="25" t="s">
        <v>113</v>
      </c>
      <c r="G390" s="26" t="s">
        <v>702</v>
      </c>
      <c r="H390" s="27" t="s">
        <v>120</v>
      </c>
      <c r="I390" s="24" t="s">
        <v>106</v>
      </c>
      <c r="J390" s="24" t="s">
        <v>121</v>
      </c>
      <c r="K390" s="28" t="s">
        <v>227</v>
      </c>
      <c r="L390" s="29">
        <v>0</v>
      </c>
      <c r="M390" s="29">
        <v>0</v>
      </c>
      <c r="N390" s="29">
        <v>0.02</v>
      </c>
      <c r="O390" s="27" t="s">
        <v>166</v>
      </c>
      <c r="P390" s="30" t="s">
        <v>164</v>
      </c>
      <c r="Q390" s="31">
        <v>1017478.14</v>
      </c>
      <c r="R390" s="31">
        <v>10174.780000000001</v>
      </c>
      <c r="S390" s="32">
        <v>1.4494999999999999E-2</v>
      </c>
      <c r="T390" s="32" t="s">
        <v>139</v>
      </c>
      <c r="U390" s="32">
        <v>-3.6099999999999999E-4</v>
      </c>
      <c r="V390" s="32">
        <v>1.3339999999999999E-3</v>
      </c>
      <c r="W390" s="32">
        <v>5.6389999999999999E-3</v>
      </c>
      <c r="X390" s="32">
        <v>1.196E-2</v>
      </c>
      <c r="Y390" s="32">
        <v>1.7561E-2</v>
      </c>
      <c r="Z390" s="32" t="s">
        <v>139</v>
      </c>
      <c r="AA390" s="32" t="s">
        <v>139</v>
      </c>
      <c r="AB390" s="32" t="s">
        <v>139</v>
      </c>
    </row>
    <row r="391" spans="1:28" ht="15.6" customHeight="1" x14ac:dyDescent="0.25">
      <c r="A391" s="24" t="s">
        <v>703</v>
      </c>
      <c r="B391" s="50">
        <v>3978</v>
      </c>
      <c r="C391" s="25" t="s">
        <v>704</v>
      </c>
      <c r="D391" s="25" t="s">
        <v>316</v>
      </c>
      <c r="E391" s="25" t="s">
        <v>194</v>
      </c>
      <c r="F391" s="25" t="s">
        <v>103</v>
      </c>
      <c r="G391" s="26" t="s">
        <v>392</v>
      </c>
      <c r="H391" s="27" t="s">
        <v>705</v>
      </c>
      <c r="I391" s="24" t="s">
        <v>106</v>
      </c>
      <c r="J391" s="24" t="s">
        <v>107</v>
      </c>
      <c r="K391" s="28" t="s">
        <v>108</v>
      </c>
      <c r="L391" s="29">
        <v>0.03</v>
      </c>
      <c r="M391" s="29">
        <v>0.03</v>
      </c>
      <c r="N391" s="29">
        <v>0.02</v>
      </c>
      <c r="O391" s="27" t="s">
        <v>166</v>
      </c>
      <c r="P391" s="30" t="s">
        <v>316</v>
      </c>
      <c r="Q391" s="31">
        <v>5704959.71</v>
      </c>
      <c r="R391" s="31">
        <v>1017.11</v>
      </c>
      <c r="S391" s="32">
        <v>1.3502E-2</v>
      </c>
      <c r="T391" s="32" t="s">
        <v>139</v>
      </c>
      <c r="U391" s="32">
        <v>1.7699999999999999E-4</v>
      </c>
      <c r="V391" s="32">
        <v>1.4970000000000001E-3</v>
      </c>
      <c r="W391" s="32">
        <v>5.0489999999999997E-3</v>
      </c>
      <c r="X391" s="32">
        <v>1.0361E-2</v>
      </c>
      <c r="Y391" s="32">
        <v>1.7436E-2</v>
      </c>
      <c r="Z391" s="32" t="s">
        <v>139</v>
      </c>
      <c r="AA391" s="32" t="s">
        <v>139</v>
      </c>
      <c r="AB391" s="32" t="s">
        <v>139</v>
      </c>
    </row>
    <row r="392" spans="1:28" ht="15.6" customHeight="1" x14ac:dyDescent="0.25">
      <c r="A392" s="24" t="s">
        <v>1445</v>
      </c>
      <c r="B392" s="50">
        <v>3979</v>
      </c>
      <c r="C392" s="25" t="s">
        <v>1446</v>
      </c>
      <c r="D392" s="25" t="s">
        <v>316</v>
      </c>
      <c r="E392" s="25" t="s">
        <v>194</v>
      </c>
      <c r="F392" s="25" t="s">
        <v>138</v>
      </c>
      <c r="G392" s="26" t="s">
        <v>139</v>
      </c>
      <c r="H392" s="27" t="s">
        <v>577</v>
      </c>
      <c r="I392" s="24" t="s">
        <v>998</v>
      </c>
      <c r="J392" s="24" t="s">
        <v>107</v>
      </c>
      <c r="K392" s="28" t="s">
        <v>108</v>
      </c>
      <c r="L392" s="29">
        <v>0.03</v>
      </c>
      <c r="M392" s="29">
        <v>0.03</v>
      </c>
      <c r="N392" s="29">
        <v>0.02</v>
      </c>
      <c r="O392" s="27" t="s">
        <v>166</v>
      </c>
      <c r="P392" s="30" t="s">
        <v>316</v>
      </c>
      <c r="Q392" s="31">
        <v>909206943.23000002</v>
      </c>
      <c r="R392" s="31">
        <v>815.78</v>
      </c>
      <c r="S392" s="32">
        <v>-3.5949000000000002E-2</v>
      </c>
      <c r="T392" s="32" t="s">
        <v>139</v>
      </c>
      <c r="U392" s="32">
        <v>-5.7039999999999999E-3</v>
      </c>
      <c r="V392" s="32">
        <v>-7.1079999999999997E-3</v>
      </c>
      <c r="W392" s="32">
        <v>1.5271E-2</v>
      </c>
      <c r="X392" s="32">
        <v>7.4339999999999996E-3</v>
      </c>
      <c r="Y392" s="32">
        <v>-0.18395900000000001</v>
      </c>
      <c r="Z392" s="32" t="s">
        <v>139</v>
      </c>
      <c r="AA392" s="32" t="s">
        <v>139</v>
      </c>
      <c r="AB392" s="32" t="s">
        <v>139</v>
      </c>
    </row>
    <row r="393" spans="1:28" ht="15.6" customHeight="1" x14ac:dyDescent="0.25">
      <c r="A393" s="24" t="s">
        <v>706</v>
      </c>
      <c r="B393" s="50">
        <v>3980</v>
      </c>
      <c r="C393" s="25" t="s">
        <v>707</v>
      </c>
      <c r="D393" s="25" t="s">
        <v>137</v>
      </c>
      <c r="E393" s="25" t="s">
        <v>194</v>
      </c>
      <c r="F393" s="25" t="s">
        <v>113</v>
      </c>
      <c r="G393" s="26" t="s">
        <v>638</v>
      </c>
      <c r="H393" s="27" t="s">
        <v>115</v>
      </c>
      <c r="I393" s="24" t="s">
        <v>106</v>
      </c>
      <c r="J393" s="24" t="s">
        <v>107</v>
      </c>
      <c r="K393" s="28" t="s">
        <v>108</v>
      </c>
      <c r="L393" s="29">
        <v>0.03</v>
      </c>
      <c r="M393" s="29">
        <v>1.4999999999999999E-2</v>
      </c>
      <c r="N393" s="29">
        <v>0.02</v>
      </c>
      <c r="O393" s="27" t="s">
        <v>141</v>
      </c>
      <c r="P393" s="30" t="s">
        <v>137</v>
      </c>
      <c r="Q393" s="31">
        <v>1330041.0356620001</v>
      </c>
      <c r="R393" s="31">
        <v>127.89</v>
      </c>
      <c r="S393" s="32">
        <v>-4.437E-3</v>
      </c>
      <c r="T393" s="32" t="s">
        <v>139</v>
      </c>
      <c r="U393" s="32">
        <v>-1.405E-3</v>
      </c>
      <c r="V393" s="32">
        <v>2.666E-3</v>
      </c>
      <c r="W393" s="32">
        <v>3.7669999999999999E-3</v>
      </c>
      <c r="X393" s="32">
        <v>-5.4699999999999996E-4</v>
      </c>
      <c r="Y393" s="32">
        <v>-1.2432E-2</v>
      </c>
      <c r="Z393" s="32">
        <v>4.3161999999999999E-2</v>
      </c>
      <c r="AA393" s="32">
        <v>0.153726</v>
      </c>
      <c r="AB393" s="32">
        <v>5.7665000000000001E-2</v>
      </c>
    </row>
    <row r="394" spans="1:28" ht="15.6" customHeight="1" x14ac:dyDescent="0.25">
      <c r="A394" s="24" t="s">
        <v>1447</v>
      </c>
      <c r="B394" s="50">
        <v>3981</v>
      </c>
      <c r="C394" s="25" t="s">
        <v>1448</v>
      </c>
      <c r="D394" s="25" t="s">
        <v>137</v>
      </c>
      <c r="E394" s="25" t="s">
        <v>194</v>
      </c>
      <c r="F394" s="25" t="s">
        <v>138</v>
      </c>
      <c r="G394" s="26" t="s">
        <v>139</v>
      </c>
      <c r="H394" s="27" t="s">
        <v>1449</v>
      </c>
      <c r="I394" s="24" t="s">
        <v>998</v>
      </c>
      <c r="J394" s="24" t="s">
        <v>121</v>
      </c>
      <c r="K394" s="28" t="s">
        <v>227</v>
      </c>
      <c r="L394" s="29">
        <v>0</v>
      </c>
      <c r="M394" s="29">
        <v>0</v>
      </c>
      <c r="N394" s="29">
        <v>0.02</v>
      </c>
      <c r="O394" s="27" t="s">
        <v>141</v>
      </c>
      <c r="P394" s="30" t="s">
        <v>1288</v>
      </c>
      <c r="Q394" s="31">
        <v>235532833.88730901</v>
      </c>
      <c r="R394" s="31">
        <v>27144.5</v>
      </c>
      <c r="S394" s="32">
        <v>-8.9999999999999993E-3</v>
      </c>
      <c r="T394" s="32" t="s">
        <v>139</v>
      </c>
      <c r="U394" s="32">
        <v>-2.8709999999999999E-3</v>
      </c>
      <c r="V394" s="32">
        <v>7.6000000000000004E-5</v>
      </c>
      <c r="W394" s="32">
        <v>9.8989999999999998E-3</v>
      </c>
      <c r="X394" s="32">
        <v>2.3514E-2</v>
      </c>
      <c r="Y394" s="32">
        <v>-8.3849999999999994E-2</v>
      </c>
      <c r="Z394" s="32">
        <v>-2.6699000000000001E-2</v>
      </c>
      <c r="AA394" s="32">
        <v>7.9892000000000005E-2</v>
      </c>
      <c r="AB394" s="32">
        <v>-2.4194E-2</v>
      </c>
    </row>
    <row r="395" spans="1:28" ht="15.6" customHeight="1" x14ac:dyDescent="0.25">
      <c r="A395" s="24" t="s">
        <v>708</v>
      </c>
      <c r="B395" s="50">
        <v>3982</v>
      </c>
      <c r="C395" s="25" t="s">
        <v>709</v>
      </c>
      <c r="D395" s="25" t="s">
        <v>101</v>
      </c>
      <c r="E395" s="25" t="s">
        <v>194</v>
      </c>
      <c r="F395" s="25" t="s">
        <v>155</v>
      </c>
      <c r="G395" s="26" t="s">
        <v>139</v>
      </c>
      <c r="H395" s="27" t="s">
        <v>588</v>
      </c>
      <c r="I395" s="24" t="s">
        <v>106</v>
      </c>
      <c r="J395" s="24" t="s">
        <v>121</v>
      </c>
      <c r="K395" s="28" t="s">
        <v>227</v>
      </c>
      <c r="L395" s="29">
        <v>0</v>
      </c>
      <c r="M395" s="29">
        <v>0</v>
      </c>
      <c r="N395" s="29">
        <v>0.02</v>
      </c>
      <c r="O395" s="27" t="s">
        <v>262</v>
      </c>
      <c r="P395" s="30" t="s">
        <v>101</v>
      </c>
      <c r="Q395" s="31">
        <v>668200.57999999996</v>
      </c>
      <c r="R395" s="31">
        <v>167050.15</v>
      </c>
      <c r="S395" s="32">
        <v>2.6823E-2</v>
      </c>
      <c r="T395" s="32" t="s">
        <v>139</v>
      </c>
      <c r="U395" s="32">
        <v>-2.036E-3</v>
      </c>
      <c r="V395" s="32">
        <v>4.431E-3</v>
      </c>
      <c r="W395" s="32">
        <v>3.8956999999999999E-2</v>
      </c>
      <c r="X395" s="32">
        <v>8.2568000000000003E-2</v>
      </c>
      <c r="Y395" s="32">
        <v>1.0151E-2</v>
      </c>
      <c r="Z395" s="32">
        <v>6.8790000000000004E-2</v>
      </c>
      <c r="AA395" s="32">
        <v>0.14721999999999999</v>
      </c>
      <c r="AB395" s="32">
        <v>0.151313</v>
      </c>
    </row>
    <row r="396" spans="1:28" ht="15.6" customHeight="1" x14ac:dyDescent="0.25">
      <c r="A396" s="24" t="s">
        <v>710</v>
      </c>
      <c r="B396" s="50">
        <v>3983</v>
      </c>
      <c r="C396" s="25" t="s">
        <v>711</v>
      </c>
      <c r="D396" s="25" t="s">
        <v>712</v>
      </c>
      <c r="E396" s="25" t="s">
        <v>194</v>
      </c>
      <c r="F396" s="25" t="s">
        <v>113</v>
      </c>
      <c r="G396" s="26" t="s">
        <v>670</v>
      </c>
      <c r="H396" s="27" t="s">
        <v>115</v>
      </c>
      <c r="I396" s="24" t="s">
        <v>106</v>
      </c>
      <c r="J396" s="24" t="s">
        <v>107</v>
      </c>
      <c r="K396" s="28" t="s">
        <v>108</v>
      </c>
      <c r="L396" s="29">
        <v>0.03</v>
      </c>
      <c r="M396" s="29">
        <v>1.4999999999999999E-2</v>
      </c>
      <c r="N396" s="29">
        <v>0.02</v>
      </c>
      <c r="O396" s="27" t="s">
        <v>131</v>
      </c>
      <c r="P396" s="30" t="s">
        <v>712</v>
      </c>
      <c r="Q396" s="31">
        <v>344531192.36000001</v>
      </c>
      <c r="R396" s="31">
        <v>1011.79</v>
      </c>
      <c r="S396" s="32">
        <v>5.3359999999999996E-3</v>
      </c>
      <c r="T396" s="32" t="s">
        <v>139</v>
      </c>
      <c r="U396" s="32">
        <v>-6.4199999999999999E-4</v>
      </c>
      <c r="V396" s="32">
        <v>2.0600000000000002E-3</v>
      </c>
      <c r="W396" s="32">
        <v>7.9100000000000004E-3</v>
      </c>
      <c r="X396" s="32">
        <v>1.0869999999999999E-2</v>
      </c>
      <c r="Y396" s="32" t="s">
        <v>139</v>
      </c>
      <c r="Z396" s="32" t="s">
        <v>139</v>
      </c>
      <c r="AA396" s="32" t="s">
        <v>139</v>
      </c>
      <c r="AB396" s="32" t="s">
        <v>139</v>
      </c>
    </row>
    <row r="397" spans="1:28" ht="15.6" customHeight="1" x14ac:dyDescent="0.25">
      <c r="A397" s="24" t="s">
        <v>713</v>
      </c>
      <c r="B397" s="50">
        <v>3984</v>
      </c>
      <c r="C397" s="25" t="s">
        <v>10</v>
      </c>
      <c r="D397" s="25" t="s">
        <v>712</v>
      </c>
      <c r="E397" s="25" t="s">
        <v>194</v>
      </c>
      <c r="F397" s="25" t="s">
        <v>155</v>
      </c>
      <c r="G397" s="26" t="s">
        <v>139</v>
      </c>
      <c r="H397" s="27" t="s">
        <v>156</v>
      </c>
      <c r="I397" s="24" t="s">
        <v>106</v>
      </c>
      <c r="J397" s="24" t="s">
        <v>107</v>
      </c>
      <c r="K397" s="28" t="s">
        <v>108</v>
      </c>
      <c r="L397" s="29">
        <v>0.03</v>
      </c>
      <c r="M397" s="29">
        <v>1.4999999999999999E-2</v>
      </c>
      <c r="N397" s="29">
        <v>0.02</v>
      </c>
      <c r="O397" s="27" t="s">
        <v>166</v>
      </c>
      <c r="P397" s="30" t="s">
        <v>712</v>
      </c>
      <c r="Q397" s="31">
        <v>901197510.42999995</v>
      </c>
      <c r="R397" s="31">
        <v>969.81</v>
      </c>
      <c r="S397" s="32">
        <v>4.3895000000000003E-2</v>
      </c>
      <c r="T397" s="32" t="s">
        <v>139</v>
      </c>
      <c r="U397" s="32">
        <v>1.9109999999999999E-3</v>
      </c>
      <c r="V397" s="32">
        <v>-1.8220000000000001E-3</v>
      </c>
      <c r="W397" s="32">
        <v>3.8818999999999999E-2</v>
      </c>
      <c r="X397" s="32">
        <v>0.113125</v>
      </c>
      <c r="Y397" s="32" t="s">
        <v>139</v>
      </c>
      <c r="Z397" s="32" t="s">
        <v>139</v>
      </c>
      <c r="AA397" s="32" t="s">
        <v>139</v>
      </c>
      <c r="AB397" s="32" t="s">
        <v>139</v>
      </c>
    </row>
    <row r="398" spans="1:28" ht="15.6" customHeight="1" x14ac:dyDescent="0.25">
      <c r="A398" s="24" t="s">
        <v>714</v>
      </c>
      <c r="B398" s="50">
        <v>3985</v>
      </c>
      <c r="C398" s="25" t="s">
        <v>715</v>
      </c>
      <c r="D398" s="25" t="s">
        <v>712</v>
      </c>
      <c r="E398" s="25" t="s">
        <v>194</v>
      </c>
      <c r="F398" s="25" t="s">
        <v>128</v>
      </c>
      <c r="G398" s="26" t="s">
        <v>690</v>
      </c>
      <c r="H398" s="27" t="s">
        <v>130</v>
      </c>
      <c r="I398" s="24" t="s">
        <v>106</v>
      </c>
      <c r="J398" s="24" t="s">
        <v>107</v>
      </c>
      <c r="K398" s="28" t="s">
        <v>108</v>
      </c>
      <c r="L398" s="29">
        <v>0.03</v>
      </c>
      <c r="M398" s="29">
        <v>1.4999999999999999E-2</v>
      </c>
      <c r="N398" s="29">
        <v>0.02</v>
      </c>
      <c r="O398" s="27" t="s">
        <v>131</v>
      </c>
      <c r="P398" s="30" t="s">
        <v>712</v>
      </c>
      <c r="Q398" s="31">
        <v>1200634841.6700001</v>
      </c>
      <c r="R398" s="31">
        <v>1021.27</v>
      </c>
      <c r="S398" s="32">
        <v>1.8408000000000001E-2</v>
      </c>
      <c r="T398" s="32" t="s">
        <v>139</v>
      </c>
      <c r="U398" s="32">
        <v>-2.6400000000000002E-4</v>
      </c>
      <c r="V398" s="32">
        <v>1.5889999999999999E-3</v>
      </c>
      <c r="W398" s="32">
        <v>6.4149999999999997E-3</v>
      </c>
      <c r="X398" s="32">
        <v>1.2843E-2</v>
      </c>
      <c r="Y398" s="32" t="s">
        <v>139</v>
      </c>
      <c r="Z398" s="32" t="s">
        <v>139</v>
      </c>
      <c r="AA398" s="32" t="s">
        <v>139</v>
      </c>
      <c r="AB398" s="32" t="s">
        <v>139</v>
      </c>
    </row>
    <row r="399" spans="1:28" ht="15.6" customHeight="1" x14ac:dyDescent="0.25">
      <c r="A399" s="24" t="s">
        <v>716</v>
      </c>
      <c r="B399" s="50">
        <v>3986</v>
      </c>
      <c r="C399" s="25" t="s">
        <v>717</v>
      </c>
      <c r="D399" s="25" t="s">
        <v>718</v>
      </c>
      <c r="E399" s="25" t="s">
        <v>194</v>
      </c>
      <c r="F399" s="25" t="s">
        <v>128</v>
      </c>
      <c r="G399" s="26" t="s">
        <v>719</v>
      </c>
      <c r="H399" s="27" t="s">
        <v>130</v>
      </c>
      <c r="I399" s="24" t="s">
        <v>106</v>
      </c>
      <c r="J399" s="24" t="s">
        <v>107</v>
      </c>
      <c r="K399" s="28" t="s">
        <v>108</v>
      </c>
      <c r="L399" s="29">
        <v>1.4999999999999999E-2</v>
      </c>
      <c r="M399" s="29">
        <v>0.02</v>
      </c>
      <c r="N399" s="29">
        <v>0.03</v>
      </c>
      <c r="O399" s="27" t="s">
        <v>659</v>
      </c>
      <c r="P399" s="30" t="s">
        <v>718</v>
      </c>
      <c r="Q399" s="31">
        <v>2362102621.5799999</v>
      </c>
      <c r="R399" s="31">
        <v>1019.2</v>
      </c>
      <c r="S399" s="32">
        <v>1.8700999999999999E-2</v>
      </c>
      <c r="T399" s="32" t="s">
        <v>139</v>
      </c>
      <c r="U399" s="32">
        <v>-7.7999999999999999E-5</v>
      </c>
      <c r="V399" s="32">
        <v>1.828E-3</v>
      </c>
      <c r="W399" s="32">
        <v>6.8360000000000001E-3</v>
      </c>
      <c r="X399" s="32">
        <v>1.3795999999999999E-2</v>
      </c>
      <c r="Y399" s="32" t="s">
        <v>139</v>
      </c>
      <c r="Z399" s="32" t="s">
        <v>139</v>
      </c>
      <c r="AA399" s="32" t="s">
        <v>139</v>
      </c>
      <c r="AB399" s="32" t="s">
        <v>139</v>
      </c>
    </row>
    <row r="400" spans="1:28" ht="15.6" customHeight="1" x14ac:dyDescent="0.25">
      <c r="A400" s="24" t="s">
        <v>720</v>
      </c>
      <c r="B400" s="50">
        <v>3987</v>
      </c>
      <c r="C400" s="25" t="s">
        <v>721</v>
      </c>
      <c r="D400" s="25" t="s">
        <v>718</v>
      </c>
      <c r="E400" s="25" t="s">
        <v>194</v>
      </c>
      <c r="F400" s="25" t="s">
        <v>113</v>
      </c>
      <c r="G400" s="26" t="s">
        <v>670</v>
      </c>
      <c r="H400" s="27" t="s">
        <v>115</v>
      </c>
      <c r="I400" s="24" t="s">
        <v>106</v>
      </c>
      <c r="J400" s="24" t="s">
        <v>107</v>
      </c>
      <c r="K400" s="28" t="s">
        <v>108</v>
      </c>
      <c r="L400" s="29">
        <v>1.4999999999999999E-2</v>
      </c>
      <c r="M400" s="29">
        <v>0.02</v>
      </c>
      <c r="N400" s="29">
        <v>0.03</v>
      </c>
      <c r="O400" s="27" t="s">
        <v>659</v>
      </c>
      <c r="P400" s="30" t="s">
        <v>718</v>
      </c>
      <c r="Q400" s="31">
        <v>202539441.90000001</v>
      </c>
      <c r="R400" s="31">
        <v>1010.76</v>
      </c>
      <c r="S400" s="32">
        <v>1.0134000000000001E-2</v>
      </c>
      <c r="T400" s="32" t="s">
        <v>139</v>
      </c>
      <c r="U400" s="32">
        <v>-1.3730000000000001E-3</v>
      </c>
      <c r="V400" s="32">
        <v>1.645E-3</v>
      </c>
      <c r="W400" s="32">
        <v>4.6620000000000003E-3</v>
      </c>
      <c r="X400" s="32">
        <v>1.0033E-2</v>
      </c>
      <c r="Y400" s="32" t="s">
        <v>139</v>
      </c>
      <c r="Z400" s="32" t="s">
        <v>139</v>
      </c>
      <c r="AA400" s="32" t="s">
        <v>139</v>
      </c>
      <c r="AB400" s="32" t="s">
        <v>139</v>
      </c>
    </row>
    <row r="401" spans="1:28" ht="15.6" customHeight="1" x14ac:dyDescent="0.25">
      <c r="A401" s="24" t="s">
        <v>722</v>
      </c>
      <c r="B401" s="50">
        <v>3988</v>
      </c>
      <c r="C401" s="25" t="s">
        <v>723</v>
      </c>
      <c r="D401" s="25" t="s">
        <v>718</v>
      </c>
      <c r="E401" s="25" t="s">
        <v>194</v>
      </c>
      <c r="F401" s="25" t="s">
        <v>155</v>
      </c>
      <c r="G401" s="26" t="s">
        <v>139</v>
      </c>
      <c r="H401" s="27" t="s">
        <v>156</v>
      </c>
      <c r="I401" s="24" t="s">
        <v>106</v>
      </c>
      <c r="J401" s="24" t="s">
        <v>107</v>
      </c>
      <c r="K401" s="28" t="s">
        <v>108</v>
      </c>
      <c r="L401" s="29">
        <v>1.4999999999999999E-2</v>
      </c>
      <c r="M401" s="29">
        <v>0.02</v>
      </c>
      <c r="N401" s="29">
        <v>0.03</v>
      </c>
      <c r="O401" s="27" t="s">
        <v>659</v>
      </c>
      <c r="P401" s="30" t="s">
        <v>718</v>
      </c>
      <c r="Q401" s="31">
        <v>50816253.840000004</v>
      </c>
      <c r="R401" s="31">
        <v>1071.25</v>
      </c>
      <c r="S401" s="32">
        <v>8.2322000000000006E-2</v>
      </c>
      <c r="T401" s="32" t="s">
        <v>139</v>
      </c>
      <c r="U401" s="32">
        <v>-1.24E-3</v>
      </c>
      <c r="V401" s="32">
        <v>-1.9380000000000001E-3</v>
      </c>
      <c r="W401" s="32">
        <v>2.2234E-2</v>
      </c>
      <c r="X401" s="32">
        <v>0.14473</v>
      </c>
      <c r="Y401" s="32" t="s">
        <v>139</v>
      </c>
      <c r="Z401" s="32" t="s">
        <v>139</v>
      </c>
      <c r="AA401" s="32" t="s">
        <v>139</v>
      </c>
      <c r="AB401" s="32" t="s">
        <v>139</v>
      </c>
    </row>
    <row r="402" spans="1:28" ht="15.6" customHeight="1" x14ac:dyDescent="0.25">
      <c r="A402" s="24" t="s">
        <v>724</v>
      </c>
      <c r="B402" s="50">
        <v>3989</v>
      </c>
      <c r="C402" s="25" t="s">
        <v>725</v>
      </c>
      <c r="D402" s="25" t="s">
        <v>504</v>
      </c>
      <c r="E402" s="25" t="s">
        <v>194</v>
      </c>
      <c r="F402" s="25" t="s">
        <v>138</v>
      </c>
      <c r="G402" s="26" t="s">
        <v>139</v>
      </c>
      <c r="H402" s="27" t="s">
        <v>680</v>
      </c>
      <c r="I402" s="24" t="s">
        <v>106</v>
      </c>
      <c r="J402" s="24" t="s">
        <v>107</v>
      </c>
      <c r="K402" s="28" t="s">
        <v>227</v>
      </c>
      <c r="L402" s="29">
        <v>0.02</v>
      </c>
      <c r="M402" s="29">
        <v>0.02</v>
      </c>
      <c r="N402" s="29">
        <v>0.02</v>
      </c>
      <c r="O402" s="27" t="s">
        <v>663</v>
      </c>
      <c r="P402" s="30" t="s">
        <v>726</v>
      </c>
      <c r="Q402" s="31">
        <v>723159809.88</v>
      </c>
      <c r="R402" s="31">
        <v>1133.06</v>
      </c>
      <c r="S402" s="32" t="s">
        <v>139</v>
      </c>
      <c r="T402" s="32" t="s">
        <v>139</v>
      </c>
      <c r="U402" s="32">
        <v>-1.7799999999999999E-3</v>
      </c>
      <c r="V402" s="32">
        <v>-9.0000000000000002E-6</v>
      </c>
      <c r="W402" s="32">
        <v>1.6625999999999998E-2</v>
      </c>
      <c r="X402" s="32">
        <v>0.13325300000000001</v>
      </c>
      <c r="Y402" s="32" t="s">
        <v>139</v>
      </c>
      <c r="Z402" s="32" t="s">
        <v>139</v>
      </c>
      <c r="AA402" s="32" t="s">
        <v>139</v>
      </c>
      <c r="AB402" s="32" t="s">
        <v>139</v>
      </c>
    </row>
    <row r="403" spans="1:28" ht="15.6" customHeight="1" x14ac:dyDescent="0.25">
      <c r="A403" s="24" t="s">
        <v>727</v>
      </c>
      <c r="B403" s="50">
        <v>3990</v>
      </c>
      <c r="C403" s="25" t="s">
        <v>728</v>
      </c>
      <c r="D403" s="25" t="s">
        <v>504</v>
      </c>
      <c r="E403" s="25" t="s">
        <v>194</v>
      </c>
      <c r="F403" s="25" t="s">
        <v>155</v>
      </c>
      <c r="G403" s="26" t="s">
        <v>139</v>
      </c>
      <c r="H403" s="27" t="s">
        <v>156</v>
      </c>
      <c r="I403" s="24" t="s">
        <v>106</v>
      </c>
      <c r="J403" s="24" t="s">
        <v>107</v>
      </c>
      <c r="K403" s="28" t="s">
        <v>227</v>
      </c>
      <c r="L403" s="29">
        <v>0.02</v>
      </c>
      <c r="M403" s="29">
        <v>0.02</v>
      </c>
      <c r="N403" s="29">
        <v>0.02</v>
      </c>
      <c r="O403" s="27" t="s">
        <v>161</v>
      </c>
      <c r="P403" s="30" t="s">
        <v>726</v>
      </c>
      <c r="Q403" s="31">
        <v>1009587.89</v>
      </c>
      <c r="R403" s="31">
        <v>1009.58</v>
      </c>
      <c r="S403" s="32" t="s">
        <v>139</v>
      </c>
      <c r="T403" s="32" t="s">
        <v>139</v>
      </c>
      <c r="U403" s="32">
        <v>-1.3060000000000001E-3</v>
      </c>
      <c r="V403" s="32">
        <v>7.9299999999999998E-4</v>
      </c>
      <c r="W403" s="32">
        <v>2.9522E-2</v>
      </c>
      <c r="X403" s="32">
        <v>1.0125E-2</v>
      </c>
      <c r="Y403" s="32" t="s">
        <v>139</v>
      </c>
      <c r="Z403" s="32" t="s">
        <v>139</v>
      </c>
      <c r="AA403" s="32" t="s">
        <v>139</v>
      </c>
      <c r="AB403" s="32" t="s">
        <v>139</v>
      </c>
    </row>
    <row r="404" spans="1:28" ht="15.6" customHeight="1" x14ac:dyDescent="0.25">
      <c r="A404" s="24" t="s">
        <v>729</v>
      </c>
      <c r="B404" s="50">
        <v>3991</v>
      </c>
      <c r="C404" s="25" t="s">
        <v>730</v>
      </c>
      <c r="D404" s="25" t="s">
        <v>504</v>
      </c>
      <c r="E404" s="25" t="s">
        <v>194</v>
      </c>
      <c r="F404" s="25" t="s">
        <v>113</v>
      </c>
      <c r="G404" s="26" t="s">
        <v>731</v>
      </c>
      <c r="H404" s="27" t="s">
        <v>732</v>
      </c>
      <c r="I404" s="24" t="s">
        <v>106</v>
      </c>
      <c r="J404" s="24" t="s">
        <v>107</v>
      </c>
      <c r="K404" s="28" t="s">
        <v>108</v>
      </c>
      <c r="L404" s="29">
        <v>0.02</v>
      </c>
      <c r="M404" s="29">
        <v>0.02</v>
      </c>
      <c r="N404" s="29">
        <v>0.02</v>
      </c>
      <c r="O404" s="27" t="s">
        <v>131</v>
      </c>
      <c r="P404" s="30" t="s">
        <v>726</v>
      </c>
      <c r="Q404" s="31">
        <v>1009449.68</v>
      </c>
      <c r="R404" s="31">
        <v>1009.44</v>
      </c>
      <c r="S404" s="32" t="s">
        <v>139</v>
      </c>
      <c r="T404" s="32" t="s">
        <v>139</v>
      </c>
      <c r="U404" s="32">
        <v>-1.5430000000000001E-3</v>
      </c>
      <c r="V404" s="32">
        <v>2.562E-3</v>
      </c>
      <c r="W404" s="32">
        <v>2.7520000000000001E-3</v>
      </c>
      <c r="X404" s="32">
        <v>9.4900000000000002E-3</v>
      </c>
      <c r="Y404" s="32" t="s">
        <v>139</v>
      </c>
      <c r="Z404" s="32" t="s">
        <v>139</v>
      </c>
      <c r="AA404" s="32" t="s">
        <v>139</v>
      </c>
      <c r="AB404" s="32" t="s">
        <v>139</v>
      </c>
    </row>
    <row r="405" spans="1:28" ht="15.6" customHeight="1" x14ac:dyDescent="0.25">
      <c r="A405" s="24" t="s">
        <v>733</v>
      </c>
      <c r="B405" s="50">
        <v>3992</v>
      </c>
      <c r="C405" s="25" t="s">
        <v>734</v>
      </c>
      <c r="D405" s="25" t="s">
        <v>524</v>
      </c>
      <c r="E405" s="25" t="s">
        <v>194</v>
      </c>
      <c r="F405" s="25" t="s">
        <v>155</v>
      </c>
      <c r="G405" s="26" t="s">
        <v>139</v>
      </c>
      <c r="H405" s="27" t="s">
        <v>156</v>
      </c>
      <c r="I405" s="24" t="s">
        <v>106</v>
      </c>
      <c r="J405" s="24" t="s">
        <v>107</v>
      </c>
      <c r="K405" s="28" t="s">
        <v>108</v>
      </c>
      <c r="L405" s="29">
        <v>0.02</v>
      </c>
      <c r="M405" s="29">
        <v>0.02</v>
      </c>
      <c r="N405" s="29">
        <v>0.02</v>
      </c>
      <c r="O405" s="27" t="s">
        <v>161</v>
      </c>
      <c r="P405" s="30" t="s">
        <v>524</v>
      </c>
      <c r="Q405" s="31">
        <v>34989795.920000002</v>
      </c>
      <c r="R405" s="31">
        <v>100.38</v>
      </c>
      <c r="S405" s="32" t="s">
        <v>139</v>
      </c>
      <c r="T405" s="32" t="s">
        <v>139</v>
      </c>
      <c r="U405" s="32">
        <v>-4.8580000000000003E-3</v>
      </c>
      <c r="V405" s="32">
        <v>-1.0449999999999999E-2</v>
      </c>
      <c r="W405" s="32">
        <v>8.4390000000000003E-3</v>
      </c>
      <c r="X405" s="32">
        <v>3.8E-3</v>
      </c>
      <c r="Y405" s="32" t="s">
        <v>139</v>
      </c>
      <c r="Z405" s="32" t="s">
        <v>139</v>
      </c>
      <c r="AA405" s="32" t="s">
        <v>139</v>
      </c>
      <c r="AB405" s="32" t="s">
        <v>139</v>
      </c>
    </row>
    <row r="406" spans="1:28" ht="15.6" customHeight="1" x14ac:dyDescent="0.25">
      <c r="A406" s="24" t="s">
        <v>735</v>
      </c>
      <c r="B406" s="50">
        <v>3993</v>
      </c>
      <c r="C406" s="25" t="s">
        <v>736</v>
      </c>
      <c r="D406" s="25" t="s">
        <v>524</v>
      </c>
      <c r="E406" s="25" t="s">
        <v>194</v>
      </c>
      <c r="F406" s="25" t="s">
        <v>128</v>
      </c>
      <c r="G406" s="26" t="s">
        <v>690</v>
      </c>
      <c r="H406" s="27" t="s">
        <v>130</v>
      </c>
      <c r="I406" s="24" t="s">
        <v>106</v>
      </c>
      <c r="J406" s="24" t="s">
        <v>107</v>
      </c>
      <c r="K406" s="28" t="s">
        <v>108</v>
      </c>
      <c r="L406" s="29">
        <v>0</v>
      </c>
      <c r="M406" s="29">
        <v>0</v>
      </c>
      <c r="N406" s="29">
        <v>0.01</v>
      </c>
      <c r="O406" s="27" t="s">
        <v>161</v>
      </c>
      <c r="P406" s="30" t="s">
        <v>524</v>
      </c>
      <c r="Q406" s="31">
        <v>1021177.18</v>
      </c>
      <c r="R406" s="31">
        <v>1021.17</v>
      </c>
      <c r="S406" s="32" t="s">
        <v>139</v>
      </c>
      <c r="T406" s="32" t="s">
        <v>139</v>
      </c>
      <c r="U406" s="32">
        <v>-7.7999999999999999E-5</v>
      </c>
      <c r="V406" s="32">
        <v>1.835E-3</v>
      </c>
      <c r="W406" s="32">
        <v>5.8510000000000003E-3</v>
      </c>
      <c r="X406" s="32">
        <v>2.1170000000000001E-2</v>
      </c>
      <c r="Y406" s="32" t="s">
        <v>139</v>
      </c>
      <c r="Z406" s="32" t="s">
        <v>139</v>
      </c>
      <c r="AA406" s="32" t="s">
        <v>139</v>
      </c>
      <c r="AB406" s="32" t="s">
        <v>139</v>
      </c>
    </row>
    <row r="407" spans="1:28" ht="15.6" customHeight="1" x14ac:dyDescent="0.25">
      <c r="A407" s="24" t="s">
        <v>737</v>
      </c>
      <c r="B407" s="50">
        <v>3994</v>
      </c>
      <c r="C407" s="25" t="s">
        <v>738</v>
      </c>
      <c r="D407" s="25" t="s">
        <v>712</v>
      </c>
      <c r="E407" s="25" t="s">
        <v>194</v>
      </c>
      <c r="F407" s="25" t="s">
        <v>103</v>
      </c>
      <c r="G407" s="26" t="s">
        <v>392</v>
      </c>
      <c r="H407" s="27" t="s">
        <v>188</v>
      </c>
      <c r="I407" s="24" t="s">
        <v>106</v>
      </c>
      <c r="J407" s="24" t="s">
        <v>107</v>
      </c>
      <c r="K407" s="28" t="s">
        <v>108</v>
      </c>
      <c r="L407" s="29">
        <v>0.03</v>
      </c>
      <c r="M407" s="29">
        <v>1.4999999999999999E-2</v>
      </c>
      <c r="N407" s="29">
        <v>0.02</v>
      </c>
      <c r="O407" s="27" t="s">
        <v>131</v>
      </c>
      <c r="P407" s="30" t="s">
        <v>712</v>
      </c>
      <c r="Q407" s="31">
        <v>349570973.27999997</v>
      </c>
      <c r="R407" s="31">
        <v>1006.74</v>
      </c>
      <c r="S407" s="32" t="s">
        <v>139</v>
      </c>
      <c r="T407" s="32" t="s">
        <v>139</v>
      </c>
      <c r="U407" s="32">
        <v>3.28E-4</v>
      </c>
      <c r="V407" s="32">
        <v>1.851E-3</v>
      </c>
      <c r="W407" s="32">
        <v>5.3119999999999999E-3</v>
      </c>
      <c r="X407" s="32" t="s">
        <v>139</v>
      </c>
      <c r="Y407" s="32" t="s">
        <v>139</v>
      </c>
      <c r="Z407" s="32" t="s">
        <v>139</v>
      </c>
      <c r="AA407" s="32" t="s">
        <v>139</v>
      </c>
      <c r="AB407" s="32" t="s">
        <v>139</v>
      </c>
    </row>
    <row r="408" spans="1:28" ht="15.6" customHeight="1" x14ac:dyDescent="0.25">
      <c r="A408" s="24" t="s">
        <v>739</v>
      </c>
      <c r="B408" s="50">
        <v>3995</v>
      </c>
      <c r="C408" s="25" t="s">
        <v>740</v>
      </c>
      <c r="D408" s="25" t="s">
        <v>712</v>
      </c>
      <c r="E408" s="25" t="s">
        <v>194</v>
      </c>
      <c r="F408" s="25" t="s">
        <v>138</v>
      </c>
      <c r="G408" s="26" t="s">
        <v>139</v>
      </c>
      <c r="H408" s="27" t="s">
        <v>741</v>
      </c>
      <c r="I408" s="24" t="s">
        <v>106</v>
      </c>
      <c r="J408" s="24" t="s">
        <v>107</v>
      </c>
      <c r="K408" s="28" t="s">
        <v>108</v>
      </c>
      <c r="L408" s="29">
        <v>0.03</v>
      </c>
      <c r="M408" s="29">
        <v>1.4999999999999999E-2</v>
      </c>
      <c r="N408" s="29">
        <v>0.02</v>
      </c>
      <c r="O408" s="27" t="s">
        <v>166</v>
      </c>
      <c r="P408" s="30" t="s">
        <v>712</v>
      </c>
      <c r="Q408" s="31">
        <v>255586052.22999999</v>
      </c>
      <c r="R408" s="31">
        <v>999.36</v>
      </c>
      <c r="S408" s="32" t="s">
        <v>139</v>
      </c>
      <c r="T408" s="32" t="s">
        <v>139</v>
      </c>
      <c r="U408" s="32">
        <v>1.7639999999999999E-3</v>
      </c>
      <c r="V408" s="32">
        <v>1.6540000000000001E-3</v>
      </c>
      <c r="W408" s="32">
        <v>1.9963000000000002E-2</v>
      </c>
      <c r="X408" s="32" t="s">
        <v>139</v>
      </c>
      <c r="Y408" s="32" t="s">
        <v>139</v>
      </c>
      <c r="Z408" s="32" t="s">
        <v>139</v>
      </c>
      <c r="AA408" s="32" t="s">
        <v>139</v>
      </c>
      <c r="AB408" s="32" t="s">
        <v>139</v>
      </c>
    </row>
    <row r="409" spans="1:28" ht="15.6" customHeight="1" x14ac:dyDescent="0.25">
      <c r="A409" s="24" t="s">
        <v>742</v>
      </c>
      <c r="B409" s="50">
        <v>3996</v>
      </c>
      <c r="C409" s="25" t="s">
        <v>743</v>
      </c>
      <c r="D409" s="25" t="s">
        <v>570</v>
      </c>
      <c r="E409" s="25" t="s">
        <v>194</v>
      </c>
      <c r="F409" s="25" t="s">
        <v>138</v>
      </c>
      <c r="G409" s="26" t="s">
        <v>139</v>
      </c>
      <c r="H409" s="27" t="s">
        <v>577</v>
      </c>
      <c r="I409" s="24" t="s">
        <v>106</v>
      </c>
      <c r="J409" s="24" t="s">
        <v>121</v>
      </c>
      <c r="K409" s="28" t="s">
        <v>227</v>
      </c>
      <c r="L409" s="29">
        <v>0.03</v>
      </c>
      <c r="M409" s="29">
        <v>0.03</v>
      </c>
      <c r="N409" s="29">
        <v>0.02</v>
      </c>
      <c r="O409" s="27" t="s">
        <v>166</v>
      </c>
      <c r="P409" s="30" t="s">
        <v>570</v>
      </c>
      <c r="Q409" s="31">
        <v>1019649.62</v>
      </c>
      <c r="R409" s="31">
        <v>1019.64</v>
      </c>
      <c r="S409" s="32" t="s">
        <v>139</v>
      </c>
      <c r="T409" s="32" t="s">
        <v>139</v>
      </c>
      <c r="U409" s="32">
        <v>5.999E-3</v>
      </c>
      <c r="V409" s="32">
        <v>5.8999999999999998E-5</v>
      </c>
      <c r="W409" s="32">
        <v>1.6934999999999999E-2</v>
      </c>
      <c r="X409" s="32" t="s">
        <v>139</v>
      </c>
      <c r="Y409" s="32" t="s">
        <v>139</v>
      </c>
      <c r="Z409" s="32" t="s">
        <v>139</v>
      </c>
      <c r="AA409" s="32" t="s">
        <v>139</v>
      </c>
      <c r="AB409" s="32" t="s">
        <v>139</v>
      </c>
    </row>
    <row r="410" spans="1:28" ht="15.6" customHeight="1" x14ac:dyDescent="0.25">
      <c r="A410" s="24" t="s">
        <v>744</v>
      </c>
      <c r="B410" s="50">
        <v>3998</v>
      </c>
      <c r="C410" s="25" t="s">
        <v>745</v>
      </c>
      <c r="D410" s="25" t="s">
        <v>718</v>
      </c>
      <c r="E410" s="25" t="s">
        <v>194</v>
      </c>
      <c r="F410" s="25" t="s">
        <v>138</v>
      </c>
      <c r="G410" s="26" t="s">
        <v>139</v>
      </c>
      <c r="H410" s="27" t="s">
        <v>680</v>
      </c>
      <c r="I410" s="24" t="s">
        <v>106</v>
      </c>
      <c r="J410" s="24" t="s">
        <v>107</v>
      </c>
      <c r="K410" s="28" t="s">
        <v>108</v>
      </c>
      <c r="L410" s="29">
        <v>0.03</v>
      </c>
      <c r="M410" s="29">
        <v>1.4999999999999999E-2</v>
      </c>
      <c r="N410" s="29">
        <v>0.02</v>
      </c>
      <c r="O410" s="27" t="s">
        <v>659</v>
      </c>
      <c r="P410" s="30" t="s">
        <v>718</v>
      </c>
      <c r="Q410" s="31">
        <v>526297878.02999997</v>
      </c>
      <c r="R410" s="31">
        <v>1025.08</v>
      </c>
      <c r="S410" s="32" t="s">
        <v>139</v>
      </c>
      <c r="T410" s="32" t="s">
        <v>139</v>
      </c>
      <c r="U410" s="32">
        <v>-1.2570000000000001E-3</v>
      </c>
      <c r="V410" s="32">
        <v>6.3400000000000001E-4</v>
      </c>
      <c r="W410" s="32">
        <v>5.6509999999999998E-3</v>
      </c>
      <c r="X410" s="32" t="s">
        <v>139</v>
      </c>
      <c r="Y410" s="32" t="s">
        <v>139</v>
      </c>
      <c r="Z410" s="32" t="s">
        <v>139</v>
      </c>
      <c r="AA410" s="32" t="s">
        <v>139</v>
      </c>
      <c r="AB410" s="32" t="s">
        <v>139</v>
      </c>
    </row>
    <row r="411" spans="1:28" ht="15.6" customHeight="1" x14ac:dyDescent="0.25">
      <c r="A411" s="24" t="s">
        <v>746</v>
      </c>
      <c r="B411" s="50">
        <v>3999</v>
      </c>
      <c r="C411" s="25" t="s">
        <v>747</v>
      </c>
      <c r="D411" s="25" t="s">
        <v>679</v>
      </c>
      <c r="E411" s="25" t="s">
        <v>194</v>
      </c>
      <c r="F411" s="25" t="s">
        <v>113</v>
      </c>
      <c r="G411" s="26" t="s">
        <v>748</v>
      </c>
      <c r="H411" s="27" t="s">
        <v>115</v>
      </c>
      <c r="I411" s="24" t="s">
        <v>106</v>
      </c>
      <c r="J411" s="24" t="s">
        <v>121</v>
      </c>
      <c r="K411" s="28" t="s">
        <v>108</v>
      </c>
      <c r="L411" s="29">
        <v>0</v>
      </c>
      <c r="M411" s="29">
        <v>0</v>
      </c>
      <c r="N411" s="29">
        <v>0.02</v>
      </c>
      <c r="O411" s="27" t="s">
        <v>548</v>
      </c>
      <c r="P411" s="30" t="s">
        <v>679</v>
      </c>
      <c r="Q411" s="31">
        <v>201426057.68000001</v>
      </c>
      <c r="R411" s="31">
        <v>100813.84</v>
      </c>
      <c r="S411" s="32" t="s">
        <v>139</v>
      </c>
      <c r="T411" s="32" t="s">
        <v>139</v>
      </c>
      <c r="U411" s="32">
        <v>-2.2430000000000002E-3</v>
      </c>
      <c r="V411" s="32">
        <v>1.647E-3</v>
      </c>
      <c r="W411" s="32">
        <v>6.6499999999999997E-3</v>
      </c>
      <c r="X411" s="32" t="s">
        <v>139</v>
      </c>
      <c r="Y411" s="32" t="s">
        <v>139</v>
      </c>
      <c r="Z411" s="32" t="s">
        <v>139</v>
      </c>
      <c r="AA411" s="32" t="s">
        <v>139</v>
      </c>
      <c r="AB411" s="32" t="s">
        <v>139</v>
      </c>
    </row>
    <row r="412" spans="1:28" ht="15.6" customHeight="1" x14ac:dyDescent="0.25">
      <c r="A412" s="24" t="s">
        <v>1450</v>
      </c>
      <c r="B412" s="50">
        <v>4000</v>
      </c>
      <c r="C412" s="25" t="s">
        <v>1451</v>
      </c>
      <c r="D412" s="25" t="s">
        <v>112</v>
      </c>
      <c r="E412" s="25" t="s">
        <v>194</v>
      </c>
      <c r="F412" s="25" t="s">
        <v>113</v>
      </c>
      <c r="G412" s="26" t="s">
        <v>1109</v>
      </c>
      <c r="H412" s="27" t="s">
        <v>327</v>
      </c>
      <c r="I412" s="24" t="s">
        <v>998</v>
      </c>
      <c r="J412" s="24" t="s">
        <v>121</v>
      </c>
      <c r="K412" s="28" t="s">
        <v>227</v>
      </c>
      <c r="L412" s="29">
        <v>0</v>
      </c>
      <c r="M412" s="29">
        <v>0</v>
      </c>
      <c r="N412" s="29">
        <v>0.02</v>
      </c>
      <c r="O412" s="27" t="s">
        <v>116</v>
      </c>
      <c r="P412" s="30" t="s">
        <v>112</v>
      </c>
      <c r="Q412" s="31">
        <v>1316742.02</v>
      </c>
      <c r="R412" s="31">
        <v>305154.58</v>
      </c>
      <c r="S412" s="32">
        <v>9.7420000000000007E-3</v>
      </c>
      <c r="T412" s="32" t="s">
        <v>139</v>
      </c>
      <c r="U412" s="32">
        <v>-2.0990000000000002E-3</v>
      </c>
      <c r="V412" s="32">
        <v>2.1789999999999999E-3</v>
      </c>
      <c r="W412" s="32">
        <v>4.5710000000000004E-3</v>
      </c>
      <c r="X412" s="32">
        <v>8.7060000000000002E-3</v>
      </c>
      <c r="Y412" s="32">
        <v>-1.9719999999999998E-3</v>
      </c>
      <c r="Z412" s="32">
        <v>0.119202</v>
      </c>
      <c r="AA412" s="32">
        <v>0.24477399999999999</v>
      </c>
      <c r="AB412" s="32">
        <v>0.17546800000000001</v>
      </c>
    </row>
    <row r="413" spans="1:28" ht="15.6" customHeight="1" x14ac:dyDescent="0.25">
      <c r="A413" s="24" t="s">
        <v>749</v>
      </c>
      <c r="B413" s="50">
        <v>4001</v>
      </c>
      <c r="C413" s="25" t="s">
        <v>750</v>
      </c>
      <c r="D413" s="25" t="s">
        <v>159</v>
      </c>
      <c r="E413" s="25" t="s">
        <v>194</v>
      </c>
      <c r="F413" s="25" t="s">
        <v>113</v>
      </c>
      <c r="G413" s="26" t="s">
        <v>465</v>
      </c>
      <c r="H413" s="27" t="s">
        <v>120</v>
      </c>
      <c r="I413" s="24" t="s">
        <v>106</v>
      </c>
      <c r="J413" s="24" t="s">
        <v>107</v>
      </c>
      <c r="K413" s="28" t="s">
        <v>108</v>
      </c>
      <c r="L413" s="29">
        <v>0</v>
      </c>
      <c r="M413" s="29">
        <v>0</v>
      </c>
      <c r="N413" s="29">
        <v>0.02</v>
      </c>
      <c r="O413" s="27" t="s">
        <v>161</v>
      </c>
      <c r="P413" s="30" t="s">
        <v>159</v>
      </c>
      <c r="Q413" s="31">
        <v>8037106114.3100004</v>
      </c>
      <c r="R413" s="31">
        <v>2869.9</v>
      </c>
      <c r="S413" s="32">
        <v>6.3080000000000002E-3</v>
      </c>
      <c r="T413" s="32" t="s">
        <v>139</v>
      </c>
      <c r="U413" s="32">
        <v>-1.7669999999999999E-3</v>
      </c>
      <c r="V413" s="32">
        <v>1.843E-3</v>
      </c>
      <c r="W413" s="32">
        <v>7.4489999999999999E-3</v>
      </c>
      <c r="X413" s="32">
        <v>1.0834E-2</v>
      </c>
      <c r="Y413" s="32">
        <v>4.751E-3</v>
      </c>
      <c r="Z413" s="32">
        <v>8.3648E-2</v>
      </c>
      <c r="AA413" s="32">
        <v>0.174211</v>
      </c>
      <c r="AB413" s="32">
        <v>0.14429800000000001</v>
      </c>
    </row>
    <row r="414" spans="1:28" ht="15.6" customHeight="1" x14ac:dyDescent="0.25">
      <c r="A414" s="24" t="s">
        <v>751</v>
      </c>
      <c r="B414" s="50">
        <v>4002</v>
      </c>
      <c r="C414" s="25" t="s">
        <v>752</v>
      </c>
      <c r="D414" s="25" t="s">
        <v>159</v>
      </c>
      <c r="E414" s="25" t="s">
        <v>194</v>
      </c>
      <c r="F414" s="25" t="s">
        <v>128</v>
      </c>
      <c r="G414" s="26" t="s">
        <v>289</v>
      </c>
      <c r="H414" s="27" t="s">
        <v>258</v>
      </c>
      <c r="I414" s="24" t="s">
        <v>106</v>
      </c>
      <c r="J414" s="24" t="s">
        <v>107</v>
      </c>
      <c r="K414" s="28" t="s">
        <v>108</v>
      </c>
      <c r="L414" s="29">
        <v>0</v>
      </c>
      <c r="M414" s="29">
        <v>0</v>
      </c>
      <c r="N414" s="29">
        <v>0.02</v>
      </c>
      <c r="O414" s="27" t="s">
        <v>161</v>
      </c>
      <c r="P414" s="30" t="s">
        <v>159</v>
      </c>
      <c r="Q414" s="31">
        <v>6878370700.2700005</v>
      </c>
      <c r="R414" s="31">
        <v>2162.62</v>
      </c>
      <c r="S414" s="32">
        <v>1.9695000000000001E-2</v>
      </c>
      <c r="T414" s="32" t="s">
        <v>139</v>
      </c>
      <c r="U414" s="32">
        <v>5.0000000000000004E-6</v>
      </c>
      <c r="V414" s="32">
        <v>2.0760000000000002E-3</v>
      </c>
      <c r="W414" s="32">
        <v>7.2750000000000002E-3</v>
      </c>
      <c r="X414" s="32">
        <v>1.5396E-2</v>
      </c>
      <c r="Y414" s="32">
        <v>2.708E-2</v>
      </c>
      <c r="Z414" s="32">
        <v>6.3125000000000001E-2</v>
      </c>
      <c r="AA414" s="32">
        <v>0.10610899999999999</v>
      </c>
      <c r="AB414" s="32">
        <v>0.15812899999999999</v>
      </c>
    </row>
    <row r="415" spans="1:28" ht="15.6" customHeight="1" x14ac:dyDescent="0.25">
      <c r="A415" s="24" t="s">
        <v>753</v>
      </c>
      <c r="B415" s="50">
        <v>4004</v>
      </c>
      <c r="C415" s="25" t="s">
        <v>754</v>
      </c>
      <c r="D415" s="25" t="s">
        <v>159</v>
      </c>
      <c r="E415" s="25" t="s">
        <v>194</v>
      </c>
      <c r="F415" s="25" t="s">
        <v>155</v>
      </c>
      <c r="G415" s="26" t="s">
        <v>139</v>
      </c>
      <c r="H415" s="27" t="s">
        <v>156</v>
      </c>
      <c r="I415" s="24" t="s">
        <v>106</v>
      </c>
      <c r="J415" s="24" t="s">
        <v>107</v>
      </c>
      <c r="K415" s="28" t="s">
        <v>108</v>
      </c>
      <c r="L415" s="29">
        <v>0.01</v>
      </c>
      <c r="M415" s="29">
        <v>5.0000000000000001E-3</v>
      </c>
      <c r="N415" s="29">
        <v>0.02</v>
      </c>
      <c r="O415" s="27" t="s">
        <v>161</v>
      </c>
      <c r="P415" s="30" t="s">
        <v>159</v>
      </c>
      <c r="Q415" s="31">
        <v>2977856.83</v>
      </c>
      <c r="R415" s="31">
        <v>5317.85</v>
      </c>
      <c r="S415" s="32">
        <v>4.5890000000000002E-3</v>
      </c>
      <c r="T415" s="32" t="s">
        <v>139</v>
      </c>
      <c r="U415" s="32">
        <v>-7.7340000000000004E-3</v>
      </c>
      <c r="V415" s="32">
        <v>-7.1929999999999997E-3</v>
      </c>
      <c r="W415" s="32">
        <v>2.7133000000000001E-2</v>
      </c>
      <c r="X415" s="32">
        <v>0.103648</v>
      </c>
      <c r="Y415" s="32">
        <v>-0.105832</v>
      </c>
      <c r="Z415" s="32">
        <v>0.32656400000000002</v>
      </c>
      <c r="AA415" s="32">
        <v>0.59224200000000005</v>
      </c>
      <c r="AB415" s="32">
        <v>0.52206900000000001</v>
      </c>
    </row>
    <row r="416" spans="1:28" ht="15.6" customHeight="1" x14ac:dyDescent="0.25">
      <c r="A416" s="24" t="s">
        <v>1452</v>
      </c>
      <c r="B416" s="50">
        <v>4005</v>
      </c>
      <c r="C416" s="25" t="s">
        <v>1453</v>
      </c>
      <c r="D416" s="25" t="s">
        <v>159</v>
      </c>
      <c r="E416" s="25" t="s">
        <v>194</v>
      </c>
      <c r="F416" s="25" t="s">
        <v>138</v>
      </c>
      <c r="G416" s="26" t="s">
        <v>139</v>
      </c>
      <c r="H416" s="27" t="s">
        <v>1204</v>
      </c>
      <c r="I416" s="24" t="s">
        <v>998</v>
      </c>
      <c r="J416" s="24" t="s">
        <v>107</v>
      </c>
      <c r="K416" s="28" t="s">
        <v>108</v>
      </c>
      <c r="L416" s="29">
        <v>3.0000000000000001E-3</v>
      </c>
      <c r="M416" s="29">
        <v>3.0000000000000001E-3</v>
      </c>
      <c r="N416" s="29">
        <v>1.7999999999999999E-2</v>
      </c>
      <c r="O416" s="27" t="s">
        <v>161</v>
      </c>
      <c r="P416" s="30" t="s">
        <v>159</v>
      </c>
      <c r="Q416" s="31">
        <v>44621171.079999998</v>
      </c>
      <c r="R416" s="31">
        <v>5338.24</v>
      </c>
      <c r="S416" s="32">
        <v>2.4680000000000001E-3</v>
      </c>
      <c r="T416" s="32" t="s">
        <v>139</v>
      </c>
      <c r="U416" s="32">
        <v>-5.2659999999999998E-3</v>
      </c>
      <c r="V416" s="32">
        <v>-2.9640000000000001E-3</v>
      </c>
      <c r="W416" s="32">
        <v>1.6400999999999999E-2</v>
      </c>
      <c r="X416" s="32">
        <v>5.6566999999999999E-2</v>
      </c>
      <c r="Y416" s="32">
        <v>-5.4989999999999997E-2</v>
      </c>
      <c r="Z416" s="32">
        <v>0.206374</v>
      </c>
      <c r="AA416" s="32">
        <v>0.41250599999999998</v>
      </c>
      <c r="AB416" s="32">
        <v>0.345723</v>
      </c>
    </row>
    <row r="417" spans="1:28" ht="15.6" customHeight="1" x14ac:dyDescent="0.25">
      <c r="A417" s="24" t="s">
        <v>755</v>
      </c>
      <c r="B417" s="50">
        <v>4006</v>
      </c>
      <c r="C417" s="25" t="s">
        <v>756</v>
      </c>
      <c r="D417" s="25" t="s">
        <v>159</v>
      </c>
      <c r="E417" s="25" t="s">
        <v>194</v>
      </c>
      <c r="F417" s="25" t="s">
        <v>138</v>
      </c>
      <c r="G417" s="26" t="s">
        <v>139</v>
      </c>
      <c r="H417" s="27" t="s">
        <v>757</v>
      </c>
      <c r="I417" s="24" t="s">
        <v>106</v>
      </c>
      <c r="J417" s="24" t="s">
        <v>107</v>
      </c>
      <c r="K417" s="28" t="s">
        <v>227</v>
      </c>
      <c r="L417" s="29">
        <v>3.0000000000000001E-3</v>
      </c>
      <c r="M417" s="29">
        <v>3.0000000000000001E-3</v>
      </c>
      <c r="N417" s="29">
        <v>0.02</v>
      </c>
      <c r="O417" s="27" t="s">
        <v>161</v>
      </c>
      <c r="P417" s="30" t="s">
        <v>159</v>
      </c>
      <c r="Q417" s="31">
        <v>941980599.86000001</v>
      </c>
      <c r="R417" s="31">
        <v>596.17999999999995</v>
      </c>
      <c r="S417" s="32">
        <v>-1.0889999999999999E-3</v>
      </c>
      <c r="T417" s="32" t="s">
        <v>139</v>
      </c>
      <c r="U417" s="32">
        <v>-5.156E-3</v>
      </c>
      <c r="V417" s="32">
        <v>-2.8270000000000001E-3</v>
      </c>
      <c r="W417" s="32">
        <v>1.8015E-2</v>
      </c>
      <c r="X417" s="32">
        <v>5.4774999999999997E-2</v>
      </c>
      <c r="Y417" s="32">
        <v>-5.7020000000000001E-2</v>
      </c>
      <c r="Z417" s="32">
        <v>0.23655399999999999</v>
      </c>
      <c r="AA417" s="32">
        <v>0.437722</v>
      </c>
      <c r="AB417" s="32">
        <v>0.32149699999999998</v>
      </c>
    </row>
    <row r="418" spans="1:28" ht="15.6" customHeight="1" x14ac:dyDescent="0.25">
      <c r="A418" s="24" t="s">
        <v>1454</v>
      </c>
      <c r="B418" s="50">
        <v>4007</v>
      </c>
      <c r="C418" s="25" t="s">
        <v>1455</v>
      </c>
      <c r="D418" s="25" t="s">
        <v>159</v>
      </c>
      <c r="E418" s="25" t="s">
        <v>194</v>
      </c>
      <c r="F418" s="25" t="s">
        <v>155</v>
      </c>
      <c r="G418" s="26" t="s">
        <v>139</v>
      </c>
      <c r="H418" s="27" t="s">
        <v>156</v>
      </c>
      <c r="I418" s="24" t="s">
        <v>998</v>
      </c>
      <c r="J418" s="24" t="s">
        <v>107</v>
      </c>
      <c r="K418" s="28" t="s">
        <v>108</v>
      </c>
      <c r="L418" s="29">
        <v>5.0000000000000001E-3</v>
      </c>
      <c r="M418" s="29">
        <v>3.0000000000000001E-3</v>
      </c>
      <c r="N418" s="29">
        <v>1.7999999999999999E-2</v>
      </c>
      <c r="O418" s="27" t="s">
        <v>161</v>
      </c>
      <c r="P418" s="30" t="s">
        <v>159</v>
      </c>
      <c r="Q418" s="31">
        <v>9862572.9499999993</v>
      </c>
      <c r="R418" s="31">
        <v>62962.51</v>
      </c>
      <c r="S418" s="32">
        <v>1.7279999999999999E-3</v>
      </c>
      <c r="T418" s="32" t="s">
        <v>139</v>
      </c>
      <c r="U418" s="32">
        <v>-7.0479999999999996E-3</v>
      </c>
      <c r="V418" s="32">
        <v>-6.6779999999999999E-3</v>
      </c>
      <c r="W418" s="32">
        <v>2.8392000000000001E-2</v>
      </c>
      <c r="X418" s="32">
        <v>0.101507</v>
      </c>
      <c r="Y418" s="32">
        <v>-0.102463</v>
      </c>
      <c r="Z418" s="32">
        <v>0.320855</v>
      </c>
      <c r="AA418" s="32">
        <v>0.57751799999999998</v>
      </c>
      <c r="AB418" s="32">
        <v>0.484711</v>
      </c>
    </row>
    <row r="419" spans="1:28" ht="15.6" customHeight="1" x14ac:dyDescent="0.25">
      <c r="A419" s="24" t="s">
        <v>1456</v>
      </c>
      <c r="B419" s="50">
        <v>4008</v>
      </c>
      <c r="C419" s="25" t="s">
        <v>1457</v>
      </c>
      <c r="D419" s="25" t="s">
        <v>159</v>
      </c>
      <c r="E419" s="25" t="s">
        <v>194</v>
      </c>
      <c r="F419" s="25" t="s">
        <v>155</v>
      </c>
      <c r="G419" s="26" t="s">
        <v>139</v>
      </c>
      <c r="H419" s="27" t="s">
        <v>156</v>
      </c>
      <c r="I419" s="24" t="s">
        <v>998</v>
      </c>
      <c r="J419" s="24" t="s">
        <v>107</v>
      </c>
      <c r="K419" s="28" t="s">
        <v>108</v>
      </c>
      <c r="L419" s="29">
        <v>5.0000000000000001E-3</v>
      </c>
      <c r="M419" s="29">
        <v>5.0000000000000001E-3</v>
      </c>
      <c r="N419" s="29">
        <v>0.01</v>
      </c>
      <c r="O419" s="27" t="s">
        <v>161</v>
      </c>
      <c r="P419" s="30" t="s">
        <v>159</v>
      </c>
      <c r="Q419" s="31">
        <v>1481738997.48</v>
      </c>
      <c r="R419" s="31">
        <v>1200.6600000000001</v>
      </c>
      <c r="S419" s="32">
        <v>8.7709999999999993E-3</v>
      </c>
      <c r="T419" s="32" t="s">
        <v>139</v>
      </c>
      <c r="U419" s="32">
        <v>-5.8459999999999996E-3</v>
      </c>
      <c r="V419" s="32">
        <v>-4.8979999999999996E-3</v>
      </c>
      <c r="W419" s="32">
        <v>2.9583999999999999E-2</v>
      </c>
      <c r="X419" s="32">
        <v>0.109913</v>
      </c>
      <c r="Y419" s="32">
        <v>-9.7254999999999994E-2</v>
      </c>
      <c r="Z419" s="32">
        <v>0.37964100000000001</v>
      </c>
      <c r="AA419" s="32">
        <v>0.68310499999999996</v>
      </c>
      <c r="AB419" s="32">
        <v>0.62227200000000005</v>
      </c>
    </row>
    <row r="420" spans="1:28" ht="15.6" customHeight="1" x14ac:dyDescent="0.25">
      <c r="A420" s="24" t="s">
        <v>1458</v>
      </c>
      <c r="B420" s="50">
        <v>4009</v>
      </c>
      <c r="C420" s="25" t="s">
        <v>1459</v>
      </c>
      <c r="D420" s="25" t="s">
        <v>159</v>
      </c>
      <c r="E420" s="25" t="s">
        <v>194</v>
      </c>
      <c r="F420" s="25" t="s">
        <v>113</v>
      </c>
      <c r="G420" s="26" t="s">
        <v>1460</v>
      </c>
      <c r="H420" s="27" t="s">
        <v>789</v>
      </c>
      <c r="I420" s="24" t="s">
        <v>998</v>
      </c>
      <c r="J420" s="24" t="s">
        <v>107</v>
      </c>
      <c r="K420" s="28" t="s">
        <v>108</v>
      </c>
      <c r="L420" s="29">
        <v>0</v>
      </c>
      <c r="M420" s="29">
        <v>0</v>
      </c>
      <c r="N420" s="29">
        <v>0.01</v>
      </c>
      <c r="O420" s="27" t="s">
        <v>161</v>
      </c>
      <c r="P420" s="30" t="s">
        <v>159</v>
      </c>
      <c r="Q420" s="31">
        <v>359722312.48000002</v>
      </c>
      <c r="R420" s="31">
        <v>4023.4</v>
      </c>
      <c r="S420" s="32">
        <v>-4.8310000000000002E-3</v>
      </c>
      <c r="T420" s="32" t="s">
        <v>139</v>
      </c>
      <c r="U420" s="32">
        <v>-1.603E-3</v>
      </c>
      <c r="V420" s="32">
        <v>1.217E-3</v>
      </c>
      <c r="W420" s="32">
        <v>4.7920000000000003E-3</v>
      </c>
      <c r="X420" s="32">
        <v>5.8399999999999997E-3</v>
      </c>
      <c r="Y420" s="32">
        <v>-1.6971E-2</v>
      </c>
      <c r="Z420" s="32">
        <v>9.2974000000000001E-2</v>
      </c>
      <c r="AA420" s="32">
        <v>0.24321000000000001</v>
      </c>
      <c r="AB420" s="32">
        <v>0.209678</v>
      </c>
    </row>
    <row r="421" spans="1:28" ht="15.6" customHeight="1" x14ac:dyDescent="0.25">
      <c r="A421" s="24" t="s">
        <v>758</v>
      </c>
      <c r="B421" s="50">
        <v>4010</v>
      </c>
      <c r="C421" s="25" t="s">
        <v>759</v>
      </c>
      <c r="D421" s="25" t="s">
        <v>159</v>
      </c>
      <c r="E421" s="25" t="s">
        <v>194</v>
      </c>
      <c r="F421" s="25" t="s">
        <v>128</v>
      </c>
      <c r="G421" s="26" t="s">
        <v>289</v>
      </c>
      <c r="H421" s="27" t="s">
        <v>373</v>
      </c>
      <c r="I421" s="24" t="s">
        <v>106</v>
      </c>
      <c r="J421" s="24" t="s">
        <v>107</v>
      </c>
      <c r="K421" s="28" t="s">
        <v>108</v>
      </c>
      <c r="L421" s="29">
        <v>0</v>
      </c>
      <c r="M421" s="29">
        <v>0</v>
      </c>
      <c r="N421" s="29">
        <v>2.5000000000000001E-3</v>
      </c>
      <c r="O421" s="27" t="s">
        <v>161</v>
      </c>
      <c r="P421" s="30" t="s">
        <v>159</v>
      </c>
      <c r="Q421" s="31">
        <v>4991997379.5299997</v>
      </c>
      <c r="R421" s="31">
        <v>3272.46</v>
      </c>
      <c r="S421" s="32">
        <v>1.8592000000000001E-2</v>
      </c>
      <c r="T421" s="32" t="s">
        <v>139</v>
      </c>
      <c r="U421" s="32">
        <v>0</v>
      </c>
      <c r="V421" s="32">
        <v>1.9380000000000001E-3</v>
      </c>
      <c r="W421" s="32">
        <v>6.8700000000000002E-3</v>
      </c>
      <c r="X421" s="32">
        <v>1.4411E-2</v>
      </c>
      <c r="Y421" s="32">
        <v>2.5170999999999999E-2</v>
      </c>
      <c r="Z421" s="32">
        <v>6.0328E-2</v>
      </c>
      <c r="AA421" s="32">
        <v>0.10167900000000001</v>
      </c>
      <c r="AB421" s="32">
        <v>0.14859800000000001</v>
      </c>
    </row>
    <row r="422" spans="1:28" ht="15.6" customHeight="1" x14ac:dyDescent="0.25">
      <c r="A422" s="24" t="s">
        <v>1461</v>
      </c>
      <c r="B422" s="50">
        <v>4011</v>
      </c>
      <c r="C422" s="25" t="s">
        <v>1462</v>
      </c>
      <c r="D422" s="25" t="s">
        <v>159</v>
      </c>
      <c r="E422" s="25" t="s">
        <v>194</v>
      </c>
      <c r="F422" s="25" t="s">
        <v>113</v>
      </c>
      <c r="G422" s="26" t="s">
        <v>151</v>
      </c>
      <c r="H422" s="27" t="s">
        <v>786</v>
      </c>
      <c r="I422" s="24" t="s">
        <v>998</v>
      </c>
      <c r="J422" s="24" t="s">
        <v>107</v>
      </c>
      <c r="K422" s="28" t="s">
        <v>108</v>
      </c>
      <c r="L422" s="29">
        <v>0</v>
      </c>
      <c r="M422" s="29">
        <v>0</v>
      </c>
      <c r="N422" s="29">
        <v>8.0000000000000002E-3</v>
      </c>
      <c r="O422" s="27" t="s">
        <v>161</v>
      </c>
      <c r="P422" s="30" t="s">
        <v>159</v>
      </c>
      <c r="Q422" s="31">
        <v>658236786.33000004</v>
      </c>
      <c r="R422" s="31">
        <v>276.87</v>
      </c>
      <c r="S422" s="32">
        <v>1.737E-3</v>
      </c>
      <c r="T422" s="32" t="s">
        <v>139</v>
      </c>
      <c r="U422" s="32">
        <v>-1.371E-3</v>
      </c>
      <c r="V422" s="32">
        <v>1.954E-3</v>
      </c>
      <c r="W422" s="32">
        <v>6.1780000000000003E-3</v>
      </c>
      <c r="X422" s="32">
        <v>1.0290000000000001E-2</v>
      </c>
      <c r="Y422" s="32">
        <v>-8.345E-3</v>
      </c>
      <c r="Z422" s="32">
        <v>9.4217999999999996E-2</v>
      </c>
      <c r="AA422" s="32">
        <v>0.225685</v>
      </c>
      <c r="AB422" s="32">
        <v>0.149172</v>
      </c>
    </row>
    <row r="423" spans="1:28" ht="15.6" customHeight="1" x14ac:dyDescent="0.25">
      <c r="A423" s="24" t="s">
        <v>760</v>
      </c>
      <c r="B423" s="50">
        <v>4012</v>
      </c>
      <c r="C423" s="25" t="s">
        <v>761</v>
      </c>
      <c r="D423" s="25" t="s">
        <v>159</v>
      </c>
      <c r="E423" s="25" t="s">
        <v>194</v>
      </c>
      <c r="F423" s="25" t="s">
        <v>103</v>
      </c>
      <c r="G423" s="26" t="s">
        <v>244</v>
      </c>
      <c r="H423" s="27" t="s">
        <v>130</v>
      </c>
      <c r="I423" s="24" t="s">
        <v>106</v>
      </c>
      <c r="J423" s="24" t="s">
        <v>107</v>
      </c>
      <c r="K423" s="28" t="s">
        <v>108</v>
      </c>
      <c r="L423" s="29">
        <v>0</v>
      </c>
      <c r="M423" s="29">
        <v>0</v>
      </c>
      <c r="N423" s="29">
        <v>2.5000000000000001E-3</v>
      </c>
      <c r="O423" s="27" t="s">
        <v>161</v>
      </c>
      <c r="P423" s="30" t="s">
        <v>159</v>
      </c>
      <c r="Q423" s="31">
        <v>231146260.47</v>
      </c>
      <c r="R423" s="31">
        <v>599563.87</v>
      </c>
      <c r="S423" s="32">
        <v>1.4463E-2</v>
      </c>
      <c r="T423" s="32" t="s">
        <v>139</v>
      </c>
      <c r="U423" s="32">
        <v>2.8299999999999999E-4</v>
      </c>
      <c r="V423" s="32">
        <v>1.4890000000000001E-3</v>
      </c>
      <c r="W423" s="32">
        <v>5.0379999999999999E-3</v>
      </c>
      <c r="X423" s="32">
        <v>1.0427000000000001E-2</v>
      </c>
      <c r="Y423" s="32">
        <v>2.0819000000000001E-2</v>
      </c>
      <c r="Z423" s="32">
        <v>4.6221999999999999E-2</v>
      </c>
      <c r="AA423" s="32">
        <v>7.6643000000000003E-2</v>
      </c>
      <c r="AB423" s="32">
        <v>0.11643199999999999</v>
      </c>
    </row>
    <row r="424" spans="1:28" ht="15.6" customHeight="1" x14ac:dyDescent="0.25">
      <c r="A424" s="24" t="s">
        <v>1463</v>
      </c>
      <c r="B424" s="50">
        <v>4013</v>
      </c>
      <c r="C424" s="25" t="s">
        <v>1464</v>
      </c>
      <c r="D424" s="25" t="s">
        <v>159</v>
      </c>
      <c r="E424" s="25" t="s">
        <v>194</v>
      </c>
      <c r="F424" s="25" t="s">
        <v>138</v>
      </c>
      <c r="G424" s="26" t="s">
        <v>139</v>
      </c>
      <c r="H424" s="27" t="s">
        <v>309</v>
      </c>
      <c r="I424" s="24" t="s">
        <v>998</v>
      </c>
      <c r="J424" s="24" t="s">
        <v>121</v>
      </c>
      <c r="K424" s="28" t="s">
        <v>227</v>
      </c>
      <c r="L424" s="29">
        <v>0</v>
      </c>
      <c r="M424" s="29">
        <v>0</v>
      </c>
      <c r="N424" s="29">
        <v>0.02</v>
      </c>
      <c r="O424" s="27" t="s">
        <v>161</v>
      </c>
      <c r="P424" s="30" t="s">
        <v>159</v>
      </c>
      <c r="Q424" s="31">
        <v>284894645.99000001</v>
      </c>
      <c r="R424" s="31">
        <v>267758.13</v>
      </c>
      <c r="S424" s="32">
        <v>-2.6689999999999999E-3</v>
      </c>
      <c r="T424" s="32" t="s">
        <v>139</v>
      </c>
      <c r="U424" s="32">
        <v>-3.9110000000000004E-3</v>
      </c>
      <c r="V424" s="32">
        <v>-2.1970000000000002E-3</v>
      </c>
      <c r="W424" s="32">
        <v>1.8168E-2</v>
      </c>
      <c r="X424" s="32">
        <v>4.5288000000000002E-2</v>
      </c>
      <c r="Y424" s="32">
        <v>-5.5648000000000003E-2</v>
      </c>
      <c r="Z424" s="32">
        <v>0.15446099999999999</v>
      </c>
      <c r="AA424" s="32">
        <v>0.28677200000000003</v>
      </c>
      <c r="AB424" s="32">
        <v>0.33383400000000002</v>
      </c>
    </row>
    <row r="425" spans="1:28" ht="15.6" customHeight="1" x14ac:dyDescent="0.25">
      <c r="A425" s="24" t="s">
        <v>762</v>
      </c>
      <c r="B425" s="50">
        <v>4014</v>
      </c>
      <c r="C425" s="25" t="s">
        <v>763</v>
      </c>
      <c r="D425" s="25" t="s">
        <v>159</v>
      </c>
      <c r="E425" s="25" t="s">
        <v>194</v>
      </c>
      <c r="F425" s="25" t="s">
        <v>103</v>
      </c>
      <c r="G425" s="26" t="s">
        <v>244</v>
      </c>
      <c r="H425" s="27" t="s">
        <v>130</v>
      </c>
      <c r="I425" s="24" t="s">
        <v>106</v>
      </c>
      <c r="J425" s="24" t="s">
        <v>107</v>
      </c>
      <c r="K425" s="28" t="s">
        <v>108</v>
      </c>
      <c r="L425" s="29">
        <v>0</v>
      </c>
      <c r="M425" s="29">
        <v>0</v>
      </c>
      <c r="N425" s="29">
        <v>3.0000000000000001E-3</v>
      </c>
      <c r="O425" s="27" t="s">
        <v>161</v>
      </c>
      <c r="P425" s="30" t="s">
        <v>159</v>
      </c>
      <c r="Q425" s="31">
        <v>3514756841.4699998</v>
      </c>
      <c r="R425" s="31">
        <v>213.08</v>
      </c>
      <c r="S425" s="32">
        <v>1.6070000000000001E-2</v>
      </c>
      <c r="T425" s="32" t="s">
        <v>139</v>
      </c>
      <c r="U425" s="32">
        <v>1.8799999999999999E-4</v>
      </c>
      <c r="V425" s="32">
        <v>1.6919999999999999E-3</v>
      </c>
      <c r="W425" s="32">
        <v>5.8060000000000004E-3</v>
      </c>
      <c r="X425" s="32">
        <v>1.1872000000000001E-2</v>
      </c>
      <c r="Y425" s="32">
        <v>2.2751E-2</v>
      </c>
      <c r="Z425" s="32">
        <v>5.0742000000000002E-2</v>
      </c>
      <c r="AA425" s="32">
        <v>8.5537000000000002E-2</v>
      </c>
      <c r="AB425" s="32">
        <v>0.12734799999999999</v>
      </c>
    </row>
    <row r="426" spans="1:28" ht="15.6" customHeight="1" x14ac:dyDescent="0.25">
      <c r="A426" s="24" t="s">
        <v>1465</v>
      </c>
      <c r="B426" s="50">
        <v>4015</v>
      </c>
      <c r="C426" s="25" t="s">
        <v>1466</v>
      </c>
      <c r="D426" s="25" t="s">
        <v>164</v>
      </c>
      <c r="E426" s="25" t="s">
        <v>194</v>
      </c>
      <c r="F426" s="25" t="s">
        <v>155</v>
      </c>
      <c r="G426" s="26" t="s">
        <v>139</v>
      </c>
      <c r="H426" s="27" t="s">
        <v>156</v>
      </c>
      <c r="I426" s="24" t="s">
        <v>998</v>
      </c>
      <c r="J426" s="24" t="s">
        <v>107</v>
      </c>
      <c r="K426" s="28" t="s">
        <v>108</v>
      </c>
      <c r="L426" s="29">
        <v>0.03</v>
      </c>
      <c r="M426" s="29">
        <v>1.4999999999999999E-2</v>
      </c>
      <c r="N426" s="29">
        <v>0.02</v>
      </c>
      <c r="O426" s="27" t="s">
        <v>166</v>
      </c>
      <c r="P426" s="30" t="s">
        <v>164</v>
      </c>
      <c r="Q426" s="31">
        <v>701031926.72000003</v>
      </c>
      <c r="R426" s="31">
        <v>1421.87</v>
      </c>
      <c r="S426" s="32">
        <v>7.8874E-2</v>
      </c>
      <c r="T426" s="32" t="s">
        <v>139</v>
      </c>
      <c r="U426" s="32">
        <v>-1.1719E-2</v>
      </c>
      <c r="V426" s="32">
        <v>-6.6579999999999999E-3</v>
      </c>
      <c r="W426" s="32">
        <v>2.4409E-2</v>
      </c>
      <c r="X426" s="32">
        <v>0.14358000000000001</v>
      </c>
      <c r="Y426" s="32">
        <v>-2.4258999999999999E-2</v>
      </c>
      <c r="Z426" s="32">
        <v>0.418933</v>
      </c>
      <c r="AA426" s="32">
        <v>0.64012100000000005</v>
      </c>
      <c r="AB426" s="32">
        <v>0.49763499999999999</v>
      </c>
    </row>
    <row r="427" spans="1:28" ht="15.6" customHeight="1" x14ac:dyDescent="0.25">
      <c r="A427" s="24" t="s">
        <v>1467</v>
      </c>
      <c r="B427" s="50">
        <v>4016</v>
      </c>
      <c r="C427" s="25" t="s">
        <v>1468</v>
      </c>
      <c r="D427" s="25" t="s">
        <v>164</v>
      </c>
      <c r="E427" s="25" t="s">
        <v>194</v>
      </c>
      <c r="F427" s="25" t="s">
        <v>113</v>
      </c>
      <c r="G427" s="26" t="s">
        <v>866</v>
      </c>
      <c r="H427" s="27" t="s">
        <v>1469</v>
      </c>
      <c r="I427" s="24" t="s">
        <v>998</v>
      </c>
      <c r="J427" s="24" t="s">
        <v>107</v>
      </c>
      <c r="K427" s="28" t="s">
        <v>108</v>
      </c>
      <c r="L427" s="29">
        <v>0.01</v>
      </c>
      <c r="M427" s="29">
        <v>0</v>
      </c>
      <c r="N427" s="29">
        <v>0.01</v>
      </c>
      <c r="O427" s="27" t="s">
        <v>166</v>
      </c>
      <c r="P427" s="30" t="s">
        <v>164</v>
      </c>
      <c r="Q427" s="31">
        <v>1054562301.3</v>
      </c>
      <c r="R427" s="31">
        <v>312.18</v>
      </c>
      <c r="S427" s="32">
        <v>1.3110999999999999E-2</v>
      </c>
      <c r="T427" s="32" t="s">
        <v>139</v>
      </c>
      <c r="U427" s="32">
        <v>-1.2800000000000001E-3</v>
      </c>
      <c r="V427" s="32">
        <v>2.4399999999999999E-3</v>
      </c>
      <c r="W427" s="32">
        <v>9.2460000000000007E-3</v>
      </c>
      <c r="X427" s="32">
        <v>1.8863999999999999E-2</v>
      </c>
      <c r="Y427" s="32">
        <v>6.9670000000000001E-3</v>
      </c>
      <c r="Z427" s="32">
        <v>8.5013000000000005E-2</v>
      </c>
      <c r="AA427" s="32">
        <v>0.155195</v>
      </c>
      <c r="AB427" s="32">
        <v>0.13416900000000001</v>
      </c>
    </row>
    <row r="428" spans="1:28" ht="15.6" customHeight="1" x14ac:dyDescent="0.25">
      <c r="A428" s="24" t="s">
        <v>1470</v>
      </c>
      <c r="B428" s="50">
        <v>4017</v>
      </c>
      <c r="C428" s="25" t="s">
        <v>1471</v>
      </c>
      <c r="D428" s="25" t="s">
        <v>164</v>
      </c>
      <c r="E428" s="25" t="s">
        <v>194</v>
      </c>
      <c r="F428" s="25" t="s">
        <v>138</v>
      </c>
      <c r="G428" s="26" t="s">
        <v>139</v>
      </c>
      <c r="H428" s="27" t="s">
        <v>1013</v>
      </c>
      <c r="I428" s="24" t="s">
        <v>998</v>
      </c>
      <c r="J428" s="24" t="s">
        <v>107</v>
      </c>
      <c r="K428" s="28" t="s">
        <v>108</v>
      </c>
      <c r="L428" s="29">
        <v>1.4999999999999999E-2</v>
      </c>
      <c r="M428" s="29">
        <v>2.5000000000000001E-3</v>
      </c>
      <c r="N428" s="29">
        <v>1.4999999999999999E-2</v>
      </c>
      <c r="O428" s="27" t="s">
        <v>166</v>
      </c>
      <c r="P428" s="30" t="s">
        <v>164</v>
      </c>
      <c r="Q428" s="31">
        <v>1298361996.0599999</v>
      </c>
      <c r="R428" s="31">
        <v>653.4</v>
      </c>
      <c r="S428" s="32">
        <v>5.6392999999999999E-2</v>
      </c>
      <c r="T428" s="32" t="s">
        <v>139</v>
      </c>
      <c r="U428" s="32">
        <v>-7.2620000000000002E-3</v>
      </c>
      <c r="V428" s="32">
        <v>3.271E-3</v>
      </c>
      <c r="W428" s="32">
        <v>1.6427000000000001E-2</v>
      </c>
      <c r="X428" s="32">
        <v>9.6879000000000007E-2</v>
      </c>
      <c r="Y428" s="32">
        <v>7.0740000000000004E-3</v>
      </c>
      <c r="Z428" s="32">
        <v>0.245639</v>
      </c>
      <c r="AA428" s="32">
        <v>0.39564700000000003</v>
      </c>
      <c r="AB428" s="32">
        <v>0.36057</v>
      </c>
    </row>
    <row r="429" spans="1:28" ht="15.6" customHeight="1" x14ac:dyDescent="0.25">
      <c r="A429" s="24" t="s">
        <v>764</v>
      </c>
      <c r="B429" s="50">
        <v>4018</v>
      </c>
      <c r="C429" s="25" t="s">
        <v>765</v>
      </c>
      <c r="D429" s="25" t="s">
        <v>164</v>
      </c>
      <c r="E429" s="25" t="s">
        <v>102</v>
      </c>
      <c r="F429" s="25" t="s">
        <v>128</v>
      </c>
      <c r="G429" s="26" t="s">
        <v>129</v>
      </c>
      <c r="H429" s="27" t="s">
        <v>130</v>
      </c>
      <c r="I429" s="24" t="s">
        <v>106</v>
      </c>
      <c r="J429" s="24" t="s">
        <v>107</v>
      </c>
      <c r="K429" s="28" t="s">
        <v>108</v>
      </c>
      <c r="L429" s="29">
        <v>0.03</v>
      </c>
      <c r="M429" s="29">
        <v>1.4999999999999999E-2</v>
      </c>
      <c r="N429" s="29">
        <v>0.02</v>
      </c>
      <c r="O429" s="27" t="s">
        <v>166</v>
      </c>
      <c r="P429" s="30" t="s">
        <v>164</v>
      </c>
      <c r="Q429" s="31">
        <v>1432354133.1700001</v>
      </c>
      <c r="R429" s="31">
        <v>211.45</v>
      </c>
      <c r="S429" s="32">
        <v>1.8692E-2</v>
      </c>
      <c r="T429" s="32" t="s">
        <v>139</v>
      </c>
      <c r="U429" s="32">
        <v>4.6999999999999997E-5</v>
      </c>
      <c r="V429" s="32">
        <v>1.9430000000000001E-3</v>
      </c>
      <c r="W429" s="32">
        <v>7.1929999999999997E-3</v>
      </c>
      <c r="X429" s="32">
        <v>1.4586999999999999E-2</v>
      </c>
      <c r="Y429" s="32">
        <v>2.5262E-2</v>
      </c>
      <c r="Z429" s="32">
        <v>5.8148999999999999E-2</v>
      </c>
      <c r="AA429" s="32">
        <v>9.6789E-2</v>
      </c>
      <c r="AB429" s="32">
        <v>0.13014400000000001</v>
      </c>
    </row>
    <row r="430" spans="1:28" ht="15.6" customHeight="1" x14ac:dyDescent="0.25">
      <c r="A430" s="24" t="s">
        <v>1472</v>
      </c>
      <c r="B430" s="50">
        <v>4019</v>
      </c>
      <c r="C430" s="25" t="s">
        <v>1473</v>
      </c>
      <c r="D430" s="25" t="s">
        <v>164</v>
      </c>
      <c r="E430" s="25" t="s">
        <v>194</v>
      </c>
      <c r="F430" s="25" t="s">
        <v>155</v>
      </c>
      <c r="G430" s="26" t="s">
        <v>139</v>
      </c>
      <c r="H430" s="27" t="s">
        <v>139</v>
      </c>
      <c r="I430" s="24" t="s">
        <v>998</v>
      </c>
      <c r="J430" s="24" t="s">
        <v>107</v>
      </c>
      <c r="K430" s="28" t="s">
        <v>108</v>
      </c>
      <c r="L430" s="29">
        <v>0.03</v>
      </c>
      <c r="M430" s="29">
        <v>0.01</v>
      </c>
      <c r="N430" s="29">
        <v>0.02</v>
      </c>
      <c r="O430" s="27" t="s">
        <v>166</v>
      </c>
      <c r="P430" s="30" t="s">
        <v>164</v>
      </c>
      <c r="Q430" s="31">
        <v>217024522.16</v>
      </c>
      <c r="R430" s="31">
        <v>1378</v>
      </c>
      <c r="S430" s="32">
        <v>8.5125000000000006E-2</v>
      </c>
      <c r="T430" s="32" t="s">
        <v>139</v>
      </c>
      <c r="U430" s="32">
        <v>-1.0163999999999999E-2</v>
      </c>
      <c r="V430" s="32">
        <v>-5.241E-3</v>
      </c>
      <c r="W430" s="32">
        <v>2.7085999999999999E-2</v>
      </c>
      <c r="X430" s="32">
        <v>0.15087500000000001</v>
      </c>
      <c r="Y430" s="32">
        <v>-2.1765E-2</v>
      </c>
      <c r="Z430" s="32">
        <v>0.40718500000000002</v>
      </c>
      <c r="AA430" s="32">
        <v>0.68367</v>
      </c>
      <c r="AB430" s="32">
        <v>0.55276400000000003</v>
      </c>
    </row>
    <row r="431" spans="1:28" ht="15.6" customHeight="1" x14ac:dyDescent="0.25">
      <c r="A431" s="24" t="s">
        <v>766</v>
      </c>
      <c r="B431" s="50">
        <v>4021</v>
      </c>
      <c r="C431" s="25" t="s">
        <v>767</v>
      </c>
      <c r="D431" s="25" t="s">
        <v>164</v>
      </c>
      <c r="E431" s="25" t="s">
        <v>194</v>
      </c>
      <c r="F431" s="25" t="s">
        <v>113</v>
      </c>
      <c r="G431" s="26" t="s">
        <v>493</v>
      </c>
      <c r="H431" s="27" t="s">
        <v>327</v>
      </c>
      <c r="I431" s="24" t="s">
        <v>106</v>
      </c>
      <c r="J431" s="24" t="s">
        <v>107</v>
      </c>
      <c r="K431" s="28" t="s">
        <v>108</v>
      </c>
      <c r="L431" s="29">
        <v>0.03</v>
      </c>
      <c r="M431" s="29">
        <v>0.01</v>
      </c>
      <c r="N431" s="29">
        <v>0.02</v>
      </c>
      <c r="O431" s="27" t="s">
        <v>166</v>
      </c>
      <c r="P431" s="30" t="s">
        <v>164</v>
      </c>
      <c r="Q431" s="31">
        <v>2039729364.7</v>
      </c>
      <c r="R431" s="31">
        <v>428.53</v>
      </c>
      <c r="S431" s="32">
        <v>7.4289999999999998E-3</v>
      </c>
      <c r="T431" s="32" t="s">
        <v>139</v>
      </c>
      <c r="U431" s="32">
        <v>-1.026E-3</v>
      </c>
      <c r="V431" s="32">
        <v>2.8319999999999999E-3</v>
      </c>
      <c r="W431" s="32">
        <v>9.8270000000000007E-3</v>
      </c>
      <c r="X431" s="32">
        <v>1.2977000000000001E-2</v>
      </c>
      <c r="Y431" s="32">
        <v>2.9489999999999998E-3</v>
      </c>
      <c r="Z431" s="32">
        <v>7.6168E-2</v>
      </c>
      <c r="AA431" s="32">
        <v>0.15478700000000001</v>
      </c>
      <c r="AB431" s="32">
        <v>0.12762200000000001</v>
      </c>
    </row>
    <row r="432" spans="1:28" ht="15.6" customHeight="1" x14ac:dyDescent="0.25">
      <c r="A432" s="24" t="s">
        <v>1474</v>
      </c>
      <c r="B432" s="50">
        <v>4022</v>
      </c>
      <c r="C432" s="25" t="s">
        <v>1475</v>
      </c>
      <c r="D432" s="25" t="s">
        <v>164</v>
      </c>
      <c r="E432" s="25" t="s">
        <v>194</v>
      </c>
      <c r="F432" s="25" t="s">
        <v>113</v>
      </c>
      <c r="G432" s="26" t="s">
        <v>638</v>
      </c>
      <c r="H432" s="27" t="s">
        <v>327</v>
      </c>
      <c r="I432" s="24" t="s">
        <v>998</v>
      </c>
      <c r="J432" s="24" t="s">
        <v>121</v>
      </c>
      <c r="K432" s="28" t="s">
        <v>180</v>
      </c>
      <c r="L432" s="29">
        <v>0.03</v>
      </c>
      <c r="M432" s="29">
        <v>1.4999999999999999E-2</v>
      </c>
      <c r="N432" s="29">
        <v>0.02</v>
      </c>
      <c r="O432" s="27" t="s">
        <v>166</v>
      </c>
      <c r="P432" s="30" t="s">
        <v>164</v>
      </c>
      <c r="Q432" s="31">
        <v>5368748156.6300001</v>
      </c>
      <c r="R432" s="31">
        <v>27542.25</v>
      </c>
      <c r="S432" s="32">
        <v>-2.003E-3</v>
      </c>
      <c r="T432" s="32" t="s">
        <v>139</v>
      </c>
      <c r="U432" s="32">
        <v>-1.629E-3</v>
      </c>
      <c r="V432" s="32">
        <v>2.64E-3</v>
      </c>
      <c r="W432" s="32">
        <v>4.8240000000000002E-3</v>
      </c>
      <c r="X432" s="32">
        <v>2.2230000000000001E-3</v>
      </c>
      <c r="Y432" s="32">
        <v>-5.731E-3</v>
      </c>
      <c r="Z432" s="32">
        <v>7.8302999999999998E-2</v>
      </c>
      <c r="AA432" s="32">
        <v>0.20197200000000001</v>
      </c>
      <c r="AB432" s="32">
        <v>0.16303799999999999</v>
      </c>
    </row>
    <row r="433" spans="1:28" ht="15.6" customHeight="1" x14ac:dyDescent="0.25">
      <c r="A433" s="24" t="s">
        <v>768</v>
      </c>
      <c r="B433" s="50">
        <v>4024</v>
      </c>
      <c r="C433" s="25" t="s">
        <v>769</v>
      </c>
      <c r="D433" s="25" t="s">
        <v>164</v>
      </c>
      <c r="E433" s="25" t="s">
        <v>194</v>
      </c>
      <c r="F433" s="25" t="s">
        <v>128</v>
      </c>
      <c r="G433" s="26" t="s">
        <v>250</v>
      </c>
      <c r="H433" s="27" t="s">
        <v>130</v>
      </c>
      <c r="I433" s="24" t="s">
        <v>106</v>
      </c>
      <c r="J433" s="24" t="s">
        <v>107</v>
      </c>
      <c r="K433" s="28" t="s">
        <v>108</v>
      </c>
      <c r="L433" s="29">
        <v>0.01</v>
      </c>
      <c r="M433" s="29">
        <v>0</v>
      </c>
      <c r="N433" s="29">
        <v>0.02</v>
      </c>
      <c r="O433" s="27" t="s">
        <v>166</v>
      </c>
      <c r="P433" s="30" t="s">
        <v>164</v>
      </c>
      <c r="Q433" s="31">
        <v>1987238700.6900001</v>
      </c>
      <c r="R433" s="31">
        <v>315.77</v>
      </c>
      <c r="S433" s="32">
        <v>1.9567000000000001E-2</v>
      </c>
      <c r="T433" s="32" t="s">
        <v>139</v>
      </c>
      <c r="U433" s="32">
        <v>-1.27E-4</v>
      </c>
      <c r="V433" s="32">
        <v>1.872E-3</v>
      </c>
      <c r="W433" s="32">
        <v>6.9199999999999999E-3</v>
      </c>
      <c r="X433" s="32">
        <v>1.4229E-2</v>
      </c>
      <c r="Y433" s="32">
        <v>2.8902000000000001E-2</v>
      </c>
      <c r="Z433" s="32">
        <v>5.8848999999999999E-2</v>
      </c>
      <c r="AA433" s="32">
        <v>9.4219999999999998E-2</v>
      </c>
      <c r="AB433" s="32">
        <v>0.11312</v>
      </c>
    </row>
    <row r="434" spans="1:28" ht="15.6" customHeight="1" x14ac:dyDescent="0.25">
      <c r="A434" s="24" t="s">
        <v>1476</v>
      </c>
      <c r="B434" s="50">
        <v>4025</v>
      </c>
      <c r="C434" s="25" t="s">
        <v>1477</v>
      </c>
      <c r="D434" s="25" t="s">
        <v>164</v>
      </c>
      <c r="E434" s="25" t="s">
        <v>194</v>
      </c>
      <c r="F434" s="25" t="s">
        <v>155</v>
      </c>
      <c r="G434" s="26" t="s">
        <v>139</v>
      </c>
      <c r="H434" s="27" t="s">
        <v>626</v>
      </c>
      <c r="I434" s="24" t="s">
        <v>998</v>
      </c>
      <c r="J434" s="24" t="s">
        <v>107</v>
      </c>
      <c r="K434" s="28" t="s">
        <v>108</v>
      </c>
      <c r="L434" s="29">
        <v>0.02</v>
      </c>
      <c r="M434" s="29">
        <v>5.0000000000000001E-3</v>
      </c>
      <c r="N434" s="29">
        <v>0.02</v>
      </c>
      <c r="O434" s="27" t="s">
        <v>166</v>
      </c>
      <c r="P434" s="30" t="s">
        <v>164</v>
      </c>
      <c r="Q434" s="31">
        <v>544010196.58000004</v>
      </c>
      <c r="R434" s="31">
        <v>916.47</v>
      </c>
      <c r="S434" s="32">
        <v>7.0017999999999997E-2</v>
      </c>
      <c r="T434" s="32" t="s">
        <v>139</v>
      </c>
      <c r="U434" s="32">
        <v>-5.5120000000000004E-3</v>
      </c>
      <c r="V434" s="32">
        <v>1.6609999999999999E-3</v>
      </c>
      <c r="W434" s="32">
        <v>3.0193000000000001E-2</v>
      </c>
      <c r="X434" s="32">
        <v>0.129075</v>
      </c>
      <c r="Y434" s="32">
        <v>-2.4731E-2</v>
      </c>
      <c r="Z434" s="32">
        <v>0.336059</v>
      </c>
      <c r="AA434" s="32">
        <v>0.53630900000000004</v>
      </c>
      <c r="AB434" s="32">
        <v>0.41686400000000001</v>
      </c>
    </row>
    <row r="435" spans="1:28" ht="15.6" customHeight="1" x14ac:dyDescent="0.25">
      <c r="A435" s="24" t="s">
        <v>1478</v>
      </c>
      <c r="B435" s="50">
        <v>4026</v>
      </c>
      <c r="C435" s="25" t="s">
        <v>1479</v>
      </c>
      <c r="D435" s="25" t="s">
        <v>164</v>
      </c>
      <c r="E435" s="25" t="s">
        <v>194</v>
      </c>
      <c r="F435" s="25" t="s">
        <v>113</v>
      </c>
      <c r="G435" s="26" t="s">
        <v>1016</v>
      </c>
      <c r="H435" s="27" t="s">
        <v>120</v>
      </c>
      <c r="I435" s="24" t="s">
        <v>998</v>
      </c>
      <c r="J435" s="24" t="s">
        <v>107</v>
      </c>
      <c r="K435" s="28" t="s">
        <v>108</v>
      </c>
      <c r="L435" s="29">
        <v>0.03</v>
      </c>
      <c r="M435" s="29">
        <v>1.4999999999999999E-2</v>
      </c>
      <c r="N435" s="29">
        <v>0.02</v>
      </c>
      <c r="O435" s="27" t="s">
        <v>166</v>
      </c>
      <c r="P435" s="30" t="s">
        <v>164</v>
      </c>
      <c r="Q435" s="31">
        <v>2024926248.73</v>
      </c>
      <c r="R435" s="31">
        <v>2348.64</v>
      </c>
      <c r="S435" s="32">
        <v>8.1770000000000002E-3</v>
      </c>
      <c r="T435" s="32" t="s">
        <v>139</v>
      </c>
      <c r="U435" s="32">
        <v>-2.163E-3</v>
      </c>
      <c r="V435" s="32">
        <v>1.5740000000000001E-3</v>
      </c>
      <c r="W435" s="32">
        <v>6.1469999999999997E-3</v>
      </c>
      <c r="X435" s="32">
        <v>1.1677999999999999E-2</v>
      </c>
      <c r="Y435" s="32">
        <v>7.3039999999999997E-3</v>
      </c>
      <c r="Z435" s="32">
        <v>6.0070999999999999E-2</v>
      </c>
      <c r="AA435" s="32">
        <v>0.137103</v>
      </c>
      <c r="AB435" s="32">
        <v>0.11615200000000001</v>
      </c>
    </row>
    <row r="436" spans="1:28" ht="15.6" customHeight="1" x14ac:dyDescent="0.25">
      <c r="A436" s="24" t="s">
        <v>770</v>
      </c>
      <c r="B436" s="50">
        <v>4027</v>
      </c>
      <c r="C436" s="25" t="s">
        <v>771</v>
      </c>
      <c r="D436" s="25" t="s">
        <v>164</v>
      </c>
      <c r="E436" s="25" t="s">
        <v>194</v>
      </c>
      <c r="F436" s="25" t="s">
        <v>103</v>
      </c>
      <c r="G436" s="26" t="s">
        <v>772</v>
      </c>
      <c r="H436" s="27" t="s">
        <v>169</v>
      </c>
      <c r="I436" s="24" t="s">
        <v>106</v>
      </c>
      <c r="J436" s="24" t="s">
        <v>107</v>
      </c>
      <c r="K436" s="28" t="s">
        <v>108</v>
      </c>
      <c r="L436" s="29">
        <v>0</v>
      </c>
      <c r="M436" s="29">
        <v>0</v>
      </c>
      <c r="N436" s="29">
        <v>6.5000000000000006E-3</v>
      </c>
      <c r="O436" s="27" t="s">
        <v>166</v>
      </c>
      <c r="P436" s="30" t="s">
        <v>164</v>
      </c>
      <c r="Q436" s="31">
        <v>26025310287.540001</v>
      </c>
      <c r="R436" s="31">
        <v>213797.88</v>
      </c>
      <c r="S436" s="32">
        <v>1.6381E-2</v>
      </c>
      <c r="T436" s="32" t="s">
        <v>139</v>
      </c>
      <c r="U436" s="32">
        <v>2.5000000000000001E-4</v>
      </c>
      <c r="V436" s="32">
        <v>1.722E-3</v>
      </c>
      <c r="W436" s="32">
        <v>5.9789999999999999E-3</v>
      </c>
      <c r="X436" s="32">
        <v>1.1868999999999999E-2</v>
      </c>
      <c r="Y436" s="32">
        <v>2.3300000000000001E-2</v>
      </c>
      <c r="Z436" s="32">
        <v>5.1658000000000003E-2</v>
      </c>
      <c r="AA436" s="32">
        <v>8.6627999999999997E-2</v>
      </c>
      <c r="AB436" s="32">
        <v>0.13190199999999999</v>
      </c>
    </row>
    <row r="437" spans="1:28" ht="15.6" customHeight="1" x14ac:dyDescent="0.25">
      <c r="A437" s="24" t="s">
        <v>1480</v>
      </c>
      <c r="B437" s="50">
        <v>4028</v>
      </c>
      <c r="C437" s="25" t="s">
        <v>1481</v>
      </c>
      <c r="D437" s="25" t="s">
        <v>164</v>
      </c>
      <c r="E437" s="25" t="s">
        <v>194</v>
      </c>
      <c r="F437" s="25" t="s">
        <v>113</v>
      </c>
      <c r="G437" s="26" t="s">
        <v>1482</v>
      </c>
      <c r="H437" s="27" t="s">
        <v>327</v>
      </c>
      <c r="I437" s="24" t="s">
        <v>998</v>
      </c>
      <c r="J437" s="24" t="s">
        <v>121</v>
      </c>
      <c r="K437" s="28" t="s">
        <v>108</v>
      </c>
      <c r="L437" s="29">
        <v>0.03</v>
      </c>
      <c r="M437" s="29">
        <v>1.4999999999999999E-2</v>
      </c>
      <c r="N437" s="29">
        <v>0.02</v>
      </c>
      <c r="O437" s="27" t="s">
        <v>166</v>
      </c>
      <c r="P437" s="30" t="s">
        <v>164</v>
      </c>
      <c r="Q437" s="31">
        <v>1047629572.54</v>
      </c>
      <c r="R437" s="31">
        <v>26819.06</v>
      </c>
      <c r="S437" s="32">
        <v>-5.4169999999999999E-3</v>
      </c>
      <c r="T437" s="32" t="s">
        <v>139</v>
      </c>
      <c r="U437" s="32">
        <v>-2.0560000000000001E-3</v>
      </c>
      <c r="V437" s="32">
        <v>2.2590000000000002E-3</v>
      </c>
      <c r="W437" s="32">
        <v>6.0049999999999999E-3</v>
      </c>
      <c r="X437" s="32">
        <v>4.8459999999999996E-3</v>
      </c>
      <c r="Y437" s="32">
        <v>-1.2815E-2</v>
      </c>
      <c r="Z437" s="32">
        <v>6.9088999999999998E-2</v>
      </c>
      <c r="AA437" s="32">
        <v>0.19505700000000001</v>
      </c>
      <c r="AB437" s="32">
        <v>0.156088</v>
      </c>
    </row>
    <row r="438" spans="1:28" ht="15.6" customHeight="1" x14ac:dyDescent="0.25">
      <c r="A438" s="24" t="s">
        <v>1483</v>
      </c>
      <c r="B438" s="50">
        <v>4029</v>
      </c>
      <c r="C438" s="25" t="s">
        <v>1484</v>
      </c>
      <c r="D438" s="25" t="s">
        <v>164</v>
      </c>
      <c r="E438" s="25" t="s">
        <v>194</v>
      </c>
      <c r="F438" s="25" t="s">
        <v>155</v>
      </c>
      <c r="G438" s="26" t="s">
        <v>139</v>
      </c>
      <c r="H438" s="27" t="s">
        <v>1485</v>
      </c>
      <c r="I438" s="24" t="s">
        <v>998</v>
      </c>
      <c r="J438" s="24" t="s">
        <v>121</v>
      </c>
      <c r="K438" s="28" t="s">
        <v>180</v>
      </c>
      <c r="L438" s="29">
        <v>0.03</v>
      </c>
      <c r="M438" s="29">
        <v>1.4999999999999999E-2</v>
      </c>
      <c r="N438" s="29">
        <v>0.02</v>
      </c>
      <c r="O438" s="27" t="s">
        <v>166</v>
      </c>
      <c r="P438" s="30" t="s">
        <v>164</v>
      </c>
      <c r="Q438" s="31">
        <v>687915013.62</v>
      </c>
      <c r="R438" s="31">
        <v>437230.32</v>
      </c>
      <c r="S438" s="32">
        <v>7.9357999999999998E-2</v>
      </c>
      <c r="T438" s="32" t="s">
        <v>139</v>
      </c>
      <c r="U438" s="32">
        <v>-6.777E-3</v>
      </c>
      <c r="V438" s="32">
        <v>1.2210000000000001E-3</v>
      </c>
      <c r="W438" s="32">
        <v>3.4084000000000003E-2</v>
      </c>
      <c r="X438" s="32">
        <v>0.155887</v>
      </c>
      <c r="Y438" s="32">
        <v>-1.3244000000000001E-2</v>
      </c>
      <c r="Z438" s="32">
        <v>0.40336</v>
      </c>
      <c r="AA438" s="32">
        <v>0.62773500000000004</v>
      </c>
      <c r="AB438" s="32">
        <v>0.57837099999999997</v>
      </c>
    </row>
    <row r="439" spans="1:28" ht="15.6" customHeight="1" x14ac:dyDescent="0.25">
      <c r="A439" s="24" t="s">
        <v>1486</v>
      </c>
      <c r="B439" s="50">
        <v>4030</v>
      </c>
      <c r="C439" s="25" t="s">
        <v>1487</v>
      </c>
      <c r="D439" s="25" t="s">
        <v>164</v>
      </c>
      <c r="E439" s="25" t="s">
        <v>194</v>
      </c>
      <c r="F439" s="25" t="s">
        <v>138</v>
      </c>
      <c r="G439" s="26" t="s">
        <v>139</v>
      </c>
      <c r="H439" s="27" t="s">
        <v>1488</v>
      </c>
      <c r="I439" s="24" t="s">
        <v>998</v>
      </c>
      <c r="J439" s="24" t="s">
        <v>121</v>
      </c>
      <c r="K439" s="28" t="s">
        <v>180</v>
      </c>
      <c r="L439" s="29">
        <v>0.03</v>
      </c>
      <c r="M439" s="29">
        <v>1.4999999999999999E-2</v>
      </c>
      <c r="N439" s="29">
        <v>0.02</v>
      </c>
      <c r="O439" s="27" t="s">
        <v>166</v>
      </c>
      <c r="P439" s="30" t="s">
        <v>164</v>
      </c>
      <c r="Q439" s="31">
        <v>2729498206.73</v>
      </c>
      <c r="R439" s="31">
        <v>29804.04</v>
      </c>
      <c r="S439" s="32">
        <v>3.9903000000000001E-2</v>
      </c>
      <c r="T439" s="32" t="s">
        <v>139</v>
      </c>
      <c r="U439" s="32">
        <v>-5.0899999999999999E-3</v>
      </c>
      <c r="V439" s="32">
        <v>1.9480000000000001E-3</v>
      </c>
      <c r="W439" s="32">
        <v>1.8803E-2</v>
      </c>
      <c r="X439" s="32">
        <v>8.8012999999999994E-2</v>
      </c>
      <c r="Y439" s="32">
        <v>3.0590000000000001E-3</v>
      </c>
      <c r="Z439" s="32">
        <v>0.27504699999999999</v>
      </c>
      <c r="AA439" s="32">
        <v>0.43939800000000001</v>
      </c>
      <c r="AB439" s="32">
        <v>0.42903400000000003</v>
      </c>
    </row>
    <row r="440" spans="1:28" ht="15.6" customHeight="1" x14ac:dyDescent="0.25">
      <c r="A440" s="24" t="s">
        <v>773</v>
      </c>
      <c r="B440" s="50">
        <v>4031</v>
      </c>
      <c r="C440" s="25" t="s">
        <v>774</v>
      </c>
      <c r="D440" s="25" t="s">
        <v>164</v>
      </c>
      <c r="E440" s="25" t="s">
        <v>194</v>
      </c>
      <c r="F440" s="25" t="s">
        <v>128</v>
      </c>
      <c r="G440" s="26" t="s">
        <v>129</v>
      </c>
      <c r="H440" s="27" t="s">
        <v>130</v>
      </c>
      <c r="I440" s="24" t="s">
        <v>106</v>
      </c>
      <c r="J440" s="24" t="s">
        <v>107</v>
      </c>
      <c r="K440" s="28" t="s">
        <v>108</v>
      </c>
      <c r="L440" s="29">
        <v>1E-3</v>
      </c>
      <c r="M440" s="29">
        <v>0</v>
      </c>
      <c r="N440" s="29">
        <v>6.9999999999999993E-3</v>
      </c>
      <c r="O440" s="27" t="s">
        <v>166</v>
      </c>
      <c r="P440" s="30" t="s">
        <v>164</v>
      </c>
      <c r="Q440" s="31">
        <v>2041068908.48</v>
      </c>
      <c r="R440" s="31">
        <v>689305.09</v>
      </c>
      <c r="S440" s="32">
        <v>1.8037000000000001E-2</v>
      </c>
      <c r="T440" s="32" t="s">
        <v>139</v>
      </c>
      <c r="U440" s="32">
        <v>-3.8000000000000002E-5</v>
      </c>
      <c r="V440" s="32">
        <v>1.908E-3</v>
      </c>
      <c r="W440" s="32">
        <v>6.8529999999999997E-3</v>
      </c>
      <c r="X440" s="32">
        <v>1.3821E-2</v>
      </c>
      <c r="Y440" s="32">
        <v>2.5051E-2</v>
      </c>
      <c r="Z440" s="32">
        <v>5.6136999999999999E-2</v>
      </c>
      <c r="AA440" s="32">
        <v>9.6373E-2</v>
      </c>
      <c r="AB440" s="32">
        <v>0.141848</v>
      </c>
    </row>
    <row r="441" spans="1:28" ht="15.6" customHeight="1" x14ac:dyDescent="0.25">
      <c r="A441" s="24" t="s">
        <v>775</v>
      </c>
      <c r="B441" s="50">
        <v>4033</v>
      </c>
      <c r="C441" s="25" t="s">
        <v>776</v>
      </c>
      <c r="D441" s="25" t="s">
        <v>164</v>
      </c>
      <c r="E441" s="25" t="s">
        <v>194</v>
      </c>
      <c r="F441" s="25" t="s">
        <v>103</v>
      </c>
      <c r="G441" s="26" t="s">
        <v>104</v>
      </c>
      <c r="H441" s="27" t="s">
        <v>169</v>
      </c>
      <c r="I441" s="24" t="s">
        <v>106</v>
      </c>
      <c r="J441" s="24" t="s">
        <v>107</v>
      </c>
      <c r="K441" s="28" t="s">
        <v>108</v>
      </c>
      <c r="L441" s="29">
        <v>0</v>
      </c>
      <c r="M441" s="29">
        <v>0</v>
      </c>
      <c r="N441" s="29">
        <v>0.02</v>
      </c>
      <c r="O441" s="27" t="s">
        <v>166</v>
      </c>
      <c r="P441" s="30" t="s">
        <v>164</v>
      </c>
      <c r="Q441" s="31">
        <v>535857190.72000003</v>
      </c>
      <c r="R441" s="31">
        <v>240.25</v>
      </c>
      <c r="S441" s="32">
        <v>1.2133E-2</v>
      </c>
      <c r="T441" s="32" t="s">
        <v>139</v>
      </c>
      <c r="U441" s="32">
        <v>3.3300000000000002E-4</v>
      </c>
      <c r="V441" s="32">
        <v>1.3339999999999999E-3</v>
      </c>
      <c r="W441" s="32">
        <v>4.3059999999999999E-3</v>
      </c>
      <c r="X441" s="32">
        <v>8.6910000000000008E-3</v>
      </c>
      <c r="Y441" s="32">
        <v>1.7319000000000001E-2</v>
      </c>
      <c r="Z441" s="32">
        <v>3.7842000000000001E-2</v>
      </c>
      <c r="AA441" s="32">
        <v>6.3617999999999994E-2</v>
      </c>
      <c r="AB441" s="32">
        <v>9.7182000000000004E-2</v>
      </c>
    </row>
    <row r="442" spans="1:28" ht="15.6" customHeight="1" x14ac:dyDescent="0.25">
      <c r="A442" s="24" t="s">
        <v>777</v>
      </c>
      <c r="B442" s="50">
        <v>4034</v>
      </c>
      <c r="C442" s="25" t="s">
        <v>778</v>
      </c>
      <c r="D442" s="25" t="s">
        <v>164</v>
      </c>
      <c r="E442" s="25" t="s">
        <v>194</v>
      </c>
      <c r="F442" s="25" t="s">
        <v>155</v>
      </c>
      <c r="G442" s="26" t="s">
        <v>139</v>
      </c>
      <c r="H442" s="27" t="s">
        <v>156</v>
      </c>
      <c r="I442" s="24" t="s">
        <v>106</v>
      </c>
      <c r="J442" s="24" t="s">
        <v>107</v>
      </c>
      <c r="K442" s="28" t="s">
        <v>108</v>
      </c>
      <c r="L442" s="29">
        <v>0.03</v>
      </c>
      <c r="M442" s="29">
        <v>1.4999999999999999E-2</v>
      </c>
      <c r="N442" s="29">
        <v>0.02</v>
      </c>
      <c r="O442" s="27" t="s">
        <v>166</v>
      </c>
      <c r="P442" s="30" t="s">
        <v>164</v>
      </c>
      <c r="Q442" s="31">
        <v>2344146285.8800001</v>
      </c>
      <c r="R442" s="31">
        <v>2079.5</v>
      </c>
      <c r="S442" s="32">
        <v>6.6300999999999999E-2</v>
      </c>
      <c r="T442" s="32" t="s">
        <v>139</v>
      </c>
      <c r="U442" s="32">
        <v>-4.3090000000000003E-3</v>
      </c>
      <c r="V442" s="32">
        <v>3.1259999999999999E-3</v>
      </c>
      <c r="W442" s="32">
        <v>4.6647000000000001E-2</v>
      </c>
      <c r="X442" s="32">
        <v>0.14998800000000001</v>
      </c>
      <c r="Y442" s="32">
        <v>-2.3987999999999999E-2</v>
      </c>
      <c r="Z442" s="32">
        <v>0.38858300000000001</v>
      </c>
      <c r="AA442" s="32">
        <v>0.63140300000000005</v>
      </c>
      <c r="AB442" s="32">
        <v>0.58567400000000003</v>
      </c>
    </row>
    <row r="443" spans="1:28" ht="15.6" customHeight="1" x14ac:dyDescent="0.25">
      <c r="A443" s="24" t="s">
        <v>1489</v>
      </c>
      <c r="B443" s="50">
        <v>4036</v>
      </c>
      <c r="C443" s="25" t="s">
        <v>1490</v>
      </c>
      <c r="D443" s="25" t="s">
        <v>164</v>
      </c>
      <c r="E443" s="25" t="s">
        <v>194</v>
      </c>
      <c r="F443" s="25" t="s">
        <v>113</v>
      </c>
      <c r="G443" s="26" t="s">
        <v>1491</v>
      </c>
      <c r="H443" s="27" t="s">
        <v>327</v>
      </c>
      <c r="I443" s="24" t="s">
        <v>998</v>
      </c>
      <c r="J443" s="24" t="s">
        <v>121</v>
      </c>
      <c r="K443" s="28" t="s">
        <v>108</v>
      </c>
      <c r="L443" s="29">
        <v>0.03</v>
      </c>
      <c r="M443" s="29">
        <v>1.4999999999999999E-2</v>
      </c>
      <c r="N443" s="29">
        <v>0.02</v>
      </c>
      <c r="O443" s="27" t="s">
        <v>166</v>
      </c>
      <c r="P443" s="30" t="s">
        <v>164</v>
      </c>
      <c r="Q443" s="31">
        <v>1659483222.3599999</v>
      </c>
      <c r="R443" s="31">
        <v>267293.21000000002</v>
      </c>
      <c r="S443" s="32">
        <v>-2.0860000000000002E-3</v>
      </c>
      <c r="T443" s="32" t="s">
        <v>139</v>
      </c>
      <c r="U443" s="32">
        <v>-1.9289999999999999E-3</v>
      </c>
      <c r="V443" s="32">
        <v>2.3990000000000001E-3</v>
      </c>
      <c r="W443" s="32">
        <v>4.5760000000000002E-3</v>
      </c>
      <c r="X443" s="32">
        <v>2.5699999999999998E-3</v>
      </c>
      <c r="Y443" s="32">
        <v>-7.633E-3</v>
      </c>
      <c r="Z443" s="32">
        <v>7.3897000000000004E-2</v>
      </c>
      <c r="AA443" s="32">
        <v>0.16536799999999999</v>
      </c>
      <c r="AB443" s="32">
        <v>8.7697999999999998E-2</v>
      </c>
    </row>
    <row r="444" spans="1:28" ht="15.6" customHeight="1" x14ac:dyDescent="0.25">
      <c r="A444" s="24" t="s">
        <v>1492</v>
      </c>
      <c r="B444" s="50">
        <v>4037</v>
      </c>
      <c r="C444" s="25" t="s">
        <v>1493</v>
      </c>
      <c r="D444" s="25" t="s">
        <v>164</v>
      </c>
      <c r="E444" s="25" t="s">
        <v>194</v>
      </c>
      <c r="F444" s="25" t="s">
        <v>155</v>
      </c>
      <c r="G444" s="26" t="s">
        <v>139</v>
      </c>
      <c r="H444" s="27" t="s">
        <v>202</v>
      </c>
      <c r="I444" s="24" t="s">
        <v>998</v>
      </c>
      <c r="J444" s="24" t="s">
        <v>121</v>
      </c>
      <c r="K444" s="28" t="s">
        <v>180</v>
      </c>
      <c r="L444" s="29">
        <v>0.03</v>
      </c>
      <c r="M444" s="29">
        <v>1.4999999999999999E-2</v>
      </c>
      <c r="N444" s="29">
        <v>0.02</v>
      </c>
      <c r="O444" s="27" t="s">
        <v>166</v>
      </c>
      <c r="P444" s="30" t="s">
        <v>164</v>
      </c>
      <c r="Q444" s="31">
        <v>1006457974.71</v>
      </c>
      <c r="R444" s="31">
        <v>52923.34</v>
      </c>
      <c r="S444" s="32">
        <v>6.1108999999999997E-2</v>
      </c>
      <c r="T444" s="32" t="s">
        <v>139</v>
      </c>
      <c r="U444" s="32">
        <v>-7.5380000000000004E-3</v>
      </c>
      <c r="V444" s="32">
        <v>-7.7200000000000001E-4</v>
      </c>
      <c r="W444" s="32">
        <v>2.4861999999999999E-2</v>
      </c>
      <c r="X444" s="32">
        <v>0.14483699999999999</v>
      </c>
      <c r="Y444" s="32">
        <v>-1.5841000000000001E-2</v>
      </c>
      <c r="Z444" s="32">
        <v>0.39145999999999997</v>
      </c>
      <c r="AA444" s="32">
        <v>0.61147399999999996</v>
      </c>
      <c r="AB444" s="32">
        <v>0.59409599999999996</v>
      </c>
    </row>
    <row r="445" spans="1:28" ht="15.6" customHeight="1" x14ac:dyDescent="0.25">
      <c r="A445" s="24" t="s">
        <v>779</v>
      </c>
      <c r="B445" s="50">
        <v>4038</v>
      </c>
      <c r="C445" s="25" t="s">
        <v>780</v>
      </c>
      <c r="D445" s="25" t="s">
        <v>164</v>
      </c>
      <c r="E445" s="25" t="s">
        <v>102</v>
      </c>
      <c r="F445" s="25" t="s">
        <v>113</v>
      </c>
      <c r="G445" s="26" t="s">
        <v>781</v>
      </c>
      <c r="H445" s="27" t="s">
        <v>120</v>
      </c>
      <c r="I445" s="24" t="s">
        <v>106</v>
      </c>
      <c r="J445" s="24" t="s">
        <v>107</v>
      </c>
      <c r="K445" s="28" t="s">
        <v>227</v>
      </c>
      <c r="L445" s="29">
        <v>0</v>
      </c>
      <c r="M445" s="29">
        <v>0</v>
      </c>
      <c r="N445" s="29">
        <v>1.2500000000000001E-2</v>
      </c>
      <c r="O445" s="27" t="s">
        <v>166</v>
      </c>
      <c r="P445" s="30" t="s">
        <v>164</v>
      </c>
      <c r="Q445" s="31">
        <v>360802818.94999999</v>
      </c>
      <c r="R445" s="31">
        <v>180.33</v>
      </c>
      <c r="S445" s="32">
        <v>1.7262E-2</v>
      </c>
      <c r="T445" s="32" t="s">
        <v>139</v>
      </c>
      <c r="U445" s="32">
        <v>-3.88E-4</v>
      </c>
      <c r="V445" s="32">
        <v>3.6180000000000001E-3</v>
      </c>
      <c r="W445" s="32">
        <v>1.1272000000000001E-2</v>
      </c>
      <c r="X445" s="32">
        <v>1.7606E-2</v>
      </c>
      <c r="Y445" s="32">
        <v>1.7377E-2</v>
      </c>
      <c r="Z445" s="32">
        <v>7.1224999999999997E-2</v>
      </c>
      <c r="AA445" s="32">
        <v>0.13572200000000001</v>
      </c>
      <c r="AB445" s="32">
        <v>5.4253000000000003E-2</v>
      </c>
    </row>
    <row r="446" spans="1:28" ht="15.6" customHeight="1" x14ac:dyDescent="0.25">
      <c r="A446" s="24" t="s">
        <v>782</v>
      </c>
      <c r="B446" s="50">
        <v>4039</v>
      </c>
      <c r="C446" s="25" t="s">
        <v>783</v>
      </c>
      <c r="D446" s="25" t="s">
        <v>164</v>
      </c>
      <c r="E446" s="25" t="s">
        <v>102</v>
      </c>
      <c r="F446" s="25" t="s">
        <v>128</v>
      </c>
      <c r="G446" s="26" t="s">
        <v>129</v>
      </c>
      <c r="H446" s="27" t="s">
        <v>130</v>
      </c>
      <c r="I446" s="24" t="s">
        <v>106</v>
      </c>
      <c r="J446" s="24" t="s">
        <v>107</v>
      </c>
      <c r="K446" s="28" t="s">
        <v>108</v>
      </c>
      <c r="L446" s="29">
        <v>0</v>
      </c>
      <c r="M446" s="29">
        <v>0.01</v>
      </c>
      <c r="N446" s="29">
        <v>0.01</v>
      </c>
      <c r="O446" s="27" t="s">
        <v>166</v>
      </c>
      <c r="P446" s="30" t="s">
        <v>164</v>
      </c>
      <c r="Q446" s="31">
        <v>12559965354.190001</v>
      </c>
      <c r="R446" s="31">
        <v>2400.58</v>
      </c>
      <c r="S446" s="32">
        <v>1.9844000000000001E-2</v>
      </c>
      <c r="T446" s="32" t="s">
        <v>139</v>
      </c>
      <c r="U446" s="32">
        <v>5.0000000000000002E-5</v>
      </c>
      <c r="V446" s="32">
        <v>2.104E-3</v>
      </c>
      <c r="W446" s="32">
        <v>7.2839999999999997E-3</v>
      </c>
      <c r="X446" s="32">
        <v>1.5276E-2</v>
      </c>
      <c r="Y446" s="32">
        <v>2.7584000000000001E-2</v>
      </c>
      <c r="Z446" s="32">
        <v>6.3233999999999999E-2</v>
      </c>
      <c r="AA446" s="32">
        <v>0.10661</v>
      </c>
      <c r="AB446" s="32">
        <v>0.148872</v>
      </c>
    </row>
    <row r="447" spans="1:28" ht="15.6" customHeight="1" x14ac:dyDescent="0.25">
      <c r="A447" s="24" t="s">
        <v>784</v>
      </c>
      <c r="B447" s="50">
        <v>4041</v>
      </c>
      <c r="C447" s="25" t="s">
        <v>785</v>
      </c>
      <c r="D447" s="25" t="s">
        <v>159</v>
      </c>
      <c r="E447" s="25" t="s">
        <v>194</v>
      </c>
      <c r="F447" s="25" t="s">
        <v>113</v>
      </c>
      <c r="G447" s="26" t="s">
        <v>151</v>
      </c>
      <c r="H447" s="27" t="s">
        <v>786</v>
      </c>
      <c r="I447" s="24" t="s">
        <v>106</v>
      </c>
      <c r="J447" s="24" t="s">
        <v>107</v>
      </c>
      <c r="K447" s="28" t="s">
        <v>108</v>
      </c>
      <c r="L447" s="29">
        <v>0</v>
      </c>
      <c r="M447" s="29">
        <v>0</v>
      </c>
      <c r="N447" s="29">
        <v>0.02</v>
      </c>
      <c r="O447" s="27" t="s">
        <v>161</v>
      </c>
      <c r="P447" s="30" t="s">
        <v>159</v>
      </c>
      <c r="Q447" s="31">
        <v>364295036.76999998</v>
      </c>
      <c r="R447" s="31">
        <v>227.12</v>
      </c>
      <c r="S447" s="32">
        <v>-1.5945000000000001E-2</v>
      </c>
      <c r="T447" s="32" t="s">
        <v>139</v>
      </c>
      <c r="U447" s="32">
        <v>-1.583E-3</v>
      </c>
      <c r="V447" s="32">
        <v>2.7820000000000002E-3</v>
      </c>
      <c r="W447" s="32">
        <v>8.0330000000000002E-3</v>
      </c>
      <c r="X447" s="32">
        <v>9.3769999999999999E-3</v>
      </c>
      <c r="Y447" s="32">
        <v>-1.5901999999999999E-2</v>
      </c>
      <c r="Z447" s="32">
        <v>6.9203000000000001E-2</v>
      </c>
      <c r="AA447" s="32">
        <v>0.171265</v>
      </c>
      <c r="AB447" s="32">
        <v>0.16120499999999999</v>
      </c>
    </row>
    <row r="448" spans="1:28" ht="15.6" customHeight="1" x14ac:dyDescent="0.25">
      <c r="A448" s="24" t="s">
        <v>787</v>
      </c>
      <c r="B448" s="50">
        <v>4042</v>
      </c>
      <c r="C448" s="25" t="s">
        <v>788</v>
      </c>
      <c r="D448" s="25" t="s">
        <v>159</v>
      </c>
      <c r="E448" s="25" t="s">
        <v>194</v>
      </c>
      <c r="F448" s="25" t="s">
        <v>113</v>
      </c>
      <c r="G448" s="26" t="s">
        <v>638</v>
      </c>
      <c r="H448" s="27" t="s">
        <v>789</v>
      </c>
      <c r="I448" s="24" t="s">
        <v>106</v>
      </c>
      <c r="J448" s="24" t="s">
        <v>107</v>
      </c>
      <c r="K448" s="28" t="s">
        <v>108</v>
      </c>
      <c r="L448" s="29">
        <v>0</v>
      </c>
      <c r="M448" s="29">
        <v>0</v>
      </c>
      <c r="N448" s="29">
        <v>0.02</v>
      </c>
      <c r="O448" s="27" t="s">
        <v>161</v>
      </c>
      <c r="P448" s="30" t="s">
        <v>159</v>
      </c>
      <c r="Q448" s="31">
        <v>4300742.2300000004</v>
      </c>
      <c r="R448" s="31">
        <v>229.88</v>
      </c>
      <c r="S448" s="32">
        <v>-3.4680000000000002E-3</v>
      </c>
      <c r="T448" s="32" t="s">
        <v>139</v>
      </c>
      <c r="U448" s="32">
        <v>-8.2600000000000002E-4</v>
      </c>
      <c r="V448" s="32">
        <v>2.7039999999999998E-3</v>
      </c>
      <c r="W448" s="32">
        <v>3.8869999999999998E-3</v>
      </c>
      <c r="X448" s="32">
        <v>-1.477E-3</v>
      </c>
      <c r="Y448" s="32">
        <v>-9.0530000000000003E-3</v>
      </c>
      <c r="Z448" s="32">
        <v>5.7940999999999999E-2</v>
      </c>
      <c r="AA448" s="32">
        <v>0.142204</v>
      </c>
      <c r="AB448" s="32">
        <v>0.124713</v>
      </c>
    </row>
    <row r="449" spans="1:28" ht="15.6" customHeight="1" x14ac:dyDescent="0.25">
      <c r="A449" s="24" t="s">
        <v>790</v>
      </c>
      <c r="B449" s="50">
        <v>4043</v>
      </c>
      <c r="C449" s="25" t="s">
        <v>791</v>
      </c>
      <c r="D449" s="25" t="s">
        <v>159</v>
      </c>
      <c r="E449" s="25" t="s">
        <v>194</v>
      </c>
      <c r="F449" s="25" t="s">
        <v>113</v>
      </c>
      <c r="G449" s="26" t="s">
        <v>465</v>
      </c>
      <c r="H449" s="27" t="s">
        <v>120</v>
      </c>
      <c r="I449" s="24" t="s">
        <v>106</v>
      </c>
      <c r="J449" s="24" t="s">
        <v>107</v>
      </c>
      <c r="K449" s="28" t="s">
        <v>227</v>
      </c>
      <c r="L449" s="29">
        <v>0</v>
      </c>
      <c r="M449" s="29">
        <v>0</v>
      </c>
      <c r="N449" s="29">
        <v>8.0000000000000002E-3</v>
      </c>
      <c r="O449" s="27" t="s">
        <v>161</v>
      </c>
      <c r="P449" s="30" t="s">
        <v>159</v>
      </c>
      <c r="Q449" s="31">
        <v>228622372.11000001</v>
      </c>
      <c r="R449" s="31">
        <v>210.99</v>
      </c>
      <c r="S449" s="32">
        <v>8.8459999999999997E-3</v>
      </c>
      <c r="T449" s="32" t="s">
        <v>139</v>
      </c>
      <c r="U449" s="32">
        <v>-5.2099999999999998E-4</v>
      </c>
      <c r="V449" s="32">
        <v>1.9469999999999999E-3</v>
      </c>
      <c r="W449" s="32">
        <v>6.5360000000000001E-3</v>
      </c>
      <c r="X449" s="32">
        <v>1.0392E-2</v>
      </c>
      <c r="Y449" s="32">
        <v>9.4730000000000005E-3</v>
      </c>
      <c r="Z449" s="32">
        <v>7.6754000000000003E-2</v>
      </c>
      <c r="AA449" s="32">
        <v>0.142958</v>
      </c>
      <c r="AB449" s="32">
        <v>0.182945</v>
      </c>
    </row>
    <row r="450" spans="1:28" ht="15.6" customHeight="1" x14ac:dyDescent="0.25">
      <c r="A450" s="24" t="s">
        <v>792</v>
      </c>
      <c r="B450" s="50">
        <v>4044</v>
      </c>
      <c r="C450" s="25" t="s">
        <v>793</v>
      </c>
      <c r="D450" s="25" t="s">
        <v>112</v>
      </c>
      <c r="E450" s="25" t="s">
        <v>194</v>
      </c>
      <c r="F450" s="25" t="s">
        <v>103</v>
      </c>
      <c r="G450" s="26" t="s">
        <v>104</v>
      </c>
      <c r="H450" s="27" t="s">
        <v>794</v>
      </c>
      <c r="I450" s="24" t="s">
        <v>106</v>
      </c>
      <c r="J450" s="24" t="s">
        <v>107</v>
      </c>
      <c r="K450" s="28" t="s">
        <v>108</v>
      </c>
      <c r="L450" s="29">
        <v>0</v>
      </c>
      <c r="M450" s="29">
        <v>0</v>
      </c>
      <c r="N450" s="29">
        <v>6.0000000000000001E-3</v>
      </c>
      <c r="O450" s="27" t="s">
        <v>116</v>
      </c>
      <c r="P450" s="30" t="s">
        <v>112</v>
      </c>
      <c r="Q450" s="31">
        <v>278470567.85000002</v>
      </c>
      <c r="R450" s="31">
        <v>2331.88</v>
      </c>
      <c r="S450" s="32">
        <v>2.2719E-2</v>
      </c>
      <c r="T450" s="32" t="s">
        <v>139</v>
      </c>
      <c r="U450" s="32">
        <v>2.3599999999999999E-4</v>
      </c>
      <c r="V450" s="32">
        <v>1.761E-3</v>
      </c>
      <c r="W450" s="32">
        <v>7.5399999999999998E-3</v>
      </c>
      <c r="X450" s="32">
        <v>1.8447999999999999E-2</v>
      </c>
      <c r="Y450" s="32">
        <v>3.2728E-2</v>
      </c>
      <c r="Z450" s="32">
        <v>7.3905999999999999E-2</v>
      </c>
      <c r="AA450" s="32">
        <v>0.11617</v>
      </c>
      <c r="AB450" s="32">
        <v>0.151836</v>
      </c>
    </row>
    <row r="451" spans="1:28" ht="15.6" customHeight="1" x14ac:dyDescent="0.25">
      <c r="A451" s="24" t="s">
        <v>1494</v>
      </c>
      <c r="B451" s="50">
        <v>4045</v>
      </c>
      <c r="C451" s="25" t="s">
        <v>1495</v>
      </c>
      <c r="D451" s="25" t="s">
        <v>112</v>
      </c>
      <c r="E451" s="25" t="s">
        <v>194</v>
      </c>
      <c r="F451" s="25" t="s">
        <v>113</v>
      </c>
      <c r="G451" s="26" t="s">
        <v>114</v>
      </c>
      <c r="H451" s="27" t="s">
        <v>115</v>
      </c>
      <c r="I451" s="24" t="s">
        <v>998</v>
      </c>
      <c r="J451" s="24" t="s">
        <v>121</v>
      </c>
      <c r="K451" s="28" t="s">
        <v>108</v>
      </c>
      <c r="L451" s="29">
        <v>0.03</v>
      </c>
      <c r="M451" s="29">
        <v>1.4999999999999999E-2</v>
      </c>
      <c r="N451" s="29">
        <v>0.02</v>
      </c>
      <c r="O451" s="27" t="s">
        <v>116</v>
      </c>
      <c r="P451" s="30" t="s">
        <v>112</v>
      </c>
      <c r="Q451" s="31">
        <v>723506086.72000003</v>
      </c>
      <c r="R451" s="31">
        <v>2379.17</v>
      </c>
      <c r="S451" s="32">
        <v>-1.737E-3</v>
      </c>
      <c r="T451" s="32" t="s">
        <v>139</v>
      </c>
      <c r="U451" s="32">
        <v>-1.9E-3</v>
      </c>
      <c r="V451" s="32">
        <v>1.4519999999999999E-3</v>
      </c>
      <c r="W451" s="32">
        <v>5.7660000000000003E-3</v>
      </c>
      <c r="X451" s="32">
        <v>1.3415E-2</v>
      </c>
      <c r="Y451" s="32">
        <v>-8.5059999999999997E-3</v>
      </c>
      <c r="Z451" s="32">
        <v>9.1918E-2</v>
      </c>
      <c r="AA451" s="32">
        <v>0.22019</v>
      </c>
      <c r="AB451" s="32">
        <v>0.171676</v>
      </c>
    </row>
    <row r="452" spans="1:28" ht="15.6" customHeight="1" x14ac:dyDescent="0.25">
      <c r="A452" s="24" t="s">
        <v>1496</v>
      </c>
      <c r="B452" s="50">
        <v>4046</v>
      </c>
      <c r="C452" s="25" t="s">
        <v>1497</v>
      </c>
      <c r="D452" s="25" t="s">
        <v>112</v>
      </c>
      <c r="E452" s="25" t="s">
        <v>194</v>
      </c>
      <c r="F452" s="25" t="s">
        <v>113</v>
      </c>
      <c r="G452" s="26" t="s">
        <v>114</v>
      </c>
      <c r="H452" s="27" t="s">
        <v>1498</v>
      </c>
      <c r="I452" s="24" t="s">
        <v>998</v>
      </c>
      <c r="J452" s="24" t="s">
        <v>121</v>
      </c>
      <c r="K452" s="28" t="s">
        <v>108</v>
      </c>
      <c r="L452" s="29">
        <v>0.03</v>
      </c>
      <c r="M452" s="29">
        <v>1.4999999999999999E-2</v>
      </c>
      <c r="N452" s="29">
        <v>0.02</v>
      </c>
      <c r="O452" s="27" t="s">
        <v>116</v>
      </c>
      <c r="P452" s="30" t="s">
        <v>112</v>
      </c>
      <c r="Q452" s="31">
        <v>1159957454.78</v>
      </c>
      <c r="R452" s="31">
        <v>2558.35</v>
      </c>
      <c r="S452" s="32">
        <v>-1.17E-4</v>
      </c>
      <c r="T452" s="32" t="s">
        <v>139</v>
      </c>
      <c r="U452" s="32">
        <v>-2.114E-3</v>
      </c>
      <c r="V452" s="32">
        <v>1.8129999999999999E-3</v>
      </c>
      <c r="W452" s="32">
        <v>7.7600000000000004E-3</v>
      </c>
      <c r="X452" s="32">
        <v>1.0511E-2</v>
      </c>
      <c r="Y452" s="32">
        <v>-2.7520000000000001E-3</v>
      </c>
      <c r="Z452" s="32">
        <v>7.6004000000000002E-2</v>
      </c>
      <c r="AA452" s="32">
        <v>0.18834400000000001</v>
      </c>
      <c r="AB452" s="32">
        <v>0.151528</v>
      </c>
    </row>
    <row r="453" spans="1:28" ht="15.6" customHeight="1" x14ac:dyDescent="0.25">
      <c r="A453" s="24" t="s">
        <v>1499</v>
      </c>
      <c r="B453" s="50">
        <v>4049</v>
      </c>
      <c r="C453" s="25" t="s">
        <v>1500</v>
      </c>
      <c r="D453" s="25" t="s">
        <v>164</v>
      </c>
      <c r="E453" s="25" t="s">
        <v>194</v>
      </c>
      <c r="F453" s="25" t="s">
        <v>113</v>
      </c>
      <c r="G453" s="26" t="s">
        <v>925</v>
      </c>
      <c r="H453" s="27" t="s">
        <v>327</v>
      </c>
      <c r="I453" s="24" t="s">
        <v>998</v>
      </c>
      <c r="J453" s="24" t="s">
        <v>121</v>
      </c>
      <c r="K453" s="28" t="s">
        <v>108</v>
      </c>
      <c r="L453" s="29">
        <v>0.03</v>
      </c>
      <c r="M453" s="29">
        <v>1.4999999999999999E-2</v>
      </c>
      <c r="N453" s="29">
        <v>0.02</v>
      </c>
      <c r="O453" s="27" t="s">
        <v>166</v>
      </c>
      <c r="P453" s="30" t="s">
        <v>164</v>
      </c>
      <c r="Q453" s="31">
        <v>956521104.5</v>
      </c>
      <c r="R453" s="31">
        <v>157.1</v>
      </c>
      <c r="S453" s="32">
        <v>-8.2299999999999995E-4</v>
      </c>
      <c r="T453" s="32" t="s">
        <v>139</v>
      </c>
      <c r="U453" s="32">
        <v>-1.5250000000000001E-3</v>
      </c>
      <c r="V453" s="32">
        <v>2.8730000000000001E-3</v>
      </c>
      <c r="W453" s="32">
        <v>5.2469999999999999E-3</v>
      </c>
      <c r="X453" s="32">
        <v>3.3210000000000002E-3</v>
      </c>
      <c r="Y453" s="32">
        <v>-2.6619999999999999E-3</v>
      </c>
      <c r="Z453" s="32">
        <v>8.2289000000000001E-2</v>
      </c>
      <c r="AA453" s="32">
        <v>0.204093</v>
      </c>
      <c r="AB453" s="32">
        <v>0.15390300000000001</v>
      </c>
    </row>
    <row r="454" spans="1:28" ht="15.6" customHeight="1" x14ac:dyDescent="0.25">
      <c r="A454" s="24" t="s">
        <v>795</v>
      </c>
      <c r="B454" s="50">
        <v>4050</v>
      </c>
      <c r="C454" s="25" t="s">
        <v>796</v>
      </c>
      <c r="D454" s="25" t="s">
        <v>112</v>
      </c>
      <c r="E454" s="25" t="s">
        <v>194</v>
      </c>
      <c r="F454" s="25" t="s">
        <v>113</v>
      </c>
      <c r="G454" s="26" t="s">
        <v>638</v>
      </c>
      <c r="H454" s="27" t="s">
        <v>327</v>
      </c>
      <c r="I454" s="24" t="s">
        <v>106</v>
      </c>
      <c r="J454" s="24" t="s">
        <v>107</v>
      </c>
      <c r="K454" s="28" t="s">
        <v>108</v>
      </c>
      <c r="L454" s="29">
        <v>0.03</v>
      </c>
      <c r="M454" s="29">
        <v>1.4999999999999999E-2</v>
      </c>
      <c r="N454" s="29">
        <v>0.01</v>
      </c>
      <c r="O454" s="27" t="s">
        <v>548</v>
      </c>
      <c r="P454" s="30" t="s">
        <v>797</v>
      </c>
      <c r="Q454" s="31">
        <v>710988273.23000002</v>
      </c>
      <c r="R454" s="31">
        <v>2668.03</v>
      </c>
      <c r="S454" s="32">
        <v>-5.8060000000000004E-3</v>
      </c>
      <c r="T454" s="32" t="s">
        <v>139</v>
      </c>
      <c r="U454" s="32">
        <v>-2.147E-3</v>
      </c>
      <c r="V454" s="32">
        <v>1.671E-3</v>
      </c>
      <c r="W454" s="32">
        <v>6.1089999999999998E-3</v>
      </c>
      <c r="X454" s="32">
        <v>6.7660000000000003E-3</v>
      </c>
      <c r="Y454" s="32">
        <v>-1.3839000000000001E-2</v>
      </c>
      <c r="Z454" s="32">
        <v>8.0017000000000005E-2</v>
      </c>
      <c r="AA454" s="32">
        <v>0.18750600000000001</v>
      </c>
      <c r="AB454" s="32">
        <v>0.14946300000000001</v>
      </c>
    </row>
    <row r="455" spans="1:28" ht="15.6" customHeight="1" x14ac:dyDescent="0.25">
      <c r="A455" s="24" t="s">
        <v>1501</v>
      </c>
      <c r="B455" s="50">
        <v>4052</v>
      </c>
      <c r="C455" s="25" t="s">
        <v>1502</v>
      </c>
      <c r="D455" s="25" t="s">
        <v>112</v>
      </c>
      <c r="E455" s="25" t="s">
        <v>194</v>
      </c>
      <c r="F455" s="25" t="s">
        <v>113</v>
      </c>
      <c r="G455" s="26" t="s">
        <v>1163</v>
      </c>
      <c r="H455" s="27" t="s">
        <v>152</v>
      </c>
      <c r="I455" s="24" t="s">
        <v>998</v>
      </c>
      <c r="J455" s="24" t="s">
        <v>121</v>
      </c>
      <c r="K455" s="28" t="s">
        <v>227</v>
      </c>
      <c r="L455" s="29">
        <v>0</v>
      </c>
      <c r="M455" s="29">
        <v>0</v>
      </c>
      <c r="N455" s="29">
        <v>0.02</v>
      </c>
      <c r="O455" s="27" t="s">
        <v>116</v>
      </c>
      <c r="P455" s="30" t="s">
        <v>112</v>
      </c>
      <c r="Q455" s="31">
        <v>1803727901.98</v>
      </c>
      <c r="R455" s="31">
        <v>180.32</v>
      </c>
      <c r="S455" s="32">
        <v>-6.6500000000000001E-4</v>
      </c>
      <c r="T455" s="32" t="s">
        <v>139</v>
      </c>
      <c r="U455" s="32">
        <v>-1.3290000000000001E-3</v>
      </c>
      <c r="V455" s="32">
        <v>2.5019999999999999E-3</v>
      </c>
      <c r="W455" s="32">
        <v>4.2880000000000001E-3</v>
      </c>
      <c r="X455" s="32">
        <v>2.2790000000000002E-3</v>
      </c>
      <c r="Y455" s="32">
        <v>-4.1419999999999998E-3</v>
      </c>
      <c r="Z455" s="32">
        <v>2.9635000000000002E-2</v>
      </c>
      <c r="AA455" s="32">
        <v>6.7613999999999994E-2</v>
      </c>
      <c r="AB455" s="32">
        <v>3.8469999999999997E-2</v>
      </c>
    </row>
    <row r="456" spans="1:28" ht="15.6" customHeight="1" x14ac:dyDescent="0.25">
      <c r="A456" s="24" t="s">
        <v>1503</v>
      </c>
      <c r="B456" s="50">
        <v>4054</v>
      </c>
      <c r="C456" s="25" t="s">
        <v>1504</v>
      </c>
      <c r="D456" s="25" t="s">
        <v>112</v>
      </c>
      <c r="E456" s="25" t="s">
        <v>194</v>
      </c>
      <c r="F456" s="25" t="s">
        <v>113</v>
      </c>
      <c r="G456" s="26" t="s">
        <v>1109</v>
      </c>
      <c r="H456" s="27" t="s">
        <v>327</v>
      </c>
      <c r="I456" s="24" t="s">
        <v>998</v>
      </c>
      <c r="J456" s="24" t="s">
        <v>121</v>
      </c>
      <c r="K456" s="28" t="s">
        <v>108</v>
      </c>
      <c r="L456" s="29">
        <v>0.03</v>
      </c>
      <c r="M456" s="29">
        <v>1.4999999999999999E-2</v>
      </c>
      <c r="N456" s="29">
        <v>0.02</v>
      </c>
      <c r="O456" s="27" t="s">
        <v>116</v>
      </c>
      <c r="P456" s="30" t="s">
        <v>112</v>
      </c>
      <c r="Q456" s="31">
        <v>2532328.46</v>
      </c>
      <c r="R456" s="31">
        <v>211027.37</v>
      </c>
      <c r="S456" s="32">
        <v>8.9599999999999999E-4</v>
      </c>
      <c r="T456" s="32" t="s">
        <v>139</v>
      </c>
      <c r="U456" s="32">
        <v>-1.7210000000000001E-3</v>
      </c>
      <c r="V456" s="32">
        <v>1.9449999999999999E-3</v>
      </c>
      <c r="W456" s="32">
        <v>5.5059999999999996E-3</v>
      </c>
      <c r="X456" s="32">
        <v>5.3189999999999999E-3</v>
      </c>
      <c r="Y456" s="32">
        <v>-1.6750000000000001E-3</v>
      </c>
      <c r="Z456" s="32">
        <v>5.2248999999999997E-2</v>
      </c>
      <c r="AA456" s="32">
        <v>0.125421</v>
      </c>
      <c r="AB456" s="32">
        <v>9.4159999999999994E-2</v>
      </c>
    </row>
    <row r="457" spans="1:28" ht="15.6" customHeight="1" x14ac:dyDescent="0.25">
      <c r="A457" s="24" t="s">
        <v>798</v>
      </c>
      <c r="B457" s="50">
        <v>4055</v>
      </c>
      <c r="C457" s="25" t="s">
        <v>799</v>
      </c>
      <c r="D457" s="25" t="s">
        <v>159</v>
      </c>
      <c r="E457" s="25" t="s">
        <v>194</v>
      </c>
      <c r="F457" s="25" t="s">
        <v>113</v>
      </c>
      <c r="G457" s="26" t="s">
        <v>191</v>
      </c>
      <c r="H457" s="27" t="s">
        <v>309</v>
      </c>
      <c r="I457" s="24" t="s">
        <v>106</v>
      </c>
      <c r="J457" s="24" t="s">
        <v>107</v>
      </c>
      <c r="K457" s="28" t="s">
        <v>227</v>
      </c>
      <c r="L457" s="29">
        <v>0</v>
      </c>
      <c r="M457" s="29">
        <v>0</v>
      </c>
      <c r="N457" s="29">
        <v>0.02</v>
      </c>
      <c r="O457" s="27" t="s">
        <v>161</v>
      </c>
      <c r="P457" s="30" t="s">
        <v>159</v>
      </c>
      <c r="Q457" s="31">
        <v>1806039.31</v>
      </c>
      <c r="R457" s="31">
        <v>0.67</v>
      </c>
      <c r="S457" s="32">
        <v>0</v>
      </c>
      <c r="T457" s="32" t="s">
        <v>139</v>
      </c>
      <c r="U457" s="32">
        <v>0</v>
      </c>
      <c r="V457" s="32">
        <v>0</v>
      </c>
      <c r="W457" s="32">
        <v>0</v>
      </c>
      <c r="X457" s="32">
        <v>0</v>
      </c>
      <c r="Y457" s="32">
        <v>0</v>
      </c>
      <c r="Z457" s="32">
        <v>6.3492000000000007E-2</v>
      </c>
      <c r="AA457" s="32">
        <v>0.13559299999999999</v>
      </c>
      <c r="AB457" s="32">
        <v>9.8361000000000004E-2</v>
      </c>
    </row>
    <row r="458" spans="1:28" ht="15.6" customHeight="1" x14ac:dyDescent="0.25">
      <c r="A458" s="24" t="s">
        <v>1505</v>
      </c>
      <c r="B458" s="50">
        <v>4057</v>
      </c>
      <c r="C458" s="25" t="s">
        <v>1506</v>
      </c>
      <c r="D458" s="25" t="s">
        <v>112</v>
      </c>
      <c r="E458" s="25" t="s">
        <v>194</v>
      </c>
      <c r="F458" s="25" t="s">
        <v>113</v>
      </c>
      <c r="G458" s="26" t="s">
        <v>1109</v>
      </c>
      <c r="H458" s="27" t="s">
        <v>1157</v>
      </c>
      <c r="I458" s="24" t="s">
        <v>998</v>
      </c>
      <c r="J458" s="24" t="s">
        <v>107</v>
      </c>
      <c r="K458" s="28" t="s">
        <v>108</v>
      </c>
      <c r="L458" s="29">
        <v>0.03</v>
      </c>
      <c r="M458" s="29">
        <v>1.4999999999999999E-2</v>
      </c>
      <c r="N458" s="29">
        <v>0.02</v>
      </c>
      <c r="O458" s="27" t="s">
        <v>116</v>
      </c>
      <c r="P458" s="30" t="s">
        <v>112</v>
      </c>
      <c r="Q458" s="31">
        <v>356228228.56</v>
      </c>
      <c r="R458" s="31">
        <v>2288.0100000000002</v>
      </c>
      <c r="S458" s="32">
        <v>-6.5779999999999996E-3</v>
      </c>
      <c r="T458" s="32" t="s">
        <v>139</v>
      </c>
      <c r="U458" s="32">
        <v>-2.1849999999999999E-3</v>
      </c>
      <c r="V458" s="32">
        <v>7.1299999999999998E-4</v>
      </c>
      <c r="W458" s="32">
        <v>4.862E-3</v>
      </c>
      <c r="X458" s="32">
        <v>5.0520000000000001E-3</v>
      </c>
      <c r="Y458" s="32">
        <v>-1.2161999999999999E-2</v>
      </c>
      <c r="Z458" s="32">
        <v>6.3721E-2</v>
      </c>
      <c r="AA458" s="32">
        <v>0.15648899999999999</v>
      </c>
      <c r="AB458" s="32">
        <v>0.109241</v>
      </c>
    </row>
    <row r="459" spans="1:28" ht="15.6" customHeight="1" x14ac:dyDescent="0.25">
      <c r="A459" s="24" t="s">
        <v>1507</v>
      </c>
      <c r="B459" s="50">
        <v>4058</v>
      </c>
      <c r="C459" s="25" t="s">
        <v>1508</v>
      </c>
      <c r="D459" s="25" t="s">
        <v>112</v>
      </c>
      <c r="E459" s="25" t="s">
        <v>194</v>
      </c>
      <c r="F459" s="25" t="s">
        <v>113</v>
      </c>
      <c r="G459" s="26" t="s">
        <v>1109</v>
      </c>
      <c r="H459" s="27" t="s">
        <v>1157</v>
      </c>
      <c r="I459" s="24" t="s">
        <v>998</v>
      </c>
      <c r="J459" s="24" t="s">
        <v>121</v>
      </c>
      <c r="K459" s="28" t="s">
        <v>108</v>
      </c>
      <c r="L459" s="29">
        <v>0.03</v>
      </c>
      <c r="M459" s="29">
        <v>1.4999999999999999E-2</v>
      </c>
      <c r="N459" s="29">
        <v>0.02</v>
      </c>
      <c r="O459" s="27" t="s">
        <v>116</v>
      </c>
      <c r="P459" s="30" t="s">
        <v>112</v>
      </c>
      <c r="Q459" s="31">
        <v>3459975394.4400001</v>
      </c>
      <c r="R459" s="31">
        <v>2385.83</v>
      </c>
      <c r="S459" s="32">
        <v>-7.0629999999999998E-3</v>
      </c>
      <c r="T459" s="32" t="s">
        <v>139</v>
      </c>
      <c r="U459" s="32">
        <v>-2.6289999999999998E-3</v>
      </c>
      <c r="V459" s="32">
        <v>7.76E-4</v>
      </c>
      <c r="W459" s="32">
        <v>7.0190000000000001E-3</v>
      </c>
      <c r="X459" s="32">
        <v>8.2529999999999999E-3</v>
      </c>
      <c r="Y459" s="32">
        <v>-2.1852E-2</v>
      </c>
      <c r="Z459" s="32">
        <v>8.5984000000000005E-2</v>
      </c>
      <c r="AA459" s="32">
        <v>0.21731</v>
      </c>
      <c r="AB459" s="32">
        <v>0.149947</v>
      </c>
    </row>
    <row r="460" spans="1:28" ht="15.6" customHeight="1" x14ac:dyDescent="0.25">
      <c r="A460" s="24" t="s">
        <v>800</v>
      </c>
      <c r="B460" s="50">
        <v>4059</v>
      </c>
      <c r="C460" s="25" t="s">
        <v>801</v>
      </c>
      <c r="D460" s="25" t="s">
        <v>112</v>
      </c>
      <c r="E460" s="25" t="s">
        <v>194</v>
      </c>
      <c r="F460" s="25" t="s">
        <v>128</v>
      </c>
      <c r="G460" s="26" t="s">
        <v>129</v>
      </c>
      <c r="H460" s="27" t="s">
        <v>258</v>
      </c>
      <c r="I460" s="24" t="s">
        <v>106</v>
      </c>
      <c r="J460" s="24" t="s">
        <v>121</v>
      </c>
      <c r="K460" s="28" t="s">
        <v>108</v>
      </c>
      <c r="L460" s="29">
        <v>0.03</v>
      </c>
      <c r="M460" s="29">
        <v>1.4999999999999999E-2</v>
      </c>
      <c r="N460" s="29">
        <v>0.02</v>
      </c>
      <c r="O460" s="27" t="s">
        <v>116</v>
      </c>
      <c r="P460" s="30" t="s">
        <v>112</v>
      </c>
      <c r="Q460" s="31">
        <v>1406547001.96</v>
      </c>
      <c r="R460" s="31">
        <v>1200.04</v>
      </c>
      <c r="S460" s="32">
        <v>1.6896999999999999E-2</v>
      </c>
      <c r="T460" s="32" t="s">
        <v>139</v>
      </c>
      <c r="U460" s="32">
        <v>-8.2999999999999998E-5</v>
      </c>
      <c r="V460" s="32">
        <v>1.7700000000000001E-3</v>
      </c>
      <c r="W460" s="32">
        <v>6.6439999999999997E-3</v>
      </c>
      <c r="X460" s="32">
        <v>1.3641E-2</v>
      </c>
      <c r="Y460" s="32">
        <v>2.4327000000000001E-2</v>
      </c>
      <c r="Z460" s="32">
        <v>6.0227999999999997E-2</v>
      </c>
      <c r="AA460" s="32">
        <v>0.11268300000000001</v>
      </c>
      <c r="AB460" s="32">
        <v>0.14674000000000001</v>
      </c>
    </row>
    <row r="461" spans="1:28" ht="15.6" customHeight="1" x14ac:dyDescent="0.25">
      <c r="A461" s="24" t="s">
        <v>1509</v>
      </c>
      <c r="B461" s="50">
        <v>4060</v>
      </c>
      <c r="C461" s="25" t="s">
        <v>1510</v>
      </c>
      <c r="D461" s="25" t="s">
        <v>112</v>
      </c>
      <c r="E461" s="25" t="s">
        <v>194</v>
      </c>
      <c r="F461" s="25" t="s">
        <v>113</v>
      </c>
      <c r="G461" s="26" t="s">
        <v>114</v>
      </c>
      <c r="H461" s="27" t="s">
        <v>115</v>
      </c>
      <c r="I461" s="24" t="s">
        <v>998</v>
      </c>
      <c r="J461" s="24" t="s">
        <v>107</v>
      </c>
      <c r="K461" s="28" t="s">
        <v>108</v>
      </c>
      <c r="L461" s="29">
        <v>0.03</v>
      </c>
      <c r="M461" s="29">
        <v>1.4999999999999999E-2</v>
      </c>
      <c r="N461" s="29">
        <v>0.02</v>
      </c>
      <c r="O461" s="27" t="s">
        <v>116</v>
      </c>
      <c r="P461" s="30" t="s">
        <v>112</v>
      </c>
      <c r="Q461" s="31">
        <v>4107348822.96</v>
      </c>
      <c r="R461" s="31">
        <v>1921.53</v>
      </c>
      <c r="S461" s="32">
        <v>1.5529999999999999E-3</v>
      </c>
      <c r="T461" s="32" t="s">
        <v>139</v>
      </c>
      <c r="U461" s="32">
        <v>-1.263E-3</v>
      </c>
      <c r="V461" s="32">
        <v>2.4260000000000002E-3</v>
      </c>
      <c r="W461" s="32">
        <v>5.1000000000000004E-3</v>
      </c>
      <c r="X461" s="32">
        <v>4.7949999999999998E-3</v>
      </c>
      <c r="Y461" s="32">
        <v>-2.4870000000000001E-3</v>
      </c>
      <c r="Z461" s="32">
        <v>7.5884999999999994E-2</v>
      </c>
      <c r="AA461" s="32">
        <v>0.18071400000000001</v>
      </c>
      <c r="AB461" s="32">
        <v>0.16105900000000001</v>
      </c>
    </row>
    <row r="462" spans="1:28" ht="15.6" customHeight="1" x14ac:dyDescent="0.25">
      <c r="A462" s="24" t="s">
        <v>802</v>
      </c>
      <c r="B462" s="50">
        <v>4061</v>
      </c>
      <c r="C462" s="25" t="s">
        <v>803</v>
      </c>
      <c r="D462" s="25" t="s">
        <v>112</v>
      </c>
      <c r="E462" s="25" t="s">
        <v>194</v>
      </c>
      <c r="F462" s="25" t="s">
        <v>155</v>
      </c>
      <c r="G462" s="26" t="s">
        <v>139</v>
      </c>
      <c r="H462" s="27" t="s">
        <v>588</v>
      </c>
      <c r="I462" s="24" t="s">
        <v>106</v>
      </c>
      <c r="J462" s="24" t="s">
        <v>121</v>
      </c>
      <c r="K462" s="28" t="s">
        <v>108</v>
      </c>
      <c r="L462" s="29">
        <v>0.03</v>
      </c>
      <c r="M462" s="29">
        <v>1.4999999999999999E-2</v>
      </c>
      <c r="N462" s="29">
        <v>0.02</v>
      </c>
      <c r="O462" s="27" t="s">
        <v>116</v>
      </c>
      <c r="P462" s="30" t="s">
        <v>112</v>
      </c>
      <c r="Q462" s="31">
        <v>806454607.40999997</v>
      </c>
      <c r="R462" s="31">
        <v>8439.51</v>
      </c>
      <c r="S462" s="32">
        <v>-5.0126999999999998E-2</v>
      </c>
      <c r="T462" s="32" t="s">
        <v>139</v>
      </c>
      <c r="U462" s="32">
        <v>-7.5389999999999997E-3</v>
      </c>
      <c r="V462" s="32">
        <v>-8.0479999999999996E-3</v>
      </c>
      <c r="W462" s="32">
        <v>3.4237999999999998E-2</v>
      </c>
      <c r="X462" s="32">
        <v>7.5158000000000003E-2</v>
      </c>
      <c r="Y462" s="32">
        <v>-0.14962500000000001</v>
      </c>
      <c r="Z462" s="32">
        <v>0.23065099999999999</v>
      </c>
      <c r="AA462" s="32">
        <v>0.49320599999999998</v>
      </c>
      <c r="AB462" s="32">
        <v>0.43534699999999998</v>
      </c>
    </row>
    <row r="463" spans="1:28" ht="15.6" customHeight="1" x14ac:dyDescent="0.25">
      <c r="A463" s="24" t="s">
        <v>804</v>
      </c>
      <c r="B463" s="50">
        <v>4063</v>
      </c>
      <c r="C463" s="25" t="s">
        <v>805</v>
      </c>
      <c r="D463" s="25" t="s">
        <v>112</v>
      </c>
      <c r="E463" s="25" t="s">
        <v>194</v>
      </c>
      <c r="F463" s="25" t="s">
        <v>103</v>
      </c>
      <c r="G463" s="26" t="s">
        <v>356</v>
      </c>
      <c r="H463" s="27" t="s">
        <v>806</v>
      </c>
      <c r="I463" s="24" t="s">
        <v>106</v>
      </c>
      <c r="J463" s="24" t="s">
        <v>107</v>
      </c>
      <c r="K463" s="28" t="s">
        <v>108</v>
      </c>
      <c r="L463" s="29">
        <v>0.03</v>
      </c>
      <c r="M463" s="29">
        <v>1.4999999999999999E-2</v>
      </c>
      <c r="N463" s="29">
        <v>0.02</v>
      </c>
      <c r="O463" s="27" t="s">
        <v>116</v>
      </c>
      <c r="P463" s="30" t="s">
        <v>112</v>
      </c>
      <c r="Q463" s="31">
        <v>6633937030.3500004</v>
      </c>
      <c r="R463" s="31">
        <v>1676.8</v>
      </c>
      <c r="S463" s="32">
        <v>1.7271999999999999E-2</v>
      </c>
      <c r="T463" s="32" t="s">
        <v>139</v>
      </c>
      <c r="U463" s="32">
        <v>3.5199999999999999E-4</v>
      </c>
      <c r="V463" s="32">
        <v>1.9E-3</v>
      </c>
      <c r="W463" s="32">
        <v>6.1199999999999996E-3</v>
      </c>
      <c r="X463" s="32">
        <v>1.2670000000000001E-2</v>
      </c>
      <c r="Y463" s="32">
        <v>2.4507000000000001E-2</v>
      </c>
      <c r="Z463" s="32">
        <v>5.1846000000000003E-2</v>
      </c>
      <c r="AA463" s="32">
        <v>8.6544999999999997E-2</v>
      </c>
      <c r="AB463" s="32">
        <v>0.13181799999999999</v>
      </c>
    </row>
    <row r="464" spans="1:28" ht="15.6" customHeight="1" x14ac:dyDescent="0.25">
      <c r="A464" s="24" t="s">
        <v>1511</v>
      </c>
      <c r="B464" s="50">
        <v>4064</v>
      </c>
      <c r="C464" s="25" t="s">
        <v>1512</v>
      </c>
      <c r="D464" s="25" t="s">
        <v>112</v>
      </c>
      <c r="E464" s="25" t="s">
        <v>194</v>
      </c>
      <c r="F464" s="25" t="s">
        <v>138</v>
      </c>
      <c r="G464" s="26" t="s">
        <v>139</v>
      </c>
      <c r="H464" s="27" t="s">
        <v>195</v>
      </c>
      <c r="I464" s="24" t="s">
        <v>998</v>
      </c>
      <c r="J464" s="24" t="s">
        <v>121</v>
      </c>
      <c r="K464" s="28" t="s">
        <v>227</v>
      </c>
      <c r="L464" s="29">
        <v>0.03</v>
      </c>
      <c r="M464" s="29">
        <v>1.4999999999999999E-2</v>
      </c>
      <c r="N464" s="29">
        <v>0.02</v>
      </c>
      <c r="O464" s="27" t="s">
        <v>116</v>
      </c>
      <c r="P464" s="30" t="s">
        <v>112</v>
      </c>
      <c r="Q464" s="31">
        <v>248833009.25999999</v>
      </c>
      <c r="R464" s="31">
        <v>1771.33</v>
      </c>
      <c r="S464" s="32">
        <v>-4.3249999999999997E-2</v>
      </c>
      <c r="T464" s="32" t="s">
        <v>139</v>
      </c>
      <c r="U464" s="32">
        <v>-4.3E-3</v>
      </c>
      <c r="V464" s="32">
        <v>-4.6810000000000003E-3</v>
      </c>
      <c r="W464" s="32">
        <v>1.1218000000000001E-2</v>
      </c>
      <c r="X464" s="32">
        <v>2.3463000000000001E-2</v>
      </c>
      <c r="Y464" s="32">
        <v>-9.2715000000000006E-2</v>
      </c>
      <c r="Z464" s="32">
        <v>0.15826699999999999</v>
      </c>
      <c r="AA464" s="32">
        <v>0.33233000000000001</v>
      </c>
      <c r="AB464" s="32">
        <v>0.23213800000000001</v>
      </c>
    </row>
    <row r="465" spans="1:28" ht="15.6" customHeight="1" x14ac:dyDescent="0.25">
      <c r="A465" s="24" t="s">
        <v>1513</v>
      </c>
      <c r="B465" s="50">
        <v>4065</v>
      </c>
      <c r="C465" s="25" t="s">
        <v>1514</v>
      </c>
      <c r="D465" s="25" t="s">
        <v>112</v>
      </c>
      <c r="E465" s="25" t="s">
        <v>194</v>
      </c>
      <c r="F465" s="25" t="s">
        <v>155</v>
      </c>
      <c r="G465" s="26" t="s">
        <v>139</v>
      </c>
      <c r="H465" s="27" t="s">
        <v>202</v>
      </c>
      <c r="I465" s="24" t="s">
        <v>998</v>
      </c>
      <c r="J465" s="24" t="s">
        <v>121</v>
      </c>
      <c r="K465" s="28" t="s">
        <v>108</v>
      </c>
      <c r="L465" s="29">
        <v>0.03</v>
      </c>
      <c r="M465" s="29">
        <v>1.4999999999999999E-2</v>
      </c>
      <c r="N465" s="29">
        <v>0.02</v>
      </c>
      <c r="O465" s="27" t="s">
        <v>116</v>
      </c>
      <c r="P465" s="30" t="s">
        <v>112</v>
      </c>
      <c r="Q465" s="31">
        <v>620924831.03999996</v>
      </c>
      <c r="R465" s="31">
        <v>5212.07</v>
      </c>
      <c r="S465" s="32">
        <v>-6.2363000000000002E-2</v>
      </c>
      <c r="T465" s="32" t="s">
        <v>139</v>
      </c>
      <c r="U465" s="32">
        <v>-8.3680000000000004E-3</v>
      </c>
      <c r="V465" s="32">
        <v>-8.1049999999999994E-3</v>
      </c>
      <c r="W465" s="32">
        <v>3.1184E-2</v>
      </c>
      <c r="X465" s="32">
        <v>5.9539000000000002E-2</v>
      </c>
      <c r="Y465" s="32">
        <v>-0.15268699999999999</v>
      </c>
      <c r="Z465" s="32">
        <v>0.20713999999999999</v>
      </c>
      <c r="AA465" s="32">
        <v>0.44118600000000002</v>
      </c>
      <c r="AB465" s="32">
        <v>0.34070499999999998</v>
      </c>
    </row>
    <row r="466" spans="1:28" ht="15.6" customHeight="1" x14ac:dyDescent="0.25">
      <c r="A466" s="24" t="s">
        <v>1515</v>
      </c>
      <c r="B466" s="50">
        <v>4066</v>
      </c>
      <c r="C466" s="25" t="s">
        <v>1516</v>
      </c>
      <c r="D466" s="25" t="s">
        <v>112</v>
      </c>
      <c r="E466" s="25" t="s">
        <v>194</v>
      </c>
      <c r="F466" s="25" t="s">
        <v>113</v>
      </c>
      <c r="G466" s="26" t="s">
        <v>1257</v>
      </c>
      <c r="H466" s="27" t="s">
        <v>115</v>
      </c>
      <c r="I466" s="24" t="s">
        <v>998</v>
      </c>
      <c r="J466" s="24" t="s">
        <v>121</v>
      </c>
      <c r="K466" s="28" t="s">
        <v>227</v>
      </c>
      <c r="L466" s="29">
        <v>0.03</v>
      </c>
      <c r="M466" s="29">
        <v>1.4999999999999999E-2</v>
      </c>
      <c r="N466" s="29">
        <v>0.02</v>
      </c>
      <c r="O466" s="27" t="s">
        <v>116</v>
      </c>
      <c r="P466" s="30" t="s">
        <v>112</v>
      </c>
      <c r="Q466" s="31">
        <v>654439.06999999995</v>
      </c>
      <c r="R466" s="31">
        <v>1078.1500000000001</v>
      </c>
      <c r="S466" s="32">
        <v>1.4749E-2</v>
      </c>
      <c r="T466" s="32" t="s">
        <v>139</v>
      </c>
      <c r="U466" s="32">
        <v>-8.6200000000000003E-4</v>
      </c>
      <c r="V466" s="32">
        <v>1.2999999999999999E-3</v>
      </c>
      <c r="W466" s="32">
        <v>5.6239999999999997E-3</v>
      </c>
      <c r="X466" s="32">
        <v>1.1776999999999999E-2</v>
      </c>
      <c r="Y466" s="32">
        <v>1.9036000000000001E-2</v>
      </c>
      <c r="Z466" s="32">
        <v>5.4044000000000002E-2</v>
      </c>
      <c r="AA466" s="32">
        <v>0.108445</v>
      </c>
      <c r="AB466" s="32">
        <v>5.0140999999999998E-2</v>
      </c>
    </row>
    <row r="467" spans="1:28" ht="15.6" customHeight="1" x14ac:dyDescent="0.25">
      <c r="A467" s="24" t="s">
        <v>807</v>
      </c>
      <c r="B467" s="50">
        <v>4067</v>
      </c>
      <c r="C467" s="25" t="s">
        <v>808</v>
      </c>
      <c r="D467" s="25" t="s">
        <v>112</v>
      </c>
      <c r="E467" s="25" t="s">
        <v>194</v>
      </c>
      <c r="F467" s="25" t="s">
        <v>128</v>
      </c>
      <c r="G467" s="26" t="s">
        <v>129</v>
      </c>
      <c r="H467" s="27" t="s">
        <v>373</v>
      </c>
      <c r="I467" s="24" t="s">
        <v>106</v>
      </c>
      <c r="J467" s="24" t="s">
        <v>107</v>
      </c>
      <c r="K467" s="28" t="s">
        <v>108</v>
      </c>
      <c r="L467" s="29">
        <v>0.03</v>
      </c>
      <c r="M467" s="29">
        <v>1.4999999999999999E-2</v>
      </c>
      <c r="N467" s="29">
        <v>0.02</v>
      </c>
      <c r="O467" s="27" t="s">
        <v>116</v>
      </c>
      <c r="P467" s="30" t="s">
        <v>112</v>
      </c>
      <c r="Q467" s="31">
        <v>634607.41</v>
      </c>
      <c r="R467" s="31">
        <v>1767.7</v>
      </c>
      <c r="S467" s="32">
        <v>1.3979E-2</v>
      </c>
      <c r="T467" s="32" t="s">
        <v>139</v>
      </c>
      <c r="U467" s="32">
        <v>-1.5799999999999999E-4</v>
      </c>
      <c r="V467" s="32">
        <v>1.3259999999999999E-3</v>
      </c>
      <c r="W467" s="32">
        <v>5.4949999999999999E-3</v>
      </c>
      <c r="X467" s="32">
        <v>1.0969E-2</v>
      </c>
      <c r="Y467" s="32">
        <v>2.0447E-2</v>
      </c>
      <c r="Z467" s="32">
        <v>4.5054999999999998E-2</v>
      </c>
      <c r="AA467" s="32">
        <v>7.9129000000000005E-2</v>
      </c>
      <c r="AB467" s="32">
        <v>0.125558</v>
      </c>
    </row>
    <row r="468" spans="1:28" ht="15.6" customHeight="1" x14ac:dyDescent="0.25">
      <c r="A468" s="24" t="s">
        <v>1517</v>
      </c>
      <c r="B468" s="50">
        <v>4069</v>
      </c>
      <c r="C468" s="25" t="s">
        <v>1518</v>
      </c>
      <c r="D468" s="25" t="s">
        <v>112</v>
      </c>
      <c r="E468" s="25" t="s">
        <v>194</v>
      </c>
      <c r="F468" s="25" t="s">
        <v>113</v>
      </c>
      <c r="G468" s="26" t="s">
        <v>1257</v>
      </c>
      <c r="H468" s="27" t="s">
        <v>1519</v>
      </c>
      <c r="I468" s="24" t="s">
        <v>998</v>
      </c>
      <c r="J468" s="24" t="s">
        <v>107</v>
      </c>
      <c r="K468" s="28" t="s">
        <v>108</v>
      </c>
      <c r="L468" s="29">
        <v>0.03</v>
      </c>
      <c r="M468" s="29">
        <v>1.4999999999999999E-2</v>
      </c>
      <c r="N468" s="29">
        <v>0.02</v>
      </c>
      <c r="O468" s="27" t="s">
        <v>116</v>
      </c>
      <c r="P468" s="30" t="s">
        <v>112</v>
      </c>
      <c r="Q468" s="31">
        <v>124441536.95</v>
      </c>
      <c r="R468" s="31">
        <v>2019.99</v>
      </c>
      <c r="S468" s="32">
        <v>1.0606000000000001E-2</v>
      </c>
      <c r="T468" s="32" t="s">
        <v>139</v>
      </c>
      <c r="U468" s="32">
        <v>-1.853E-3</v>
      </c>
      <c r="V468" s="32">
        <v>9.5600000000000004E-4</v>
      </c>
      <c r="W468" s="32">
        <v>8.9359999999999995E-3</v>
      </c>
      <c r="X468" s="32">
        <v>2.0254000000000001E-2</v>
      </c>
      <c r="Y468" s="32">
        <v>1.3065E-2</v>
      </c>
      <c r="Z468" s="32">
        <v>0.109879</v>
      </c>
      <c r="AA468" s="32">
        <v>0.206591</v>
      </c>
      <c r="AB468" s="32">
        <v>0.21198400000000001</v>
      </c>
    </row>
    <row r="469" spans="1:28" ht="15.6" customHeight="1" x14ac:dyDescent="0.25">
      <c r="A469" s="24" t="s">
        <v>1520</v>
      </c>
      <c r="B469" s="50">
        <v>4070</v>
      </c>
      <c r="C469" s="25" t="s">
        <v>1521</v>
      </c>
      <c r="D469" s="25" t="s">
        <v>112</v>
      </c>
      <c r="E469" s="25" t="s">
        <v>194</v>
      </c>
      <c r="F469" s="25" t="s">
        <v>138</v>
      </c>
      <c r="G469" s="26" t="s">
        <v>139</v>
      </c>
      <c r="H469" s="27" t="s">
        <v>195</v>
      </c>
      <c r="I469" s="24" t="s">
        <v>998</v>
      </c>
      <c r="J469" s="24" t="s">
        <v>121</v>
      </c>
      <c r="K469" s="28" t="s">
        <v>227</v>
      </c>
      <c r="L469" s="29">
        <v>0.03</v>
      </c>
      <c r="M469" s="29">
        <v>1.4999999999999999E-2</v>
      </c>
      <c r="N469" s="29">
        <v>0.02</v>
      </c>
      <c r="O469" s="27" t="s">
        <v>116</v>
      </c>
      <c r="P469" s="30" t="s">
        <v>112</v>
      </c>
      <c r="Q469" s="31">
        <v>1227306.6200000001</v>
      </c>
      <c r="R469" s="31">
        <v>2922.15</v>
      </c>
      <c r="S469" s="32">
        <v>-4.2090000000000001E-3</v>
      </c>
      <c r="T469" s="32" t="s">
        <v>139</v>
      </c>
      <c r="U469" s="32">
        <v>-3.7569999999999999E-3</v>
      </c>
      <c r="V469" s="32">
        <v>-2.5400000000000002E-3</v>
      </c>
      <c r="W469" s="32">
        <v>2.1344999999999999E-2</v>
      </c>
      <c r="X469" s="32">
        <v>5.1152000000000003E-2</v>
      </c>
      <c r="Y469" s="32">
        <v>-6.1696000000000001E-2</v>
      </c>
      <c r="Z469" s="32">
        <v>0.21555199999999999</v>
      </c>
      <c r="AA469" s="32">
        <v>0.37827499999999997</v>
      </c>
      <c r="AB469" s="32">
        <v>0.36438100000000001</v>
      </c>
    </row>
    <row r="470" spans="1:28" ht="15.6" customHeight="1" x14ac:dyDescent="0.25">
      <c r="A470" s="24" t="s">
        <v>1522</v>
      </c>
      <c r="B470" s="50">
        <v>4071</v>
      </c>
      <c r="C470" s="25" t="s">
        <v>1523</v>
      </c>
      <c r="D470" s="25" t="s">
        <v>821</v>
      </c>
      <c r="E470" s="25" t="s">
        <v>194</v>
      </c>
      <c r="F470" s="25" t="s">
        <v>155</v>
      </c>
      <c r="G470" s="26" t="s">
        <v>139</v>
      </c>
      <c r="H470" s="27" t="s">
        <v>156</v>
      </c>
      <c r="I470" s="24" t="s">
        <v>998</v>
      </c>
      <c r="J470" s="24" t="s">
        <v>107</v>
      </c>
      <c r="K470" s="28" t="s">
        <v>180</v>
      </c>
      <c r="L470" s="29">
        <v>0.03</v>
      </c>
      <c r="M470" s="29">
        <v>0.03</v>
      </c>
      <c r="N470" s="29">
        <v>0.02</v>
      </c>
      <c r="O470" s="27" t="s">
        <v>148</v>
      </c>
      <c r="P470" s="30" t="s">
        <v>821</v>
      </c>
      <c r="Q470" s="31">
        <v>8879682247.3299999</v>
      </c>
      <c r="R470" s="31">
        <v>114751.26</v>
      </c>
      <c r="S470" s="32">
        <v>-1.4286E-2</v>
      </c>
      <c r="T470" s="32" t="s">
        <v>139</v>
      </c>
      <c r="U470" s="32">
        <v>-4.0099999999999999E-4</v>
      </c>
      <c r="V470" s="32">
        <v>-5.9170000000000004E-3</v>
      </c>
      <c r="W470" s="32">
        <v>2.8634E-2</v>
      </c>
      <c r="X470" s="32">
        <v>6.9297999999999998E-2</v>
      </c>
      <c r="Y470" s="32">
        <v>-0.123486</v>
      </c>
      <c r="Z470" s="32">
        <v>0.22892699999999999</v>
      </c>
      <c r="AA470" s="32">
        <v>0.39240000000000003</v>
      </c>
      <c r="AB470" s="32">
        <v>0.285468</v>
      </c>
    </row>
    <row r="471" spans="1:28" ht="15.6" customHeight="1" x14ac:dyDescent="0.25">
      <c r="A471" s="24" t="s">
        <v>1524</v>
      </c>
      <c r="B471" s="50">
        <v>4072</v>
      </c>
      <c r="C471" s="25" t="s">
        <v>1525</v>
      </c>
      <c r="D471" s="25" t="s">
        <v>821</v>
      </c>
      <c r="E471" s="25" t="s">
        <v>194</v>
      </c>
      <c r="F471" s="25" t="s">
        <v>155</v>
      </c>
      <c r="G471" s="26" t="s">
        <v>139</v>
      </c>
      <c r="H471" s="27" t="s">
        <v>156</v>
      </c>
      <c r="I471" s="24" t="s">
        <v>998</v>
      </c>
      <c r="J471" s="24" t="s">
        <v>107</v>
      </c>
      <c r="K471" s="28" t="s">
        <v>108</v>
      </c>
      <c r="L471" s="29">
        <v>0.03</v>
      </c>
      <c r="M471" s="29">
        <v>0.03</v>
      </c>
      <c r="N471" s="29">
        <v>0.02</v>
      </c>
      <c r="O471" s="27" t="s">
        <v>148</v>
      </c>
      <c r="P471" s="30" t="s">
        <v>821</v>
      </c>
      <c r="Q471" s="31">
        <v>129775538.40000001</v>
      </c>
      <c r="R471" s="31">
        <v>267.49</v>
      </c>
      <c r="S471" s="32">
        <v>-3.2865999999999999E-2</v>
      </c>
      <c r="T471" s="32" t="s">
        <v>139</v>
      </c>
      <c r="U471" s="32">
        <v>-7.7530000000000003E-3</v>
      </c>
      <c r="V471" s="32">
        <v>-1.1018E-2</v>
      </c>
      <c r="W471" s="32">
        <v>2.6950999999999999E-2</v>
      </c>
      <c r="X471" s="32">
        <v>7.6244999999999993E-2</v>
      </c>
      <c r="Y471" s="32">
        <v>-0.13405600000000001</v>
      </c>
      <c r="Z471" s="32">
        <v>0.338119</v>
      </c>
      <c r="AA471" s="32">
        <v>0.58625400000000005</v>
      </c>
      <c r="AB471" s="32">
        <v>0.47548099999999999</v>
      </c>
    </row>
    <row r="472" spans="1:28" ht="15.6" customHeight="1" x14ac:dyDescent="0.25">
      <c r="A472" s="24" t="s">
        <v>1526</v>
      </c>
      <c r="B472" s="50">
        <v>4073</v>
      </c>
      <c r="C472" s="25" t="s">
        <v>1527</v>
      </c>
      <c r="D472" s="25" t="s">
        <v>821</v>
      </c>
      <c r="E472" s="25" t="s">
        <v>194</v>
      </c>
      <c r="F472" s="25" t="s">
        <v>155</v>
      </c>
      <c r="G472" s="26" t="s">
        <v>139</v>
      </c>
      <c r="H472" s="27" t="s">
        <v>156</v>
      </c>
      <c r="I472" s="24" t="s">
        <v>998</v>
      </c>
      <c r="J472" s="24" t="s">
        <v>107</v>
      </c>
      <c r="K472" s="28" t="s">
        <v>180</v>
      </c>
      <c r="L472" s="29">
        <v>0.03</v>
      </c>
      <c r="M472" s="29">
        <v>0.03</v>
      </c>
      <c r="N472" s="29">
        <v>0.02</v>
      </c>
      <c r="O472" s="27" t="s">
        <v>148</v>
      </c>
      <c r="P472" s="30" t="s">
        <v>821</v>
      </c>
      <c r="Q472" s="31">
        <v>1537549784.3900001</v>
      </c>
      <c r="R472" s="31">
        <v>317544.36</v>
      </c>
      <c r="S472" s="32">
        <v>1.1764999999999999E-2</v>
      </c>
      <c r="T472" s="32" t="s">
        <v>139</v>
      </c>
      <c r="U472" s="32">
        <v>-1.2880000000000001E-2</v>
      </c>
      <c r="V472" s="32">
        <v>-1.4739E-2</v>
      </c>
      <c r="W472" s="32">
        <v>-3.2899999999999997E-4</v>
      </c>
      <c r="X472" s="32">
        <v>6.3504000000000005E-2</v>
      </c>
      <c r="Y472" s="32">
        <v>-9.6973000000000004E-2</v>
      </c>
      <c r="Z472" s="32">
        <v>0.31966</v>
      </c>
      <c r="AA472" s="32">
        <v>0.45942499999999997</v>
      </c>
      <c r="AB472" s="32">
        <v>0.42949799999999999</v>
      </c>
    </row>
    <row r="473" spans="1:28" ht="15.6" customHeight="1" x14ac:dyDescent="0.25">
      <c r="A473" s="24" t="s">
        <v>1528</v>
      </c>
      <c r="B473" s="50">
        <v>4074</v>
      </c>
      <c r="C473" s="25" t="s">
        <v>1529</v>
      </c>
      <c r="D473" s="25" t="s">
        <v>821</v>
      </c>
      <c r="E473" s="25" t="s">
        <v>194</v>
      </c>
      <c r="F473" s="25" t="s">
        <v>113</v>
      </c>
      <c r="G473" s="26" t="s">
        <v>1530</v>
      </c>
      <c r="H473" s="27" t="s">
        <v>732</v>
      </c>
      <c r="I473" s="24" t="s">
        <v>998</v>
      </c>
      <c r="J473" s="24" t="s">
        <v>107</v>
      </c>
      <c r="K473" s="28" t="s">
        <v>180</v>
      </c>
      <c r="L473" s="29">
        <v>0.03</v>
      </c>
      <c r="M473" s="29">
        <v>0.03</v>
      </c>
      <c r="N473" s="29">
        <v>0.02</v>
      </c>
      <c r="O473" s="27" t="s">
        <v>148</v>
      </c>
      <c r="P473" s="30" t="s">
        <v>821</v>
      </c>
      <c r="Q473" s="31">
        <v>9941866059.8899994</v>
      </c>
      <c r="R473" s="31">
        <v>394174.37</v>
      </c>
      <c r="S473" s="32">
        <v>-8.4200000000000004E-3</v>
      </c>
      <c r="T473" s="32" t="s">
        <v>139</v>
      </c>
      <c r="U473" s="32">
        <v>-1.5380000000000001E-3</v>
      </c>
      <c r="V473" s="32">
        <v>2.0969999999999999E-3</v>
      </c>
      <c r="W473" s="32">
        <v>5.365E-3</v>
      </c>
      <c r="X473" s="32">
        <v>2.0699999999999998E-3</v>
      </c>
      <c r="Y473" s="32">
        <v>-1.8020000000000001E-2</v>
      </c>
      <c r="Z473" s="32">
        <v>7.5690999999999994E-2</v>
      </c>
      <c r="AA473" s="32">
        <v>0.20647599999999999</v>
      </c>
      <c r="AB473" s="32">
        <v>0.13078799999999999</v>
      </c>
    </row>
    <row r="474" spans="1:28" ht="15.6" customHeight="1" x14ac:dyDescent="0.25">
      <c r="A474" s="24" t="s">
        <v>1531</v>
      </c>
      <c r="B474" s="50">
        <v>4075</v>
      </c>
      <c r="C474" s="25" t="s">
        <v>1532</v>
      </c>
      <c r="D474" s="25" t="s">
        <v>112</v>
      </c>
      <c r="E474" s="25" t="s">
        <v>194</v>
      </c>
      <c r="F474" s="25" t="s">
        <v>155</v>
      </c>
      <c r="G474" s="26" t="s">
        <v>139</v>
      </c>
      <c r="H474" s="27" t="s">
        <v>156</v>
      </c>
      <c r="I474" s="24" t="s">
        <v>998</v>
      </c>
      <c r="J474" s="24" t="s">
        <v>121</v>
      </c>
      <c r="K474" s="28" t="s">
        <v>108</v>
      </c>
      <c r="L474" s="29">
        <v>0.03</v>
      </c>
      <c r="M474" s="29">
        <v>1.4999999999999999E-2</v>
      </c>
      <c r="N474" s="29">
        <v>0.02</v>
      </c>
      <c r="O474" s="27" t="s">
        <v>116</v>
      </c>
      <c r="P474" s="30" t="s">
        <v>112</v>
      </c>
      <c r="Q474" s="31">
        <v>795007946.13999999</v>
      </c>
      <c r="R474" s="31">
        <v>2993.71</v>
      </c>
      <c r="S474" s="32">
        <v>-5.8096000000000002E-2</v>
      </c>
      <c r="T474" s="32" t="s">
        <v>139</v>
      </c>
      <c r="U474" s="32">
        <v>-7.3509999999999999E-3</v>
      </c>
      <c r="V474" s="32">
        <v>-5.5770000000000004E-3</v>
      </c>
      <c r="W474" s="32">
        <v>2.8593E-2</v>
      </c>
      <c r="X474" s="32">
        <v>6.9828000000000001E-2</v>
      </c>
      <c r="Y474" s="32">
        <v>-0.14102500000000001</v>
      </c>
      <c r="Z474" s="32">
        <v>0.243147</v>
      </c>
      <c r="AA474" s="32">
        <v>0.50143400000000005</v>
      </c>
      <c r="AB474" s="32">
        <v>0.46931299999999998</v>
      </c>
    </row>
    <row r="475" spans="1:28" ht="15.6" customHeight="1" x14ac:dyDescent="0.25">
      <c r="A475" s="24" t="s">
        <v>809</v>
      </c>
      <c r="B475" s="50">
        <v>4076</v>
      </c>
      <c r="C475" s="25" t="s">
        <v>810</v>
      </c>
      <c r="D475" s="25" t="s">
        <v>112</v>
      </c>
      <c r="E475" s="25" t="s">
        <v>194</v>
      </c>
      <c r="F475" s="25" t="s">
        <v>128</v>
      </c>
      <c r="G475" s="26" t="s">
        <v>250</v>
      </c>
      <c r="H475" s="27" t="s">
        <v>512</v>
      </c>
      <c r="I475" s="24" t="s">
        <v>106</v>
      </c>
      <c r="J475" s="24" t="s">
        <v>107</v>
      </c>
      <c r="K475" s="28" t="s">
        <v>108</v>
      </c>
      <c r="L475" s="29">
        <v>0.03</v>
      </c>
      <c r="M475" s="29">
        <v>1.4999999999999999E-2</v>
      </c>
      <c r="N475" s="29">
        <v>0.02</v>
      </c>
      <c r="O475" s="27" t="s">
        <v>116</v>
      </c>
      <c r="P475" s="30" t="s">
        <v>112</v>
      </c>
      <c r="Q475" s="31">
        <v>3628668805.9099998</v>
      </c>
      <c r="R475" s="31">
        <v>1684.6</v>
      </c>
      <c r="S475" s="32">
        <v>1.9746E-2</v>
      </c>
      <c r="T475" s="32" t="s">
        <v>139</v>
      </c>
      <c r="U475" s="32">
        <v>-1.01E-4</v>
      </c>
      <c r="V475" s="32">
        <v>1.903E-3</v>
      </c>
      <c r="W475" s="32">
        <v>7.1500000000000001E-3</v>
      </c>
      <c r="X475" s="32">
        <v>1.4978E-2</v>
      </c>
      <c r="Y475" s="32">
        <v>2.8310999999999999E-2</v>
      </c>
      <c r="Z475" s="32">
        <v>6.5178E-2</v>
      </c>
      <c r="AA475" s="32">
        <v>0.108457</v>
      </c>
      <c r="AB475" s="32">
        <v>0.15354300000000001</v>
      </c>
    </row>
    <row r="476" spans="1:28" ht="15.6" customHeight="1" x14ac:dyDescent="0.25">
      <c r="A476" s="24" t="s">
        <v>811</v>
      </c>
      <c r="B476" s="50">
        <v>4077</v>
      </c>
      <c r="C476" s="25" t="s">
        <v>812</v>
      </c>
      <c r="D476" s="25" t="s">
        <v>112</v>
      </c>
      <c r="E476" s="25" t="s">
        <v>194</v>
      </c>
      <c r="F476" s="25" t="s">
        <v>103</v>
      </c>
      <c r="G476" s="26" t="s">
        <v>104</v>
      </c>
      <c r="H476" s="27" t="s">
        <v>813</v>
      </c>
      <c r="I476" s="24" t="s">
        <v>106</v>
      </c>
      <c r="J476" s="24" t="s">
        <v>121</v>
      </c>
      <c r="K476" s="28" t="s">
        <v>108</v>
      </c>
      <c r="L476" s="29">
        <v>0.03</v>
      </c>
      <c r="M476" s="29">
        <v>1.4999999999999999E-2</v>
      </c>
      <c r="N476" s="29">
        <v>0.02</v>
      </c>
      <c r="O476" s="27" t="s">
        <v>116</v>
      </c>
      <c r="P476" s="30" t="s">
        <v>112</v>
      </c>
      <c r="Q476" s="31">
        <v>3222721736.9499998</v>
      </c>
      <c r="R476" s="31">
        <v>3437.49</v>
      </c>
      <c r="S476" s="32">
        <v>1.6191000000000001E-2</v>
      </c>
      <c r="T476" s="32" t="s">
        <v>139</v>
      </c>
      <c r="U476" s="32">
        <v>2.33E-4</v>
      </c>
      <c r="V476" s="32">
        <v>1.743E-3</v>
      </c>
      <c r="W476" s="32">
        <v>5.9519999999999998E-3</v>
      </c>
      <c r="X476" s="32">
        <v>1.1919000000000001E-2</v>
      </c>
      <c r="Y476" s="32">
        <v>2.2636E-2</v>
      </c>
      <c r="Z476" s="32">
        <v>4.8753999999999999E-2</v>
      </c>
      <c r="AA476" s="32">
        <v>8.0770999999999996E-2</v>
      </c>
      <c r="AB476" s="32">
        <v>0.121369</v>
      </c>
    </row>
    <row r="477" spans="1:28" ht="15.6" customHeight="1" x14ac:dyDescent="0.25">
      <c r="A477" s="24" t="s">
        <v>1533</v>
      </c>
      <c r="B477" s="50">
        <v>4078</v>
      </c>
      <c r="C477" s="25" t="s">
        <v>1534</v>
      </c>
      <c r="D477" s="25" t="s">
        <v>112</v>
      </c>
      <c r="E477" s="25" t="s">
        <v>194</v>
      </c>
      <c r="F477" s="25" t="s">
        <v>113</v>
      </c>
      <c r="G477" s="26" t="s">
        <v>1535</v>
      </c>
      <c r="H477" s="27" t="s">
        <v>115</v>
      </c>
      <c r="I477" s="24" t="s">
        <v>998</v>
      </c>
      <c r="J477" s="24" t="s">
        <v>121</v>
      </c>
      <c r="K477" s="28" t="s">
        <v>108</v>
      </c>
      <c r="L477" s="29">
        <v>0.03</v>
      </c>
      <c r="M477" s="29">
        <v>1.4999999999999999E-2</v>
      </c>
      <c r="N477" s="29">
        <v>0.02</v>
      </c>
      <c r="O477" s="27" t="s">
        <v>116</v>
      </c>
      <c r="P477" s="30" t="s">
        <v>112</v>
      </c>
      <c r="Q477" s="31">
        <v>863547194.09000003</v>
      </c>
      <c r="R477" s="31">
        <v>2065.4699999999998</v>
      </c>
      <c r="S477" s="32">
        <v>-6.914E-3</v>
      </c>
      <c r="T477" s="32" t="s">
        <v>139</v>
      </c>
      <c r="U477" s="32">
        <v>-2.049E-3</v>
      </c>
      <c r="V477" s="32">
        <v>1.1540000000000001E-3</v>
      </c>
      <c r="W477" s="32">
        <v>6.829E-3</v>
      </c>
      <c r="X477" s="32">
        <v>8.1169999999999992E-3</v>
      </c>
      <c r="Y477" s="32">
        <v>-1.8443000000000001E-2</v>
      </c>
      <c r="Z477" s="32">
        <v>9.6856999999999999E-2</v>
      </c>
      <c r="AA477" s="32">
        <v>0.223388</v>
      </c>
      <c r="AB477" s="32">
        <v>0.144653</v>
      </c>
    </row>
    <row r="478" spans="1:28" ht="15.6" customHeight="1" x14ac:dyDescent="0.25">
      <c r="A478" s="24" t="s">
        <v>814</v>
      </c>
      <c r="B478" s="50">
        <v>4079</v>
      </c>
      <c r="C478" s="25" t="s">
        <v>815</v>
      </c>
      <c r="D478" s="25" t="s">
        <v>112</v>
      </c>
      <c r="E478" s="25" t="s">
        <v>194</v>
      </c>
      <c r="F478" s="25" t="s">
        <v>138</v>
      </c>
      <c r="G478" s="26" t="s">
        <v>139</v>
      </c>
      <c r="H478" s="27" t="s">
        <v>816</v>
      </c>
      <c r="I478" s="24" t="s">
        <v>106</v>
      </c>
      <c r="J478" s="24" t="s">
        <v>107</v>
      </c>
      <c r="K478" s="28" t="s">
        <v>108</v>
      </c>
      <c r="L478" s="29">
        <v>0</v>
      </c>
      <c r="M478" s="29">
        <v>0</v>
      </c>
      <c r="N478" s="29">
        <v>0.02</v>
      </c>
      <c r="O478" s="27" t="s">
        <v>116</v>
      </c>
      <c r="P478" s="30" t="s">
        <v>112</v>
      </c>
      <c r="Q478" s="31">
        <v>1429077.88</v>
      </c>
      <c r="R478" s="31">
        <v>1931.18</v>
      </c>
      <c r="S478" s="32">
        <v>-2.5720000000000001E-3</v>
      </c>
      <c r="T478" s="32" t="s">
        <v>139</v>
      </c>
      <c r="U478" s="32">
        <v>-6.1240000000000001E-3</v>
      </c>
      <c r="V478" s="32">
        <v>-5.6230000000000004E-3</v>
      </c>
      <c r="W478" s="32">
        <v>2.0503E-2</v>
      </c>
      <c r="X478" s="32">
        <v>1.5689000000000002E-2</v>
      </c>
      <c r="Y478" s="32">
        <v>-1.4387E-2</v>
      </c>
      <c r="Z478" s="32">
        <v>7.7053999999999997E-2</v>
      </c>
      <c r="AA478" s="32">
        <v>0.138983</v>
      </c>
      <c r="AB478" s="32">
        <v>0.139044</v>
      </c>
    </row>
    <row r="479" spans="1:28" ht="15.6" customHeight="1" x14ac:dyDescent="0.25">
      <c r="A479" s="24" t="s">
        <v>1536</v>
      </c>
      <c r="B479" s="50">
        <v>4081</v>
      </c>
      <c r="C479" s="25" t="s">
        <v>1537</v>
      </c>
      <c r="D479" s="25" t="s">
        <v>159</v>
      </c>
      <c r="E479" s="25" t="s">
        <v>194</v>
      </c>
      <c r="F479" s="25" t="s">
        <v>155</v>
      </c>
      <c r="G479" s="26" t="s">
        <v>139</v>
      </c>
      <c r="H479" s="27" t="s">
        <v>156</v>
      </c>
      <c r="I479" s="24" t="s">
        <v>998</v>
      </c>
      <c r="J479" s="24" t="s">
        <v>107</v>
      </c>
      <c r="K479" s="28" t="s">
        <v>108</v>
      </c>
      <c r="L479" s="29">
        <v>2E-3</v>
      </c>
      <c r="M479" s="29">
        <v>1E-3</v>
      </c>
      <c r="N479" s="29">
        <v>0.02</v>
      </c>
      <c r="O479" s="27" t="s">
        <v>161</v>
      </c>
      <c r="P479" s="30" t="s">
        <v>159</v>
      </c>
      <c r="Q479" s="31">
        <v>66860396.759999998</v>
      </c>
      <c r="R479" s="31">
        <v>321.31</v>
      </c>
      <c r="S479" s="32">
        <v>-2.1083000000000001E-2</v>
      </c>
      <c r="T479" s="32" t="s">
        <v>139</v>
      </c>
      <c r="U479" s="32">
        <v>-1.616E-3</v>
      </c>
      <c r="V479" s="32">
        <v>-5.2940000000000001E-3</v>
      </c>
      <c r="W479" s="32">
        <v>1.1363E-2</v>
      </c>
      <c r="X479" s="32">
        <v>8.1924999999999998E-2</v>
      </c>
      <c r="Y479" s="32">
        <v>-0.12933600000000001</v>
      </c>
      <c r="Z479" s="32">
        <v>0.28848699999999999</v>
      </c>
      <c r="AA479" s="32">
        <v>0.52822800000000003</v>
      </c>
      <c r="AB479" s="32">
        <v>0.44072299999999998</v>
      </c>
    </row>
    <row r="480" spans="1:28" ht="15.6" customHeight="1" x14ac:dyDescent="0.25">
      <c r="A480" s="24" t="s">
        <v>1538</v>
      </c>
      <c r="B480" s="50">
        <v>4082</v>
      </c>
      <c r="C480" s="25" t="s">
        <v>1539</v>
      </c>
      <c r="D480" s="25" t="s">
        <v>159</v>
      </c>
      <c r="E480" s="25" t="s">
        <v>194</v>
      </c>
      <c r="F480" s="25" t="s">
        <v>155</v>
      </c>
      <c r="G480" s="26" t="s">
        <v>139</v>
      </c>
      <c r="H480" s="27" t="s">
        <v>156</v>
      </c>
      <c r="I480" s="24" t="s">
        <v>998</v>
      </c>
      <c r="J480" s="24" t="s">
        <v>107</v>
      </c>
      <c r="K480" s="28" t="s">
        <v>108</v>
      </c>
      <c r="L480" s="29">
        <v>5.0000000000000001E-3</v>
      </c>
      <c r="M480" s="29">
        <v>5.0000000000000001E-3</v>
      </c>
      <c r="N480" s="29">
        <v>0.02</v>
      </c>
      <c r="O480" s="27" t="s">
        <v>161</v>
      </c>
      <c r="P480" s="30" t="s">
        <v>159</v>
      </c>
      <c r="Q480" s="31">
        <v>697327628.5</v>
      </c>
      <c r="R480" s="31">
        <v>4881.74</v>
      </c>
      <c r="S480" s="32">
        <v>2.9779E-2</v>
      </c>
      <c r="T480" s="32" t="s">
        <v>139</v>
      </c>
      <c r="U480" s="32">
        <v>-1.1318999999999999E-2</v>
      </c>
      <c r="V480" s="32">
        <v>-8.9750000000000003E-3</v>
      </c>
      <c r="W480" s="32">
        <v>9.2499999999999995E-3</v>
      </c>
      <c r="X480" s="32">
        <v>0.114423</v>
      </c>
      <c r="Y480" s="32">
        <v>-6.7001000000000005E-2</v>
      </c>
      <c r="Z480" s="32">
        <v>0.459453</v>
      </c>
      <c r="AA480" s="32">
        <v>0.77680000000000005</v>
      </c>
      <c r="AB480" s="32">
        <v>0.67640400000000001</v>
      </c>
    </row>
    <row r="481" spans="1:28" ht="15.6" customHeight="1" x14ac:dyDescent="0.25">
      <c r="A481" s="24" t="s">
        <v>1540</v>
      </c>
      <c r="B481" s="50">
        <v>4084</v>
      </c>
      <c r="C481" s="25" t="s">
        <v>1541</v>
      </c>
      <c r="D481" s="25" t="s">
        <v>112</v>
      </c>
      <c r="E481" s="25" t="s">
        <v>194</v>
      </c>
      <c r="F481" s="25" t="s">
        <v>138</v>
      </c>
      <c r="G481" s="26" t="s">
        <v>139</v>
      </c>
      <c r="H481" s="27" t="s">
        <v>1232</v>
      </c>
      <c r="I481" s="24" t="s">
        <v>998</v>
      </c>
      <c r="J481" s="24" t="s">
        <v>107</v>
      </c>
      <c r="K481" s="28" t="s">
        <v>108</v>
      </c>
      <c r="L481" s="29">
        <v>0.03</v>
      </c>
      <c r="M481" s="29">
        <v>1.4999999999999999E-2</v>
      </c>
      <c r="N481" s="29">
        <v>0.02</v>
      </c>
      <c r="O481" s="27" t="s">
        <v>116</v>
      </c>
      <c r="P481" s="30" t="s">
        <v>112</v>
      </c>
      <c r="Q481" s="31">
        <v>1497556.95</v>
      </c>
      <c r="R481" s="31">
        <v>2139.36</v>
      </c>
      <c r="S481" s="32">
        <v>1.0152E-2</v>
      </c>
      <c r="T481" s="32" t="s">
        <v>139</v>
      </c>
      <c r="U481" s="32">
        <v>-9.2500000000000004E-4</v>
      </c>
      <c r="V481" s="32">
        <v>8.0000000000000004E-4</v>
      </c>
      <c r="W481" s="32">
        <v>1.3285999999999999E-2</v>
      </c>
      <c r="X481" s="32">
        <v>2.5860000000000001E-2</v>
      </c>
      <c r="Y481" s="32">
        <v>-6.3579999999999999E-3</v>
      </c>
      <c r="Z481" s="32">
        <v>0.12751000000000001</v>
      </c>
      <c r="AA481" s="32">
        <v>0.21791199999999999</v>
      </c>
      <c r="AB481" s="32">
        <v>0.20557900000000001</v>
      </c>
    </row>
    <row r="482" spans="1:28" ht="15.6" customHeight="1" x14ac:dyDescent="0.25">
      <c r="A482" s="24" t="s">
        <v>1542</v>
      </c>
      <c r="B482" s="50">
        <v>4085</v>
      </c>
      <c r="C482" s="25" t="s">
        <v>1543</v>
      </c>
      <c r="D482" s="25" t="s">
        <v>112</v>
      </c>
      <c r="E482" s="25" t="s">
        <v>194</v>
      </c>
      <c r="F482" s="25" t="s">
        <v>113</v>
      </c>
      <c r="G482" s="26" t="s">
        <v>1257</v>
      </c>
      <c r="H482" s="27" t="s">
        <v>1519</v>
      </c>
      <c r="I482" s="24" t="s">
        <v>998</v>
      </c>
      <c r="J482" s="24" t="s">
        <v>107</v>
      </c>
      <c r="K482" s="28" t="s">
        <v>108</v>
      </c>
      <c r="L482" s="29">
        <v>0.03</v>
      </c>
      <c r="M482" s="29">
        <v>1.4999999999999999E-2</v>
      </c>
      <c r="N482" s="29">
        <v>0.02</v>
      </c>
      <c r="O482" s="27" t="s">
        <v>116</v>
      </c>
      <c r="P482" s="30" t="s">
        <v>112</v>
      </c>
      <c r="Q482" s="31">
        <v>457715654.17000002</v>
      </c>
      <c r="R482" s="31">
        <v>1849.16</v>
      </c>
      <c r="S482" s="32">
        <v>-2.4380000000000001E-3</v>
      </c>
      <c r="T482" s="32" t="s">
        <v>139</v>
      </c>
      <c r="U482" s="32">
        <v>-2.0179999999999998E-3</v>
      </c>
      <c r="V482" s="32">
        <v>1.696E-3</v>
      </c>
      <c r="W482" s="32">
        <v>6.8170000000000001E-3</v>
      </c>
      <c r="X482" s="32">
        <v>9.6640000000000007E-3</v>
      </c>
      <c r="Y482" s="32">
        <v>-1.2338E-2</v>
      </c>
      <c r="Z482" s="32">
        <v>9.0628E-2</v>
      </c>
      <c r="AA482" s="32">
        <v>0.19606999999999999</v>
      </c>
      <c r="AB482" s="32">
        <v>0.14590600000000001</v>
      </c>
    </row>
    <row r="483" spans="1:28" ht="15.6" customHeight="1" x14ac:dyDescent="0.25">
      <c r="A483" s="24" t="s">
        <v>1544</v>
      </c>
      <c r="B483" s="50">
        <v>4094</v>
      </c>
      <c r="C483" s="25" t="s">
        <v>1545</v>
      </c>
      <c r="D483" s="25" t="s">
        <v>821</v>
      </c>
      <c r="E483" s="25" t="s">
        <v>194</v>
      </c>
      <c r="F483" s="25" t="s">
        <v>113</v>
      </c>
      <c r="G483" s="26" t="s">
        <v>638</v>
      </c>
      <c r="H483" s="27" t="s">
        <v>327</v>
      </c>
      <c r="I483" s="24" t="s">
        <v>998</v>
      </c>
      <c r="J483" s="24" t="s">
        <v>107</v>
      </c>
      <c r="K483" s="28" t="s">
        <v>180</v>
      </c>
      <c r="L483" s="29">
        <v>0.03</v>
      </c>
      <c r="M483" s="29">
        <v>0.03</v>
      </c>
      <c r="N483" s="29">
        <v>0.02</v>
      </c>
      <c r="O483" s="27" t="s">
        <v>148</v>
      </c>
      <c r="P483" s="30" t="s">
        <v>821</v>
      </c>
      <c r="Q483" s="31">
        <v>3694189543.27</v>
      </c>
      <c r="R483" s="31">
        <v>160.69999999999999</v>
      </c>
      <c r="S483" s="32">
        <v>-4.4600000000000004E-3</v>
      </c>
      <c r="T483" s="32" t="s">
        <v>139</v>
      </c>
      <c r="U483" s="32">
        <v>-2.8540000000000002E-3</v>
      </c>
      <c r="V483" s="32">
        <v>-6.2200000000000005E-4</v>
      </c>
      <c r="W483" s="32">
        <v>3.8730000000000001E-3</v>
      </c>
      <c r="X483" s="32">
        <v>8.6619999999999996E-3</v>
      </c>
      <c r="Y483" s="32">
        <v>-1.5559999999999999E-2</v>
      </c>
      <c r="Z483" s="32">
        <v>8.1733E-2</v>
      </c>
      <c r="AA483" s="32">
        <v>0.188997</v>
      </c>
      <c r="AB483" s="32">
        <v>0.13475400000000001</v>
      </c>
    </row>
    <row r="484" spans="1:28" ht="15.6" customHeight="1" x14ac:dyDescent="0.25">
      <c r="A484" s="24" t="s">
        <v>1546</v>
      </c>
      <c r="B484" s="50">
        <v>4095</v>
      </c>
      <c r="C484" s="25" t="s">
        <v>1547</v>
      </c>
      <c r="D484" s="25" t="s">
        <v>821</v>
      </c>
      <c r="E484" s="25" t="s">
        <v>194</v>
      </c>
      <c r="F484" s="25" t="s">
        <v>155</v>
      </c>
      <c r="G484" s="26" t="s">
        <v>139</v>
      </c>
      <c r="H484" s="27" t="s">
        <v>156</v>
      </c>
      <c r="I484" s="24" t="s">
        <v>998</v>
      </c>
      <c r="J484" s="24" t="s">
        <v>107</v>
      </c>
      <c r="K484" s="28" t="s">
        <v>180</v>
      </c>
      <c r="L484" s="29">
        <v>0.03</v>
      </c>
      <c r="M484" s="29">
        <v>0.03</v>
      </c>
      <c r="N484" s="29">
        <v>0.02</v>
      </c>
      <c r="O484" s="27" t="s">
        <v>148</v>
      </c>
      <c r="P484" s="30" t="s">
        <v>821</v>
      </c>
      <c r="Q484" s="31">
        <v>2280510849.5799999</v>
      </c>
      <c r="R484" s="31">
        <v>203.25</v>
      </c>
      <c r="S484" s="32">
        <v>9.9880000000000004E-3</v>
      </c>
      <c r="T484" s="32" t="s">
        <v>139</v>
      </c>
      <c r="U484" s="32">
        <v>-2.258E-3</v>
      </c>
      <c r="V484" s="32">
        <v>-7.5680000000000001E-3</v>
      </c>
      <c r="W484" s="32">
        <v>2.4704E-2</v>
      </c>
      <c r="X484" s="32">
        <v>7.8478000000000006E-2</v>
      </c>
      <c r="Y484" s="32">
        <v>-0.105791</v>
      </c>
      <c r="Z484" s="32">
        <v>0.27354499999999998</v>
      </c>
      <c r="AA484" s="32">
        <v>0.452102</v>
      </c>
      <c r="AB484" s="32">
        <v>0.35774899999999998</v>
      </c>
    </row>
    <row r="485" spans="1:28" ht="15.6" customHeight="1" x14ac:dyDescent="0.25">
      <c r="A485" s="24" t="s">
        <v>1548</v>
      </c>
      <c r="B485" s="50">
        <v>4096</v>
      </c>
      <c r="C485" s="25" t="s">
        <v>1549</v>
      </c>
      <c r="D485" s="25" t="s">
        <v>821</v>
      </c>
      <c r="E485" s="25" t="s">
        <v>194</v>
      </c>
      <c r="F485" s="25" t="s">
        <v>155</v>
      </c>
      <c r="G485" s="26" t="s">
        <v>139</v>
      </c>
      <c r="H485" s="27" t="s">
        <v>156</v>
      </c>
      <c r="I485" s="24" t="s">
        <v>998</v>
      </c>
      <c r="J485" s="24" t="s">
        <v>107</v>
      </c>
      <c r="K485" s="28" t="s">
        <v>180</v>
      </c>
      <c r="L485" s="29">
        <v>0.03</v>
      </c>
      <c r="M485" s="29">
        <v>0.03</v>
      </c>
      <c r="N485" s="29">
        <v>0.02</v>
      </c>
      <c r="O485" s="27" t="s">
        <v>148</v>
      </c>
      <c r="P485" s="30" t="s">
        <v>821</v>
      </c>
      <c r="Q485" s="31">
        <v>1257751584.3099999</v>
      </c>
      <c r="R485" s="31">
        <v>301.89999999999998</v>
      </c>
      <c r="S485" s="32">
        <v>3.0446000000000001E-2</v>
      </c>
      <c r="T485" s="32" t="s">
        <v>139</v>
      </c>
      <c r="U485" s="32">
        <v>-2.313E-3</v>
      </c>
      <c r="V485" s="32">
        <v>-1.0196E-2</v>
      </c>
      <c r="W485" s="32">
        <v>2.2835000000000001E-2</v>
      </c>
      <c r="X485" s="32">
        <v>8.5542000000000007E-2</v>
      </c>
      <c r="Y485" s="32">
        <v>-0.105117</v>
      </c>
      <c r="Z485" s="32">
        <v>0.31401200000000001</v>
      </c>
      <c r="AA485" s="32">
        <v>0.485431</v>
      </c>
      <c r="AB485" s="32">
        <v>0.35711199999999999</v>
      </c>
    </row>
    <row r="486" spans="1:28" ht="15.6" customHeight="1" x14ac:dyDescent="0.25">
      <c r="A486" s="24" t="s">
        <v>1550</v>
      </c>
      <c r="B486" s="50">
        <v>4097</v>
      </c>
      <c r="C486" s="25" t="s">
        <v>1551</v>
      </c>
      <c r="D486" s="25" t="s">
        <v>112</v>
      </c>
      <c r="E486" s="25" t="s">
        <v>194</v>
      </c>
      <c r="F486" s="25" t="s">
        <v>113</v>
      </c>
      <c r="G486" s="26" t="s">
        <v>114</v>
      </c>
      <c r="H486" s="27" t="s">
        <v>115</v>
      </c>
      <c r="I486" s="24" t="s">
        <v>998</v>
      </c>
      <c r="J486" s="24" t="s">
        <v>121</v>
      </c>
      <c r="K486" s="28" t="s">
        <v>227</v>
      </c>
      <c r="L486" s="29">
        <v>0.03</v>
      </c>
      <c r="M486" s="29">
        <v>1.4999999999999999E-2</v>
      </c>
      <c r="N486" s="29">
        <v>0.02</v>
      </c>
      <c r="O486" s="27" t="s">
        <v>548</v>
      </c>
      <c r="P486" s="30" t="s">
        <v>112</v>
      </c>
      <c r="Q486" s="31">
        <v>1332064882.0799999</v>
      </c>
      <c r="R486" s="31">
        <v>1629.72</v>
      </c>
      <c r="S486" s="32">
        <v>-4.7210000000000004E-3</v>
      </c>
      <c r="T486" s="32" t="s">
        <v>139</v>
      </c>
      <c r="U486" s="32">
        <v>-1.8860000000000001E-3</v>
      </c>
      <c r="V486" s="32">
        <v>1.7149999999999999E-3</v>
      </c>
      <c r="W486" s="32">
        <v>5.4910000000000002E-3</v>
      </c>
      <c r="X486" s="32">
        <v>5.5719999999999997E-3</v>
      </c>
      <c r="Y486" s="32">
        <v>-1.2692E-2</v>
      </c>
      <c r="Z486" s="32">
        <v>7.7002000000000001E-2</v>
      </c>
      <c r="AA486" s="32">
        <v>0.17865</v>
      </c>
      <c r="AB486" s="32">
        <v>8.4906999999999996E-2</v>
      </c>
    </row>
    <row r="487" spans="1:28" ht="15.6" customHeight="1" x14ac:dyDescent="0.25">
      <c r="A487" s="24" t="s">
        <v>1552</v>
      </c>
      <c r="B487" s="50">
        <v>4098</v>
      </c>
      <c r="C487" s="25" t="s">
        <v>1553</v>
      </c>
      <c r="D487" s="25" t="s">
        <v>112</v>
      </c>
      <c r="E487" s="25" t="s">
        <v>194</v>
      </c>
      <c r="F487" s="25" t="s">
        <v>113</v>
      </c>
      <c r="G487" s="26" t="s">
        <v>114</v>
      </c>
      <c r="H487" s="27" t="s">
        <v>115</v>
      </c>
      <c r="I487" s="24" t="s">
        <v>998</v>
      </c>
      <c r="J487" s="24" t="s">
        <v>121</v>
      </c>
      <c r="K487" s="28" t="s">
        <v>108</v>
      </c>
      <c r="L487" s="29">
        <v>0</v>
      </c>
      <c r="M487" s="29">
        <v>1.4999999999999999E-2</v>
      </c>
      <c r="N487" s="29">
        <v>0.01</v>
      </c>
      <c r="O487" s="27" t="s">
        <v>116</v>
      </c>
      <c r="P487" s="30" t="s">
        <v>112</v>
      </c>
      <c r="Q487" s="31">
        <v>1134451.28</v>
      </c>
      <c r="R487" s="31">
        <v>1473.31</v>
      </c>
      <c r="S487" s="32">
        <v>3.0980000000000001E-3</v>
      </c>
      <c r="T487" s="32" t="s">
        <v>139</v>
      </c>
      <c r="U487" s="32">
        <v>-1.031E-3</v>
      </c>
      <c r="V487" s="32">
        <v>7.27E-4</v>
      </c>
      <c r="W487" s="32">
        <v>3.0569999999999998E-3</v>
      </c>
      <c r="X487" s="32">
        <v>5.7409999999999996E-3</v>
      </c>
      <c r="Y487" s="32">
        <v>9.7799999999999992E-4</v>
      </c>
      <c r="Z487" s="32">
        <v>3.7981000000000001E-2</v>
      </c>
      <c r="AA487" s="32">
        <v>9.3520000000000006E-2</v>
      </c>
      <c r="AB487" s="32">
        <v>3.3554E-2</v>
      </c>
    </row>
    <row r="488" spans="1:28" ht="15.6" customHeight="1" x14ac:dyDescent="0.25">
      <c r="A488" s="24" t="s">
        <v>1554</v>
      </c>
      <c r="B488" s="50">
        <v>4099</v>
      </c>
      <c r="C488" s="25" t="s">
        <v>1555</v>
      </c>
      <c r="D488" s="25" t="s">
        <v>112</v>
      </c>
      <c r="E488" s="25" t="s">
        <v>194</v>
      </c>
      <c r="F488" s="25" t="s">
        <v>113</v>
      </c>
      <c r="G488" s="26" t="s">
        <v>1168</v>
      </c>
      <c r="H488" s="27" t="s">
        <v>115</v>
      </c>
      <c r="I488" s="24" t="s">
        <v>998</v>
      </c>
      <c r="J488" s="24" t="s">
        <v>121</v>
      </c>
      <c r="K488" s="28" t="s">
        <v>108</v>
      </c>
      <c r="L488" s="29">
        <v>0.03</v>
      </c>
      <c r="M488" s="29">
        <v>1.4999999999999999E-2</v>
      </c>
      <c r="N488" s="29">
        <v>0.02</v>
      </c>
      <c r="O488" s="27" t="s">
        <v>548</v>
      </c>
      <c r="P488" s="30" t="s">
        <v>112</v>
      </c>
      <c r="Q488" s="31">
        <v>217964490.22</v>
      </c>
      <c r="R488" s="31">
        <v>2044.05</v>
      </c>
      <c r="S488" s="32">
        <v>-1.6119999999999999E-3</v>
      </c>
      <c r="T488" s="32" t="s">
        <v>139</v>
      </c>
      <c r="U488" s="32">
        <v>-1.8990000000000001E-3</v>
      </c>
      <c r="V488" s="32">
        <v>1.7589999999999999E-3</v>
      </c>
      <c r="W488" s="32">
        <v>7.2490000000000002E-3</v>
      </c>
      <c r="X488" s="32">
        <v>7.9439999999999997E-3</v>
      </c>
      <c r="Y488" s="32">
        <v>-1.1117E-2</v>
      </c>
      <c r="Z488" s="32">
        <v>9.3145000000000006E-2</v>
      </c>
      <c r="AA488" s="32">
        <v>0.209676</v>
      </c>
      <c r="AB488" s="32">
        <v>0.103371</v>
      </c>
    </row>
    <row r="489" spans="1:28" ht="15.6" customHeight="1" x14ac:dyDescent="0.25">
      <c r="A489" s="24" t="s">
        <v>1556</v>
      </c>
      <c r="B489" s="50">
        <v>4100</v>
      </c>
      <c r="C489" s="25" t="s">
        <v>70</v>
      </c>
      <c r="D489" s="25" t="s">
        <v>504</v>
      </c>
      <c r="E489" s="25" t="s">
        <v>194</v>
      </c>
      <c r="F489" s="25" t="s">
        <v>155</v>
      </c>
      <c r="G489" s="26" t="s">
        <v>139</v>
      </c>
      <c r="H489" s="27" t="s">
        <v>156</v>
      </c>
      <c r="I489" s="24" t="s">
        <v>998</v>
      </c>
      <c r="J489" s="24" t="s">
        <v>107</v>
      </c>
      <c r="K489" s="28" t="s">
        <v>108</v>
      </c>
      <c r="L489" s="29">
        <v>0.03</v>
      </c>
      <c r="M489" s="29">
        <v>1.4999999999999999E-2</v>
      </c>
      <c r="N489" s="29">
        <v>0.02</v>
      </c>
      <c r="O489" s="27" t="s">
        <v>663</v>
      </c>
      <c r="P489" s="30" t="s">
        <v>504</v>
      </c>
      <c r="Q489" s="31">
        <v>1616925574.01</v>
      </c>
      <c r="R489" s="31">
        <v>274.97000000000003</v>
      </c>
      <c r="S489" s="32">
        <v>-2.9780000000000001E-2</v>
      </c>
      <c r="T489" s="32" t="s">
        <v>139</v>
      </c>
      <c r="U489" s="32">
        <v>-4.3810000000000003E-3</v>
      </c>
      <c r="V489" s="32">
        <v>-2.503E-3</v>
      </c>
      <c r="W489" s="32">
        <v>3.3682999999999998E-2</v>
      </c>
      <c r="X489" s="32">
        <v>7.8397999999999995E-2</v>
      </c>
      <c r="Y489" s="32">
        <v>-0.14138999999999999</v>
      </c>
      <c r="Z489" s="32">
        <v>0.35733999999999999</v>
      </c>
      <c r="AA489" s="32">
        <v>0.77548899999999998</v>
      </c>
      <c r="AB489" s="32">
        <v>0.72806700000000002</v>
      </c>
    </row>
    <row r="490" spans="1:28" ht="15.6" customHeight="1" x14ac:dyDescent="0.25">
      <c r="A490" s="24" t="s">
        <v>1557</v>
      </c>
      <c r="B490" s="50">
        <v>4101</v>
      </c>
      <c r="C490" s="25" t="s">
        <v>1558</v>
      </c>
      <c r="D490" s="25" t="s">
        <v>504</v>
      </c>
      <c r="E490" s="25" t="s">
        <v>194</v>
      </c>
      <c r="F490" s="25" t="s">
        <v>113</v>
      </c>
      <c r="G490" s="26" t="s">
        <v>1559</v>
      </c>
      <c r="H490" s="27" t="s">
        <v>327</v>
      </c>
      <c r="I490" s="24" t="s">
        <v>998</v>
      </c>
      <c r="J490" s="24" t="s">
        <v>107</v>
      </c>
      <c r="K490" s="28" t="s">
        <v>108</v>
      </c>
      <c r="L490" s="29">
        <v>0.03</v>
      </c>
      <c r="M490" s="29">
        <v>1.4999999999999999E-2</v>
      </c>
      <c r="N490" s="29">
        <v>1.2E-2</v>
      </c>
      <c r="O490" s="27" t="s">
        <v>173</v>
      </c>
      <c r="P490" s="30" t="s">
        <v>504</v>
      </c>
      <c r="Q490" s="31">
        <v>2341626941.25</v>
      </c>
      <c r="R490" s="31">
        <v>163.19999999999999</v>
      </c>
      <c r="S490" s="32">
        <v>-2.2009999999999998E-3</v>
      </c>
      <c r="T490" s="32" t="s">
        <v>139</v>
      </c>
      <c r="U490" s="32">
        <v>-1.4679999999999999E-3</v>
      </c>
      <c r="V490" s="32">
        <v>1.534E-3</v>
      </c>
      <c r="W490" s="32">
        <v>5.731E-3</v>
      </c>
      <c r="X490" s="32">
        <v>8.9020000000000002E-3</v>
      </c>
      <c r="Y490" s="32">
        <v>-1.2883E-2</v>
      </c>
      <c r="Z490" s="32">
        <v>7.9722000000000001E-2</v>
      </c>
      <c r="AA490" s="32">
        <v>0.181667</v>
      </c>
      <c r="AB490" s="32">
        <v>0.122035</v>
      </c>
    </row>
    <row r="491" spans="1:28" ht="15.6" customHeight="1" x14ac:dyDescent="0.25">
      <c r="A491" s="24" t="s">
        <v>817</v>
      </c>
      <c r="B491" s="50">
        <v>4102</v>
      </c>
      <c r="C491" s="25" t="s">
        <v>818</v>
      </c>
      <c r="D491" s="25" t="s">
        <v>504</v>
      </c>
      <c r="E491" s="25" t="s">
        <v>194</v>
      </c>
      <c r="F491" s="25" t="s">
        <v>103</v>
      </c>
      <c r="G491" s="26" t="s">
        <v>146</v>
      </c>
      <c r="H491" s="27" t="s">
        <v>509</v>
      </c>
      <c r="I491" s="24" t="s">
        <v>106</v>
      </c>
      <c r="J491" s="24" t="s">
        <v>107</v>
      </c>
      <c r="K491" s="28" t="s">
        <v>108</v>
      </c>
      <c r="L491" s="29">
        <v>0</v>
      </c>
      <c r="M491" s="29">
        <v>0</v>
      </c>
      <c r="N491" s="29">
        <v>8.0000000000000002E-3</v>
      </c>
      <c r="O491" s="27" t="s">
        <v>173</v>
      </c>
      <c r="P491" s="30" t="s">
        <v>504</v>
      </c>
      <c r="Q491" s="31">
        <v>2479107852.4499998</v>
      </c>
      <c r="R491" s="31">
        <v>154.6</v>
      </c>
      <c r="S491" s="32">
        <v>1.7708000000000002E-2</v>
      </c>
      <c r="T491" s="32" t="s">
        <v>139</v>
      </c>
      <c r="U491" s="32">
        <v>1.94E-4</v>
      </c>
      <c r="V491" s="32">
        <v>1.6850000000000001E-3</v>
      </c>
      <c r="W491" s="32">
        <v>6.6410000000000002E-3</v>
      </c>
      <c r="X491" s="32">
        <v>1.3372E-2</v>
      </c>
      <c r="Y491" s="32">
        <v>2.4995E-2</v>
      </c>
      <c r="Z491" s="32">
        <v>5.4426000000000002E-2</v>
      </c>
      <c r="AA491" s="32">
        <v>8.9884000000000006E-2</v>
      </c>
      <c r="AB491" s="32">
        <v>0.138187</v>
      </c>
    </row>
    <row r="492" spans="1:28" ht="15.6" customHeight="1" x14ac:dyDescent="0.25">
      <c r="A492" s="24" t="s">
        <v>1560</v>
      </c>
      <c r="B492" s="50">
        <v>4103</v>
      </c>
      <c r="C492" s="25" t="s">
        <v>1561</v>
      </c>
      <c r="D492" s="25" t="s">
        <v>112</v>
      </c>
      <c r="E492" s="25" t="s">
        <v>194</v>
      </c>
      <c r="F492" s="25" t="s">
        <v>113</v>
      </c>
      <c r="G492" s="26" t="s">
        <v>114</v>
      </c>
      <c r="H492" s="27" t="s">
        <v>115</v>
      </c>
      <c r="I492" s="24" t="s">
        <v>998</v>
      </c>
      <c r="J492" s="24" t="s">
        <v>121</v>
      </c>
      <c r="K492" s="28" t="s">
        <v>227</v>
      </c>
      <c r="L492" s="29">
        <v>0.03</v>
      </c>
      <c r="M492" s="29">
        <v>1.4999999999999999E-2</v>
      </c>
      <c r="N492" s="29">
        <v>0.02</v>
      </c>
      <c r="O492" s="27" t="s">
        <v>161</v>
      </c>
      <c r="P492" s="30" t="s">
        <v>112</v>
      </c>
      <c r="Q492" s="31">
        <v>600649.21</v>
      </c>
      <c r="R492" s="31">
        <v>1859.69</v>
      </c>
      <c r="S492" s="32">
        <v>1.0207000000000001E-2</v>
      </c>
      <c r="T492" s="32" t="s">
        <v>139</v>
      </c>
      <c r="U492" s="32">
        <v>-2.0869999999999999E-3</v>
      </c>
      <c r="V492" s="32">
        <v>2.5660000000000001E-3</v>
      </c>
      <c r="W492" s="32">
        <v>5.4060000000000002E-3</v>
      </c>
      <c r="X492" s="32">
        <v>1.1608E-2</v>
      </c>
      <c r="Y492" s="32">
        <v>9.4669999999999997E-3</v>
      </c>
      <c r="Z492" s="32">
        <v>5.3719999999999997E-2</v>
      </c>
      <c r="AA492" s="32">
        <v>9.8348000000000005E-2</v>
      </c>
      <c r="AB492" s="32">
        <v>0.10016700000000001</v>
      </c>
    </row>
    <row r="493" spans="1:28" ht="15.6" customHeight="1" x14ac:dyDescent="0.25">
      <c r="A493" s="24" t="s">
        <v>1562</v>
      </c>
      <c r="B493" s="50">
        <v>4104</v>
      </c>
      <c r="C493" s="25" t="s">
        <v>1563</v>
      </c>
      <c r="D493" s="25" t="s">
        <v>112</v>
      </c>
      <c r="E493" s="25" t="s">
        <v>194</v>
      </c>
      <c r="F493" s="25" t="s">
        <v>155</v>
      </c>
      <c r="G493" s="26" t="s">
        <v>139</v>
      </c>
      <c r="H493" s="27" t="s">
        <v>1564</v>
      </c>
      <c r="I493" s="24" t="s">
        <v>998</v>
      </c>
      <c r="J493" s="24" t="s">
        <v>107</v>
      </c>
      <c r="K493" s="28" t="s">
        <v>108</v>
      </c>
      <c r="L493" s="29">
        <v>0.03</v>
      </c>
      <c r="M493" s="29">
        <v>1.4999999999999999E-2</v>
      </c>
      <c r="N493" s="29">
        <v>0.02</v>
      </c>
      <c r="O493" s="27" t="s">
        <v>116</v>
      </c>
      <c r="P493" s="30" t="s">
        <v>112</v>
      </c>
      <c r="Q493" s="31">
        <v>1116852668.5699999</v>
      </c>
      <c r="R493" s="31">
        <v>2613.52</v>
      </c>
      <c r="S493" s="32">
        <v>-6.0056999999999999E-2</v>
      </c>
      <c r="T493" s="32" t="s">
        <v>139</v>
      </c>
      <c r="U493" s="32">
        <v>-1.0045E-2</v>
      </c>
      <c r="V493" s="32">
        <v>-1.1991E-2</v>
      </c>
      <c r="W493" s="32">
        <v>1.8804999999999999E-2</v>
      </c>
      <c r="X493" s="32">
        <v>5.1998000000000003E-2</v>
      </c>
      <c r="Y493" s="32">
        <v>-0.15465200000000001</v>
      </c>
      <c r="Z493" s="32">
        <v>0.20802799999999999</v>
      </c>
      <c r="AA493" s="32">
        <v>0.43954300000000002</v>
      </c>
      <c r="AB493" s="32">
        <v>0.32947399999999999</v>
      </c>
    </row>
    <row r="494" spans="1:28" ht="15.6" customHeight="1" x14ac:dyDescent="0.25">
      <c r="A494" s="24" t="s">
        <v>1565</v>
      </c>
      <c r="B494" s="50">
        <v>4108</v>
      </c>
      <c r="C494" s="25" t="s">
        <v>1566</v>
      </c>
      <c r="D494" s="25" t="s">
        <v>821</v>
      </c>
      <c r="E494" s="25" t="s">
        <v>194</v>
      </c>
      <c r="F494" s="25" t="s">
        <v>138</v>
      </c>
      <c r="G494" s="26" t="s">
        <v>139</v>
      </c>
      <c r="H494" s="27" t="s">
        <v>1273</v>
      </c>
      <c r="I494" s="24" t="s">
        <v>998</v>
      </c>
      <c r="J494" s="24" t="s">
        <v>107</v>
      </c>
      <c r="K494" s="28" t="s">
        <v>108</v>
      </c>
      <c r="L494" s="29">
        <v>0.03</v>
      </c>
      <c r="M494" s="29">
        <v>0.03</v>
      </c>
      <c r="N494" s="29">
        <v>0.02</v>
      </c>
      <c r="O494" s="27" t="s">
        <v>148</v>
      </c>
      <c r="P494" s="30" t="s">
        <v>821</v>
      </c>
      <c r="Q494" s="31">
        <v>488869148.73000002</v>
      </c>
      <c r="R494" s="31">
        <v>228.55</v>
      </c>
      <c r="S494" s="32">
        <v>-1.1205E-2</v>
      </c>
      <c r="T494" s="32" t="s">
        <v>139</v>
      </c>
      <c r="U494" s="32">
        <v>-4.4860000000000004E-3</v>
      </c>
      <c r="V494" s="32">
        <v>-1.1247999999999999E-2</v>
      </c>
      <c r="W494" s="32">
        <v>2.7838000000000002E-2</v>
      </c>
      <c r="X494" s="32">
        <v>7.5631000000000004E-2</v>
      </c>
      <c r="Y494" s="32">
        <v>-0.100374</v>
      </c>
      <c r="Z494" s="32">
        <v>0.30346800000000002</v>
      </c>
      <c r="AA494" s="32">
        <v>0.48873100000000003</v>
      </c>
      <c r="AB494" s="32">
        <v>0.47737600000000002</v>
      </c>
    </row>
    <row r="495" spans="1:28" ht="15.6" customHeight="1" x14ac:dyDescent="0.25">
      <c r="A495" s="24" t="s">
        <v>819</v>
      </c>
      <c r="B495" s="50">
        <v>4109</v>
      </c>
      <c r="C495" s="25" t="s">
        <v>820</v>
      </c>
      <c r="D495" s="25" t="s">
        <v>821</v>
      </c>
      <c r="E495" s="25" t="s">
        <v>194</v>
      </c>
      <c r="F495" s="25" t="s">
        <v>103</v>
      </c>
      <c r="G495" s="26" t="s">
        <v>822</v>
      </c>
      <c r="H495" s="27" t="s">
        <v>188</v>
      </c>
      <c r="I495" s="24" t="s">
        <v>106</v>
      </c>
      <c r="J495" s="24" t="s">
        <v>107</v>
      </c>
      <c r="K495" s="28" t="s">
        <v>108</v>
      </c>
      <c r="L495" s="29">
        <v>0</v>
      </c>
      <c r="M495" s="29">
        <v>0</v>
      </c>
      <c r="N495" s="29">
        <v>0.01</v>
      </c>
      <c r="O495" s="27" t="s">
        <v>148</v>
      </c>
      <c r="P495" s="30" t="s">
        <v>821</v>
      </c>
      <c r="Q495" s="31">
        <v>309652400.19999999</v>
      </c>
      <c r="R495" s="31">
        <v>103.13</v>
      </c>
      <c r="S495" s="32">
        <v>4.1507000000000002E-2</v>
      </c>
      <c r="T495" s="32" t="s">
        <v>139</v>
      </c>
      <c r="U495" s="32">
        <v>1.94E-4</v>
      </c>
      <c r="V495" s="32">
        <v>1.457E-3</v>
      </c>
      <c r="W495" s="32">
        <v>5.2639999999999996E-3</v>
      </c>
      <c r="X495" s="32">
        <v>3.7629999999999997E-2</v>
      </c>
      <c r="Y495" s="32">
        <v>4.8601999999999999E-2</v>
      </c>
      <c r="Z495" s="32">
        <v>0.10607</v>
      </c>
      <c r="AA495" s="32">
        <v>0.190328</v>
      </c>
      <c r="AB495" s="32">
        <v>0.327455</v>
      </c>
    </row>
    <row r="496" spans="1:28" ht="15.6" customHeight="1" x14ac:dyDescent="0.25">
      <c r="A496" s="24" t="s">
        <v>823</v>
      </c>
      <c r="B496" s="50">
        <v>4111</v>
      </c>
      <c r="C496" s="25" t="s">
        <v>824</v>
      </c>
      <c r="D496" s="25" t="s">
        <v>112</v>
      </c>
      <c r="E496" s="25" t="s">
        <v>194</v>
      </c>
      <c r="F496" s="25" t="s">
        <v>155</v>
      </c>
      <c r="G496" s="26" t="s">
        <v>139</v>
      </c>
      <c r="H496" s="27" t="s">
        <v>156</v>
      </c>
      <c r="I496" s="24" t="s">
        <v>106</v>
      </c>
      <c r="J496" s="24" t="s">
        <v>121</v>
      </c>
      <c r="K496" s="28" t="s">
        <v>108</v>
      </c>
      <c r="L496" s="29">
        <v>0.03</v>
      </c>
      <c r="M496" s="29">
        <v>1.4999999999999999E-2</v>
      </c>
      <c r="N496" s="29">
        <v>0.02</v>
      </c>
      <c r="O496" s="27" t="s">
        <v>116</v>
      </c>
      <c r="P496" s="30" t="s">
        <v>112</v>
      </c>
      <c r="Q496" s="31">
        <v>1236698749.6500001</v>
      </c>
      <c r="R496" s="31">
        <v>2809.09</v>
      </c>
      <c r="S496" s="32">
        <v>-5.1650000000000001E-2</v>
      </c>
      <c r="T496" s="32" t="s">
        <v>139</v>
      </c>
      <c r="U496" s="32">
        <v>-7.5890000000000003E-3</v>
      </c>
      <c r="V496" s="32">
        <v>-9.5409999999999991E-3</v>
      </c>
      <c r="W496" s="32">
        <v>2.9551000000000001E-2</v>
      </c>
      <c r="X496" s="32">
        <v>7.2921E-2</v>
      </c>
      <c r="Y496" s="32">
        <v>-0.14385999999999999</v>
      </c>
      <c r="Z496" s="32">
        <v>0.273086</v>
      </c>
      <c r="AA496" s="32">
        <v>0.54585099999999998</v>
      </c>
      <c r="AB496" s="32">
        <v>0.51271999999999995</v>
      </c>
    </row>
    <row r="497" spans="1:28" ht="15.6" customHeight="1" x14ac:dyDescent="0.25">
      <c r="A497" s="24" t="s">
        <v>825</v>
      </c>
      <c r="B497" s="50">
        <v>4112</v>
      </c>
      <c r="C497" s="25" t="s">
        <v>826</v>
      </c>
      <c r="D497" s="25" t="s">
        <v>322</v>
      </c>
      <c r="E497" s="25" t="s">
        <v>194</v>
      </c>
      <c r="F497" s="25" t="s">
        <v>128</v>
      </c>
      <c r="G497" s="26" t="s">
        <v>289</v>
      </c>
      <c r="H497" s="27" t="s">
        <v>130</v>
      </c>
      <c r="I497" s="24" t="s">
        <v>106</v>
      </c>
      <c r="J497" s="24" t="s">
        <v>107</v>
      </c>
      <c r="K497" s="28" t="s">
        <v>108</v>
      </c>
      <c r="L497" s="29">
        <v>0.03</v>
      </c>
      <c r="M497" s="29">
        <v>1.4999999999999999E-2</v>
      </c>
      <c r="N497" s="29">
        <v>0.02</v>
      </c>
      <c r="O497" s="27" t="s">
        <v>166</v>
      </c>
      <c r="P497" s="30" t="s">
        <v>322</v>
      </c>
      <c r="Q497" s="31">
        <v>312692908.38999999</v>
      </c>
      <c r="R497" s="31">
        <v>151.51</v>
      </c>
      <c r="S497" s="32">
        <v>2.4407999999999999E-2</v>
      </c>
      <c r="T497" s="32" t="s">
        <v>139</v>
      </c>
      <c r="U497" s="32">
        <v>-2.6400000000000002E-4</v>
      </c>
      <c r="V497" s="32">
        <v>1.3879999999999999E-3</v>
      </c>
      <c r="W497" s="32">
        <v>1.8075999999999998E-2</v>
      </c>
      <c r="X497" s="32">
        <v>2.2335000000000001E-2</v>
      </c>
      <c r="Y497" s="32">
        <v>3.3070000000000002E-2</v>
      </c>
      <c r="Z497" s="32">
        <v>5.0183999999999999E-2</v>
      </c>
      <c r="AA497" s="32">
        <v>8.4460999999999994E-2</v>
      </c>
      <c r="AB497" s="32">
        <v>0.123795</v>
      </c>
    </row>
    <row r="498" spans="1:28" ht="15.6" customHeight="1" x14ac:dyDescent="0.25">
      <c r="A498" s="24" t="s">
        <v>1567</v>
      </c>
      <c r="B498" s="50">
        <v>4113</v>
      </c>
      <c r="C498" s="25" t="s">
        <v>1568</v>
      </c>
      <c r="D498" s="25" t="s">
        <v>164</v>
      </c>
      <c r="E498" s="25" t="s">
        <v>194</v>
      </c>
      <c r="F498" s="25" t="s">
        <v>361</v>
      </c>
      <c r="G498" s="26" t="s">
        <v>139</v>
      </c>
      <c r="H498" s="27" t="s">
        <v>1569</v>
      </c>
      <c r="I498" s="24" t="s">
        <v>998</v>
      </c>
      <c r="J498" s="24" t="s">
        <v>107</v>
      </c>
      <c r="K498" s="28" t="s">
        <v>108</v>
      </c>
      <c r="L498" s="29">
        <v>1.4999999999999999E-2</v>
      </c>
      <c r="M498" s="29">
        <v>0.02</v>
      </c>
      <c r="N498" s="29">
        <v>0.02</v>
      </c>
      <c r="O498" s="27" t="s">
        <v>166</v>
      </c>
      <c r="P498" s="30" t="s">
        <v>164</v>
      </c>
      <c r="Q498" s="31">
        <v>286533888.10000002</v>
      </c>
      <c r="R498" s="31">
        <v>2604.52</v>
      </c>
      <c r="S498" s="32">
        <v>-3.7450000000000001E-3</v>
      </c>
      <c r="T498" s="32" t="s">
        <v>139</v>
      </c>
      <c r="U498" s="32">
        <v>-2.2764E-2</v>
      </c>
      <c r="V498" s="32">
        <v>2.1371999999999999E-2</v>
      </c>
      <c r="W498" s="32">
        <v>2.4896999999999999E-2</v>
      </c>
      <c r="X498" s="32">
        <v>-0.13902999999999999</v>
      </c>
      <c r="Y498" s="32">
        <v>0.25122299999999997</v>
      </c>
      <c r="Z498" s="32">
        <v>0.68057400000000001</v>
      </c>
      <c r="AA498" s="32">
        <v>1.0842830000000001</v>
      </c>
      <c r="AB498" s="32">
        <v>1.492364</v>
      </c>
    </row>
    <row r="499" spans="1:28" ht="15.6" customHeight="1" x14ac:dyDescent="0.25">
      <c r="A499" s="24" t="s">
        <v>827</v>
      </c>
      <c r="B499" s="50">
        <v>4115</v>
      </c>
      <c r="C499" s="25" t="s">
        <v>828</v>
      </c>
      <c r="D499" s="25" t="s">
        <v>112</v>
      </c>
      <c r="E499" s="25" t="s">
        <v>194</v>
      </c>
      <c r="F499" s="25" t="s">
        <v>128</v>
      </c>
      <c r="G499" s="26" t="s">
        <v>289</v>
      </c>
      <c r="H499" s="27" t="s">
        <v>258</v>
      </c>
      <c r="I499" s="24" t="s">
        <v>106</v>
      </c>
      <c r="J499" s="24" t="s">
        <v>121</v>
      </c>
      <c r="K499" s="28" t="s">
        <v>108</v>
      </c>
      <c r="L499" s="29">
        <v>0.03</v>
      </c>
      <c r="M499" s="29">
        <v>1.4999999999999999E-2</v>
      </c>
      <c r="N499" s="29">
        <v>0.02</v>
      </c>
      <c r="O499" s="27" t="s">
        <v>116</v>
      </c>
      <c r="P499" s="30" t="s">
        <v>112</v>
      </c>
      <c r="Q499" s="31">
        <v>1406744146.8900001</v>
      </c>
      <c r="R499" s="31">
        <v>1710.38</v>
      </c>
      <c r="S499" s="32">
        <v>1.8186000000000001E-2</v>
      </c>
      <c r="T499" s="32" t="s">
        <v>139</v>
      </c>
      <c r="U499" s="32">
        <v>-8.2000000000000001E-5</v>
      </c>
      <c r="V499" s="32">
        <v>1.81E-3</v>
      </c>
      <c r="W499" s="32">
        <v>6.7990000000000004E-3</v>
      </c>
      <c r="X499" s="32">
        <v>1.4496E-2</v>
      </c>
      <c r="Y499" s="32">
        <v>2.5770999999999999E-2</v>
      </c>
      <c r="Z499" s="32">
        <v>5.9754000000000002E-2</v>
      </c>
      <c r="AA499" s="32">
        <v>0.10589700000000001</v>
      </c>
      <c r="AB499" s="32">
        <v>0.14402100000000001</v>
      </c>
    </row>
    <row r="500" spans="1:28" ht="15.6" customHeight="1" x14ac:dyDescent="0.25">
      <c r="A500" s="24" t="s">
        <v>829</v>
      </c>
      <c r="B500" s="50">
        <v>4116</v>
      </c>
      <c r="C500" s="25" t="s">
        <v>830</v>
      </c>
      <c r="D500" s="25" t="s">
        <v>112</v>
      </c>
      <c r="E500" s="25" t="s">
        <v>194</v>
      </c>
      <c r="F500" s="25" t="s">
        <v>103</v>
      </c>
      <c r="G500" s="26" t="s">
        <v>336</v>
      </c>
      <c r="H500" s="27" t="s">
        <v>831</v>
      </c>
      <c r="I500" s="24" t="s">
        <v>106</v>
      </c>
      <c r="J500" s="24" t="s">
        <v>107</v>
      </c>
      <c r="K500" s="28" t="s">
        <v>108</v>
      </c>
      <c r="L500" s="29">
        <v>0.03</v>
      </c>
      <c r="M500" s="29">
        <v>1.4999999999999999E-2</v>
      </c>
      <c r="N500" s="29">
        <v>0.02</v>
      </c>
      <c r="O500" s="27" t="s">
        <v>116</v>
      </c>
      <c r="P500" s="30" t="s">
        <v>832</v>
      </c>
      <c r="Q500" s="31">
        <v>653408.78</v>
      </c>
      <c r="R500" s="31">
        <v>750.63</v>
      </c>
      <c r="S500" s="32">
        <v>1.1781E-2</v>
      </c>
      <c r="T500" s="32" t="s">
        <v>139</v>
      </c>
      <c r="U500" s="32">
        <v>2.7999999999999998E-4</v>
      </c>
      <c r="V500" s="32">
        <v>1.1999999999999999E-3</v>
      </c>
      <c r="W500" s="32">
        <v>4.1869999999999997E-3</v>
      </c>
      <c r="X500" s="32">
        <v>8.5179999999999995E-3</v>
      </c>
      <c r="Y500" s="32">
        <v>1.6397999999999999E-2</v>
      </c>
      <c r="Z500" s="32">
        <v>3.6452999999999999E-2</v>
      </c>
      <c r="AA500" s="32">
        <v>8.3910999999999999E-2</v>
      </c>
      <c r="AB500" s="32">
        <v>0.23503599999999999</v>
      </c>
    </row>
    <row r="501" spans="1:28" ht="15.6" customHeight="1" x14ac:dyDescent="0.25">
      <c r="A501" s="24" t="s">
        <v>1570</v>
      </c>
      <c r="B501" s="50">
        <v>4117</v>
      </c>
      <c r="C501" s="25" t="s">
        <v>1571</v>
      </c>
      <c r="D501" s="25" t="s">
        <v>112</v>
      </c>
      <c r="E501" s="25" t="s">
        <v>194</v>
      </c>
      <c r="F501" s="25" t="s">
        <v>113</v>
      </c>
      <c r="G501" s="26" t="s">
        <v>1572</v>
      </c>
      <c r="H501" s="27" t="s">
        <v>120</v>
      </c>
      <c r="I501" s="24" t="s">
        <v>998</v>
      </c>
      <c r="J501" s="24" t="s">
        <v>107</v>
      </c>
      <c r="K501" s="28" t="s">
        <v>108</v>
      </c>
      <c r="L501" s="29">
        <v>0.03</v>
      </c>
      <c r="M501" s="29">
        <v>1.4999999999999999E-2</v>
      </c>
      <c r="N501" s="29">
        <v>0.02</v>
      </c>
      <c r="O501" s="27" t="s">
        <v>116</v>
      </c>
      <c r="P501" s="30" t="s">
        <v>832</v>
      </c>
      <c r="Q501" s="31">
        <v>1998806144.6800001</v>
      </c>
      <c r="R501" s="31">
        <v>150.66999999999999</v>
      </c>
      <c r="S501" s="32">
        <v>6.2110000000000004E-3</v>
      </c>
      <c r="T501" s="32" t="s">
        <v>139</v>
      </c>
      <c r="U501" s="32">
        <v>-1.524E-3</v>
      </c>
      <c r="V501" s="32">
        <v>1.9949999999999998E-3</v>
      </c>
      <c r="W501" s="32">
        <v>7.6909999999999999E-3</v>
      </c>
      <c r="X501" s="32">
        <v>1.2430999999999999E-2</v>
      </c>
      <c r="Y501" s="32">
        <v>5.1370000000000001E-3</v>
      </c>
      <c r="Z501" s="32">
        <v>7.6907000000000003E-2</v>
      </c>
      <c r="AA501" s="32">
        <v>0.14910000000000001</v>
      </c>
      <c r="AB501" s="32">
        <v>0.145431</v>
      </c>
    </row>
    <row r="502" spans="1:28" ht="15.6" customHeight="1" x14ac:dyDescent="0.25">
      <c r="A502" s="24" t="s">
        <v>1573</v>
      </c>
      <c r="B502" s="50">
        <v>4118</v>
      </c>
      <c r="C502" s="25" t="s">
        <v>1574</v>
      </c>
      <c r="D502" s="25" t="s">
        <v>112</v>
      </c>
      <c r="E502" s="25" t="s">
        <v>194</v>
      </c>
      <c r="F502" s="25" t="s">
        <v>138</v>
      </c>
      <c r="G502" s="26" t="s">
        <v>139</v>
      </c>
      <c r="H502" s="27" t="s">
        <v>283</v>
      </c>
      <c r="I502" s="24" t="s">
        <v>998</v>
      </c>
      <c r="J502" s="24" t="s">
        <v>121</v>
      </c>
      <c r="K502" s="28" t="s">
        <v>227</v>
      </c>
      <c r="L502" s="29">
        <v>0.03</v>
      </c>
      <c r="M502" s="29">
        <v>1.4999999999999999E-2</v>
      </c>
      <c r="N502" s="29">
        <v>0.02</v>
      </c>
      <c r="O502" s="27" t="s">
        <v>116</v>
      </c>
      <c r="P502" s="30" t="s">
        <v>112</v>
      </c>
      <c r="Q502" s="31">
        <v>201124481.78999999</v>
      </c>
      <c r="R502" s="31">
        <v>988.63</v>
      </c>
      <c r="S502" s="32">
        <v>-5.2213000000000002E-2</v>
      </c>
      <c r="T502" s="32" t="s">
        <v>139</v>
      </c>
      <c r="U502" s="32">
        <v>-5.2719999999999998E-3</v>
      </c>
      <c r="V502" s="32">
        <v>-5.1419999999999999E-3</v>
      </c>
      <c r="W502" s="32">
        <v>1.4760000000000001E-2</v>
      </c>
      <c r="X502" s="32">
        <v>1.6753000000000001E-2</v>
      </c>
      <c r="Y502" s="32">
        <v>-9.8312999999999998E-2</v>
      </c>
      <c r="Z502" s="32">
        <v>0.11757099999999999</v>
      </c>
      <c r="AA502" s="32">
        <v>0.296871</v>
      </c>
      <c r="AB502" s="32">
        <v>0.219107</v>
      </c>
    </row>
    <row r="503" spans="1:28" ht="15.6" customHeight="1" x14ac:dyDescent="0.25">
      <c r="A503" s="24" t="s">
        <v>833</v>
      </c>
      <c r="B503" s="50">
        <v>4119</v>
      </c>
      <c r="C503" s="25" t="s">
        <v>834</v>
      </c>
      <c r="D503" s="25" t="s">
        <v>112</v>
      </c>
      <c r="E503" s="25" t="s">
        <v>194</v>
      </c>
      <c r="F503" s="25" t="s">
        <v>103</v>
      </c>
      <c r="G503" s="26" t="s">
        <v>336</v>
      </c>
      <c r="H503" s="27" t="s">
        <v>806</v>
      </c>
      <c r="I503" s="24" t="s">
        <v>106</v>
      </c>
      <c r="J503" s="24" t="s">
        <v>107</v>
      </c>
      <c r="K503" s="28" t="s">
        <v>108</v>
      </c>
      <c r="L503" s="29">
        <v>0.03</v>
      </c>
      <c r="M503" s="29">
        <v>1.4999999999999999E-2</v>
      </c>
      <c r="N503" s="29">
        <v>0.02</v>
      </c>
      <c r="O503" s="27" t="s">
        <v>116</v>
      </c>
      <c r="P503" s="30" t="s">
        <v>112</v>
      </c>
      <c r="Q503" s="31">
        <v>547837.24</v>
      </c>
      <c r="R503" s="31">
        <v>1349.26</v>
      </c>
      <c r="S503" s="32">
        <v>1.2403000000000001E-2</v>
      </c>
      <c r="T503" s="32" t="s">
        <v>139</v>
      </c>
      <c r="U503" s="32">
        <v>2.9700000000000001E-4</v>
      </c>
      <c r="V503" s="32">
        <v>1.276E-3</v>
      </c>
      <c r="W503" s="32">
        <v>4.4070000000000003E-3</v>
      </c>
      <c r="X503" s="32">
        <v>8.966E-3</v>
      </c>
      <c r="Y503" s="32">
        <v>1.7311E-2</v>
      </c>
      <c r="Z503" s="32">
        <v>3.8691000000000003E-2</v>
      </c>
      <c r="AA503" s="32">
        <v>6.5682000000000004E-2</v>
      </c>
      <c r="AB503" s="32">
        <v>9.8191000000000001E-2</v>
      </c>
    </row>
    <row r="504" spans="1:28" ht="15.6" customHeight="1" x14ac:dyDescent="0.25">
      <c r="A504" s="24" t="s">
        <v>835</v>
      </c>
      <c r="B504" s="50">
        <v>4123</v>
      </c>
      <c r="C504" s="25" t="s">
        <v>836</v>
      </c>
      <c r="D504" s="25" t="s">
        <v>821</v>
      </c>
      <c r="E504" s="25" t="s">
        <v>194</v>
      </c>
      <c r="F504" s="25" t="s">
        <v>128</v>
      </c>
      <c r="G504" s="26" t="s">
        <v>289</v>
      </c>
      <c r="H504" s="27" t="s">
        <v>130</v>
      </c>
      <c r="I504" s="24" t="s">
        <v>106</v>
      </c>
      <c r="J504" s="24" t="s">
        <v>107</v>
      </c>
      <c r="K504" s="28" t="s">
        <v>108</v>
      </c>
      <c r="L504" s="29">
        <v>0.03</v>
      </c>
      <c r="M504" s="29">
        <v>0.02</v>
      </c>
      <c r="N504" s="29">
        <v>0.02</v>
      </c>
      <c r="O504" s="27" t="s">
        <v>148</v>
      </c>
      <c r="P504" s="30" t="s">
        <v>821</v>
      </c>
      <c r="Q504" s="31">
        <v>1232296.8</v>
      </c>
      <c r="R504" s="31">
        <v>123.23</v>
      </c>
      <c r="S504" s="32">
        <v>1.2988E-2</v>
      </c>
      <c r="T504" s="32" t="s">
        <v>139</v>
      </c>
      <c r="U504" s="32">
        <v>-2.43E-4</v>
      </c>
      <c r="V504" s="32">
        <v>1.219E-3</v>
      </c>
      <c r="W504" s="32">
        <v>4.5649999999999996E-3</v>
      </c>
      <c r="X504" s="32">
        <v>1.0413E-2</v>
      </c>
      <c r="Y504" s="32">
        <v>1.8429999999999998E-2</v>
      </c>
      <c r="Z504" s="32">
        <v>4.1762000000000001E-2</v>
      </c>
      <c r="AA504" s="32">
        <v>7.1657999999999999E-2</v>
      </c>
      <c r="AB504" s="32">
        <v>9.8893999999999996E-2</v>
      </c>
    </row>
    <row r="505" spans="1:28" ht="15.6" customHeight="1" x14ac:dyDescent="0.25">
      <c r="A505" s="24" t="s">
        <v>1575</v>
      </c>
      <c r="B505" s="50">
        <v>4124</v>
      </c>
      <c r="C505" s="25" t="s">
        <v>1576</v>
      </c>
      <c r="D505" s="25" t="s">
        <v>821</v>
      </c>
      <c r="E505" s="25" t="s">
        <v>194</v>
      </c>
      <c r="F505" s="25" t="s">
        <v>113</v>
      </c>
      <c r="G505" s="26" t="s">
        <v>406</v>
      </c>
      <c r="H505" s="27" t="s">
        <v>120</v>
      </c>
      <c r="I505" s="24" t="s">
        <v>998</v>
      </c>
      <c r="J505" s="24" t="s">
        <v>107</v>
      </c>
      <c r="K505" s="28" t="s">
        <v>108</v>
      </c>
      <c r="L505" s="29">
        <v>0.03</v>
      </c>
      <c r="M505" s="29">
        <v>0.02</v>
      </c>
      <c r="N505" s="29">
        <v>0.02</v>
      </c>
      <c r="O505" s="27" t="s">
        <v>148</v>
      </c>
      <c r="P505" s="30" t="s">
        <v>821</v>
      </c>
      <c r="Q505" s="31">
        <v>122230366.29000001</v>
      </c>
      <c r="R505" s="31">
        <v>136.76</v>
      </c>
      <c r="S505" s="32">
        <v>1.2362E-2</v>
      </c>
      <c r="T505" s="32" t="s">
        <v>139</v>
      </c>
      <c r="U505" s="32">
        <v>-2.1159999999999998E-3</v>
      </c>
      <c r="V505" s="32">
        <v>9.5100000000000002E-4</v>
      </c>
      <c r="W505" s="32">
        <v>6.1799999999999997E-3</v>
      </c>
      <c r="X505" s="32">
        <v>1.3187000000000001E-2</v>
      </c>
      <c r="Y505" s="32">
        <v>1.4540000000000001E-2</v>
      </c>
      <c r="Z505" s="32">
        <v>6.2049E-2</v>
      </c>
      <c r="AA505" s="32">
        <v>0.12531900000000001</v>
      </c>
      <c r="AB505" s="32">
        <v>0.13824400000000001</v>
      </c>
    </row>
    <row r="506" spans="1:28" ht="15.6" customHeight="1" x14ac:dyDescent="0.25">
      <c r="A506" s="24" t="s">
        <v>1577</v>
      </c>
      <c r="B506" s="50">
        <v>4125</v>
      </c>
      <c r="C506" s="25" t="s">
        <v>1578</v>
      </c>
      <c r="D506" s="25" t="s">
        <v>821</v>
      </c>
      <c r="E506" s="25" t="s">
        <v>194</v>
      </c>
      <c r="F506" s="25" t="s">
        <v>128</v>
      </c>
      <c r="G506" s="26" t="s">
        <v>289</v>
      </c>
      <c r="H506" s="27" t="s">
        <v>130</v>
      </c>
      <c r="I506" s="24" t="s">
        <v>998</v>
      </c>
      <c r="J506" s="24" t="s">
        <v>107</v>
      </c>
      <c r="K506" s="28" t="s">
        <v>108</v>
      </c>
      <c r="L506" s="29">
        <v>0.03</v>
      </c>
      <c r="M506" s="29">
        <v>0.02</v>
      </c>
      <c r="N506" s="29">
        <v>0.02</v>
      </c>
      <c r="O506" s="27" t="s">
        <v>148</v>
      </c>
      <c r="P506" s="30" t="s">
        <v>821</v>
      </c>
      <c r="Q506" s="31">
        <v>3283626.14</v>
      </c>
      <c r="R506" s="31">
        <v>1533.69</v>
      </c>
      <c r="S506" s="32">
        <v>3.9359999999999999E-2</v>
      </c>
      <c r="T506" s="32" t="s">
        <v>139</v>
      </c>
      <c r="U506" s="32">
        <v>-2.2800000000000001E-4</v>
      </c>
      <c r="V506" s="32">
        <v>1.3320000000000001E-3</v>
      </c>
      <c r="W506" s="32">
        <v>4.96E-3</v>
      </c>
      <c r="X506" s="32">
        <v>3.6479999999999999E-2</v>
      </c>
      <c r="Y506" s="32">
        <v>4.5067999999999997E-2</v>
      </c>
      <c r="Z506" s="32">
        <v>9.9010000000000001E-2</v>
      </c>
      <c r="AA506" s="32">
        <v>0.185553</v>
      </c>
      <c r="AB506" s="32">
        <v>0.34528300000000001</v>
      </c>
    </row>
    <row r="507" spans="1:28" ht="15.6" customHeight="1" x14ac:dyDescent="0.25">
      <c r="A507" s="24" t="s">
        <v>837</v>
      </c>
      <c r="B507" s="50">
        <v>4126</v>
      </c>
      <c r="C507" s="25" t="s">
        <v>838</v>
      </c>
      <c r="D507" s="25" t="s">
        <v>504</v>
      </c>
      <c r="E507" s="25" t="s">
        <v>194</v>
      </c>
      <c r="F507" s="25" t="s">
        <v>113</v>
      </c>
      <c r="G507" s="26" t="s">
        <v>209</v>
      </c>
      <c r="H507" s="27" t="s">
        <v>839</v>
      </c>
      <c r="I507" s="24" t="s">
        <v>106</v>
      </c>
      <c r="J507" s="24" t="s">
        <v>107</v>
      </c>
      <c r="K507" s="28" t="s">
        <v>108</v>
      </c>
      <c r="L507" s="29">
        <v>0.02</v>
      </c>
      <c r="M507" s="29">
        <v>0.02</v>
      </c>
      <c r="N507" s="29">
        <v>0.02</v>
      </c>
      <c r="O507" s="27" t="s">
        <v>161</v>
      </c>
      <c r="P507" s="30" t="s">
        <v>504</v>
      </c>
      <c r="Q507" s="31">
        <v>2164429544.6500001</v>
      </c>
      <c r="R507" s="31">
        <v>1453.69</v>
      </c>
      <c r="S507" s="32">
        <v>-3.284E-3</v>
      </c>
      <c r="T507" s="32" t="s">
        <v>139</v>
      </c>
      <c r="U507" s="32">
        <v>-1.292E-3</v>
      </c>
      <c r="V507" s="32">
        <v>1.6739999999999999E-3</v>
      </c>
      <c r="W507" s="32">
        <v>5.6239999999999997E-3</v>
      </c>
      <c r="X507" s="32">
        <v>7.0870000000000004E-3</v>
      </c>
      <c r="Y507" s="32">
        <v>-9.7879999999999998E-3</v>
      </c>
      <c r="Z507" s="32">
        <v>6.9337999999999997E-2</v>
      </c>
      <c r="AA507" s="32">
        <v>0.16500200000000001</v>
      </c>
      <c r="AB507" s="32">
        <v>0.17078199999999999</v>
      </c>
    </row>
    <row r="508" spans="1:28" ht="15.6" customHeight="1" x14ac:dyDescent="0.25">
      <c r="A508" s="24" t="s">
        <v>840</v>
      </c>
      <c r="B508" s="50">
        <v>4127</v>
      </c>
      <c r="C508" s="25" t="s">
        <v>841</v>
      </c>
      <c r="D508" s="25" t="s">
        <v>164</v>
      </c>
      <c r="E508" s="25" t="s">
        <v>194</v>
      </c>
      <c r="F508" s="25" t="s">
        <v>103</v>
      </c>
      <c r="G508" s="26" t="s">
        <v>842</v>
      </c>
      <c r="H508" s="27" t="s">
        <v>169</v>
      </c>
      <c r="I508" s="24" t="s">
        <v>106</v>
      </c>
      <c r="J508" s="24" t="s">
        <v>121</v>
      </c>
      <c r="K508" s="28" t="s">
        <v>108</v>
      </c>
      <c r="L508" s="29">
        <v>0.03</v>
      </c>
      <c r="M508" s="29">
        <v>1.4999999999999999E-2</v>
      </c>
      <c r="N508" s="29">
        <v>0.02</v>
      </c>
      <c r="O508" s="27" t="s">
        <v>166</v>
      </c>
      <c r="P508" s="30" t="s">
        <v>164</v>
      </c>
      <c r="Q508" s="31">
        <v>2255613642.0999999</v>
      </c>
      <c r="R508" s="31">
        <v>182.38</v>
      </c>
      <c r="S508" s="32">
        <v>1.5705E-2</v>
      </c>
      <c r="T508" s="32" t="s">
        <v>139</v>
      </c>
      <c r="U508" s="32">
        <v>1.1E-4</v>
      </c>
      <c r="V508" s="32">
        <v>1.593E-3</v>
      </c>
      <c r="W508" s="32">
        <v>5.4580000000000002E-3</v>
      </c>
      <c r="X508" s="32">
        <v>1.1535999999999999E-2</v>
      </c>
      <c r="Y508" s="32">
        <v>2.2194999999999999E-2</v>
      </c>
      <c r="Z508" s="32">
        <v>4.8703000000000003E-2</v>
      </c>
      <c r="AA508" s="32">
        <v>8.1027000000000002E-2</v>
      </c>
      <c r="AB508" s="32">
        <v>0.11841500000000001</v>
      </c>
    </row>
    <row r="509" spans="1:28" ht="15.6" customHeight="1" x14ac:dyDescent="0.25">
      <c r="A509" s="24" t="s">
        <v>1579</v>
      </c>
      <c r="B509" s="50">
        <v>4128</v>
      </c>
      <c r="C509" s="25" t="s">
        <v>1580</v>
      </c>
      <c r="D509" s="25" t="s">
        <v>159</v>
      </c>
      <c r="E509" s="25" t="s">
        <v>194</v>
      </c>
      <c r="F509" s="25" t="s">
        <v>113</v>
      </c>
      <c r="G509" s="26" t="s">
        <v>439</v>
      </c>
      <c r="H509" s="27" t="s">
        <v>115</v>
      </c>
      <c r="I509" s="24" t="s">
        <v>998</v>
      </c>
      <c r="J509" s="24" t="s">
        <v>121</v>
      </c>
      <c r="K509" s="28" t="s">
        <v>227</v>
      </c>
      <c r="L509" s="29">
        <v>0</v>
      </c>
      <c r="M509" s="29">
        <v>0</v>
      </c>
      <c r="N509" s="29">
        <v>0.02</v>
      </c>
      <c r="O509" s="27" t="s">
        <v>161</v>
      </c>
      <c r="P509" s="30" t="s">
        <v>159</v>
      </c>
      <c r="Q509" s="31">
        <v>1333466753.3</v>
      </c>
      <c r="R509" s="31">
        <v>21150.54</v>
      </c>
      <c r="S509" s="32">
        <v>-8.7240000000000009E-3</v>
      </c>
      <c r="T509" s="32" t="s">
        <v>139</v>
      </c>
      <c r="U509" s="32">
        <v>-1.328E-3</v>
      </c>
      <c r="V509" s="32">
        <v>2.2000000000000001E-3</v>
      </c>
      <c r="W509" s="32">
        <v>5.3140000000000001E-3</v>
      </c>
      <c r="X509" s="32">
        <v>4.973E-3</v>
      </c>
      <c r="Y509" s="32">
        <v>-1.123E-2</v>
      </c>
      <c r="Z509" s="32">
        <v>7.5606000000000007E-2</v>
      </c>
      <c r="AA509" s="32">
        <v>0.193968</v>
      </c>
      <c r="AB509" s="32">
        <v>0.14448</v>
      </c>
    </row>
    <row r="510" spans="1:28" ht="15.6" customHeight="1" x14ac:dyDescent="0.25">
      <c r="A510" s="24" t="s">
        <v>843</v>
      </c>
      <c r="B510" s="50">
        <v>4129</v>
      </c>
      <c r="C510" s="25" t="s">
        <v>844</v>
      </c>
      <c r="D510" s="25" t="s">
        <v>112</v>
      </c>
      <c r="E510" s="25" t="s">
        <v>194</v>
      </c>
      <c r="F510" s="25" t="s">
        <v>103</v>
      </c>
      <c r="G510" s="26" t="s">
        <v>401</v>
      </c>
      <c r="H510" s="27" t="s">
        <v>831</v>
      </c>
      <c r="I510" s="24" t="s">
        <v>106</v>
      </c>
      <c r="J510" s="24" t="s">
        <v>107</v>
      </c>
      <c r="K510" s="28" t="s">
        <v>108</v>
      </c>
      <c r="L510" s="29">
        <v>0.03</v>
      </c>
      <c r="M510" s="29">
        <v>1.4999999999999999E-2</v>
      </c>
      <c r="N510" s="29">
        <v>0.02</v>
      </c>
      <c r="O510" s="27" t="s">
        <v>116</v>
      </c>
      <c r="P510" s="30" t="s">
        <v>112</v>
      </c>
      <c r="Q510" s="31">
        <v>34202943.869999997</v>
      </c>
      <c r="R510" s="31">
        <v>3071.1</v>
      </c>
      <c r="S510" s="32">
        <v>1.5438E-2</v>
      </c>
      <c r="T510" s="32" t="s">
        <v>139</v>
      </c>
      <c r="U510" s="32">
        <v>2.5399999999999999E-4</v>
      </c>
      <c r="V510" s="32">
        <v>1.5690000000000001E-3</v>
      </c>
      <c r="W510" s="32">
        <v>5.5430000000000002E-3</v>
      </c>
      <c r="X510" s="32">
        <v>1.1545E-2</v>
      </c>
      <c r="Y510" s="32">
        <v>2.1769E-2</v>
      </c>
      <c r="Z510" s="32">
        <v>4.8619000000000002E-2</v>
      </c>
      <c r="AA510" s="32">
        <v>8.0031000000000005E-2</v>
      </c>
      <c r="AB510" s="32">
        <v>0.12119099999999999</v>
      </c>
    </row>
    <row r="511" spans="1:28" ht="15.6" customHeight="1" x14ac:dyDescent="0.25">
      <c r="A511" s="24" t="s">
        <v>845</v>
      </c>
      <c r="B511" s="50">
        <v>4130</v>
      </c>
      <c r="C511" s="25" t="s">
        <v>846</v>
      </c>
      <c r="D511" s="25" t="s">
        <v>164</v>
      </c>
      <c r="E511" s="25" t="s">
        <v>194</v>
      </c>
      <c r="F511" s="25" t="s">
        <v>103</v>
      </c>
      <c r="G511" s="26" t="s">
        <v>244</v>
      </c>
      <c r="H511" s="27" t="s">
        <v>169</v>
      </c>
      <c r="I511" s="24" t="s">
        <v>106</v>
      </c>
      <c r="J511" s="24" t="s">
        <v>107</v>
      </c>
      <c r="K511" s="28" t="s">
        <v>108</v>
      </c>
      <c r="L511" s="29">
        <v>0</v>
      </c>
      <c r="M511" s="29">
        <v>0</v>
      </c>
      <c r="N511" s="29">
        <v>6.5000000000000006E-3</v>
      </c>
      <c r="O511" s="27" t="s">
        <v>173</v>
      </c>
      <c r="P511" s="30" t="s">
        <v>164</v>
      </c>
      <c r="Q511" s="31">
        <v>2649581199.8800001</v>
      </c>
      <c r="R511" s="31">
        <v>1284.3800000000001</v>
      </c>
      <c r="S511" s="32">
        <v>1.6702999999999999E-2</v>
      </c>
      <c r="T511" s="32" t="s">
        <v>139</v>
      </c>
      <c r="U511" s="32">
        <v>8.6000000000000003E-5</v>
      </c>
      <c r="V511" s="32">
        <v>1.583E-3</v>
      </c>
      <c r="W511" s="32">
        <v>5.7000000000000002E-3</v>
      </c>
      <c r="X511" s="32">
        <v>1.208E-2</v>
      </c>
      <c r="Y511" s="32">
        <v>2.3622000000000001E-2</v>
      </c>
      <c r="Z511" s="32">
        <v>5.2692999999999997E-2</v>
      </c>
      <c r="AA511" s="32">
        <v>8.9066999999999993E-2</v>
      </c>
      <c r="AB511" s="32">
        <v>0.137102</v>
      </c>
    </row>
    <row r="512" spans="1:28" ht="15.6" customHeight="1" x14ac:dyDescent="0.25">
      <c r="A512" s="24" t="s">
        <v>847</v>
      </c>
      <c r="B512" s="50">
        <v>4131</v>
      </c>
      <c r="C512" s="25" t="s">
        <v>848</v>
      </c>
      <c r="D512" s="25" t="s">
        <v>261</v>
      </c>
      <c r="E512" s="25" t="s">
        <v>194</v>
      </c>
      <c r="F512" s="25" t="s">
        <v>103</v>
      </c>
      <c r="G512" s="26" t="s">
        <v>244</v>
      </c>
      <c r="H512" s="27" t="s">
        <v>849</v>
      </c>
      <c r="I512" s="24" t="s">
        <v>106</v>
      </c>
      <c r="J512" s="24" t="s">
        <v>107</v>
      </c>
      <c r="K512" s="28" t="s">
        <v>108</v>
      </c>
      <c r="L512" s="29">
        <v>0</v>
      </c>
      <c r="M512" s="29">
        <v>0</v>
      </c>
      <c r="N512" s="29">
        <v>0.01</v>
      </c>
      <c r="O512" s="27" t="s">
        <v>548</v>
      </c>
      <c r="P512" s="30" t="s">
        <v>261</v>
      </c>
      <c r="Q512" s="31">
        <v>2581108796.3099999</v>
      </c>
      <c r="R512" s="31">
        <v>142.65</v>
      </c>
      <c r="S512" s="32">
        <v>1.6822E-2</v>
      </c>
      <c r="T512" s="32" t="s">
        <v>139</v>
      </c>
      <c r="U512" s="32">
        <v>1.3999999999999999E-4</v>
      </c>
      <c r="V512" s="32">
        <v>1.6850000000000001E-3</v>
      </c>
      <c r="W512" s="32">
        <v>5.9940000000000002E-3</v>
      </c>
      <c r="X512" s="32">
        <v>1.242E-2</v>
      </c>
      <c r="Y512" s="32">
        <v>2.4122000000000001E-2</v>
      </c>
      <c r="Z512" s="32">
        <v>5.2768000000000002E-2</v>
      </c>
      <c r="AA512" s="32">
        <v>8.7934999999999999E-2</v>
      </c>
      <c r="AB512" s="32">
        <v>0.13286200000000001</v>
      </c>
    </row>
    <row r="513" spans="1:28" ht="15.6" customHeight="1" x14ac:dyDescent="0.25">
      <c r="A513" s="24" t="s">
        <v>850</v>
      </c>
      <c r="B513" s="50">
        <v>4132</v>
      </c>
      <c r="C513" s="25" t="s">
        <v>851</v>
      </c>
      <c r="D513" s="25" t="s">
        <v>261</v>
      </c>
      <c r="E513" s="25" t="s">
        <v>194</v>
      </c>
      <c r="F513" s="25" t="s">
        <v>113</v>
      </c>
      <c r="G513" s="26" t="s">
        <v>852</v>
      </c>
      <c r="H513" s="27" t="s">
        <v>115</v>
      </c>
      <c r="I513" s="24" t="s">
        <v>106</v>
      </c>
      <c r="J513" s="24" t="s">
        <v>107</v>
      </c>
      <c r="K513" s="28" t="s">
        <v>108</v>
      </c>
      <c r="L513" s="29">
        <v>0.01</v>
      </c>
      <c r="M513" s="29">
        <v>5.0000000000000001E-3</v>
      </c>
      <c r="N513" s="29">
        <v>0.01</v>
      </c>
      <c r="O513" s="27" t="s">
        <v>116</v>
      </c>
      <c r="P513" s="30" t="s">
        <v>261</v>
      </c>
      <c r="Q513" s="31">
        <v>1008075266.08</v>
      </c>
      <c r="R513" s="31">
        <v>140.05000000000001</v>
      </c>
      <c r="S513" s="32">
        <v>-9.5469999999999999E-3</v>
      </c>
      <c r="T513" s="32" t="s">
        <v>139</v>
      </c>
      <c r="U513" s="32">
        <v>-2.7060000000000001E-3</v>
      </c>
      <c r="V513" s="32">
        <v>-5.0000000000000001E-4</v>
      </c>
      <c r="W513" s="32">
        <v>3.6549999999999998E-3</v>
      </c>
      <c r="X513" s="32">
        <v>6.613E-3</v>
      </c>
      <c r="Y513" s="32">
        <v>-1.8158000000000001E-2</v>
      </c>
      <c r="Z513" s="32">
        <v>6.6154000000000004E-2</v>
      </c>
      <c r="AA513" s="32">
        <v>0.163303</v>
      </c>
      <c r="AB513" s="32">
        <v>2.7965E-2</v>
      </c>
    </row>
    <row r="514" spans="1:28" ht="15.6" customHeight="1" x14ac:dyDescent="0.25">
      <c r="A514" s="24" t="s">
        <v>853</v>
      </c>
      <c r="B514" s="50">
        <v>4133</v>
      </c>
      <c r="C514" s="25" t="s">
        <v>854</v>
      </c>
      <c r="D514" s="25" t="s">
        <v>261</v>
      </c>
      <c r="E514" s="25" t="s">
        <v>194</v>
      </c>
      <c r="F514" s="25" t="s">
        <v>155</v>
      </c>
      <c r="G514" s="26" t="s">
        <v>139</v>
      </c>
      <c r="H514" s="27" t="s">
        <v>202</v>
      </c>
      <c r="I514" s="24" t="s">
        <v>106</v>
      </c>
      <c r="J514" s="24" t="s">
        <v>107</v>
      </c>
      <c r="K514" s="28" t="s">
        <v>108</v>
      </c>
      <c r="L514" s="29">
        <v>0.02</v>
      </c>
      <c r="M514" s="29">
        <v>1.4999999999999999E-2</v>
      </c>
      <c r="N514" s="29">
        <v>0.02</v>
      </c>
      <c r="O514" s="27" t="s">
        <v>116</v>
      </c>
      <c r="P514" s="30" t="s">
        <v>261</v>
      </c>
      <c r="Q514" s="31">
        <v>4276684.12</v>
      </c>
      <c r="R514" s="31">
        <v>143.41</v>
      </c>
      <c r="S514" s="32">
        <v>-6.8160999999999999E-2</v>
      </c>
      <c r="T514" s="32" t="s">
        <v>139</v>
      </c>
      <c r="U514" s="32">
        <v>-6.8560000000000001E-3</v>
      </c>
      <c r="V514" s="32">
        <v>-9.6679999999999995E-3</v>
      </c>
      <c r="W514" s="32">
        <v>4.4121E-2</v>
      </c>
      <c r="X514" s="32">
        <v>5.3865000000000003E-2</v>
      </c>
      <c r="Y514" s="32">
        <v>-0.15571599999999999</v>
      </c>
      <c r="Z514" s="32">
        <v>0.121793</v>
      </c>
      <c r="AA514" s="32">
        <v>0.309083</v>
      </c>
      <c r="AB514" s="32">
        <v>0.209089</v>
      </c>
    </row>
    <row r="515" spans="1:28" ht="15.6" customHeight="1" x14ac:dyDescent="0.25">
      <c r="A515" s="24" t="s">
        <v>855</v>
      </c>
      <c r="B515" s="50">
        <v>4138</v>
      </c>
      <c r="C515" s="25" t="s">
        <v>856</v>
      </c>
      <c r="D515" s="25" t="s">
        <v>164</v>
      </c>
      <c r="E515" s="25" t="s">
        <v>194</v>
      </c>
      <c r="F515" s="25" t="s">
        <v>103</v>
      </c>
      <c r="G515" s="26" t="s">
        <v>244</v>
      </c>
      <c r="H515" s="27" t="s">
        <v>857</v>
      </c>
      <c r="I515" s="24" t="s">
        <v>106</v>
      </c>
      <c r="J515" s="24" t="s">
        <v>107</v>
      </c>
      <c r="K515" s="28" t="s">
        <v>108</v>
      </c>
      <c r="L515" s="29">
        <v>0.01</v>
      </c>
      <c r="M515" s="29">
        <v>0.01</v>
      </c>
      <c r="N515" s="29">
        <v>0.01</v>
      </c>
      <c r="O515" s="27" t="s">
        <v>166</v>
      </c>
      <c r="P515" s="30" t="s">
        <v>164</v>
      </c>
      <c r="Q515" s="31">
        <v>5659318300.5299997</v>
      </c>
      <c r="R515" s="31">
        <v>1234.6199999999999</v>
      </c>
      <c r="S515" s="32">
        <v>1.6951999999999998E-2</v>
      </c>
      <c r="T515" s="32" t="s">
        <v>139</v>
      </c>
      <c r="U515" s="32">
        <v>1.8599999999999999E-4</v>
      </c>
      <c r="V515" s="32">
        <v>1.7440000000000001E-3</v>
      </c>
      <c r="W515" s="32">
        <v>6.0870000000000004E-3</v>
      </c>
      <c r="X515" s="32">
        <v>1.2482E-2</v>
      </c>
      <c r="Y515" s="32">
        <v>2.4028999999999998E-2</v>
      </c>
      <c r="Z515" s="32">
        <v>5.5980000000000002E-2</v>
      </c>
      <c r="AA515" s="32">
        <v>9.0211E-2</v>
      </c>
      <c r="AB515" s="32">
        <v>0.134605</v>
      </c>
    </row>
    <row r="516" spans="1:28" ht="15.6" customHeight="1" x14ac:dyDescent="0.25">
      <c r="A516" s="24" t="s">
        <v>858</v>
      </c>
      <c r="B516" s="50">
        <v>4139</v>
      </c>
      <c r="C516" s="25" t="s">
        <v>859</v>
      </c>
      <c r="D516" s="25" t="s">
        <v>504</v>
      </c>
      <c r="E516" s="25" t="s">
        <v>194</v>
      </c>
      <c r="F516" s="25" t="s">
        <v>128</v>
      </c>
      <c r="G516" s="26" t="s">
        <v>289</v>
      </c>
      <c r="H516" s="27" t="s">
        <v>130</v>
      </c>
      <c r="I516" s="24" t="s">
        <v>106</v>
      </c>
      <c r="J516" s="24" t="s">
        <v>107</v>
      </c>
      <c r="K516" s="28" t="s">
        <v>108</v>
      </c>
      <c r="L516" s="29">
        <v>0.01</v>
      </c>
      <c r="M516" s="29">
        <v>0.01</v>
      </c>
      <c r="N516" s="29">
        <v>0.01</v>
      </c>
      <c r="O516" s="27" t="s">
        <v>161</v>
      </c>
      <c r="P516" s="30" t="s">
        <v>504</v>
      </c>
      <c r="Q516" s="31">
        <v>6262413904.0600004</v>
      </c>
      <c r="R516" s="31">
        <v>1325.96</v>
      </c>
      <c r="S516" s="32">
        <v>2.0070999999999999E-2</v>
      </c>
      <c r="T516" s="32" t="s">
        <v>139</v>
      </c>
      <c r="U516" s="32">
        <v>-6.7999999999999999E-5</v>
      </c>
      <c r="V516" s="32">
        <v>1.9870000000000001E-3</v>
      </c>
      <c r="W516" s="32">
        <v>7.4689999999999999E-3</v>
      </c>
      <c r="X516" s="32">
        <v>1.554E-2</v>
      </c>
      <c r="Y516" s="32">
        <v>2.7438000000000001E-2</v>
      </c>
      <c r="Z516" s="32">
        <v>6.4532000000000006E-2</v>
      </c>
      <c r="AA516" s="32">
        <v>0.109265</v>
      </c>
      <c r="AB516" s="32">
        <v>0.156559</v>
      </c>
    </row>
    <row r="517" spans="1:28" ht="15.6" customHeight="1" x14ac:dyDescent="0.25">
      <c r="A517" s="24" t="s">
        <v>860</v>
      </c>
      <c r="B517" s="50">
        <v>4140</v>
      </c>
      <c r="C517" s="25" t="s">
        <v>861</v>
      </c>
      <c r="D517" s="25" t="s">
        <v>322</v>
      </c>
      <c r="E517" s="25" t="s">
        <v>194</v>
      </c>
      <c r="F517" s="25" t="s">
        <v>128</v>
      </c>
      <c r="G517" s="26" t="s">
        <v>289</v>
      </c>
      <c r="H517" s="27" t="s">
        <v>130</v>
      </c>
      <c r="I517" s="24" t="s">
        <v>106</v>
      </c>
      <c r="J517" s="24" t="s">
        <v>107</v>
      </c>
      <c r="K517" s="28" t="s">
        <v>108</v>
      </c>
      <c r="L517" s="29">
        <v>0.03</v>
      </c>
      <c r="M517" s="29">
        <v>1.4999999999999999E-2</v>
      </c>
      <c r="N517" s="29">
        <v>0.02</v>
      </c>
      <c r="O517" s="27" t="s">
        <v>161</v>
      </c>
      <c r="P517" s="30" t="s">
        <v>322</v>
      </c>
      <c r="Q517" s="31">
        <v>664635.62</v>
      </c>
      <c r="R517" s="31">
        <v>127.42</v>
      </c>
      <c r="S517" s="32">
        <v>1.4248E-2</v>
      </c>
      <c r="T517" s="32" t="s">
        <v>139</v>
      </c>
      <c r="U517" s="32">
        <v>0</v>
      </c>
      <c r="V517" s="32">
        <v>1.415E-3</v>
      </c>
      <c r="W517" s="32">
        <v>4.81E-3</v>
      </c>
      <c r="X517" s="32">
        <v>1.1029000000000001E-2</v>
      </c>
      <c r="Y517" s="32">
        <v>1.9522999999999999E-2</v>
      </c>
      <c r="Z517" s="32">
        <v>4.2802E-2</v>
      </c>
      <c r="AA517" s="32">
        <v>7.4911000000000005E-2</v>
      </c>
      <c r="AB517" s="32">
        <v>0.11322699999999999</v>
      </c>
    </row>
    <row r="518" spans="1:28" ht="15.6" customHeight="1" x14ac:dyDescent="0.25">
      <c r="A518" s="24" t="s">
        <v>1581</v>
      </c>
      <c r="B518" s="50">
        <v>4141</v>
      </c>
      <c r="C518" s="25" t="s">
        <v>1582</v>
      </c>
      <c r="D518" s="25" t="s">
        <v>322</v>
      </c>
      <c r="E518" s="25" t="s">
        <v>194</v>
      </c>
      <c r="F518" s="25" t="s">
        <v>113</v>
      </c>
      <c r="G518" s="26" t="s">
        <v>431</v>
      </c>
      <c r="H518" s="27" t="s">
        <v>115</v>
      </c>
      <c r="I518" s="24" t="s">
        <v>998</v>
      </c>
      <c r="J518" s="24" t="s">
        <v>107</v>
      </c>
      <c r="K518" s="28" t="s">
        <v>108</v>
      </c>
      <c r="L518" s="29">
        <v>0.03</v>
      </c>
      <c r="M518" s="29">
        <v>1.4999999999999999E-2</v>
      </c>
      <c r="N518" s="29">
        <v>0.02</v>
      </c>
      <c r="O518" s="27" t="s">
        <v>161</v>
      </c>
      <c r="P518" s="30" t="s">
        <v>322</v>
      </c>
      <c r="Q518" s="31">
        <v>67554999.900000006</v>
      </c>
      <c r="R518" s="31">
        <v>124.31</v>
      </c>
      <c r="S518" s="32">
        <v>7.2499999999999995E-4</v>
      </c>
      <c r="T518" s="32" t="s">
        <v>139</v>
      </c>
      <c r="U518" s="32">
        <v>-8.8400000000000002E-4</v>
      </c>
      <c r="V518" s="32">
        <v>1.2080000000000001E-3</v>
      </c>
      <c r="W518" s="32">
        <v>3.3899999999999998E-3</v>
      </c>
      <c r="X518" s="32">
        <v>3.9569999999999996E-3</v>
      </c>
      <c r="Y518" s="32">
        <v>-3.1280000000000001E-3</v>
      </c>
      <c r="Z518" s="32">
        <v>4.9029999999999997E-2</v>
      </c>
      <c r="AA518" s="32">
        <v>0.13142799999999999</v>
      </c>
      <c r="AB518" s="32">
        <v>2.6168E-2</v>
      </c>
    </row>
    <row r="519" spans="1:28" ht="15.6" customHeight="1" x14ac:dyDescent="0.25">
      <c r="A519" s="24" t="s">
        <v>1583</v>
      </c>
      <c r="B519" s="50">
        <v>4143</v>
      </c>
      <c r="C519" s="25" t="s">
        <v>1584</v>
      </c>
      <c r="D519" s="25" t="s">
        <v>164</v>
      </c>
      <c r="E519" s="25" t="s">
        <v>194</v>
      </c>
      <c r="F519" s="25" t="s">
        <v>155</v>
      </c>
      <c r="G519" s="26" t="s">
        <v>139</v>
      </c>
      <c r="H519" s="27" t="s">
        <v>1585</v>
      </c>
      <c r="I519" s="24" t="s">
        <v>998</v>
      </c>
      <c r="J519" s="24" t="s">
        <v>107</v>
      </c>
      <c r="K519" s="28" t="s">
        <v>108</v>
      </c>
      <c r="L519" s="29">
        <v>0.03</v>
      </c>
      <c r="M519" s="29">
        <v>1.4999999999999999E-2</v>
      </c>
      <c r="N519" s="29">
        <v>0.02</v>
      </c>
      <c r="O519" s="27" t="s">
        <v>173</v>
      </c>
      <c r="P519" s="30" t="s">
        <v>164</v>
      </c>
      <c r="Q519" s="31">
        <v>35789586.299999997</v>
      </c>
      <c r="R519" s="31">
        <v>1041.26</v>
      </c>
      <c r="S519" s="32">
        <v>5.9709999999999999E-2</v>
      </c>
      <c r="T519" s="32" t="s">
        <v>139</v>
      </c>
      <c r="U519" s="32">
        <v>-4.0749999999999996E-3</v>
      </c>
      <c r="V519" s="32">
        <v>1.828E-3</v>
      </c>
      <c r="W519" s="32">
        <v>4.5451999999999999E-2</v>
      </c>
      <c r="X519" s="32">
        <v>0.147091</v>
      </c>
      <c r="Y519" s="32">
        <v>-4.6814000000000001E-2</v>
      </c>
      <c r="Z519" s="32">
        <v>0.342557</v>
      </c>
      <c r="AA519" s="32">
        <v>0.59119200000000005</v>
      </c>
      <c r="AB519" s="32">
        <v>0.452793</v>
      </c>
    </row>
    <row r="520" spans="1:28" ht="15.6" customHeight="1" x14ac:dyDescent="0.25">
      <c r="A520" s="24" t="s">
        <v>1586</v>
      </c>
      <c r="B520" s="50">
        <v>4144</v>
      </c>
      <c r="C520" s="25" t="s">
        <v>1587</v>
      </c>
      <c r="D520" s="25" t="s">
        <v>164</v>
      </c>
      <c r="E520" s="25" t="s">
        <v>194</v>
      </c>
      <c r="F520" s="25" t="s">
        <v>138</v>
      </c>
      <c r="G520" s="26" t="s">
        <v>139</v>
      </c>
      <c r="H520" s="27" t="s">
        <v>1588</v>
      </c>
      <c r="I520" s="24" t="s">
        <v>998</v>
      </c>
      <c r="J520" s="24" t="s">
        <v>107</v>
      </c>
      <c r="K520" s="28" t="s">
        <v>108</v>
      </c>
      <c r="L520" s="29">
        <v>0.03</v>
      </c>
      <c r="M520" s="29">
        <v>1.4999999999999999E-2</v>
      </c>
      <c r="N520" s="29">
        <v>1.4999999999999999E-2</v>
      </c>
      <c r="O520" s="27" t="s">
        <v>173</v>
      </c>
      <c r="P520" s="30" t="s">
        <v>164</v>
      </c>
      <c r="Q520" s="31">
        <v>642178189.02999997</v>
      </c>
      <c r="R520" s="31">
        <v>735.83</v>
      </c>
      <c r="S520" s="32">
        <v>4.0483999999999999E-2</v>
      </c>
      <c r="T520" s="32" t="s">
        <v>139</v>
      </c>
      <c r="U520" s="32">
        <v>-4.3969999999999999E-3</v>
      </c>
      <c r="V520" s="32">
        <v>3.3540000000000002E-3</v>
      </c>
      <c r="W520" s="32">
        <v>2.7136E-2</v>
      </c>
      <c r="X520" s="32">
        <v>8.6111999999999994E-2</v>
      </c>
      <c r="Y520" s="32">
        <v>-1.5204000000000001E-2</v>
      </c>
      <c r="Z520" s="32">
        <v>0.227386</v>
      </c>
      <c r="AA520" s="32">
        <v>0.37664399999999998</v>
      </c>
      <c r="AB520" s="32">
        <v>0.30867699999999998</v>
      </c>
    </row>
    <row r="521" spans="1:28" ht="15.6" customHeight="1" x14ac:dyDescent="0.25">
      <c r="A521" s="24" t="s">
        <v>1589</v>
      </c>
      <c r="B521" s="50">
        <v>4145</v>
      </c>
      <c r="C521" s="25" t="s">
        <v>1590</v>
      </c>
      <c r="D521" s="25" t="s">
        <v>164</v>
      </c>
      <c r="E521" s="25" t="s">
        <v>194</v>
      </c>
      <c r="F521" s="25" t="s">
        <v>113</v>
      </c>
      <c r="G521" s="26" t="s">
        <v>176</v>
      </c>
      <c r="H521" s="27" t="s">
        <v>1591</v>
      </c>
      <c r="I521" s="24" t="s">
        <v>998</v>
      </c>
      <c r="J521" s="24" t="s">
        <v>107</v>
      </c>
      <c r="K521" s="28" t="s">
        <v>108</v>
      </c>
      <c r="L521" s="29">
        <v>0.03</v>
      </c>
      <c r="M521" s="29">
        <v>1.4999999999999999E-2</v>
      </c>
      <c r="N521" s="29">
        <v>0.01</v>
      </c>
      <c r="O521" s="27" t="s">
        <v>173</v>
      </c>
      <c r="P521" s="30" t="s">
        <v>164</v>
      </c>
      <c r="Q521" s="31">
        <v>31201630.07</v>
      </c>
      <c r="R521" s="31">
        <v>263.44</v>
      </c>
      <c r="S521" s="32">
        <v>5.5729999999999998E-3</v>
      </c>
      <c r="T521" s="32" t="s">
        <v>139</v>
      </c>
      <c r="U521" s="32">
        <v>-1.6670000000000001E-3</v>
      </c>
      <c r="V521" s="32">
        <v>1.521E-3</v>
      </c>
      <c r="W521" s="32">
        <v>8.4209999999999997E-3</v>
      </c>
      <c r="X521" s="32">
        <v>1.6358000000000001E-2</v>
      </c>
      <c r="Y521" s="32">
        <v>-7.7219999999999997E-3</v>
      </c>
      <c r="Z521" s="32">
        <v>4.9017999999999999E-2</v>
      </c>
      <c r="AA521" s="32">
        <v>0.16058</v>
      </c>
      <c r="AB521" s="32">
        <v>0.14419699999999999</v>
      </c>
    </row>
    <row r="522" spans="1:28" ht="15.6" customHeight="1" x14ac:dyDescent="0.25">
      <c r="A522" s="24" t="s">
        <v>1592</v>
      </c>
      <c r="B522" s="50">
        <v>4147</v>
      </c>
      <c r="C522" s="25" t="s">
        <v>1593</v>
      </c>
      <c r="D522" s="25" t="s">
        <v>164</v>
      </c>
      <c r="E522" s="25" t="s">
        <v>194</v>
      </c>
      <c r="F522" s="25" t="s">
        <v>155</v>
      </c>
      <c r="G522" s="26" t="s">
        <v>139</v>
      </c>
      <c r="H522" s="27" t="s">
        <v>156</v>
      </c>
      <c r="I522" s="24" t="s">
        <v>998</v>
      </c>
      <c r="J522" s="24" t="s">
        <v>107</v>
      </c>
      <c r="K522" s="28" t="s">
        <v>180</v>
      </c>
      <c r="L522" s="29">
        <v>0.03</v>
      </c>
      <c r="M522" s="29">
        <v>1.4999999999999999E-2</v>
      </c>
      <c r="N522" s="29">
        <v>0.02</v>
      </c>
      <c r="O522" s="27" t="s">
        <v>166</v>
      </c>
      <c r="P522" s="30" t="s">
        <v>627</v>
      </c>
      <c r="Q522" s="31">
        <v>179171302.31999999</v>
      </c>
      <c r="R522" s="31">
        <v>1131.6400000000001</v>
      </c>
      <c r="S522" s="32">
        <v>5.4205000000000003E-2</v>
      </c>
      <c r="T522" s="32" t="s">
        <v>139</v>
      </c>
      <c r="U522" s="32">
        <v>-4.1450000000000002E-3</v>
      </c>
      <c r="V522" s="32">
        <v>-2.6999999999999999E-5</v>
      </c>
      <c r="W522" s="32">
        <v>4.5650000000000003E-2</v>
      </c>
      <c r="X522" s="32">
        <v>0.120021</v>
      </c>
      <c r="Y522" s="32">
        <v>-4.4242999999999998E-2</v>
      </c>
      <c r="Z522" s="32">
        <v>0.250836</v>
      </c>
      <c r="AA522" s="32">
        <v>0.42560999999999999</v>
      </c>
      <c r="AB522" s="32">
        <v>0.27606199999999997</v>
      </c>
    </row>
    <row r="523" spans="1:28" ht="15.6" customHeight="1" x14ac:dyDescent="0.25">
      <c r="A523" s="24" t="s">
        <v>862</v>
      </c>
      <c r="B523" s="50">
        <v>4150</v>
      </c>
      <c r="C523" s="25" t="s">
        <v>863</v>
      </c>
      <c r="D523" s="25" t="s">
        <v>164</v>
      </c>
      <c r="E523" s="25" t="s">
        <v>194</v>
      </c>
      <c r="F523" s="25" t="s">
        <v>113</v>
      </c>
      <c r="G523" s="26" t="s">
        <v>347</v>
      </c>
      <c r="H523" s="27" t="s">
        <v>115</v>
      </c>
      <c r="I523" s="24" t="s">
        <v>106</v>
      </c>
      <c r="J523" s="24" t="s">
        <v>121</v>
      </c>
      <c r="K523" s="28" t="s">
        <v>227</v>
      </c>
      <c r="L523" s="29">
        <v>0.03</v>
      </c>
      <c r="M523" s="29">
        <v>1.4999999999999999E-2</v>
      </c>
      <c r="N523" s="29">
        <v>0.02</v>
      </c>
      <c r="O523" s="27" t="s">
        <v>173</v>
      </c>
      <c r="P523" s="30" t="s">
        <v>663</v>
      </c>
      <c r="Q523" s="31">
        <v>1406358146.4300001</v>
      </c>
      <c r="R523" s="31">
        <v>1153.8</v>
      </c>
      <c r="S523" s="32">
        <v>-6.326E-3</v>
      </c>
      <c r="T523" s="32" t="s">
        <v>139</v>
      </c>
      <c r="U523" s="32">
        <v>-1.851E-3</v>
      </c>
      <c r="V523" s="32">
        <v>2.738E-3</v>
      </c>
      <c r="W523" s="32">
        <v>4.8419999999999999E-3</v>
      </c>
      <c r="X523" s="32">
        <v>7.8700000000000003E-3</v>
      </c>
      <c r="Y523" s="32">
        <v>-1.4654E-2</v>
      </c>
      <c r="Z523" s="32">
        <v>8.2904000000000005E-2</v>
      </c>
      <c r="AA523" s="32">
        <v>0.20069300000000001</v>
      </c>
      <c r="AB523" s="32">
        <v>0.13636599999999999</v>
      </c>
    </row>
    <row r="524" spans="1:28" ht="15.6" customHeight="1" x14ac:dyDescent="0.25">
      <c r="A524" s="24" t="s">
        <v>864</v>
      </c>
      <c r="B524" s="50">
        <v>4151</v>
      </c>
      <c r="C524" s="25" t="s">
        <v>865</v>
      </c>
      <c r="D524" s="25" t="s">
        <v>164</v>
      </c>
      <c r="E524" s="25" t="s">
        <v>194</v>
      </c>
      <c r="F524" s="25" t="s">
        <v>113</v>
      </c>
      <c r="G524" s="26" t="s">
        <v>866</v>
      </c>
      <c r="H524" s="27" t="s">
        <v>115</v>
      </c>
      <c r="I524" s="24" t="s">
        <v>106</v>
      </c>
      <c r="J524" s="24" t="s">
        <v>107</v>
      </c>
      <c r="K524" s="28" t="s">
        <v>108</v>
      </c>
      <c r="L524" s="29">
        <v>0.03</v>
      </c>
      <c r="M524" s="29">
        <v>1.4999999999999999E-2</v>
      </c>
      <c r="N524" s="29">
        <v>0.02</v>
      </c>
      <c r="O524" s="27" t="s">
        <v>173</v>
      </c>
      <c r="P524" s="30" t="s">
        <v>663</v>
      </c>
      <c r="Q524" s="31">
        <v>148733976.28999999</v>
      </c>
      <c r="R524" s="31">
        <v>1240.96</v>
      </c>
      <c r="S524" s="32">
        <v>4.3049999999999998E-3</v>
      </c>
      <c r="T524" s="32" t="s">
        <v>139</v>
      </c>
      <c r="U524" s="32">
        <v>-1.7049999999999999E-3</v>
      </c>
      <c r="V524" s="32">
        <v>2.3749999999999999E-3</v>
      </c>
      <c r="W524" s="32">
        <v>8.2550000000000002E-3</v>
      </c>
      <c r="X524" s="32">
        <v>1.2367E-2</v>
      </c>
      <c r="Y524" s="32">
        <v>-7.1609999999999998E-3</v>
      </c>
      <c r="Z524" s="32">
        <v>6.2793000000000002E-2</v>
      </c>
      <c r="AA524" s="32">
        <v>0.151308</v>
      </c>
      <c r="AB524" s="32">
        <v>0.15057100000000001</v>
      </c>
    </row>
    <row r="525" spans="1:28" ht="15.6" customHeight="1" x14ac:dyDescent="0.25">
      <c r="A525" s="24" t="s">
        <v>1594</v>
      </c>
      <c r="B525" s="50">
        <v>4152</v>
      </c>
      <c r="C525" s="25" t="s">
        <v>1595</v>
      </c>
      <c r="D525" s="25" t="s">
        <v>112</v>
      </c>
      <c r="E525" s="25" t="s">
        <v>194</v>
      </c>
      <c r="F525" s="25" t="s">
        <v>155</v>
      </c>
      <c r="G525" s="26" t="s">
        <v>139</v>
      </c>
      <c r="H525" s="27" t="s">
        <v>588</v>
      </c>
      <c r="I525" s="24" t="s">
        <v>998</v>
      </c>
      <c r="J525" s="24" t="s">
        <v>121</v>
      </c>
      <c r="K525" s="28" t="s">
        <v>108</v>
      </c>
      <c r="L525" s="29">
        <v>0.03</v>
      </c>
      <c r="M525" s="29">
        <v>1.4999999999999999E-2</v>
      </c>
      <c r="N525" s="29">
        <v>0.02</v>
      </c>
      <c r="O525" s="27" t="s">
        <v>116</v>
      </c>
      <c r="P525" s="30" t="s">
        <v>112</v>
      </c>
      <c r="Q525" s="31">
        <v>2630235171.8699999</v>
      </c>
      <c r="R525" s="31">
        <v>3327.82</v>
      </c>
      <c r="S525" s="32">
        <v>-2.9735999999999999E-2</v>
      </c>
      <c r="T525" s="32" t="s">
        <v>139</v>
      </c>
      <c r="U525" s="32">
        <v>-7.5069999999999998E-3</v>
      </c>
      <c r="V525" s="32">
        <v>-4.8409999999999998E-3</v>
      </c>
      <c r="W525" s="32">
        <v>4.4123999999999997E-2</v>
      </c>
      <c r="X525" s="32">
        <v>9.0583999999999998E-2</v>
      </c>
      <c r="Y525" s="32">
        <v>-0.129388</v>
      </c>
      <c r="Z525" s="32">
        <v>0.25234499999999999</v>
      </c>
      <c r="AA525" s="32">
        <v>0.47804600000000003</v>
      </c>
      <c r="AB525" s="32">
        <v>0.42830400000000002</v>
      </c>
    </row>
    <row r="526" spans="1:28" ht="15.6" customHeight="1" x14ac:dyDescent="0.25">
      <c r="A526" s="24" t="s">
        <v>1596</v>
      </c>
      <c r="B526" s="50">
        <v>4155</v>
      </c>
      <c r="C526" s="25" t="s">
        <v>1597</v>
      </c>
      <c r="D526" s="25" t="s">
        <v>164</v>
      </c>
      <c r="E526" s="25" t="s">
        <v>194</v>
      </c>
      <c r="F526" s="25" t="s">
        <v>155</v>
      </c>
      <c r="G526" s="26" t="s">
        <v>139</v>
      </c>
      <c r="H526" s="27" t="s">
        <v>139</v>
      </c>
      <c r="I526" s="24" t="s">
        <v>998</v>
      </c>
      <c r="J526" s="24" t="s">
        <v>121</v>
      </c>
      <c r="K526" s="28" t="s">
        <v>180</v>
      </c>
      <c r="L526" s="29">
        <v>0</v>
      </c>
      <c r="M526" s="29">
        <v>1.4999999999999999E-2</v>
      </c>
      <c r="N526" s="29">
        <v>0</v>
      </c>
      <c r="O526" s="27" t="s">
        <v>166</v>
      </c>
      <c r="P526" s="30" t="s">
        <v>164</v>
      </c>
      <c r="Q526" s="31">
        <v>967789561.13</v>
      </c>
      <c r="R526" s="31">
        <v>2559.33</v>
      </c>
      <c r="S526" s="32">
        <v>0.121269</v>
      </c>
      <c r="T526" s="32" t="s">
        <v>139</v>
      </c>
      <c r="U526" s="32">
        <v>-6.0780000000000001E-3</v>
      </c>
      <c r="V526" s="32">
        <v>3.0690000000000001E-3</v>
      </c>
      <c r="W526" s="32">
        <v>3.4809E-2</v>
      </c>
      <c r="X526" s="32">
        <v>0.15698899999999999</v>
      </c>
      <c r="Y526" s="32">
        <v>4.641E-2</v>
      </c>
      <c r="Z526" s="32">
        <v>0.51738300000000004</v>
      </c>
      <c r="AA526" s="32">
        <v>0.77568700000000002</v>
      </c>
      <c r="AB526" s="32">
        <v>0.68563200000000002</v>
      </c>
    </row>
    <row r="527" spans="1:28" ht="15.6" customHeight="1" x14ac:dyDescent="0.25">
      <c r="A527" s="24" t="s">
        <v>1598</v>
      </c>
      <c r="B527" s="50">
        <v>4156</v>
      </c>
      <c r="C527" s="25" t="s">
        <v>1599</v>
      </c>
      <c r="D527" s="25" t="s">
        <v>127</v>
      </c>
      <c r="E527" s="25" t="s">
        <v>194</v>
      </c>
      <c r="F527" s="25" t="s">
        <v>138</v>
      </c>
      <c r="G527" s="26" t="s">
        <v>139</v>
      </c>
      <c r="H527" s="27" t="s">
        <v>1600</v>
      </c>
      <c r="I527" s="24" t="s">
        <v>998</v>
      </c>
      <c r="J527" s="24" t="s">
        <v>107</v>
      </c>
      <c r="K527" s="28" t="s">
        <v>227</v>
      </c>
      <c r="L527" s="29">
        <v>0.02</v>
      </c>
      <c r="M527" s="29">
        <v>0.02</v>
      </c>
      <c r="N527" s="29">
        <v>0.02</v>
      </c>
      <c r="O527" s="27" t="s">
        <v>131</v>
      </c>
      <c r="P527" s="30" t="s">
        <v>131</v>
      </c>
      <c r="Q527" s="31">
        <v>217108707.44999999</v>
      </c>
      <c r="R527" s="31">
        <v>1290.9000000000001</v>
      </c>
      <c r="S527" s="32">
        <v>-3.5180000000000003E-2</v>
      </c>
      <c r="T527" s="32" t="s">
        <v>139</v>
      </c>
      <c r="U527" s="32">
        <v>-3.4280000000000001E-3</v>
      </c>
      <c r="V527" s="32">
        <v>-1.2689999999999999E-3</v>
      </c>
      <c r="W527" s="32">
        <v>1.2867999999999999E-2</v>
      </c>
      <c r="X527" s="32">
        <v>4.7919000000000003E-2</v>
      </c>
      <c r="Y527" s="32">
        <v>-8.3389000000000005E-2</v>
      </c>
      <c r="Z527" s="32">
        <v>7.8076999999999994E-2</v>
      </c>
      <c r="AA527" s="32">
        <v>0.195411</v>
      </c>
      <c r="AB527" s="32">
        <v>0.167855</v>
      </c>
    </row>
    <row r="528" spans="1:28" ht="15.6" customHeight="1" x14ac:dyDescent="0.25">
      <c r="A528" s="24" t="s">
        <v>867</v>
      </c>
      <c r="B528" s="50">
        <v>4159</v>
      </c>
      <c r="C528" s="25" t="s">
        <v>868</v>
      </c>
      <c r="D528" s="25" t="s">
        <v>112</v>
      </c>
      <c r="E528" s="25" t="s">
        <v>194</v>
      </c>
      <c r="F528" s="25" t="s">
        <v>113</v>
      </c>
      <c r="G528" s="26" t="s">
        <v>531</v>
      </c>
      <c r="H528" s="27" t="s">
        <v>199</v>
      </c>
      <c r="I528" s="24" t="s">
        <v>106</v>
      </c>
      <c r="J528" s="24" t="s">
        <v>121</v>
      </c>
      <c r="K528" s="28" t="s">
        <v>108</v>
      </c>
      <c r="L528" s="29">
        <v>0.03</v>
      </c>
      <c r="M528" s="29">
        <v>1.4999999999999999E-2</v>
      </c>
      <c r="N528" s="29">
        <v>0.02</v>
      </c>
      <c r="O528" s="27" t="s">
        <v>116</v>
      </c>
      <c r="P528" s="30" t="s">
        <v>112</v>
      </c>
      <c r="Q528" s="31">
        <v>1997025228.1400001</v>
      </c>
      <c r="R528" s="31">
        <v>1224.93</v>
      </c>
      <c r="S528" s="32">
        <v>5.4010000000000004E-3</v>
      </c>
      <c r="T528" s="32" t="s">
        <v>139</v>
      </c>
      <c r="U528" s="32">
        <v>-1.516E-3</v>
      </c>
      <c r="V528" s="32">
        <v>2.307E-3</v>
      </c>
      <c r="W528" s="32">
        <v>6.888E-3</v>
      </c>
      <c r="X528" s="32">
        <v>9.3189999999999992E-3</v>
      </c>
      <c r="Y528" s="32">
        <v>3.2429999999999998E-3</v>
      </c>
      <c r="Z528" s="32">
        <v>8.0433000000000004E-2</v>
      </c>
      <c r="AA528" s="32">
        <v>0.179428</v>
      </c>
      <c r="AB528" s="32">
        <v>0.185695</v>
      </c>
    </row>
    <row r="529" spans="1:28" ht="15.6" customHeight="1" x14ac:dyDescent="0.25">
      <c r="A529" s="24" t="s">
        <v>869</v>
      </c>
      <c r="B529" s="50">
        <v>4160</v>
      </c>
      <c r="C529" s="25" t="s">
        <v>870</v>
      </c>
      <c r="D529" s="25" t="s">
        <v>112</v>
      </c>
      <c r="E529" s="25" t="s">
        <v>194</v>
      </c>
      <c r="F529" s="25" t="s">
        <v>103</v>
      </c>
      <c r="G529" s="26" t="s">
        <v>244</v>
      </c>
      <c r="H529" s="27" t="s">
        <v>567</v>
      </c>
      <c r="I529" s="24" t="s">
        <v>106</v>
      </c>
      <c r="J529" s="24" t="s">
        <v>107</v>
      </c>
      <c r="K529" s="28" t="s">
        <v>108</v>
      </c>
      <c r="L529" s="29">
        <v>0.03</v>
      </c>
      <c r="M529" s="29">
        <v>1.4999999999999999E-2</v>
      </c>
      <c r="N529" s="29">
        <v>0.02</v>
      </c>
      <c r="O529" s="27" t="s">
        <v>161</v>
      </c>
      <c r="P529" s="30" t="s">
        <v>112</v>
      </c>
      <c r="Q529" s="31">
        <v>329773426.19</v>
      </c>
      <c r="R529" s="31">
        <v>1145.6099999999999</v>
      </c>
      <c r="S529" s="32">
        <v>1.7604999999999999E-2</v>
      </c>
      <c r="T529" s="32" t="s">
        <v>139</v>
      </c>
      <c r="U529" s="32">
        <v>1.5699999999999999E-4</v>
      </c>
      <c r="V529" s="32">
        <v>1.836E-3</v>
      </c>
      <c r="W529" s="32">
        <v>6.3860000000000002E-3</v>
      </c>
      <c r="X529" s="32">
        <v>1.3213000000000001E-2</v>
      </c>
      <c r="Y529" s="32">
        <v>2.4733000000000002E-2</v>
      </c>
      <c r="Z529" s="32">
        <v>5.4919000000000003E-2</v>
      </c>
      <c r="AA529" s="32">
        <v>8.9386999999999994E-2</v>
      </c>
      <c r="AB529" s="32">
        <v>0.13442499999999999</v>
      </c>
    </row>
    <row r="530" spans="1:28" ht="15.6" customHeight="1" x14ac:dyDescent="0.25">
      <c r="A530" s="24" t="s">
        <v>871</v>
      </c>
      <c r="B530" s="50">
        <v>4161</v>
      </c>
      <c r="C530" s="25" t="s">
        <v>872</v>
      </c>
      <c r="D530" s="25" t="s">
        <v>112</v>
      </c>
      <c r="E530" s="25" t="s">
        <v>194</v>
      </c>
      <c r="F530" s="25" t="s">
        <v>128</v>
      </c>
      <c r="G530" s="26" t="s">
        <v>289</v>
      </c>
      <c r="H530" s="27" t="s">
        <v>130</v>
      </c>
      <c r="I530" s="24" t="s">
        <v>106</v>
      </c>
      <c r="J530" s="24" t="s">
        <v>107</v>
      </c>
      <c r="K530" s="28" t="s">
        <v>108</v>
      </c>
      <c r="L530" s="29">
        <v>0.03</v>
      </c>
      <c r="M530" s="29">
        <v>1.4999999999999999E-2</v>
      </c>
      <c r="N530" s="29">
        <v>0.02</v>
      </c>
      <c r="O530" s="27" t="s">
        <v>161</v>
      </c>
      <c r="P530" s="30" t="s">
        <v>112</v>
      </c>
      <c r="Q530" s="31">
        <v>1115557.19</v>
      </c>
      <c r="R530" s="31">
        <v>1115.55</v>
      </c>
      <c r="S530" s="32">
        <v>1.3261E-2</v>
      </c>
      <c r="T530" s="32" t="s">
        <v>139</v>
      </c>
      <c r="U530" s="32">
        <v>-3.5799999999999997E-4</v>
      </c>
      <c r="V530" s="32">
        <v>1.284E-3</v>
      </c>
      <c r="W530" s="32">
        <v>4.5840000000000004E-3</v>
      </c>
      <c r="X530" s="32">
        <v>1.0160000000000001E-2</v>
      </c>
      <c r="Y530" s="32">
        <v>1.7977E-2</v>
      </c>
      <c r="Z530" s="32">
        <v>4.3027999999999997E-2</v>
      </c>
      <c r="AA530" s="32">
        <v>7.3789999999999994E-2</v>
      </c>
      <c r="AB530" s="32">
        <v>0.104811</v>
      </c>
    </row>
    <row r="531" spans="1:28" ht="15.6" customHeight="1" x14ac:dyDescent="0.25">
      <c r="A531" s="24" t="s">
        <v>1601</v>
      </c>
      <c r="B531" s="50">
        <v>4162</v>
      </c>
      <c r="C531" s="25" t="s">
        <v>1602</v>
      </c>
      <c r="D531" s="25" t="s">
        <v>112</v>
      </c>
      <c r="E531" s="25" t="s">
        <v>194</v>
      </c>
      <c r="F531" s="25" t="s">
        <v>113</v>
      </c>
      <c r="G531" s="26" t="s">
        <v>638</v>
      </c>
      <c r="H531" s="27" t="s">
        <v>327</v>
      </c>
      <c r="I531" s="24" t="s">
        <v>998</v>
      </c>
      <c r="J531" s="24" t="s">
        <v>107</v>
      </c>
      <c r="K531" s="28" t="s">
        <v>108</v>
      </c>
      <c r="L531" s="29">
        <v>0.03</v>
      </c>
      <c r="M531" s="29">
        <v>1.4999999999999999E-2</v>
      </c>
      <c r="N531" s="29">
        <v>0.02</v>
      </c>
      <c r="O531" s="27" t="s">
        <v>116</v>
      </c>
      <c r="P531" s="30" t="s">
        <v>112</v>
      </c>
      <c r="Q531" s="31">
        <v>3578950861</v>
      </c>
      <c r="R531" s="31">
        <v>11616.91</v>
      </c>
      <c r="S531" s="32">
        <v>-1.6149999999999999E-3</v>
      </c>
      <c r="T531" s="32" t="s">
        <v>139</v>
      </c>
      <c r="U531" s="32">
        <v>-1.9959999999999999E-3</v>
      </c>
      <c r="V531" s="32">
        <v>2.0179999999999998E-3</v>
      </c>
      <c r="W531" s="32">
        <v>7.6090000000000003E-3</v>
      </c>
      <c r="X531" s="32">
        <v>9.2280000000000001E-3</v>
      </c>
      <c r="Y531" s="32">
        <v>-9.6270000000000001E-3</v>
      </c>
      <c r="Z531" s="32">
        <v>8.7362999999999996E-2</v>
      </c>
      <c r="AA531" s="32">
        <v>0.20313000000000001</v>
      </c>
      <c r="AB531" s="32">
        <v>0.15656</v>
      </c>
    </row>
    <row r="532" spans="1:28" ht="15.6" customHeight="1" x14ac:dyDescent="0.25">
      <c r="A532" s="24" t="s">
        <v>1603</v>
      </c>
      <c r="B532" s="50">
        <v>4163</v>
      </c>
      <c r="C532" s="25" t="s">
        <v>1604</v>
      </c>
      <c r="D532" s="25" t="s">
        <v>112</v>
      </c>
      <c r="E532" s="25" t="s">
        <v>194</v>
      </c>
      <c r="F532" s="25" t="s">
        <v>113</v>
      </c>
      <c r="G532" s="26" t="s">
        <v>347</v>
      </c>
      <c r="H532" s="27" t="s">
        <v>115</v>
      </c>
      <c r="I532" s="24" t="s">
        <v>998</v>
      </c>
      <c r="J532" s="24" t="s">
        <v>107</v>
      </c>
      <c r="K532" s="28" t="s">
        <v>108</v>
      </c>
      <c r="L532" s="29">
        <v>0.03</v>
      </c>
      <c r="M532" s="29">
        <v>1.4999999999999999E-2</v>
      </c>
      <c r="N532" s="29">
        <v>0.02</v>
      </c>
      <c r="O532" s="27" t="s">
        <v>116</v>
      </c>
      <c r="P532" s="30" t="s">
        <v>112</v>
      </c>
      <c r="Q532" s="31">
        <v>638252.37</v>
      </c>
      <c r="R532" s="31">
        <v>1113.8699999999999</v>
      </c>
      <c r="S532" s="32">
        <v>8.7569999999999992E-3</v>
      </c>
      <c r="T532" s="32" t="s">
        <v>139</v>
      </c>
      <c r="U532" s="32">
        <v>-8.1599999999999999E-4</v>
      </c>
      <c r="V532" s="32">
        <v>1.4480000000000001E-3</v>
      </c>
      <c r="W532" s="32">
        <v>5.2339999999999999E-3</v>
      </c>
      <c r="X532" s="32">
        <v>8.6750000000000004E-3</v>
      </c>
      <c r="Y532" s="32">
        <v>8.9770000000000006E-3</v>
      </c>
      <c r="Z532" s="32">
        <v>4.4582999999999998E-2</v>
      </c>
      <c r="AA532" s="32">
        <v>8.8443999999999995E-2</v>
      </c>
      <c r="AB532" s="32">
        <v>0.109046</v>
      </c>
    </row>
    <row r="533" spans="1:28" ht="15.6" customHeight="1" x14ac:dyDescent="0.25">
      <c r="A533" s="24" t="s">
        <v>1605</v>
      </c>
      <c r="B533" s="50">
        <v>4165</v>
      </c>
      <c r="C533" s="25" t="s">
        <v>1606</v>
      </c>
      <c r="D533" s="25" t="s">
        <v>127</v>
      </c>
      <c r="E533" s="25" t="s">
        <v>194</v>
      </c>
      <c r="F533" s="25" t="s">
        <v>113</v>
      </c>
      <c r="G533" s="26" t="s">
        <v>685</v>
      </c>
      <c r="H533" s="27" t="s">
        <v>1607</v>
      </c>
      <c r="I533" s="24" t="s">
        <v>998</v>
      </c>
      <c r="J533" s="24" t="s">
        <v>121</v>
      </c>
      <c r="K533" s="28" t="s">
        <v>108</v>
      </c>
      <c r="L533" s="29">
        <v>0.03</v>
      </c>
      <c r="M533" s="29">
        <v>0.03</v>
      </c>
      <c r="N533" s="29">
        <v>0.02</v>
      </c>
      <c r="O533" s="27" t="s">
        <v>131</v>
      </c>
      <c r="P533" s="30" t="s">
        <v>131</v>
      </c>
      <c r="Q533" s="31">
        <v>706629684.13999999</v>
      </c>
      <c r="R533" s="31">
        <v>1275.3499999999999</v>
      </c>
      <c r="S533" s="32">
        <v>-2.5110000000000002E-3</v>
      </c>
      <c r="T533" s="32" t="s">
        <v>139</v>
      </c>
      <c r="U533" s="32">
        <v>-1.98E-3</v>
      </c>
      <c r="V533" s="32">
        <v>1.799E-3</v>
      </c>
      <c r="W533" s="32">
        <v>6.1380000000000002E-3</v>
      </c>
      <c r="X533" s="32">
        <v>1.2367E-2</v>
      </c>
      <c r="Y533" s="32">
        <v>-1.6282999999999999E-2</v>
      </c>
      <c r="Z533" s="32">
        <v>8.8136000000000006E-2</v>
      </c>
      <c r="AA533" s="32">
        <v>0.22054699999999999</v>
      </c>
      <c r="AB533" s="32">
        <v>0.26622099999999999</v>
      </c>
    </row>
    <row r="534" spans="1:28" ht="15.6" customHeight="1" x14ac:dyDescent="0.25">
      <c r="A534" s="24" t="s">
        <v>873</v>
      </c>
      <c r="B534" s="50">
        <v>4166</v>
      </c>
      <c r="C534" s="25" t="s">
        <v>874</v>
      </c>
      <c r="D534" s="25" t="s">
        <v>164</v>
      </c>
      <c r="E534" s="25" t="s">
        <v>194</v>
      </c>
      <c r="F534" s="25" t="s">
        <v>138</v>
      </c>
      <c r="G534" s="26" t="s">
        <v>139</v>
      </c>
      <c r="H534" s="27" t="s">
        <v>875</v>
      </c>
      <c r="I534" s="24" t="s">
        <v>106</v>
      </c>
      <c r="J534" s="24" t="s">
        <v>121</v>
      </c>
      <c r="K534" s="28" t="s">
        <v>108</v>
      </c>
      <c r="L534" s="29">
        <v>0.03</v>
      </c>
      <c r="M534" s="29">
        <v>1.4999999999999999E-2</v>
      </c>
      <c r="N534" s="29">
        <v>0.02</v>
      </c>
      <c r="O534" s="27" t="s">
        <v>548</v>
      </c>
      <c r="P534" s="30" t="s">
        <v>164</v>
      </c>
      <c r="Q534" s="31">
        <v>6063207767.5200005</v>
      </c>
      <c r="R534" s="31">
        <v>1264.1600000000001</v>
      </c>
      <c r="S534" s="32">
        <v>2.9371000000000001E-2</v>
      </c>
      <c r="T534" s="32" t="s">
        <v>139</v>
      </c>
      <c r="U534" s="32">
        <v>-3.6099999999999999E-3</v>
      </c>
      <c r="V534" s="32">
        <v>4.2979999999999997E-3</v>
      </c>
      <c r="W534" s="32">
        <v>2.2171E-2</v>
      </c>
      <c r="X534" s="32">
        <v>5.8910999999999998E-2</v>
      </c>
      <c r="Y534" s="32">
        <v>-2.2650000000000001E-3</v>
      </c>
      <c r="Z534" s="32">
        <v>0.185335</v>
      </c>
      <c r="AA534" s="32">
        <v>0.33389600000000003</v>
      </c>
      <c r="AB534" s="32">
        <v>0.30619299999999999</v>
      </c>
    </row>
    <row r="535" spans="1:28" ht="15.6" customHeight="1" x14ac:dyDescent="0.25">
      <c r="A535" s="24" t="s">
        <v>1608</v>
      </c>
      <c r="B535" s="50">
        <v>4167</v>
      </c>
      <c r="C535" s="25" t="s">
        <v>1609</v>
      </c>
      <c r="D535" s="25" t="s">
        <v>127</v>
      </c>
      <c r="E535" s="25" t="s">
        <v>194</v>
      </c>
      <c r="F535" s="25" t="s">
        <v>113</v>
      </c>
      <c r="G535" s="26" t="s">
        <v>1610</v>
      </c>
      <c r="H535" s="27" t="s">
        <v>115</v>
      </c>
      <c r="I535" s="24" t="s">
        <v>998</v>
      </c>
      <c r="J535" s="24" t="s">
        <v>107</v>
      </c>
      <c r="K535" s="28" t="s">
        <v>108</v>
      </c>
      <c r="L535" s="29">
        <v>5.0000000000000001E-3</v>
      </c>
      <c r="M535" s="29">
        <v>1E-3</v>
      </c>
      <c r="N535" s="29">
        <v>0.02</v>
      </c>
      <c r="O535" s="27" t="s">
        <v>131</v>
      </c>
      <c r="P535" s="30" t="s">
        <v>131</v>
      </c>
      <c r="Q535" s="31">
        <v>611896241.01999998</v>
      </c>
      <c r="R535" s="31">
        <v>1986.12</v>
      </c>
      <c r="S535" s="32">
        <v>-5.6119999999999998E-3</v>
      </c>
      <c r="T535" s="32" t="s">
        <v>139</v>
      </c>
      <c r="U535" s="32">
        <v>-1.5579999999999999E-3</v>
      </c>
      <c r="V535" s="32">
        <v>1.1490000000000001E-3</v>
      </c>
      <c r="W535" s="32">
        <v>5.9769999999999997E-3</v>
      </c>
      <c r="X535" s="32">
        <v>7.1040000000000001E-3</v>
      </c>
      <c r="Y535" s="32">
        <v>-1.9543999999999999E-2</v>
      </c>
      <c r="Z535" s="32">
        <v>7.4740000000000001E-2</v>
      </c>
      <c r="AA535" s="32">
        <v>0.17008899999999999</v>
      </c>
      <c r="AB535" s="32">
        <v>0.13484099999999999</v>
      </c>
    </row>
    <row r="536" spans="1:28" ht="15.6" customHeight="1" x14ac:dyDescent="0.25">
      <c r="A536" s="24" t="s">
        <v>876</v>
      </c>
      <c r="B536" s="50">
        <v>4168</v>
      </c>
      <c r="C536" s="25" t="s">
        <v>877</v>
      </c>
      <c r="D536" s="25" t="s">
        <v>127</v>
      </c>
      <c r="E536" s="25" t="s">
        <v>194</v>
      </c>
      <c r="F536" s="25" t="s">
        <v>103</v>
      </c>
      <c r="G536" s="26" t="s">
        <v>104</v>
      </c>
      <c r="H536" s="27" t="s">
        <v>217</v>
      </c>
      <c r="I536" s="24" t="s">
        <v>106</v>
      </c>
      <c r="J536" s="24" t="s">
        <v>107</v>
      </c>
      <c r="K536" s="28" t="s">
        <v>108</v>
      </c>
      <c r="L536" s="29">
        <v>0</v>
      </c>
      <c r="M536" s="29">
        <v>0</v>
      </c>
      <c r="N536" s="29">
        <v>5.0000000000000001E-3</v>
      </c>
      <c r="O536" s="27" t="s">
        <v>131</v>
      </c>
      <c r="P536" s="30" t="s">
        <v>131</v>
      </c>
      <c r="Q536" s="31">
        <v>3888467321.3600001</v>
      </c>
      <c r="R536" s="31">
        <v>16878.560000000001</v>
      </c>
      <c r="S536" s="32">
        <v>1.7815000000000001E-2</v>
      </c>
      <c r="T536" s="32" t="s">
        <v>139</v>
      </c>
      <c r="U536" s="32">
        <v>2.0000000000000001E-4</v>
      </c>
      <c r="V536" s="32">
        <v>1.851E-3</v>
      </c>
      <c r="W536" s="32">
        <v>6.3920000000000001E-3</v>
      </c>
      <c r="X536" s="32">
        <v>1.3206000000000001E-2</v>
      </c>
      <c r="Y536" s="32">
        <v>2.4996000000000001E-2</v>
      </c>
      <c r="Z536" s="32">
        <v>5.4177000000000003E-2</v>
      </c>
      <c r="AA536" s="32">
        <v>9.0346999999999997E-2</v>
      </c>
      <c r="AB536" s="32">
        <v>0.137323</v>
      </c>
    </row>
    <row r="537" spans="1:28" ht="15.6" customHeight="1" x14ac:dyDescent="0.25">
      <c r="A537" s="24" t="s">
        <v>878</v>
      </c>
      <c r="B537" s="50">
        <v>4169</v>
      </c>
      <c r="C537" s="25" t="s">
        <v>879</v>
      </c>
      <c r="D537" s="25" t="s">
        <v>127</v>
      </c>
      <c r="E537" s="25" t="s">
        <v>194</v>
      </c>
      <c r="F537" s="25" t="s">
        <v>361</v>
      </c>
      <c r="G537" s="26" t="s">
        <v>139</v>
      </c>
      <c r="H537" s="27" t="s">
        <v>188</v>
      </c>
      <c r="I537" s="24" t="s">
        <v>106</v>
      </c>
      <c r="J537" s="24" t="s">
        <v>107</v>
      </c>
      <c r="K537" s="28" t="s">
        <v>108</v>
      </c>
      <c r="L537" s="29">
        <v>0</v>
      </c>
      <c r="M537" s="29">
        <v>0</v>
      </c>
      <c r="N537" s="29">
        <v>0.02</v>
      </c>
      <c r="O537" s="27" t="s">
        <v>131</v>
      </c>
      <c r="P537" s="30" t="s">
        <v>131</v>
      </c>
      <c r="Q537" s="31">
        <v>2257385587.2600002</v>
      </c>
      <c r="R537" s="31">
        <v>142938.89000000001</v>
      </c>
      <c r="S537" s="32">
        <v>1.2742E-2</v>
      </c>
      <c r="T537" s="32" t="s">
        <v>139</v>
      </c>
      <c r="U537" s="32">
        <v>3.6499999999999998E-4</v>
      </c>
      <c r="V537" s="32">
        <v>1.457E-3</v>
      </c>
      <c r="W537" s="32">
        <v>4.4029999999999998E-3</v>
      </c>
      <c r="X537" s="32">
        <v>9.0189999999999992E-3</v>
      </c>
      <c r="Y537" s="32">
        <v>1.8582000000000001E-2</v>
      </c>
      <c r="Z537" s="32">
        <v>4.0599999999999997E-2</v>
      </c>
      <c r="AA537" s="32">
        <v>6.7931000000000005E-2</v>
      </c>
      <c r="AB537" s="32">
        <v>0.104342</v>
      </c>
    </row>
    <row r="538" spans="1:28" ht="15.6" customHeight="1" x14ac:dyDescent="0.25">
      <c r="A538" s="24" t="s">
        <v>880</v>
      </c>
      <c r="B538" s="50">
        <v>4170</v>
      </c>
      <c r="C538" s="25" t="s">
        <v>6</v>
      </c>
      <c r="D538" s="25" t="s">
        <v>127</v>
      </c>
      <c r="E538" s="25" t="s">
        <v>194</v>
      </c>
      <c r="F538" s="25" t="s">
        <v>155</v>
      </c>
      <c r="G538" s="26" t="s">
        <v>139</v>
      </c>
      <c r="H538" s="27" t="s">
        <v>156</v>
      </c>
      <c r="I538" s="24" t="s">
        <v>106</v>
      </c>
      <c r="J538" s="24" t="s">
        <v>107</v>
      </c>
      <c r="K538" s="28" t="s">
        <v>108</v>
      </c>
      <c r="L538" s="29">
        <v>0.03</v>
      </c>
      <c r="M538" s="29">
        <v>1.4999999999999999E-2</v>
      </c>
      <c r="N538" s="29">
        <v>0.02</v>
      </c>
      <c r="O538" s="27" t="s">
        <v>131</v>
      </c>
      <c r="P538" s="30" t="s">
        <v>131</v>
      </c>
      <c r="Q538" s="31">
        <v>770719083.87</v>
      </c>
      <c r="R538" s="31">
        <v>257.82</v>
      </c>
      <c r="S538" s="32">
        <v>3.2299999999999998E-3</v>
      </c>
      <c r="T538" s="32" t="s">
        <v>139</v>
      </c>
      <c r="U538" s="32">
        <v>-7.43E-3</v>
      </c>
      <c r="V538" s="32">
        <v>-5.8989999999999997E-3</v>
      </c>
      <c r="W538" s="32">
        <v>2.5170000000000001E-2</v>
      </c>
      <c r="X538" s="32">
        <v>0.108045</v>
      </c>
      <c r="Y538" s="32">
        <v>-0.10838299999999999</v>
      </c>
      <c r="Z538" s="32">
        <v>0.29799100000000001</v>
      </c>
      <c r="AA538" s="32">
        <v>0.62590699999999999</v>
      </c>
      <c r="AB538" s="32">
        <v>0.56226100000000001</v>
      </c>
    </row>
    <row r="539" spans="1:28" ht="15.6" customHeight="1" x14ac:dyDescent="0.25">
      <c r="A539" s="24" t="s">
        <v>881</v>
      </c>
      <c r="B539" s="50">
        <v>4171</v>
      </c>
      <c r="C539" s="25" t="s">
        <v>882</v>
      </c>
      <c r="D539" s="25" t="s">
        <v>127</v>
      </c>
      <c r="E539" s="25" t="s">
        <v>194</v>
      </c>
      <c r="F539" s="25" t="s">
        <v>128</v>
      </c>
      <c r="G539" s="26" t="s">
        <v>250</v>
      </c>
      <c r="H539" s="27" t="s">
        <v>130</v>
      </c>
      <c r="I539" s="24" t="s">
        <v>106</v>
      </c>
      <c r="J539" s="24" t="s">
        <v>107</v>
      </c>
      <c r="K539" s="28" t="s">
        <v>108</v>
      </c>
      <c r="L539" s="29">
        <v>0</v>
      </c>
      <c r="M539" s="29">
        <v>0</v>
      </c>
      <c r="N539" s="29">
        <v>0.02</v>
      </c>
      <c r="O539" s="27" t="s">
        <v>131</v>
      </c>
      <c r="P539" s="30" t="s">
        <v>131</v>
      </c>
      <c r="Q539" s="31">
        <v>6701759242.0100002</v>
      </c>
      <c r="R539" s="31">
        <v>1542.17</v>
      </c>
      <c r="S539" s="32">
        <v>1.9696999999999999E-2</v>
      </c>
      <c r="T539" s="32" t="s">
        <v>139</v>
      </c>
      <c r="U539" s="32">
        <v>-1.36E-4</v>
      </c>
      <c r="V539" s="32">
        <v>2.0400000000000001E-3</v>
      </c>
      <c r="W539" s="32">
        <v>7.1770000000000002E-3</v>
      </c>
      <c r="X539" s="32">
        <v>1.4938999999999999E-2</v>
      </c>
      <c r="Y539" s="32">
        <v>2.6601E-2</v>
      </c>
      <c r="Z539" s="32">
        <v>6.1399000000000002E-2</v>
      </c>
      <c r="AA539" s="32">
        <v>0.103521</v>
      </c>
      <c r="AB539" s="32">
        <v>0.15094199999999999</v>
      </c>
    </row>
    <row r="540" spans="1:28" ht="15.6" customHeight="1" x14ac:dyDescent="0.25">
      <c r="A540" s="24" t="s">
        <v>883</v>
      </c>
      <c r="B540" s="50">
        <v>4172</v>
      </c>
      <c r="C540" s="25" t="s">
        <v>884</v>
      </c>
      <c r="D540" s="25" t="s">
        <v>127</v>
      </c>
      <c r="E540" s="25" t="s">
        <v>194</v>
      </c>
      <c r="F540" s="25" t="s">
        <v>138</v>
      </c>
      <c r="G540" s="26" t="s">
        <v>139</v>
      </c>
      <c r="H540" s="27" t="s">
        <v>885</v>
      </c>
      <c r="I540" s="24" t="s">
        <v>106</v>
      </c>
      <c r="J540" s="24" t="s">
        <v>107</v>
      </c>
      <c r="K540" s="28" t="s">
        <v>108</v>
      </c>
      <c r="L540" s="29">
        <v>0.02</v>
      </c>
      <c r="M540" s="29">
        <v>0.02</v>
      </c>
      <c r="N540" s="29">
        <v>0.02</v>
      </c>
      <c r="O540" s="27" t="s">
        <v>131</v>
      </c>
      <c r="P540" s="30" t="s">
        <v>131</v>
      </c>
      <c r="Q540" s="31">
        <v>2627474541.6199999</v>
      </c>
      <c r="R540" s="31">
        <v>1455.96</v>
      </c>
      <c r="S540" s="32">
        <v>-1.454E-3</v>
      </c>
      <c r="T540" s="32" t="s">
        <v>139</v>
      </c>
      <c r="U540" s="32">
        <v>-3.4499999999999999E-3</v>
      </c>
      <c r="V540" s="32">
        <v>-1.3849999999999999E-3</v>
      </c>
      <c r="W540" s="32">
        <v>1.0262E-2</v>
      </c>
      <c r="X540" s="32">
        <v>4.3587000000000001E-2</v>
      </c>
      <c r="Y540" s="32">
        <v>-5.6306000000000002E-2</v>
      </c>
      <c r="Z540" s="32">
        <v>0.16237799999999999</v>
      </c>
      <c r="AA540" s="32">
        <v>0.337891</v>
      </c>
      <c r="AB540" s="32">
        <v>0.314637</v>
      </c>
    </row>
    <row r="541" spans="1:28" ht="15.6" customHeight="1" x14ac:dyDescent="0.25">
      <c r="A541" s="24" t="s">
        <v>886</v>
      </c>
      <c r="B541" s="50">
        <v>4173</v>
      </c>
      <c r="C541" s="25" t="s">
        <v>887</v>
      </c>
      <c r="D541" s="25" t="s">
        <v>127</v>
      </c>
      <c r="E541" s="25" t="s">
        <v>194</v>
      </c>
      <c r="F541" s="25" t="s">
        <v>138</v>
      </c>
      <c r="G541" s="26" t="s">
        <v>139</v>
      </c>
      <c r="H541" s="27" t="s">
        <v>283</v>
      </c>
      <c r="I541" s="24" t="s">
        <v>106</v>
      </c>
      <c r="J541" s="24" t="s">
        <v>107</v>
      </c>
      <c r="K541" s="28" t="s">
        <v>227</v>
      </c>
      <c r="L541" s="29">
        <v>0.02</v>
      </c>
      <c r="M541" s="29">
        <v>0.02</v>
      </c>
      <c r="N541" s="29">
        <v>0.02</v>
      </c>
      <c r="O541" s="27" t="s">
        <v>131</v>
      </c>
      <c r="P541" s="30" t="s">
        <v>131</v>
      </c>
      <c r="Q541" s="31">
        <v>209791677.46000001</v>
      </c>
      <c r="R541" s="31">
        <v>1490.06</v>
      </c>
      <c r="S541" s="32">
        <v>9.7579999999999993E-3</v>
      </c>
      <c r="T541" s="32" t="s">
        <v>139</v>
      </c>
      <c r="U541" s="32">
        <v>-3.3180000000000002E-3</v>
      </c>
      <c r="V541" s="32">
        <v>-1.575E-3</v>
      </c>
      <c r="W541" s="32">
        <v>1.2241999999999999E-2</v>
      </c>
      <c r="X541" s="32">
        <v>5.0359000000000001E-2</v>
      </c>
      <c r="Y541" s="32">
        <v>-4.0404000000000002E-2</v>
      </c>
      <c r="Z541" s="32">
        <v>0.177922</v>
      </c>
      <c r="AA541" s="32">
        <v>0.35779699999999998</v>
      </c>
      <c r="AB541" s="32">
        <v>0.34483200000000003</v>
      </c>
    </row>
    <row r="542" spans="1:28" ht="15.6" customHeight="1" x14ac:dyDescent="0.25">
      <c r="A542" s="24" t="s">
        <v>888</v>
      </c>
      <c r="B542" s="50">
        <v>4174</v>
      </c>
      <c r="C542" s="25" t="s">
        <v>889</v>
      </c>
      <c r="D542" s="25" t="s">
        <v>127</v>
      </c>
      <c r="E542" s="25" t="s">
        <v>194</v>
      </c>
      <c r="F542" s="25" t="s">
        <v>103</v>
      </c>
      <c r="G542" s="26" t="s">
        <v>216</v>
      </c>
      <c r="H542" s="27" t="s">
        <v>806</v>
      </c>
      <c r="I542" s="24" t="s">
        <v>106</v>
      </c>
      <c r="J542" s="24" t="s">
        <v>107</v>
      </c>
      <c r="K542" s="28" t="s">
        <v>108</v>
      </c>
      <c r="L542" s="29">
        <v>0</v>
      </c>
      <c r="M542" s="29">
        <v>0</v>
      </c>
      <c r="N542" s="29">
        <v>0.02</v>
      </c>
      <c r="O542" s="27" t="s">
        <v>131</v>
      </c>
      <c r="P542" s="30" t="s">
        <v>131</v>
      </c>
      <c r="Q542" s="31">
        <v>231918723.69</v>
      </c>
      <c r="R542" s="31">
        <v>1152.23</v>
      </c>
      <c r="S542" s="32">
        <v>1.3047E-2</v>
      </c>
      <c r="T542" s="32" t="s">
        <v>139</v>
      </c>
      <c r="U542" s="32">
        <v>2.1699999999999999E-4</v>
      </c>
      <c r="V542" s="32">
        <v>1.382E-3</v>
      </c>
      <c r="W542" s="32">
        <v>4.5950000000000001E-3</v>
      </c>
      <c r="X542" s="32">
        <v>9.4439999999999993E-3</v>
      </c>
      <c r="Y542" s="32">
        <v>1.8609000000000001E-2</v>
      </c>
      <c r="Z542" s="32">
        <v>4.1092999999999998E-2</v>
      </c>
      <c r="AA542" s="32">
        <v>7.2271000000000002E-2</v>
      </c>
      <c r="AB542" s="32">
        <v>0.11249199999999999</v>
      </c>
    </row>
    <row r="543" spans="1:28" ht="15.6" customHeight="1" x14ac:dyDescent="0.25">
      <c r="A543" s="24" t="s">
        <v>1611</v>
      </c>
      <c r="B543" s="50">
        <v>4177</v>
      </c>
      <c r="C543" s="25" t="s">
        <v>1612</v>
      </c>
      <c r="D543" s="25" t="s">
        <v>164</v>
      </c>
      <c r="E543" s="25" t="s">
        <v>194</v>
      </c>
      <c r="F543" s="25" t="s">
        <v>155</v>
      </c>
      <c r="G543" s="26" t="s">
        <v>139</v>
      </c>
      <c r="H543" s="27" t="s">
        <v>156</v>
      </c>
      <c r="I543" s="24" t="s">
        <v>998</v>
      </c>
      <c r="J543" s="24" t="s">
        <v>121</v>
      </c>
      <c r="K543" s="28" t="s">
        <v>180</v>
      </c>
      <c r="L543" s="29">
        <v>0</v>
      </c>
      <c r="M543" s="29">
        <v>0</v>
      </c>
      <c r="N543" s="29">
        <v>0.02</v>
      </c>
      <c r="O543" s="27" t="s">
        <v>166</v>
      </c>
      <c r="P543" s="30" t="s">
        <v>627</v>
      </c>
      <c r="Q543" s="31">
        <v>272262250.69999999</v>
      </c>
      <c r="R543" s="31">
        <v>1697.67</v>
      </c>
      <c r="S543" s="32">
        <v>6.9580000000000003E-2</v>
      </c>
      <c r="T543" s="32" t="s">
        <v>139</v>
      </c>
      <c r="U543" s="32">
        <v>-5.3730000000000002E-3</v>
      </c>
      <c r="V543" s="32">
        <v>5.13E-4</v>
      </c>
      <c r="W543" s="32">
        <v>4.1003999999999999E-2</v>
      </c>
      <c r="X543" s="32">
        <v>0.15576599999999999</v>
      </c>
      <c r="Y543" s="32">
        <v>-3.2689000000000003E-2</v>
      </c>
      <c r="Z543" s="32">
        <v>0.37219799999999997</v>
      </c>
      <c r="AA543" s="32">
        <v>0.57247599999999998</v>
      </c>
      <c r="AB543" s="32">
        <v>0.44162200000000001</v>
      </c>
    </row>
    <row r="544" spans="1:28" ht="15.6" customHeight="1" x14ac:dyDescent="0.25">
      <c r="A544" s="24" t="s">
        <v>1613</v>
      </c>
      <c r="B544" s="50">
        <v>4178</v>
      </c>
      <c r="C544" s="25" t="s">
        <v>1614</v>
      </c>
      <c r="D544" s="25" t="s">
        <v>164</v>
      </c>
      <c r="E544" s="25" t="s">
        <v>194</v>
      </c>
      <c r="F544" s="25" t="s">
        <v>138</v>
      </c>
      <c r="G544" s="26" t="s">
        <v>139</v>
      </c>
      <c r="H544" s="27" t="s">
        <v>1615</v>
      </c>
      <c r="I544" s="24" t="s">
        <v>998</v>
      </c>
      <c r="J544" s="24" t="s">
        <v>121</v>
      </c>
      <c r="K544" s="28" t="s">
        <v>108</v>
      </c>
      <c r="L544" s="29">
        <v>0.03</v>
      </c>
      <c r="M544" s="29">
        <v>1.4999999999999999E-2</v>
      </c>
      <c r="N544" s="29">
        <v>0.02</v>
      </c>
      <c r="O544" s="27" t="s">
        <v>166</v>
      </c>
      <c r="P544" s="30" t="s">
        <v>164</v>
      </c>
      <c r="Q544" s="31">
        <v>252072096.59</v>
      </c>
      <c r="R544" s="31">
        <v>1359.65</v>
      </c>
      <c r="S544" s="32">
        <v>4.6560999999999998E-2</v>
      </c>
      <c r="T544" s="32" t="s">
        <v>139</v>
      </c>
      <c r="U544" s="32">
        <v>-5.6899999999999997E-3</v>
      </c>
      <c r="V544" s="32">
        <v>1.6720000000000001E-3</v>
      </c>
      <c r="W544" s="32">
        <v>1.8090999999999999E-2</v>
      </c>
      <c r="X544" s="32">
        <v>7.0404999999999995E-2</v>
      </c>
      <c r="Y544" s="32">
        <v>5.0489999999999997E-3</v>
      </c>
      <c r="Z544" s="32">
        <v>0.21270600000000001</v>
      </c>
      <c r="AA544" s="32">
        <v>0.33556999999999998</v>
      </c>
      <c r="AB544" s="32">
        <v>0.34978300000000001</v>
      </c>
    </row>
    <row r="545" spans="1:28" ht="15.6" customHeight="1" x14ac:dyDescent="0.25">
      <c r="A545" s="24" t="s">
        <v>890</v>
      </c>
      <c r="B545" s="50">
        <v>4181</v>
      </c>
      <c r="C545" s="25" t="s">
        <v>891</v>
      </c>
      <c r="D545" s="25" t="s">
        <v>101</v>
      </c>
      <c r="E545" s="25" t="s">
        <v>194</v>
      </c>
      <c r="F545" s="25" t="s">
        <v>103</v>
      </c>
      <c r="G545" s="26" t="s">
        <v>244</v>
      </c>
      <c r="H545" s="27" t="s">
        <v>337</v>
      </c>
      <c r="I545" s="24" t="s">
        <v>106</v>
      </c>
      <c r="J545" s="24" t="s">
        <v>107</v>
      </c>
      <c r="K545" s="28" t="s">
        <v>108</v>
      </c>
      <c r="L545" s="29">
        <v>0</v>
      </c>
      <c r="M545" s="29">
        <v>0</v>
      </c>
      <c r="N545" s="29">
        <v>0.02</v>
      </c>
      <c r="O545" s="27" t="s">
        <v>109</v>
      </c>
      <c r="P545" s="30" t="s">
        <v>101</v>
      </c>
      <c r="Q545" s="31">
        <v>594374350.75999999</v>
      </c>
      <c r="R545" s="31">
        <v>14671.84</v>
      </c>
      <c r="S545" s="32">
        <v>1.4756999999999999E-2</v>
      </c>
      <c r="T545" s="32" t="s">
        <v>139</v>
      </c>
      <c r="U545" s="32">
        <v>1.2300000000000001E-4</v>
      </c>
      <c r="V545" s="32">
        <v>1.621E-3</v>
      </c>
      <c r="W545" s="32">
        <v>5.5240000000000003E-3</v>
      </c>
      <c r="X545" s="32">
        <v>1.1233E-2</v>
      </c>
      <c r="Y545" s="32">
        <v>2.0756E-2</v>
      </c>
      <c r="Z545" s="32">
        <v>4.5248999999999998E-2</v>
      </c>
      <c r="AA545" s="32">
        <v>7.5088000000000002E-2</v>
      </c>
      <c r="AB545" s="32">
        <v>0.10954700000000001</v>
      </c>
    </row>
    <row r="546" spans="1:28" ht="15.6" customHeight="1" x14ac:dyDescent="0.25">
      <c r="A546" s="24" t="s">
        <v>1616</v>
      </c>
      <c r="B546" s="50">
        <v>4182</v>
      </c>
      <c r="C546" s="25" t="s">
        <v>1617</v>
      </c>
      <c r="D546" s="25" t="s">
        <v>101</v>
      </c>
      <c r="E546" s="25" t="s">
        <v>194</v>
      </c>
      <c r="F546" s="25" t="s">
        <v>113</v>
      </c>
      <c r="G546" s="26" t="s">
        <v>151</v>
      </c>
      <c r="H546" s="27" t="s">
        <v>839</v>
      </c>
      <c r="I546" s="24" t="s">
        <v>998</v>
      </c>
      <c r="J546" s="24" t="s">
        <v>107</v>
      </c>
      <c r="K546" s="28" t="s">
        <v>227</v>
      </c>
      <c r="L546" s="29">
        <v>0</v>
      </c>
      <c r="M546" s="29">
        <v>0</v>
      </c>
      <c r="N546" s="29">
        <v>0.02</v>
      </c>
      <c r="O546" s="27" t="s">
        <v>109</v>
      </c>
      <c r="P546" s="30" t="s">
        <v>101</v>
      </c>
      <c r="Q546" s="31">
        <v>70429895.739999995</v>
      </c>
      <c r="R546" s="31">
        <v>16024.98</v>
      </c>
      <c r="S546" s="32">
        <v>1.6899999999999999E-4</v>
      </c>
      <c r="T546" s="32" t="s">
        <v>139</v>
      </c>
      <c r="U546" s="32">
        <v>-6.3900000000000003E-4</v>
      </c>
      <c r="V546" s="32">
        <v>1.4779999999999999E-3</v>
      </c>
      <c r="W546" s="32">
        <v>7.2719999999999998E-3</v>
      </c>
      <c r="X546" s="32">
        <v>9.8289999999999992E-3</v>
      </c>
      <c r="Y546" s="32">
        <v>-8.9619999999999995E-3</v>
      </c>
      <c r="Z546" s="32">
        <v>5.5604000000000001E-2</v>
      </c>
      <c r="AA546" s="32">
        <v>0.128745</v>
      </c>
      <c r="AB546" s="32">
        <v>8.5935999999999998E-2</v>
      </c>
    </row>
    <row r="547" spans="1:28" ht="15.6" customHeight="1" x14ac:dyDescent="0.25">
      <c r="A547" s="24" t="s">
        <v>1618</v>
      </c>
      <c r="B547" s="50">
        <v>4183</v>
      </c>
      <c r="C547" s="25" t="s">
        <v>1619</v>
      </c>
      <c r="D547" s="25" t="s">
        <v>101</v>
      </c>
      <c r="E547" s="25" t="s">
        <v>194</v>
      </c>
      <c r="F547" s="25" t="s">
        <v>113</v>
      </c>
      <c r="G547" s="26" t="s">
        <v>198</v>
      </c>
      <c r="H547" s="27" t="s">
        <v>120</v>
      </c>
      <c r="I547" s="24" t="s">
        <v>998</v>
      </c>
      <c r="J547" s="24" t="s">
        <v>107</v>
      </c>
      <c r="K547" s="28" t="s">
        <v>108</v>
      </c>
      <c r="L547" s="29">
        <v>0</v>
      </c>
      <c r="M547" s="29">
        <v>0</v>
      </c>
      <c r="N547" s="29">
        <v>0.02</v>
      </c>
      <c r="O547" s="27" t="s">
        <v>109</v>
      </c>
      <c r="P547" s="30" t="s">
        <v>101</v>
      </c>
      <c r="Q547" s="31">
        <v>53780258.390000001</v>
      </c>
      <c r="R547" s="31">
        <v>19238.79</v>
      </c>
      <c r="S547" s="32">
        <v>1.0540000000000001E-2</v>
      </c>
      <c r="T547" s="32" t="s">
        <v>139</v>
      </c>
      <c r="U547" s="32">
        <v>-1.7669999999999999E-3</v>
      </c>
      <c r="V547" s="32">
        <v>2.0699999999999998E-3</v>
      </c>
      <c r="W547" s="32">
        <v>5.2919999999999998E-3</v>
      </c>
      <c r="X547" s="32">
        <v>1.0729000000000001E-2</v>
      </c>
      <c r="Y547" s="32">
        <v>1.1868999999999999E-2</v>
      </c>
      <c r="Z547" s="32">
        <v>5.2691000000000002E-2</v>
      </c>
      <c r="AA547" s="32">
        <v>0.103618</v>
      </c>
      <c r="AB547" s="32">
        <v>0.11314</v>
      </c>
    </row>
    <row r="548" spans="1:28" ht="15.6" customHeight="1" x14ac:dyDescent="0.25">
      <c r="A548" s="24" t="s">
        <v>892</v>
      </c>
      <c r="B548" s="50">
        <v>4184</v>
      </c>
      <c r="C548" s="25" t="s">
        <v>893</v>
      </c>
      <c r="D548" s="25" t="s">
        <v>101</v>
      </c>
      <c r="E548" s="25" t="s">
        <v>194</v>
      </c>
      <c r="F548" s="25" t="s">
        <v>128</v>
      </c>
      <c r="G548" s="26" t="s">
        <v>289</v>
      </c>
      <c r="H548" s="27" t="s">
        <v>130</v>
      </c>
      <c r="I548" s="24" t="s">
        <v>106</v>
      </c>
      <c r="J548" s="24" t="s">
        <v>107</v>
      </c>
      <c r="K548" s="28" t="s">
        <v>108</v>
      </c>
      <c r="L548" s="29">
        <v>0</v>
      </c>
      <c r="M548" s="29">
        <v>0</v>
      </c>
      <c r="N548" s="29">
        <v>0.02</v>
      </c>
      <c r="O548" s="27" t="s">
        <v>109</v>
      </c>
      <c r="P548" s="30" t="s">
        <v>101</v>
      </c>
      <c r="Q548" s="31">
        <v>988179714.34000003</v>
      </c>
      <c r="R548" s="31">
        <v>126.59</v>
      </c>
      <c r="S548" s="32">
        <v>1.7031999999999999E-2</v>
      </c>
      <c r="T548" s="32" t="s">
        <v>139</v>
      </c>
      <c r="U548" s="32">
        <v>-7.8999999999999996E-5</v>
      </c>
      <c r="V548" s="32">
        <v>1.8990000000000001E-3</v>
      </c>
      <c r="W548" s="32">
        <v>6.6800000000000002E-3</v>
      </c>
      <c r="X548" s="32">
        <v>1.3206000000000001E-2</v>
      </c>
      <c r="Y548" s="32">
        <v>2.3446000000000002E-2</v>
      </c>
      <c r="Z548" s="32">
        <v>5.6412999999999998E-2</v>
      </c>
      <c r="AA548" s="32">
        <v>9.5543000000000003E-2</v>
      </c>
      <c r="AB548" s="32">
        <v>0.13259399999999999</v>
      </c>
    </row>
    <row r="549" spans="1:28" ht="15.6" customHeight="1" x14ac:dyDescent="0.25">
      <c r="A549" s="24" t="s">
        <v>894</v>
      </c>
      <c r="B549" s="50">
        <v>4185</v>
      </c>
      <c r="C549" s="25" t="s">
        <v>895</v>
      </c>
      <c r="D549" s="25" t="s">
        <v>101</v>
      </c>
      <c r="E549" s="25" t="s">
        <v>194</v>
      </c>
      <c r="F549" s="25" t="s">
        <v>138</v>
      </c>
      <c r="G549" s="26" t="s">
        <v>139</v>
      </c>
      <c r="H549" s="27" t="s">
        <v>896</v>
      </c>
      <c r="I549" s="24" t="s">
        <v>106</v>
      </c>
      <c r="J549" s="24" t="s">
        <v>107</v>
      </c>
      <c r="K549" s="28" t="s">
        <v>108</v>
      </c>
      <c r="L549" s="29">
        <v>2E-3</v>
      </c>
      <c r="M549" s="29">
        <v>9.0000000000000011E-3</v>
      </c>
      <c r="N549" s="29">
        <v>0.02</v>
      </c>
      <c r="O549" s="27" t="s">
        <v>109</v>
      </c>
      <c r="P549" s="30" t="s">
        <v>101</v>
      </c>
      <c r="Q549" s="31">
        <v>204142005.16</v>
      </c>
      <c r="R549" s="31">
        <v>15662.4</v>
      </c>
      <c r="S549" s="32">
        <v>-1.6108000000000001E-2</v>
      </c>
      <c r="T549" s="32" t="s">
        <v>139</v>
      </c>
      <c r="U549" s="32">
        <v>-3.6589999999999999E-3</v>
      </c>
      <c r="V549" s="32">
        <v>1.9000000000000001E-4</v>
      </c>
      <c r="W549" s="32">
        <v>1.6229E-2</v>
      </c>
      <c r="X549" s="32">
        <v>2.7807999999999999E-2</v>
      </c>
      <c r="Y549" s="32">
        <v>-5.3309000000000002E-2</v>
      </c>
      <c r="Z549" s="32">
        <v>5.0561000000000002E-2</v>
      </c>
      <c r="AA549" s="32">
        <v>0.140098</v>
      </c>
      <c r="AB549" s="32">
        <v>0.117589</v>
      </c>
    </row>
    <row r="550" spans="1:28" ht="15.6" customHeight="1" x14ac:dyDescent="0.25">
      <c r="A550" s="24" t="s">
        <v>1620</v>
      </c>
      <c r="B550" s="50">
        <v>4186</v>
      </c>
      <c r="C550" s="25" t="s">
        <v>1621</v>
      </c>
      <c r="D550" s="25" t="s">
        <v>101</v>
      </c>
      <c r="E550" s="25" t="s">
        <v>194</v>
      </c>
      <c r="F550" s="25" t="s">
        <v>138</v>
      </c>
      <c r="G550" s="26" t="s">
        <v>139</v>
      </c>
      <c r="H550" s="27" t="s">
        <v>1622</v>
      </c>
      <c r="I550" s="24" t="s">
        <v>998</v>
      </c>
      <c r="J550" s="24" t="s">
        <v>107</v>
      </c>
      <c r="K550" s="28" t="s">
        <v>227</v>
      </c>
      <c r="L550" s="29">
        <v>0.03</v>
      </c>
      <c r="M550" s="29">
        <v>1.4999999999999999E-2</v>
      </c>
      <c r="N550" s="29">
        <v>0.02</v>
      </c>
      <c r="O550" s="27" t="s">
        <v>109</v>
      </c>
      <c r="P550" s="30" t="s">
        <v>101</v>
      </c>
      <c r="Q550" s="31">
        <v>133681813.42</v>
      </c>
      <c r="R550" s="31">
        <v>15619.53</v>
      </c>
      <c r="S550" s="32">
        <v>-3.7009999999999999E-3</v>
      </c>
      <c r="T550" s="32" t="s">
        <v>139</v>
      </c>
      <c r="U550" s="32">
        <v>-3.6489999999999999E-3</v>
      </c>
      <c r="V550" s="32">
        <v>1.0399999999999999E-4</v>
      </c>
      <c r="W550" s="32">
        <v>5.7330000000000002E-3</v>
      </c>
      <c r="X550" s="32">
        <v>6.8259999999999996E-3</v>
      </c>
      <c r="Y550" s="32">
        <v>-6.3749999999999996E-3</v>
      </c>
      <c r="Z550" s="32">
        <v>7.7936000000000005E-2</v>
      </c>
      <c r="AA550" s="32">
        <v>0.163164</v>
      </c>
      <c r="AB550" s="32">
        <v>0.16083900000000001</v>
      </c>
    </row>
    <row r="551" spans="1:28" ht="15.6" customHeight="1" x14ac:dyDescent="0.25">
      <c r="A551" s="24" t="s">
        <v>897</v>
      </c>
      <c r="B551" s="50">
        <v>4187</v>
      </c>
      <c r="C551" s="25" t="s">
        <v>898</v>
      </c>
      <c r="D551" s="25" t="s">
        <v>101</v>
      </c>
      <c r="E551" s="25" t="s">
        <v>194</v>
      </c>
      <c r="F551" s="25" t="s">
        <v>155</v>
      </c>
      <c r="G551" s="26" t="s">
        <v>139</v>
      </c>
      <c r="H551" s="27" t="s">
        <v>156</v>
      </c>
      <c r="I551" s="24" t="s">
        <v>106</v>
      </c>
      <c r="J551" s="24" t="s">
        <v>107</v>
      </c>
      <c r="K551" s="28" t="s">
        <v>108</v>
      </c>
      <c r="L551" s="29">
        <v>2E-3</v>
      </c>
      <c r="M551" s="29">
        <v>1E-3</v>
      </c>
      <c r="N551" s="29">
        <v>0.02</v>
      </c>
      <c r="O551" s="27" t="s">
        <v>109</v>
      </c>
      <c r="P551" s="30" t="s">
        <v>101</v>
      </c>
      <c r="Q551" s="31">
        <v>238892127.83000001</v>
      </c>
      <c r="R551" s="31">
        <v>23107.42</v>
      </c>
      <c r="S551" s="32">
        <v>-2.5699999999999998E-3</v>
      </c>
      <c r="T551" s="32" t="s">
        <v>139</v>
      </c>
      <c r="U551" s="32">
        <v>-4.5329999999999997E-3</v>
      </c>
      <c r="V551" s="32">
        <v>-2.3830000000000001E-3</v>
      </c>
      <c r="W551" s="32">
        <v>4.1428E-2</v>
      </c>
      <c r="X551" s="32">
        <v>9.1581999999999997E-2</v>
      </c>
      <c r="Y551" s="32">
        <v>-9.9090999999999999E-2</v>
      </c>
      <c r="Z551" s="32">
        <v>0.30351800000000001</v>
      </c>
      <c r="AA551" s="32">
        <v>0.55205000000000004</v>
      </c>
      <c r="AB551" s="32">
        <v>0.49693300000000001</v>
      </c>
    </row>
    <row r="552" spans="1:28" ht="15.6" customHeight="1" x14ac:dyDescent="0.25">
      <c r="A552" s="24" t="s">
        <v>1623</v>
      </c>
      <c r="B552" s="50">
        <v>4188</v>
      </c>
      <c r="C552" s="25" t="s">
        <v>1624</v>
      </c>
      <c r="D552" s="25" t="s">
        <v>101</v>
      </c>
      <c r="E552" s="25" t="s">
        <v>194</v>
      </c>
      <c r="F552" s="25" t="s">
        <v>155</v>
      </c>
      <c r="G552" s="26" t="s">
        <v>139</v>
      </c>
      <c r="H552" s="27" t="s">
        <v>156</v>
      </c>
      <c r="I552" s="24" t="s">
        <v>998</v>
      </c>
      <c r="J552" s="24" t="s">
        <v>107</v>
      </c>
      <c r="K552" s="28" t="s">
        <v>180</v>
      </c>
      <c r="L552" s="29">
        <v>2E-3</v>
      </c>
      <c r="M552" s="29">
        <v>1E-3</v>
      </c>
      <c r="N552" s="29">
        <v>0.02</v>
      </c>
      <c r="O552" s="27" t="s">
        <v>109</v>
      </c>
      <c r="P552" s="30" t="s">
        <v>101</v>
      </c>
      <c r="Q552" s="31">
        <v>260830481.13</v>
      </c>
      <c r="R552" s="31">
        <v>16066.84</v>
      </c>
      <c r="S552" s="32">
        <v>3.359E-3</v>
      </c>
      <c r="T552" s="32" t="s">
        <v>139</v>
      </c>
      <c r="U552" s="32">
        <v>-1.1596E-2</v>
      </c>
      <c r="V552" s="32">
        <v>-1.1159000000000001E-2</v>
      </c>
      <c r="W552" s="32">
        <v>2.5683999999999998E-2</v>
      </c>
      <c r="X552" s="32">
        <v>0.107196</v>
      </c>
      <c r="Y552" s="32">
        <v>-7.9937999999999995E-2</v>
      </c>
      <c r="Z552" s="32">
        <v>0.17289299999999999</v>
      </c>
      <c r="AA552" s="32">
        <v>0.31799899999999998</v>
      </c>
      <c r="AB552" s="32">
        <v>0.26314500000000002</v>
      </c>
    </row>
    <row r="553" spans="1:28" ht="15.6" customHeight="1" x14ac:dyDescent="0.25">
      <c r="A553" s="24" t="s">
        <v>899</v>
      </c>
      <c r="B553" s="50">
        <v>4189</v>
      </c>
      <c r="C553" s="25" t="s">
        <v>900</v>
      </c>
      <c r="D553" s="25" t="s">
        <v>101</v>
      </c>
      <c r="E553" s="25" t="s">
        <v>194</v>
      </c>
      <c r="F553" s="25" t="s">
        <v>103</v>
      </c>
      <c r="G553" s="26" t="s">
        <v>392</v>
      </c>
      <c r="H553" s="27" t="s">
        <v>217</v>
      </c>
      <c r="I553" s="24" t="s">
        <v>106</v>
      </c>
      <c r="J553" s="24" t="s">
        <v>107</v>
      </c>
      <c r="K553" s="28" t="s">
        <v>108</v>
      </c>
      <c r="L553" s="29">
        <v>0</v>
      </c>
      <c r="M553" s="29">
        <v>0</v>
      </c>
      <c r="N553" s="29">
        <v>0.02</v>
      </c>
      <c r="O553" s="27" t="s">
        <v>109</v>
      </c>
      <c r="P553" s="30" t="s">
        <v>101</v>
      </c>
      <c r="Q553" s="31">
        <v>255556176.03999999</v>
      </c>
      <c r="R553" s="31">
        <v>146474.20000000001</v>
      </c>
      <c r="S553" s="32">
        <v>1.7947000000000001E-2</v>
      </c>
      <c r="T553" s="32" t="s">
        <v>139</v>
      </c>
      <c r="U553" s="32">
        <v>1.83E-4</v>
      </c>
      <c r="V553" s="32">
        <v>1.6429999999999999E-3</v>
      </c>
      <c r="W553" s="32">
        <v>6.6350000000000003E-3</v>
      </c>
      <c r="X553" s="32">
        <v>1.3979E-2</v>
      </c>
      <c r="Y553" s="32">
        <v>2.5586000000000001E-2</v>
      </c>
      <c r="Z553" s="32">
        <v>5.3491999999999998E-2</v>
      </c>
      <c r="AA553" s="32">
        <v>8.3223000000000005E-2</v>
      </c>
      <c r="AB553" s="32">
        <v>0.11726200000000001</v>
      </c>
    </row>
    <row r="554" spans="1:28" ht="15.6" customHeight="1" x14ac:dyDescent="0.25">
      <c r="A554" s="24" t="s">
        <v>901</v>
      </c>
      <c r="B554" s="50">
        <v>4193</v>
      </c>
      <c r="C554" s="25" t="s">
        <v>902</v>
      </c>
      <c r="D554" s="25" t="s">
        <v>127</v>
      </c>
      <c r="E554" s="25" t="s">
        <v>194</v>
      </c>
      <c r="F554" s="25" t="s">
        <v>103</v>
      </c>
      <c r="G554" s="26" t="s">
        <v>392</v>
      </c>
      <c r="H554" s="27" t="s">
        <v>903</v>
      </c>
      <c r="I554" s="24" t="s">
        <v>106</v>
      </c>
      <c r="J554" s="24" t="s">
        <v>107</v>
      </c>
      <c r="K554" s="28" t="s">
        <v>108</v>
      </c>
      <c r="L554" s="29">
        <v>0.02</v>
      </c>
      <c r="M554" s="29">
        <v>0.02</v>
      </c>
      <c r="N554" s="29">
        <v>0.02</v>
      </c>
      <c r="O554" s="27" t="s">
        <v>131</v>
      </c>
      <c r="P554" s="30" t="s">
        <v>131</v>
      </c>
      <c r="Q554" s="31">
        <v>132322213.92</v>
      </c>
      <c r="R554" s="31">
        <v>1177</v>
      </c>
      <c r="S554" s="32">
        <v>1.3572000000000001E-2</v>
      </c>
      <c r="T554" s="32" t="s">
        <v>139</v>
      </c>
      <c r="U554" s="32">
        <v>1.44E-4</v>
      </c>
      <c r="V554" s="32">
        <v>1.395E-3</v>
      </c>
      <c r="W554" s="32">
        <v>4.7980000000000002E-3</v>
      </c>
      <c r="X554" s="32">
        <v>1.0083999999999999E-2</v>
      </c>
      <c r="Y554" s="32">
        <v>1.9092000000000001E-2</v>
      </c>
      <c r="Z554" s="32">
        <v>4.0792000000000002E-2</v>
      </c>
      <c r="AA554" s="32">
        <v>7.0028999999999994E-2</v>
      </c>
      <c r="AB554" s="32">
        <v>0.136353</v>
      </c>
    </row>
    <row r="555" spans="1:28" ht="15.6" customHeight="1" x14ac:dyDescent="0.25">
      <c r="A555" s="24" t="s">
        <v>1625</v>
      </c>
      <c r="B555" s="50">
        <v>4194</v>
      </c>
      <c r="C555" s="25" t="s">
        <v>1626</v>
      </c>
      <c r="D555" s="25" t="s">
        <v>127</v>
      </c>
      <c r="E555" s="25" t="s">
        <v>194</v>
      </c>
      <c r="F555" s="25" t="s">
        <v>113</v>
      </c>
      <c r="G555" s="26" t="s">
        <v>1627</v>
      </c>
      <c r="H555" s="27" t="s">
        <v>115</v>
      </c>
      <c r="I555" s="24" t="s">
        <v>998</v>
      </c>
      <c r="J555" s="24" t="s">
        <v>107</v>
      </c>
      <c r="K555" s="28" t="s">
        <v>108</v>
      </c>
      <c r="L555" s="29">
        <v>0.03</v>
      </c>
      <c r="M555" s="29">
        <v>0.03</v>
      </c>
      <c r="N555" s="29">
        <v>0.02</v>
      </c>
      <c r="O555" s="27" t="s">
        <v>131</v>
      </c>
      <c r="P555" s="30" t="s">
        <v>131</v>
      </c>
      <c r="Q555" s="31">
        <v>1346071.13</v>
      </c>
      <c r="R555" s="31">
        <v>1136.4000000000001</v>
      </c>
      <c r="S555" s="32">
        <v>9.1819999999999992E-3</v>
      </c>
      <c r="T555" s="32" t="s">
        <v>139</v>
      </c>
      <c r="U555" s="32">
        <v>-8.0900000000000004E-4</v>
      </c>
      <c r="V555" s="32">
        <v>1.5330000000000001E-3</v>
      </c>
      <c r="W555" s="32">
        <v>4.6860000000000001E-3</v>
      </c>
      <c r="X555" s="32">
        <v>9.0390000000000002E-3</v>
      </c>
      <c r="Y555" s="32">
        <v>9.8729999999999998E-3</v>
      </c>
      <c r="Z555" s="32">
        <v>4.7739999999999998E-2</v>
      </c>
      <c r="AA555" s="32">
        <v>9.5884999999999998E-2</v>
      </c>
      <c r="AB555" s="32">
        <v>0.134324</v>
      </c>
    </row>
    <row r="556" spans="1:28" ht="15.6" customHeight="1" x14ac:dyDescent="0.25">
      <c r="A556" s="24" t="s">
        <v>1628</v>
      </c>
      <c r="B556" s="50">
        <v>4195</v>
      </c>
      <c r="C556" s="25" t="s">
        <v>1629</v>
      </c>
      <c r="D556" s="25" t="s">
        <v>127</v>
      </c>
      <c r="E556" s="25" t="s">
        <v>194</v>
      </c>
      <c r="F556" s="25" t="s">
        <v>155</v>
      </c>
      <c r="G556" s="26" t="s">
        <v>139</v>
      </c>
      <c r="H556" s="27" t="s">
        <v>156</v>
      </c>
      <c r="I556" s="24" t="s">
        <v>998</v>
      </c>
      <c r="J556" s="24" t="s">
        <v>107</v>
      </c>
      <c r="K556" s="28" t="s">
        <v>108</v>
      </c>
      <c r="L556" s="29">
        <v>0.03</v>
      </c>
      <c r="M556" s="29">
        <v>0.03</v>
      </c>
      <c r="N556" s="29">
        <v>0.02</v>
      </c>
      <c r="O556" s="27" t="s">
        <v>131</v>
      </c>
      <c r="P556" s="30" t="s">
        <v>131</v>
      </c>
      <c r="Q556" s="31">
        <v>144634302.93000001</v>
      </c>
      <c r="R556" s="31">
        <v>167.02</v>
      </c>
      <c r="S556" s="32">
        <v>-1.1599E-2</v>
      </c>
      <c r="T556" s="32" t="s">
        <v>139</v>
      </c>
      <c r="U556" s="32">
        <v>-1.2942E-2</v>
      </c>
      <c r="V556" s="32">
        <v>-1.2942E-2</v>
      </c>
      <c r="W556" s="32">
        <v>5.7200000000000003E-3</v>
      </c>
      <c r="X556" s="32">
        <v>8.8503999999999999E-2</v>
      </c>
      <c r="Y556" s="32">
        <v>-0.123623</v>
      </c>
      <c r="Z556" s="32">
        <v>0.28674899999999998</v>
      </c>
      <c r="AA556" s="32">
        <v>0.64551700000000001</v>
      </c>
      <c r="AB556" s="32">
        <v>0.64002400000000004</v>
      </c>
    </row>
    <row r="557" spans="1:28" ht="15.6" customHeight="1" x14ac:dyDescent="0.25">
      <c r="A557" s="24" t="s">
        <v>904</v>
      </c>
      <c r="B557" s="50">
        <v>4196</v>
      </c>
      <c r="C557" s="25" t="s">
        <v>905</v>
      </c>
      <c r="D557" s="25" t="s">
        <v>127</v>
      </c>
      <c r="E557" s="25" t="s">
        <v>194</v>
      </c>
      <c r="F557" s="25" t="s">
        <v>103</v>
      </c>
      <c r="G557" s="26" t="s">
        <v>216</v>
      </c>
      <c r="H557" s="27" t="s">
        <v>188</v>
      </c>
      <c r="I557" s="24" t="s">
        <v>106</v>
      </c>
      <c r="J557" s="24" t="s">
        <v>107</v>
      </c>
      <c r="K557" s="28" t="s">
        <v>227</v>
      </c>
      <c r="L557" s="29">
        <v>0.02</v>
      </c>
      <c r="M557" s="29">
        <v>0.06</v>
      </c>
      <c r="N557" s="29">
        <v>5.0000000000000001E-3</v>
      </c>
      <c r="O557" s="27" t="s">
        <v>131</v>
      </c>
      <c r="P557" s="30" t="s">
        <v>131</v>
      </c>
      <c r="Q557" s="31">
        <v>106120469.48999999</v>
      </c>
      <c r="R557" s="31">
        <v>1018.93</v>
      </c>
      <c r="S557" s="32">
        <v>-1.1534000000000001E-2</v>
      </c>
      <c r="T557" s="32" t="s">
        <v>139</v>
      </c>
      <c r="U557" s="32">
        <v>2.1599999999999999E-4</v>
      </c>
      <c r="V557" s="32">
        <v>1.6019999999999999E-3</v>
      </c>
      <c r="W557" s="32">
        <v>-2.1219999999999999E-2</v>
      </c>
      <c r="X557" s="32">
        <v>-1.5640999999999999E-2</v>
      </c>
      <c r="Y557" s="32">
        <v>-5.1549999999999999E-3</v>
      </c>
      <c r="Z557" s="32">
        <v>2.1763000000000001E-2</v>
      </c>
      <c r="AA557" s="32">
        <v>5.4698999999999998E-2</v>
      </c>
      <c r="AB557" s="32" t="s">
        <v>139</v>
      </c>
    </row>
    <row r="558" spans="1:28" ht="15.6" customHeight="1" x14ac:dyDescent="0.25">
      <c r="A558" s="24" t="s">
        <v>906</v>
      </c>
      <c r="B558" s="50">
        <v>4197</v>
      </c>
      <c r="C558" s="25" t="s">
        <v>907</v>
      </c>
      <c r="D558" s="25" t="s">
        <v>908</v>
      </c>
      <c r="E558" s="25" t="s">
        <v>194</v>
      </c>
      <c r="F558" s="25" t="s">
        <v>155</v>
      </c>
      <c r="G558" s="26" t="s">
        <v>139</v>
      </c>
      <c r="H558" s="27" t="s">
        <v>139</v>
      </c>
      <c r="I558" s="24" t="s">
        <v>106</v>
      </c>
      <c r="J558" s="24" t="s">
        <v>107</v>
      </c>
      <c r="K558" s="28" t="s">
        <v>227</v>
      </c>
      <c r="L558" s="29">
        <v>5.0000000000000001E-3</v>
      </c>
      <c r="M558" s="29">
        <v>5.0000000000000001E-3</v>
      </c>
      <c r="N558" s="29">
        <v>0.02</v>
      </c>
      <c r="O558" s="27" t="s">
        <v>166</v>
      </c>
      <c r="P558" s="30" t="s">
        <v>908</v>
      </c>
      <c r="Q558" s="31">
        <v>200618665.21000001</v>
      </c>
      <c r="R558" s="31">
        <v>155.6</v>
      </c>
      <c r="S558" s="32">
        <v>8.0556000000000003E-2</v>
      </c>
      <c r="T558" s="32" t="s">
        <v>139</v>
      </c>
      <c r="U558" s="32">
        <v>-5.2420000000000001E-3</v>
      </c>
      <c r="V558" s="32">
        <v>8.3600000000000005E-4</v>
      </c>
      <c r="W558" s="32">
        <v>4.8587999999999999E-2</v>
      </c>
      <c r="X558" s="32">
        <v>0.132378</v>
      </c>
      <c r="Y558" s="32">
        <v>-1.3566999999999999E-2</v>
      </c>
      <c r="Z558" s="32">
        <v>0.47744300000000001</v>
      </c>
      <c r="AA558" s="32">
        <v>0.70340499999999995</v>
      </c>
      <c r="AB558" s="32" t="s">
        <v>139</v>
      </c>
    </row>
    <row r="559" spans="1:28" ht="15.6" customHeight="1" x14ac:dyDescent="0.25">
      <c r="A559" s="24" t="s">
        <v>1630</v>
      </c>
      <c r="B559" s="50">
        <v>4198</v>
      </c>
      <c r="C559" s="25" t="s">
        <v>1631</v>
      </c>
      <c r="D559" s="25" t="s">
        <v>908</v>
      </c>
      <c r="E559" s="25" t="s">
        <v>194</v>
      </c>
      <c r="F559" s="25" t="s">
        <v>155</v>
      </c>
      <c r="G559" s="26" t="s">
        <v>139</v>
      </c>
      <c r="H559" s="27" t="s">
        <v>156</v>
      </c>
      <c r="I559" s="24" t="s">
        <v>998</v>
      </c>
      <c r="J559" s="24" t="s">
        <v>107</v>
      </c>
      <c r="K559" s="28" t="s">
        <v>108</v>
      </c>
      <c r="L559" s="29">
        <v>0.02</v>
      </c>
      <c r="M559" s="29">
        <v>1.4999999999999999E-2</v>
      </c>
      <c r="N559" s="29">
        <v>0.02</v>
      </c>
      <c r="O559" s="27" t="s">
        <v>262</v>
      </c>
      <c r="P559" s="30" t="s">
        <v>908</v>
      </c>
      <c r="Q559" s="31">
        <v>1525689972.5799999</v>
      </c>
      <c r="R559" s="31">
        <v>4563.91</v>
      </c>
      <c r="S559" s="32">
        <v>7.2944999999999996E-2</v>
      </c>
      <c r="T559" s="32" t="s">
        <v>139</v>
      </c>
      <c r="U559" s="32">
        <v>7.6300000000000001E-4</v>
      </c>
      <c r="V559" s="32">
        <v>4.7619999999999997E-3</v>
      </c>
      <c r="W559" s="32">
        <v>4.5365999999999997E-2</v>
      </c>
      <c r="X559" s="32">
        <v>0.12501599999999999</v>
      </c>
      <c r="Y559" s="32">
        <v>-1.8942000000000001E-2</v>
      </c>
      <c r="Z559" s="32">
        <v>0.43131599999999998</v>
      </c>
      <c r="AA559" s="32">
        <v>0.72543400000000002</v>
      </c>
      <c r="AB559" s="32">
        <v>0.65476000000000001</v>
      </c>
    </row>
    <row r="560" spans="1:28" ht="15.6" customHeight="1" x14ac:dyDescent="0.25">
      <c r="A560" s="24" t="s">
        <v>909</v>
      </c>
      <c r="B560" s="50">
        <v>4199</v>
      </c>
      <c r="C560" s="25" t="s">
        <v>910</v>
      </c>
      <c r="D560" s="25" t="s">
        <v>908</v>
      </c>
      <c r="E560" s="25" t="s">
        <v>194</v>
      </c>
      <c r="F560" s="25" t="s">
        <v>103</v>
      </c>
      <c r="G560" s="26" t="s">
        <v>104</v>
      </c>
      <c r="H560" s="27" t="s">
        <v>139</v>
      </c>
      <c r="I560" s="24" t="s">
        <v>106</v>
      </c>
      <c r="J560" s="24" t="s">
        <v>107</v>
      </c>
      <c r="K560" s="28" t="s">
        <v>108</v>
      </c>
      <c r="L560" s="29">
        <v>0</v>
      </c>
      <c r="M560" s="29">
        <v>0</v>
      </c>
      <c r="N560" s="29">
        <v>6.5000000000000006E-3</v>
      </c>
      <c r="O560" s="27" t="s">
        <v>262</v>
      </c>
      <c r="P560" s="30" t="s">
        <v>908</v>
      </c>
      <c r="Q560" s="31">
        <v>249010955.16</v>
      </c>
      <c r="R560" s="31">
        <v>1550.23</v>
      </c>
      <c r="S560" s="32">
        <v>1.6577999999999999E-2</v>
      </c>
      <c r="T560" s="32" t="s">
        <v>139</v>
      </c>
      <c r="U560" s="32">
        <v>1.1E-4</v>
      </c>
      <c r="V560" s="32">
        <v>1.5759999999999999E-3</v>
      </c>
      <c r="W560" s="32">
        <v>5.7679999999999997E-3</v>
      </c>
      <c r="X560" s="32">
        <v>1.2057999999999999E-2</v>
      </c>
      <c r="Y560" s="32">
        <v>2.3692999999999999E-2</v>
      </c>
      <c r="Z560" s="32">
        <v>5.2095000000000002E-2</v>
      </c>
      <c r="AA560" s="32">
        <v>8.6309999999999998E-2</v>
      </c>
      <c r="AB560" s="32">
        <v>0.13063900000000001</v>
      </c>
    </row>
    <row r="561" spans="1:28" ht="15.6" customHeight="1" x14ac:dyDescent="0.25">
      <c r="A561" s="24" t="s">
        <v>1632</v>
      </c>
      <c r="B561" s="50">
        <v>4200</v>
      </c>
      <c r="C561" s="25" t="s">
        <v>1633</v>
      </c>
      <c r="D561" s="25" t="s">
        <v>908</v>
      </c>
      <c r="E561" s="25" t="s">
        <v>194</v>
      </c>
      <c r="F561" s="25" t="s">
        <v>138</v>
      </c>
      <c r="G561" s="26" t="s">
        <v>139</v>
      </c>
      <c r="H561" s="27" t="s">
        <v>1282</v>
      </c>
      <c r="I561" s="24" t="s">
        <v>998</v>
      </c>
      <c r="J561" s="24" t="s">
        <v>107</v>
      </c>
      <c r="K561" s="28" t="s">
        <v>227</v>
      </c>
      <c r="L561" s="29">
        <v>0.03</v>
      </c>
      <c r="M561" s="29">
        <v>0.03</v>
      </c>
      <c r="N561" s="29">
        <v>0.02</v>
      </c>
      <c r="O561" s="27" t="s">
        <v>262</v>
      </c>
      <c r="P561" s="30" t="s">
        <v>908</v>
      </c>
      <c r="Q561" s="31">
        <v>2060543827.47</v>
      </c>
      <c r="R561" s="31">
        <v>2188.79</v>
      </c>
      <c r="S561" s="32">
        <v>4.2728000000000002E-2</v>
      </c>
      <c r="T561" s="32" t="s">
        <v>139</v>
      </c>
      <c r="U561" s="32">
        <v>-1.2179999999999999E-3</v>
      </c>
      <c r="V561" s="32">
        <v>3.1350000000000002E-3</v>
      </c>
      <c r="W561" s="32">
        <v>2.4656999999999998E-2</v>
      </c>
      <c r="X561" s="32">
        <v>6.8057000000000006E-2</v>
      </c>
      <c r="Y561" s="32">
        <v>-4.2849999999999997E-3</v>
      </c>
      <c r="Z561" s="32">
        <v>0.24662700000000001</v>
      </c>
      <c r="AA561" s="32">
        <v>0.43153599999999998</v>
      </c>
      <c r="AB561" s="32">
        <v>0.41406599999999999</v>
      </c>
    </row>
    <row r="562" spans="1:28" ht="15.6" customHeight="1" x14ac:dyDescent="0.25">
      <c r="A562" s="24" t="s">
        <v>1634</v>
      </c>
      <c r="B562" s="50">
        <v>4201</v>
      </c>
      <c r="C562" s="25" t="s">
        <v>1635</v>
      </c>
      <c r="D562" s="25" t="s">
        <v>908</v>
      </c>
      <c r="E562" s="25" t="s">
        <v>194</v>
      </c>
      <c r="F562" s="25" t="s">
        <v>113</v>
      </c>
      <c r="G562" s="26" t="s">
        <v>1160</v>
      </c>
      <c r="H562" s="27" t="s">
        <v>839</v>
      </c>
      <c r="I562" s="24" t="s">
        <v>998</v>
      </c>
      <c r="J562" s="24" t="s">
        <v>107</v>
      </c>
      <c r="K562" s="28" t="s">
        <v>108</v>
      </c>
      <c r="L562" s="29">
        <v>5.0000000000000001E-3</v>
      </c>
      <c r="M562" s="29">
        <v>2.5000000000000001E-3</v>
      </c>
      <c r="N562" s="29">
        <v>9.0000000000000011E-3</v>
      </c>
      <c r="O562" s="27" t="s">
        <v>262</v>
      </c>
      <c r="P562" s="30" t="s">
        <v>908</v>
      </c>
      <c r="Q562" s="31">
        <v>22976461.969999999</v>
      </c>
      <c r="R562" s="31">
        <v>1841.97</v>
      </c>
      <c r="S562" s="32">
        <v>3.7160000000000001E-3</v>
      </c>
      <c r="T562" s="32" t="s">
        <v>139</v>
      </c>
      <c r="U562" s="32">
        <v>-8.9999999999999998E-4</v>
      </c>
      <c r="V562" s="32">
        <v>1.92E-3</v>
      </c>
      <c r="W562" s="32">
        <v>6.2170000000000003E-3</v>
      </c>
      <c r="X562" s="32">
        <v>8.3320000000000009E-3</v>
      </c>
      <c r="Y562" s="32">
        <v>1.9910000000000001E-3</v>
      </c>
      <c r="Z562" s="32">
        <v>8.3040000000000003E-2</v>
      </c>
      <c r="AA562" s="32">
        <v>0.178929</v>
      </c>
      <c r="AB562" s="32">
        <v>0.21337100000000001</v>
      </c>
    </row>
    <row r="563" spans="1:28" ht="15.6" customHeight="1" x14ac:dyDescent="0.25">
      <c r="A563" s="24" t="s">
        <v>911</v>
      </c>
      <c r="B563" s="50">
        <v>4202</v>
      </c>
      <c r="C563" s="25" t="s">
        <v>912</v>
      </c>
      <c r="D563" s="25" t="s">
        <v>908</v>
      </c>
      <c r="E563" s="25" t="s">
        <v>194</v>
      </c>
      <c r="F563" s="25" t="s">
        <v>128</v>
      </c>
      <c r="G563" s="26" t="s">
        <v>913</v>
      </c>
      <c r="H563" s="27" t="s">
        <v>130</v>
      </c>
      <c r="I563" s="24" t="s">
        <v>106</v>
      </c>
      <c r="J563" s="24" t="s">
        <v>107</v>
      </c>
      <c r="K563" s="28" t="s">
        <v>108</v>
      </c>
      <c r="L563" s="29">
        <v>0</v>
      </c>
      <c r="M563" s="29">
        <v>0</v>
      </c>
      <c r="N563" s="29">
        <v>0.02</v>
      </c>
      <c r="O563" s="27" t="s">
        <v>262</v>
      </c>
      <c r="P563" s="30" t="s">
        <v>908</v>
      </c>
      <c r="Q563" s="31">
        <v>210116297.66</v>
      </c>
      <c r="R563" s="31">
        <v>1362.67</v>
      </c>
      <c r="S563" s="32">
        <v>1.7905000000000001E-2</v>
      </c>
      <c r="T563" s="32" t="s">
        <v>139</v>
      </c>
      <c r="U563" s="32">
        <v>-1.3899999999999999E-4</v>
      </c>
      <c r="V563" s="32">
        <v>1.9040000000000001E-3</v>
      </c>
      <c r="W563" s="32">
        <v>6.5970000000000004E-3</v>
      </c>
      <c r="X563" s="32">
        <v>1.3650000000000001E-2</v>
      </c>
      <c r="Y563" s="32">
        <v>2.5041999999999998E-2</v>
      </c>
      <c r="Z563" s="32">
        <v>6.0088999999999997E-2</v>
      </c>
      <c r="AA563" s="32">
        <v>0.102743</v>
      </c>
      <c r="AB563" s="32">
        <v>0.15034</v>
      </c>
    </row>
    <row r="564" spans="1:28" ht="15.6" customHeight="1" x14ac:dyDescent="0.25">
      <c r="A564" s="24" t="s">
        <v>1636</v>
      </c>
      <c r="B564" s="50">
        <v>4203</v>
      </c>
      <c r="C564" s="25" t="s">
        <v>1637</v>
      </c>
      <c r="D564" s="25" t="s">
        <v>908</v>
      </c>
      <c r="E564" s="25" t="s">
        <v>194</v>
      </c>
      <c r="F564" s="25" t="s">
        <v>113</v>
      </c>
      <c r="G564" s="26" t="s">
        <v>1572</v>
      </c>
      <c r="H564" s="27" t="s">
        <v>327</v>
      </c>
      <c r="I564" s="24" t="s">
        <v>998</v>
      </c>
      <c r="J564" s="24" t="s">
        <v>107</v>
      </c>
      <c r="K564" s="28" t="s">
        <v>108</v>
      </c>
      <c r="L564" s="29">
        <v>0.03</v>
      </c>
      <c r="M564" s="29">
        <v>0.03</v>
      </c>
      <c r="N564" s="29">
        <v>0.02</v>
      </c>
      <c r="O564" s="27" t="s">
        <v>262</v>
      </c>
      <c r="P564" s="30" t="s">
        <v>908</v>
      </c>
      <c r="Q564" s="31">
        <v>228769158.21000001</v>
      </c>
      <c r="R564" s="31">
        <v>1539.35</v>
      </c>
      <c r="S564" s="32">
        <v>-4.8000000000000001E-4</v>
      </c>
      <c r="T564" s="32" t="s">
        <v>139</v>
      </c>
      <c r="U564" s="32">
        <v>-1.751E-3</v>
      </c>
      <c r="V564" s="32">
        <v>1.9139999999999999E-3</v>
      </c>
      <c r="W564" s="32">
        <v>4.1549999999999998E-3</v>
      </c>
      <c r="X564" s="32">
        <v>4.8170000000000001E-3</v>
      </c>
      <c r="Y564" s="32">
        <v>-5.5170000000000002E-3</v>
      </c>
      <c r="Z564" s="32">
        <v>6.2675999999999996E-2</v>
      </c>
      <c r="AA564" s="32">
        <v>0.15395300000000001</v>
      </c>
      <c r="AB564" s="32">
        <v>0.194304</v>
      </c>
    </row>
    <row r="565" spans="1:28" ht="15.6" customHeight="1" x14ac:dyDescent="0.25">
      <c r="A565" s="24" t="s">
        <v>914</v>
      </c>
      <c r="B565" s="50">
        <v>4204</v>
      </c>
      <c r="C565" s="25" t="s">
        <v>915</v>
      </c>
      <c r="D565" s="25" t="s">
        <v>350</v>
      </c>
      <c r="E565" s="25" t="s">
        <v>194</v>
      </c>
      <c r="F565" s="25" t="s">
        <v>103</v>
      </c>
      <c r="G565" s="26" t="s">
        <v>392</v>
      </c>
      <c r="H565" s="27" t="s">
        <v>188</v>
      </c>
      <c r="I565" s="24" t="s">
        <v>106</v>
      </c>
      <c r="J565" s="24" t="s">
        <v>107</v>
      </c>
      <c r="K565" s="28" t="s">
        <v>108</v>
      </c>
      <c r="L565" s="29">
        <v>0.03</v>
      </c>
      <c r="M565" s="29">
        <v>0.03</v>
      </c>
      <c r="N565" s="29">
        <v>0.02</v>
      </c>
      <c r="O565" s="27" t="s">
        <v>262</v>
      </c>
      <c r="P565" s="30" t="s">
        <v>350</v>
      </c>
      <c r="Q565" s="31">
        <v>275366851.17000002</v>
      </c>
      <c r="R565" s="31">
        <v>126.36</v>
      </c>
      <c r="S565" s="32">
        <v>1.5511E-2</v>
      </c>
      <c r="T565" s="32" t="s">
        <v>139</v>
      </c>
      <c r="U565" s="32">
        <v>1.5799999999999999E-4</v>
      </c>
      <c r="V565" s="32">
        <v>1.665E-3</v>
      </c>
      <c r="W565" s="32">
        <v>5.5710000000000004E-3</v>
      </c>
      <c r="X565" s="32">
        <v>1.1608E-2</v>
      </c>
      <c r="Y565" s="32">
        <v>2.1503999999999999E-2</v>
      </c>
      <c r="Z565" s="32">
        <v>4.8196000000000003E-2</v>
      </c>
      <c r="AA565" s="32">
        <v>8.2683999999999994E-2</v>
      </c>
      <c r="AB565" s="32">
        <v>0.126605</v>
      </c>
    </row>
    <row r="566" spans="1:28" ht="15.6" customHeight="1" x14ac:dyDescent="0.25">
      <c r="A566" s="24" t="s">
        <v>916</v>
      </c>
      <c r="B566" s="50">
        <v>4205</v>
      </c>
      <c r="C566" s="25" t="s">
        <v>917</v>
      </c>
      <c r="D566" s="25" t="s">
        <v>350</v>
      </c>
      <c r="E566" s="25" t="s">
        <v>194</v>
      </c>
      <c r="F566" s="25" t="s">
        <v>103</v>
      </c>
      <c r="G566" s="26" t="s">
        <v>392</v>
      </c>
      <c r="H566" s="27" t="s">
        <v>188</v>
      </c>
      <c r="I566" s="24" t="s">
        <v>106</v>
      </c>
      <c r="J566" s="24" t="s">
        <v>107</v>
      </c>
      <c r="K566" s="28" t="s">
        <v>108</v>
      </c>
      <c r="L566" s="29">
        <v>0.03</v>
      </c>
      <c r="M566" s="29">
        <v>0.03</v>
      </c>
      <c r="N566" s="29">
        <v>0.02</v>
      </c>
      <c r="O566" s="27" t="s">
        <v>262</v>
      </c>
      <c r="P566" s="30" t="s">
        <v>350</v>
      </c>
      <c r="Q566" s="31">
        <v>1035998311.23</v>
      </c>
      <c r="R566" s="31">
        <v>123.58</v>
      </c>
      <c r="S566" s="32">
        <v>1.7118999999999999E-2</v>
      </c>
      <c r="T566" s="32" t="s">
        <v>139</v>
      </c>
      <c r="U566" s="32">
        <v>1.6200000000000001E-4</v>
      </c>
      <c r="V566" s="32">
        <v>1.702E-3</v>
      </c>
      <c r="W566" s="32">
        <v>5.9420000000000002E-3</v>
      </c>
      <c r="X566" s="32">
        <v>1.2370000000000001E-2</v>
      </c>
      <c r="Y566" s="32">
        <v>2.4029999999999999E-2</v>
      </c>
      <c r="Z566" s="32">
        <v>5.2282000000000002E-2</v>
      </c>
      <c r="AA566" s="32">
        <v>8.7086999999999998E-2</v>
      </c>
      <c r="AB566" s="32">
        <v>0.131271</v>
      </c>
    </row>
    <row r="567" spans="1:28" ht="15.6" customHeight="1" x14ac:dyDescent="0.25">
      <c r="A567" s="24" t="s">
        <v>918</v>
      </c>
      <c r="B567" s="50">
        <v>4206</v>
      </c>
      <c r="C567" s="25" t="s">
        <v>919</v>
      </c>
      <c r="D567" s="25" t="s">
        <v>350</v>
      </c>
      <c r="E567" s="25" t="s">
        <v>194</v>
      </c>
      <c r="F567" s="25" t="s">
        <v>128</v>
      </c>
      <c r="G567" s="26" t="s">
        <v>289</v>
      </c>
      <c r="H567" s="27" t="s">
        <v>130</v>
      </c>
      <c r="I567" s="24" t="s">
        <v>106</v>
      </c>
      <c r="J567" s="24" t="s">
        <v>107</v>
      </c>
      <c r="K567" s="28" t="s">
        <v>108</v>
      </c>
      <c r="L567" s="29">
        <v>0.03</v>
      </c>
      <c r="M567" s="29">
        <v>0.03</v>
      </c>
      <c r="N567" s="29">
        <v>0.02</v>
      </c>
      <c r="O567" s="27" t="s">
        <v>262</v>
      </c>
      <c r="P567" s="30" t="s">
        <v>350</v>
      </c>
      <c r="Q567" s="31">
        <v>1168366852.1099999</v>
      </c>
      <c r="R567" s="31">
        <v>125.76</v>
      </c>
      <c r="S567" s="32">
        <v>1.8630000000000001E-2</v>
      </c>
      <c r="T567" s="32" t="s">
        <v>139</v>
      </c>
      <c r="U567" s="32">
        <v>-8.0000000000000007E-5</v>
      </c>
      <c r="V567" s="32">
        <v>1.8320000000000001E-3</v>
      </c>
      <c r="W567" s="32">
        <v>6.6439999999999997E-3</v>
      </c>
      <c r="X567" s="32">
        <v>1.4030000000000001E-2</v>
      </c>
      <c r="Y567" s="32">
        <v>2.5021999999999999E-2</v>
      </c>
      <c r="Z567" s="32">
        <v>5.7606999999999998E-2</v>
      </c>
      <c r="AA567" s="32">
        <v>9.7191E-2</v>
      </c>
      <c r="AB567" s="32">
        <v>0.14410500000000001</v>
      </c>
    </row>
    <row r="568" spans="1:28" ht="15.6" customHeight="1" x14ac:dyDescent="0.25">
      <c r="A568" s="24" t="s">
        <v>1638</v>
      </c>
      <c r="B568" s="50">
        <v>4207</v>
      </c>
      <c r="C568" s="25" t="s">
        <v>1639</v>
      </c>
      <c r="D568" s="25" t="s">
        <v>350</v>
      </c>
      <c r="E568" s="25" t="s">
        <v>194</v>
      </c>
      <c r="F568" s="25" t="s">
        <v>113</v>
      </c>
      <c r="G568" s="26" t="s">
        <v>1640</v>
      </c>
      <c r="H568" s="27" t="s">
        <v>1641</v>
      </c>
      <c r="I568" s="24" t="s">
        <v>998</v>
      </c>
      <c r="J568" s="24" t="s">
        <v>107</v>
      </c>
      <c r="K568" s="28" t="s">
        <v>108</v>
      </c>
      <c r="L568" s="29">
        <v>0.03</v>
      </c>
      <c r="M568" s="29">
        <v>0.03</v>
      </c>
      <c r="N568" s="29">
        <v>0.02</v>
      </c>
      <c r="O568" s="27" t="s">
        <v>262</v>
      </c>
      <c r="P568" s="30" t="s">
        <v>350</v>
      </c>
      <c r="Q568" s="31">
        <v>1279085737.1500001</v>
      </c>
      <c r="R568" s="31">
        <v>137.43</v>
      </c>
      <c r="S568" s="32">
        <v>-3.5530000000000002E-3</v>
      </c>
      <c r="T568" s="32" t="s">
        <v>139</v>
      </c>
      <c r="U568" s="32">
        <v>-1.235E-3</v>
      </c>
      <c r="V568" s="32">
        <v>1.8220000000000001E-3</v>
      </c>
      <c r="W568" s="32">
        <v>3.5049999999999999E-3</v>
      </c>
      <c r="X568" s="32">
        <v>3.6519999999999999E-3</v>
      </c>
      <c r="Y568" s="32">
        <v>-7.8689999999999993E-3</v>
      </c>
      <c r="Z568" s="32">
        <v>6.8912000000000001E-2</v>
      </c>
      <c r="AA568" s="32">
        <v>0.168821</v>
      </c>
      <c r="AB568" s="32">
        <v>0.149561</v>
      </c>
    </row>
    <row r="569" spans="1:28" ht="15.6" customHeight="1" x14ac:dyDescent="0.25">
      <c r="A569" s="24" t="s">
        <v>1642</v>
      </c>
      <c r="B569" s="50">
        <v>4208</v>
      </c>
      <c r="C569" s="25" t="s">
        <v>1643</v>
      </c>
      <c r="D569" s="25" t="s">
        <v>350</v>
      </c>
      <c r="E569" s="25" t="s">
        <v>194</v>
      </c>
      <c r="F569" s="25" t="s">
        <v>138</v>
      </c>
      <c r="G569" s="26" t="s">
        <v>139</v>
      </c>
      <c r="H569" s="27" t="s">
        <v>757</v>
      </c>
      <c r="I569" s="24" t="s">
        <v>998</v>
      </c>
      <c r="J569" s="24" t="s">
        <v>107</v>
      </c>
      <c r="K569" s="28" t="s">
        <v>108</v>
      </c>
      <c r="L569" s="29">
        <v>0.03</v>
      </c>
      <c r="M569" s="29">
        <v>0.03</v>
      </c>
      <c r="N569" s="29">
        <v>0.02</v>
      </c>
      <c r="O569" s="27" t="s">
        <v>262</v>
      </c>
      <c r="P569" s="30" t="s">
        <v>350</v>
      </c>
      <c r="Q569" s="31">
        <v>1379267713.45</v>
      </c>
      <c r="R569" s="31">
        <v>150.94</v>
      </c>
      <c r="S569" s="32">
        <v>1.3155999999999999E-2</v>
      </c>
      <c r="T569" s="32" t="s">
        <v>139</v>
      </c>
      <c r="U569" s="32">
        <v>-3.3019999999999998E-3</v>
      </c>
      <c r="V569" s="32">
        <v>-2.6499999999999999E-4</v>
      </c>
      <c r="W569" s="32">
        <v>2.3045E-2</v>
      </c>
      <c r="X569" s="32">
        <v>6.0940000000000001E-2</v>
      </c>
      <c r="Y569" s="32">
        <v>-4.5770999999999999E-2</v>
      </c>
      <c r="Z569" s="32">
        <v>0.203572</v>
      </c>
      <c r="AA569" s="32">
        <v>0.384517</v>
      </c>
      <c r="AB569" s="32">
        <v>0.35311500000000001</v>
      </c>
    </row>
    <row r="570" spans="1:28" ht="15.6" customHeight="1" x14ac:dyDescent="0.25">
      <c r="A570" s="24" t="s">
        <v>1644</v>
      </c>
      <c r="B570" s="50">
        <v>4209</v>
      </c>
      <c r="C570" s="25" t="s">
        <v>1645</v>
      </c>
      <c r="D570" s="25" t="s">
        <v>350</v>
      </c>
      <c r="E570" s="25" t="s">
        <v>194</v>
      </c>
      <c r="F570" s="25" t="s">
        <v>155</v>
      </c>
      <c r="G570" s="26" t="s">
        <v>139</v>
      </c>
      <c r="H570" s="27" t="s">
        <v>1099</v>
      </c>
      <c r="I570" s="24" t="s">
        <v>998</v>
      </c>
      <c r="J570" s="24" t="s">
        <v>107</v>
      </c>
      <c r="K570" s="28" t="s">
        <v>108</v>
      </c>
      <c r="L570" s="29">
        <v>0.03</v>
      </c>
      <c r="M570" s="29">
        <v>1.4999999999999999E-2</v>
      </c>
      <c r="N570" s="29">
        <v>0.02</v>
      </c>
      <c r="O570" s="27" t="s">
        <v>262</v>
      </c>
      <c r="P570" s="30" t="s">
        <v>350</v>
      </c>
      <c r="Q570" s="31">
        <v>139033126.61000001</v>
      </c>
      <c r="R570" s="31">
        <v>239.19</v>
      </c>
      <c r="S570" s="32">
        <v>2.3009999999999999E-2</v>
      </c>
      <c r="T570" s="32" t="s">
        <v>139</v>
      </c>
      <c r="U570" s="32">
        <v>-5.1570000000000001E-3</v>
      </c>
      <c r="V570" s="32">
        <v>-3.333E-3</v>
      </c>
      <c r="W570" s="32">
        <v>4.3541000000000003E-2</v>
      </c>
      <c r="X570" s="32">
        <v>0.111891</v>
      </c>
      <c r="Y570" s="32">
        <v>-6.9045999999999996E-2</v>
      </c>
      <c r="Z570" s="32">
        <v>0.35780000000000001</v>
      </c>
      <c r="AA570" s="32">
        <v>0.64970000000000006</v>
      </c>
      <c r="AB570" s="32">
        <v>0.64166100000000004</v>
      </c>
    </row>
    <row r="571" spans="1:28" ht="15.6" customHeight="1" x14ac:dyDescent="0.25">
      <c r="A571" s="24" t="s">
        <v>1646</v>
      </c>
      <c r="B571" s="50">
        <v>4210</v>
      </c>
      <c r="C571" s="25" t="s">
        <v>1647</v>
      </c>
      <c r="D571" s="25" t="s">
        <v>350</v>
      </c>
      <c r="E571" s="25" t="s">
        <v>194</v>
      </c>
      <c r="F571" s="25" t="s">
        <v>113</v>
      </c>
      <c r="G571" s="26" t="s">
        <v>1168</v>
      </c>
      <c r="H571" s="27" t="s">
        <v>152</v>
      </c>
      <c r="I571" s="24" t="s">
        <v>998</v>
      </c>
      <c r="J571" s="24" t="s">
        <v>121</v>
      </c>
      <c r="K571" s="28" t="s">
        <v>108</v>
      </c>
      <c r="L571" s="29">
        <v>0.03</v>
      </c>
      <c r="M571" s="29">
        <v>1.4999999999999999E-2</v>
      </c>
      <c r="N571" s="29">
        <v>0.02</v>
      </c>
      <c r="O571" s="27" t="s">
        <v>548</v>
      </c>
      <c r="P571" s="30" t="s">
        <v>350</v>
      </c>
      <c r="Q571" s="31">
        <v>2828323142.4000001</v>
      </c>
      <c r="R571" s="31">
        <v>256490.71</v>
      </c>
      <c r="S571" s="32">
        <v>3.4600000000000001E-4</v>
      </c>
      <c r="T571" s="32" t="s">
        <v>139</v>
      </c>
      <c r="U571" s="32">
        <v>-1.6440000000000001E-3</v>
      </c>
      <c r="V571" s="32">
        <v>1.957E-3</v>
      </c>
      <c r="W571" s="32">
        <v>6.8409999999999999E-3</v>
      </c>
      <c r="X571" s="32">
        <v>1.1606E-2</v>
      </c>
      <c r="Y571" s="32">
        <v>-1.1629E-2</v>
      </c>
      <c r="Z571" s="32">
        <v>8.4439E-2</v>
      </c>
      <c r="AA571" s="32">
        <v>0.18529100000000001</v>
      </c>
      <c r="AB571" s="32">
        <v>0.33086500000000002</v>
      </c>
    </row>
    <row r="572" spans="1:28" ht="15.6" customHeight="1" x14ac:dyDescent="0.25">
      <c r="A572" s="24" t="s">
        <v>920</v>
      </c>
      <c r="B572" s="50">
        <v>4211</v>
      </c>
      <c r="C572" s="25" t="s">
        <v>921</v>
      </c>
      <c r="D572" s="25" t="s">
        <v>164</v>
      </c>
      <c r="E572" s="25" t="s">
        <v>194</v>
      </c>
      <c r="F572" s="25" t="s">
        <v>138</v>
      </c>
      <c r="G572" s="26" t="s">
        <v>139</v>
      </c>
      <c r="H572" s="27" t="s">
        <v>922</v>
      </c>
      <c r="I572" s="24" t="s">
        <v>106</v>
      </c>
      <c r="J572" s="24" t="s">
        <v>107</v>
      </c>
      <c r="K572" s="28" t="s">
        <v>180</v>
      </c>
      <c r="L572" s="29">
        <v>0.02</v>
      </c>
      <c r="M572" s="29">
        <v>0.02</v>
      </c>
      <c r="N572" s="29">
        <v>0.02</v>
      </c>
      <c r="O572" s="27" t="s">
        <v>166</v>
      </c>
      <c r="P572" s="30" t="s">
        <v>627</v>
      </c>
      <c r="Q572" s="31">
        <v>2621141.37</v>
      </c>
      <c r="R572" s="31">
        <v>153.65</v>
      </c>
      <c r="S572" s="32">
        <v>5.0382999999999997E-2</v>
      </c>
      <c r="T572" s="32" t="s">
        <v>139</v>
      </c>
      <c r="U572" s="32">
        <v>-4.1479999999999998E-3</v>
      </c>
      <c r="V572" s="32">
        <v>4.8390000000000004E-3</v>
      </c>
      <c r="W572" s="32">
        <v>2.9343000000000001E-2</v>
      </c>
      <c r="X572" s="32">
        <v>9.8283999999999996E-2</v>
      </c>
      <c r="Y572" s="32">
        <v>-5.4790000000000004E-3</v>
      </c>
      <c r="Z572" s="32">
        <v>0.27504000000000001</v>
      </c>
      <c r="AA572" s="32">
        <v>0.44506400000000002</v>
      </c>
      <c r="AB572" s="32" t="s">
        <v>139</v>
      </c>
    </row>
    <row r="573" spans="1:28" ht="15.6" customHeight="1" x14ac:dyDescent="0.25">
      <c r="A573" s="24" t="s">
        <v>923</v>
      </c>
      <c r="B573" s="50">
        <v>4212</v>
      </c>
      <c r="C573" s="25" t="s">
        <v>924</v>
      </c>
      <c r="D573" s="25" t="s">
        <v>164</v>
      </c>
      <c r="E573" s="25" t="s">
        <v>194</v>
      </c>
      <c r="F573" s="25" t="s">
        <v>113</v>
      </c>
      <c r="G573" s="26" t="s">
        <v>925</v>
      </c>
      <c r="H573" s="27" t="s">
        <v>120</v>
      </c>
      <c r="I573" s="24" t="s">
        <v>106</v>
      </c>
      <c r="J573" s="24" t="s">
        <v>107</v>
      </c>
      <c r="K573" s="28" t="s">
        <v>108</v>
      </c>
      <c r="L573" s="29">
        <v>0.03</v>
      </c>
      <c r="M573" s="29">
        <v>0.03</v>
      </c>
      <c r="N573" s="29">
        <v>0.02</v>
      </c>
      <c r="O573" s="27" t="s">
        <v>166</v>
      </c>
      <c r="P573" s="30" t="s">
        <v>627</v>
      </c>
      <c r="Q573" s="31">
        <v>371345840.61000001</v>
      </c>
      <c r="R573" s="31">
        <v>109.04</v>
      </c>
      <c r="S573" s="32">
        <v>-2.013E-3</v>
      </c>
      <c r="T573" s="32" t="s">
        <v>139</v>
      </c>
      <c r="U573" s="32">
        <v>-1.9220000000000001E-3</v>
      </c>
      <c r="V573" s="32">
        <v>2.114E-3</v>
      </c>
      <c r="W573" s="32">
        <v>-3.2910000000000001E-3</v>
      </c>
      <c r="X573" s="32">
        <v>-1.4649999999999999E-3</v>
      </c>
      <c r="Y573" s="32">
        <v>-1.281E-3</v>
      </c>
      <c r="Z573" s="32">
        <v>3.3654000000000003E-2</v>
      </c>
      <c r="AA573" s="32">
        <v>8.9303999999999994E-2</v>
      </c>
      <c r="AB573" s="32" t="s">
        <v>139</v>
      </c>
    </row>
    <row r="574" spans="1:28" ht="15.6" customHeight="1" x14ac:dyDescent="0.25">
      <c r="A574" s="24" t="s">
        <v>1648</v>
      </c>
      <c r="B574" s="50">
        <v>4213</v>
      </c>
      <c r="C574" s="25" t="s">
        <v>12</v>
      </c>
      <c r="D574" s="25" t="s">
        <v>164</v>
      </c>
      <c r="E574" s="25" t="s">
        <v>194</v>
      </c>
      <c r="F574" s="25" t="s">
        <v>155</v>
      </c>
      <c r="G574" s="26" t="s">
        <v>139</v>
      </c>
      <c r="H574" s="27" t="s">
        <v>1649</v>
      </c>
      <c r="I574" s="24" t="s">
        <v>998</v>
      </c>
      <c r="J574" s="24" t="s">
        <v>107</v>
      </c>
      <c r="K574" s="28" t="s">
        <v>108</v>
      </c>
      <c r="L574" s="29">
        <v>0.02</v>
      </c>
      <c r="M574" s="29">
        <v>0.02</v>
      </c>
      <c r="N574" s="29">
        <v>0.02</v>
      </c>
      <c r="O574" s="27" t="s">
        <v>166</v>
      </c>
      <c r="P574" s="30" t="s">
        <v>627</v>
      </c>
      <c r="Q574" s="31">
        <v>314880394.12</v>
      </c>
      <c r="R574" s="31">
        <v>188.7</v>
      </c>
      <c r="S574" s="32">
        <v>7.9025999999999999E-2</v>
      </c>
      <c r="T574" s="32" t="s">
        <v>139</v>
      </c>
      <c r="U574" s="32">
        <v>2.0179999999999998E-3</v>
      </c>
      <c r="V574" s="32">
        <v>6.8300000000000001E-3</v>
      </c>
      <c r="W574" s="32">
        <v>4.8741E-2</v>
      </c>
      <c r="X574" s="32">
        <v>0.144816</v>
      </c>
      <c r="Y574" s="32">
        <v>-2.9021000000000002E-2</v>
      </c>
      <c r="Z574" s="32">
        <v>0.40401799999999999</v>
      </c>
      <c r="AA574" s="32">
        <v>0.65686199999999995</v>
      </c>
      <c r="AB574" s="32" t="s">
        <v>139</v>
      </c>
    </row>
    <row r="575" spans="1:28" ht="15.6" customHeight="1" x14ac:dyDescent="0.25">
      <c r="A575" s="24" t="s">
        <v>926</v>
      </c>
      <c r="B575" s="50">
        <v>4214</v>
      </c>
      <c r="C575" s="25" t="s">
        <v>927</v>
      </c>
      <c r="D575" s="25" t="s">
        <v>164</v>
      </c>
      <c r="E575" s="25" t="s">
        <v>194</v>
      </c>
      <c r="F575" s="25" t="s">
        <v>361</v>
      </c>
      <c r="G575" s="26" t="s">
        <v>139</v>
      </c>
      <c r="H575" s="27" t="s">
        <v>188</v>
      </c>
      <c r="I575" s="24" t="s">
        <v>106</v>
      </c>
      <c r="J575" s="24" t="s">
        <v>107</v>
      </c>
      <c r="K575" s="28" t="s">
        <v>108</v>
      </c>
      <c r="L575" s="29">
        <v>0</v>
      </c>
      <c r="M575" s="29">
        <v>0</v>
      </c>
      <c r="N575" s="29">
        <v>1.5E-3</v>
      </c>
      <c r="O575" s="27" t="s">
        <v>166</v>
      </c>
      <c r="P575" s="30" t="s">
        <v>164</v>
      </c>
      <c r="Q575" s="31">
        <v>4321925634.5</v>
      </c>
      <c r="R575" s="31">
        <v>1091.32</v>
      </c>
      <c r="S575" s="32">
        <v>1.3370999999999999E-2</v>
      </c>
      <c r="T575" s="32" t="s">
        <v>139</v>
      </c>
      <c r="U575" s="32">
        <v>3.9399999999999998E-4</v>
      </c>
      <c r="V575" s="32">
        <v>1.4959999999999999E-3</v>
      </c>
      <c r="W575" s="32">
        <v>4.8060000000000004E-3</v>
      </c>
      <c r="X575" s="32">
        <v>9.5560000000000003E-3</v>
      </c>
      <c r="Y575" s="32">
        <v>1.9220000000000001E-2</v>
      </c>
      <c r="Z575" s="32">
        <v>4.1276E-2</v>
      </c>
      <c r="AA575" s="32">
        <v>6.9817000000000004E-2</v>
      </c>
      <c r="AB575" s="32" t="s">
        <v>139</v>
      </c>
    </row>
    <row r="576" spans="1:28" ht="15.6" customHeight="1" x14ac:dyDescent="0.25">
      <c r="A576" s="24" t="s">
        <v>928</v>
      </c>
      <c r="B576" s="50">
        <v>4215</v>
      </c>
      <c r="C576" s="25" t="s">
        <v>929</v>
      </c>
      <c r="D576" s="25" t="s">
        <v>241</v>
      </c>
      <c r="E576" s="25" t="s">
        <v>194</v>
      </c>
      <c r="F576" s="25" t="s">
        <v>128</v>
      </c>
      <c r="G576" s="26" t="s">
        <v>289</v>
      </c>
      <c r="H576" s="27" t="s">
        <v>130</v>
      </c>
      <c r="I576" s="24" t="s">
        <v>106</v>
      </c>
      <c r="J576" s="24" t="s">
        <v>107</v>
      </c>
      <c r="K576" s="28" t="s">
        <v>108</v>
      </c>
      <c r="L576" s="29">
        <v>0.03</v>
      </c>
      <c r="M576" s="29">
        <v>1.4999999999999999E-2</v>
      </c>
      <c r="N576" s="29">
        <v>0.02</v>
      </c>
      <c r="O576" s="27" t="s">
        <v>148</v>
      </c>
      <c r="P576" s="30" t="s">
        <v>930</v>
      </c>
      <c r="Q576" s="31">
        <v>6147816590.25</v>
      </c>
      <c r="R576" s="31">
        <v>1362.65</v>
      </c>
      <c r="S576" s="32">
        <v>1.8492000000000001E-2</v>
      </c>
      <c r="T576" s="32" t="s">
        <v>139</v>
      </c>
      <c r="U576" s="32">
        <v>-2.9E-5</v>
      </c>
      <c r="V576" s="32">
        <v>1.897E-3</v>
      </c>
      <c r="W576" s="32">
        <v>6.842E-3</v>
      </c>
      <c r="X576" s="32">
        <v>1.4224000000000001E-2</v>
      </c>
      <c r="Y576" s="32">
        <v>2.5999000000000001E-2</v>
      </c>
      <c r="Z576" s="32">
        <v>6.2669000000000002E-2</v>
      </c>
      <c r="AA576" s="32">
        <v>0.106712</v>
      </c>
      <c r="AB576" s="32">
        <v>0.15654299999999999</v>
      </c>
    </row>
    <row r="577" spans="1:28" ht="15.6" customHeight="1" x14ac:dyDescent="0.25">
      <c r="A577" s="24" t="s">
        <v>931</v>
      </c>
      <c r="B577" s="50">
        <v>4216</v>
      </c>
      <c r="C577" s="25" t="s">
        <v>932</v>
      </c>
      <c r="D577" s="25" t="s">
        <v>241</v>
      </c>
      <c r="E577" s="25" t="s">
        <v>194</v>
      </c>
      <c r="F577" s="25" t="s">
        <v>155</v>
      </c>
      <c r="G577" s="26" t="s">
        <v>139</v>
      </c>
      <c r="H577" s="27" t="s">
        <v>156</v>
      </c>
      <c r="I577" s="24" t="s">
        <v>106</v>
      </c>
      <c r="J577" s="24" t="s">
        <v>107</v>
      </c>
      <c r="K577" s="28" t="s">
        <v>108</v>
      </c>
      <c r="L577" s="29">
        <v>0.03</v>
      </c>
      <c r="M577" s="29">
        <v>1.4999999999999999E-2</v>
      </c>
      <c r="N577" s="29">
        <v>0.02</v>
      </c>
      <c r="O577" s="27" t="s">
        <v>148</v>
      </c>
      <c r="P577" s="30" t="s">
        <v>930</v>
      </c>
      <c r="Q577" s="31">
        <v>2319083116.71</v>
      </c>
      <c r="R577" s="31">
        <v>712.31</v>
      </c>
      <c r="S577" s="32">
        <v>-1.8289E-2</v>
      </c>
      <c r="T577" s="32" t="s">
        <v>139</v>
      </c>
      <c r="U577" s="32">
        <v>-6.5550000000000001E-3</v>
      </c>
      <c r="V577" s="32">
        <v>-4.35E-4</v>
      </c>
      <c r="W577" s="32">
        <v>3.8625E-2</v>
      </c>
      <c r="X577" s="32">
        <v>9.1211E-2</v>
      </c>
      <c r="Y577" s="32">
        <v>-0.119376</v>
      </c>
      <c r="Z577" s="32">
        <v>0.32814399999999999</v>
      </c>
      <c r="AA577" s="32">
        <v>0.61851900000000004</v>
      </c>
      <c r="AB577" s="32">
        <v>0.47592299999999998</v>
      </c>
    </row>
    <row r="578" spans="1:28" ht="15.6" customHeight="1" x14ac:dyDescent="0.25">
      <c r="A578" s="24" t="s">
        <v>933</v>
      </c>
      <c r="B578" s="50">
        <v>4217</v>
      </c>
      <c r="C578" s="25" t="s">
        <v>934</v>
      </c>
      <c r="D578" s="25" t="s">
        <v>241</v>
      </c>
      <c r="E578" s="25" t="s">
        <v>194</v>
      </c>
      <c r="F578" s="25" t="s">
        <v>103</v>
      </c>
      <c r="G578" s="26" t="s">
        <v>244</v>
      </c>
      <c r="H578" s="27" t="s">
        <v>446</v>
      </c>
      <c r="I578" s="24" t="s">
        <v>106</v>
      </c>
      <c r="J578" s="24" t="s">
        <v>107</v>
      </c>
      <c r="K578" s="28" t="s">
        <v>108</v>
      </c>
      <c r="L578" s="29">
        <v>0</v>
      </c>
      <c r="M578" s="29">
        <v>0</v>
      </c>
      <c r="N578" s="29">
        <v>0.02</v>
      </c>
      <c r="O578" s="27" t="s">
        <v>148</v>
      </c>
      <c r="P578" s="30" t="s">
        <v>466</v>
      </c>
      <c r="Q578" s="31">
        <v>3140557163.5599999</v>
      </c>
      <c r="R578" s="31">
        <v>1322.53</v>
      </c>
      <c r="S578" s="32">
        <v>1.7142999999999999E-2</v>
      </c>
      <c r="T578" s="32" t="s">
        <v>139</v>
      </c>
      <c r="U578" s="32">
        <v>1.44E-4</v>
      </c>
      <c r="V578" s="32">
        <v>1.735E-3</v>
      </c>
      <c r="W578" s="32">
        <v>6.1390000000000004E-3</v>
      </c>
      <c r="X578" s="32">
        <v>1.2649000000000001E-2</v>
      </c>
      <c r="Y578" s="32">
        <v>2.4819999999999998E-2</v>
      </c>
      <c r="Z578" s="32">
        <v>5.6240999999999999E-2</v>
      </c>
      <c r="AA578" s="32">
        <v>9.3696000000000002E-2</v>
      </c>
      <c r="AB578" s="32">
        <v>0.14146</v>
      </c>
    </row>
    <row r="579" spans="1:28" ht="15.6" customHeight="1" x14ac:dyDescent="0.25">
      <c r="A579" s="24" t="s">
        <v>935</v>
      </c>
      <c r="B579" s="50">
        <v>4218</v>
      </c>
      <c r="C579" s="25" t="s">
        <v>936</v>
      </c>
      <c r="D579" s="25" t="s">
        <v>241</v>
      </c>
      <c r="E579" s="25" t="s">
        <v>194</v>
      </c>
      <c r="F579" s="25" t="s">
        <v>113</v>
      </c>
      <c r="G579" s="26" t="s">
        <v>198</v>
      </c>
      <c r="H579" s="27" t="s">
        <v>440</v>
      </c>
      <c r="I579" s="24" t="s">
        <v>106</v>
      </c>
      <c r="J579" s="24" t="s">
        <v>107</v>
      </c>
      <c r="K579" s="28" t="s">
        <v>108</v>
      </c>
      <c r="L579" s="29">
        <v>0.03</v>
      </c>
      <c r="M579" s="29">
        <v>1.4999999999999999E-2</v>
      </c>
      <c r="N579" s="29">
        <v>0.02</v>
      </c>
      <c r="O579" s="27" t="s">
        <v>148</v>
      </c>
      <c r="P579" s="30" t="s">
        <v>930</v>
      </c>
      <c r="Q579" s="31">
        <v>3297319958.4299998</v>
      </c>
      <c r="R579" s="31">
        <v>1446.69</v>
      </c>
      <c r="S579" s="32">
        <v>-2.6679999999999998E-3</v>
      </c>
      <c r="T579" s="32" t="s">
        <v>139</v>
      </c>
      <c r="U579" s="32">
        <v>-1.374E-3</v>
      </c>
      <c r="V579" s="32">
        <v>1.7520000000000001E-3</v>
      </c>
      <c r="W579" s="32">
        <v>5.5259999999999997E-3</v>
      </c>
      <c r="X579" s="32">
        <v>6.4419999999999998E-3</v>
      </c>
      <c r="Y579" s="32">
        <v>-1.3582E-2</v>
      </c>
      <c r="Z579" s="32">
        <v>7.4144000000000002E-2</v>
      </c>
      <c r="AA579" s="32">
        <v>0.16612099999999999</v>
      </c>
      <c r="AB579" s="32">
        <v>0.151255</v>
      </c>
    </row>
    <row r="580" spans="1:28" ht="15.6" customHeight="1" x14ac:dyDescent="0.25">
      <c r="A580" s="24" t="s">
        <v>1650</v>
      </c>
      <c r="B580" s="50">
        <v>4219</v>
      </c>
      <c r="C580" s="25" t="s">
        <v>1651</v>
      </c>
      <c r="D580" s="25" t="s">
        <v>164</v>
      </c>
      <c r="E580" s="25" t="s">
        <v>194</v>
      </c>
      <c r="F580" s="25" t="s">
        <v>138</v>
      </c>
      <c r="G580" s="26" t="s">
        <v>139</v>
      </c>
      <c r="H580" s="27" t="s">
        <v>1652</v>
      </c>
      <c r="I580" s="24" t="s">
        <v>998</v>
      </c>
      <c r="J580" s="24" t="s">
        <v>107</v>
      </c>
      <c r="K580" s="28" t="s">
        <v>227</v>
      </c>
      <c r="L580" s="29">
        <v>0.03</v>
      </c>
      <c r="M580" s="29">
        <v>1.4999999999999999E-2</v>
      </c>
      <c r="N580" s="29">
        <v>0.02</v>
      </c>
      <c r="O580" s="27" t="s">
        <v>166</v>
      </c>
      <c r="P580" s="30" t="s">
        <v>164</v>
      </c>
      <c r="Q580" s="31">
        <v>583131323.25</v>
      </c>
      <c r="R580" s="31">
        <v>1468.67</v>
      </c>
      <c r="S580" s="32">
        <v>3.7672999999999998E-2</v>
      </c>
      <c r="T580" s="32" t="s">
        <v>139</v>
      </c>
      <c r="U580" s="32">
        <v>-5.7479999999999996E-3</v>
      </c>
      <c r="V580" s="32">
        <v>2.7989999999999998E-3</v>
      </c>
      <c r="W580" s="32">
        <v>1.6914999999999999E-2</v>
      </c>
      <c r="X580" s="32">
        <v>6.3051999999999997E-2</v>
      </c>
      <c r="Y580" s="32">
        <v>1.6261000000000001E-2</v>
      </c>
      <c r="Z580" s="32">
        <v>0.26941100000000001</v>
      </c>
      <c r="AA580" s="32">
        <v>0.45789600000000003</v>
      </c>
      <c r="AB580" s="32" t="s">
        <v>139</v>
      </c>
    </row>
    <row r="581" spans="1:28" ht="15.6" customHeight="1" x14ac:dyDescent="0.25">
      <c r="A581" s="24" t="s">
        <v>937</v>
      </c>
      <c r="B581" s="50">
        <v>4220</v>
      </c>
      <c r="C581" s="25" t="s">
        <v>938</v>
      </c>
      <c r="D581" s="25" t="s">
        <v>241</v>
      </c>
      <c r="E581" s="25" t="s">
        <v>194</v>
      </c>
      <c r="F581" s="25" t="s">
        <v>138</v>
      </c>
      <c r="G581" s="26" t="s">
        <v>139</v>
      </c>
      <c r="H581" s="27" t="s">
        <v>939</v>
      </c>
      <c r="I581" s="24" t="s">
        <v>106</v>
      </c>
      <c r="J581" s="24" t="s">
        <v>107</v>
      </c>
      <c r="K581" s="28" t="s">
        <v>108</v>
      </c>
      <c r="L581" s="29">
        <v>0.03</v>
      </c>
      <c r="M581" s="29">
        <v>1.4999999999999999E-2</v>
      </c>
      <c r="N581" s="29">
        <v>0.02</v>
      </c>
      <c r="O581" s="27" t="s">
        <v>148</v>
      </c>
      <c r="P581" s="30" t="s">
        <v>940</v>
      </c>
      <c r="Q581" s="31">
        <v>4203358116.71</v>
      </c>
      <c r="R581" s="31">
        <v>2055.71</v>
      </c>
      <c r="S581" s="32">
        <v>-1.6473000000000002E-2</v>
      </c>
      <c r="T581" s="32" t="s">
        <v>139</v>
      </c>
      <c r="U581" s="32">
        <v>1.85E-4</v>
      </c>
      <c r="V581" s="32">
        <v>2.4919999999999999E-3</v>
      </c>
      <c r="W581" s="32">
        <v>2.1628000000000001E-2</v>
      </c>
      <c r="X581" s="32">
        <v>3.9218999999999997E-2</v>
      </c>
      <c r="Y581" s="32">
        <v>-7.8905000000000003E-2</v>
      </c>
      <c r="Z581" s="32">
        <v>0.17422799999999999</v>
      </c>
      <c r="AA581" s="32">
        <v>0.34018500000000002</v>
      </c>
      <c r="AB581" s="32">
        <v>0.19983999999999999</v>
      </c>
    </row>
    <row r="582" spans="1:28" ht="15.6" customHeight="1" x14ac:dyDescent="0.25">
      <c r="A582" s="24" t="s">
        <v>941</v>
      </c>
      <c r="B582" s="50">
        <v>4221</v>
      </c>
      <c r="C582" s="25" t="s">
        <v>942</v>
      </c>
      <c r="D582" s="25" t="s">
        <v>241</v>
      </c>
      <c r="E582" s="25" t="s">
        <v>194</v>
      </c>
      <c r="F582" s="25" t="s">
        <v>113</v>
      </c>
      <c r="G582" s="26" t="s">
        <v>943</v>
      </c>
      <c r="H582" s="27" t="s">
        <v>309</v>
      </c>
      <c r="I582" s="24" t="s">
        <v>106</v>
      </c>
      <c r="J582" s="24" t="s">
        <v>107</v>
      </c>
      <c r="K582" s="28" t="s">
        <v>108</v>
      </c>
      <c r="L582" s="29">
        <v>0.03</v>
      </c>
      <c r="M582" s="29">
        <v>0.01</v>
      </c>
      <c r="N582" s="29">
        <v>0.02</v>
      </c>
      <c r="O582" s="27" t="s">
        <v>148</v>
      </c>
      <c r="P582" s="30" t="s">
        <v>940</v>
      </c>
      <c r="Q582" s="31">
        <v>3760241053.54</v>
      </c>
      <c r="R582" s="31">
        <v>1117.96</v>
      </c>
      <c r="S582" s="32">
        <v>-5.6210000000000001E-3</v>
      </c>
      <c r="T582" s="32" t="s">
        <v>139</v>
      </c>
      <c r="U582" s="32">
        <v>-1.518E-3</v>
      </c>
      <c r="V582" s="32">
        <v>1.9090000000000001E-3</v>
      </c>
      <c r="W582" s="32">
        <v>5.7489999999999998E-3</v>
      </c>
      <c r="X582" s="32">
        <v>6.9629999999999996E-3</v>
      </c>
      <c r="Y582" s="32">
        <v>-1.5837E-2</v>
      </c>
      <c r="Z582" s="32">
        <v>6.6400000000000001E-2</v>
      </c>
      <c r="AA582" s="32">
        <v>0.15417800000000001</v>
      </c>
      <c r="AB582" s="32">
        <v>8.5493E-2</v>
      </c>
    </row>
    <row r="583" spans="1:28" ht="15.6" customHeight="1" x14ac:dyDescent="0.25">
      <c r="A583" s="24" t="s">
        <v>944</v>
      </c>
      <c r="B583" s="50">
        <v>4222</v>
      </c>
      <c r="C583" s="25" t="s">
        <v>945</v>
      </c>
      <c r="D583" s="25" t="s">
        <v>112</v>
      </c>
      <c r="E583" s="25" t="s">
        <v>194</v>
      </c>
      <c r="F583" s="25" t="s">
        <v>361</v>
      </c>
      <c r="G583" s="26" t="s">
        <v>139</v>
      </c>
      <c r="H583" s="27" t="s">
        <v>188</v>
      </c>
      <c r="I583" s="24" t="s">
        <v>106</v>
      </c>
      <c r="J583" s="24" t="s">
        <v>107</v>
      </c>
      <c r="K583" s="28" t="s">
        <v>108</v>
      </c>
      <c r="L583" s="29">
        <v>0.03</v>
      </c>
      <c r="M583" s="29">
        <v>1.4999999999999999E-2</v>
      </c>
      <c r="N583" s="29">
        <v>0.02</v>
      </c>
      <c r="O583" s="27" t="s">
        <v>548</v>
      </c>
      <c r="P583" s="30" t="s">
        <v>112</v>
      </c>
      <c r="Q583" s="31">
        <v>536833212.02999997</v>
      </c>
      <c r="R583" s="31">
        <v>1069.1099999999999</v>
      </c>
      <c r="S583" s="32">
        <v>1.3913E-2</v>
      </c>
      <c r="T583" s="32" t="s">
        <v>139</v>
      </c>
      <c r="U583" s="32">
        <v>3.8400000000000001E-4</v>
      </c>
      <c r="V583" s="32">
        <v>1.5269999999999999E-3</v>
      </c>
      <c r="W583" s="32">
        <v>4.973E-3</v>
      </c>
      <c r="X583" s="32">
        <v>1.0024E-2</v>
      </c>
      <c r="Y583" s="32">
        <v>1.9900000000000001E-2</v>
      </c>
      <c r="Z583" s="32">
        <v>4.1509999999999998E-2</v>
      </c>
      <c r="AA583" s="32">
        <v>6.7775000000000002E-2</v>
      </c>
      <c r="AB583" s="32" t="s">
        <v>139</v>
      </c>
    </row>
    <row r="584" spans="1:28" ht="15.6" customHeight="1" x14ac:dyDescent="0.25">
      <c r="A584" s="24" t="s">
        <v>946</v>
      </c>
      <c r="B584" s="50">
        <v>4223</v>
      </c>
      <c r="C584" s="25" t="s">
        <v>947</v>
      </c>
      <c r="D584" s="25" t="s">
        <v>112</v>
      </c>
      <c r="E584" s="25" t="s">
        <v>194</v>
      </c>
      <c r="F584" s="25" t="s">
        <v>128</v>
      </c>
      <c r="G584" s="26" t="s">
        <v>289</v>
      </c>
      <c r="H584" s="27" t="s">
        <v>258</v>
      </c>
      <c r="I584" s="24" t="s">
        <v>106</v>
      </c>
      <c r="J584" s="24" t="s">
        <v>121</v>
      </c>
      <c r="K584" s="28" t="s">
        <v>108</v>
      </c>
      <c r="L584" s="29">
        <v>0</v>
      </c>
      <c r="M584" s="29">
        <v>0</v>
      </c>
      <c r="N584" s="29">
        <v>0.02</v>
      </c>
      <c r="O584" s="27" t="s">
        <v>548</v>
      </c>
      <c r="P584" s="30" t="s">
        <v>112</v>
      </c>
      <c r="Q584" s="31">
        <v>619156.44999999995</v>
      </c>
      <c r="R584" s="31">
        <v>1095.8499999999999</v>
      </c>
      <c r="S584" s="32">
        <v>1.5268E-2</v>
      </c>
      <c r="T584" s="32" t="s">
        <v>139</v>
      </c>
      <c r="U584" s="32">
        <v>8.2000000000000001E-5</v>
      </c>
      <c r="V584" s="32">
        <v>1.526E-3</v>
      </c>
      <c r="W584" s="32">
        <v>5.5789999999999998E-3</v>
      </c>
      <c r="X584" s="32">
        <v>1.1837E-2</v>
      </c>
      <c r="Y584" s="32">
        <v>2.3604E-2</v>
      </c>
      <c r="Z584" s="32">
        <v>5.6903000000000002E-2</v>
      </c>
      <c r="AA584" s="32">
        <v>9.4120999999999996E-2</v>
      </c>
      <c r="AB584" s="32" t="s">
        <v>139</v>
      </c>
    </row>
    <row r="585" spans="1:28" ht="15.6" customHeight="1" x14ac:dyDescent="0.25">
      <c r="A585" s="24" t="s">
        <v>948</v>
      </c>
      <c r="B585" s="50">
        <v>4224</v>
      </c>
      <c r="C585" s="25" t="s">
        <v>949</v>
      </c>
      <c r="D585" s="25" t="s">
        <v>112</v>
      </c>
      <c r="E585" s="25" t="s">
        <v>194</v>
      </c>
      <c r="F585" s="25" t="s">
        <v>113</v>
      </c>
      <c r="G585" s="26" t="s">
        <v>531</v>
      </c>
      <c r="H585" s="27" t="s">
        <v>115</v>
      </c>
      <c r="I585" s="24" t="s">
        <v>106</v>
      </c>
      <c r="J585" s="24" t="s">
        <v>121</v>
      </c>
      <c r="K585" s="28" t="s">
        <v>108</v>
      </c>
      <c r="L585" s="29">
        <v>0</v>
      </c>
      <c r="M585" s="29">
        <v>0</v>
      </c>
      <c r="N585" s="29">
        <v>0.02</v>
      </c>
      <c r="O585" s="27" t="s">
        <v>548</v>
      </c>
      <c r="P585" s="30" t="s">
        <v>112</v>
      </c>
      <c r="Q585" s="31">
        <v>1496582635.8399999</v>
      </c>
      <c r="R585" s="31">
        <v>1115.67</v>
      </c>
      <c r="S585" s="32">
        <v>1.041E-3</v>
      </c>
      <c r="T585" s="32" t="s">
        <v>139</v>
      </c>
      <c r="U585" s="32">
        <v>-1.879E-3</v>
      </c>
      <c r="V585" s="32">
        <v>2.2550000000000001E-3</v>
      </c>
      <c r="W585" s="32">
        <v>7.45E-3</v>
      </c>
      <c r="X585" s="32">
        <v>9.4190000000000003E-3</v>
      </c>
      <c r="Y585" s="32">
        <v>-3.0379999999999999E-3</v>
      </c>
      <c r="Z585" s="32">
        <v>5.4538000000000003E-2</v>
      </c>
      <c r="AA585" s="32">
        <v>0.11392099999999999</v>
      </c>
      <c r="AB585" s="32" t="s">
        <v>139</v>
      </c>
    </row>
    <row r="586" spans="1:28" ht="15.6" customHeight="1" x14ac:dyDescent="0.25">
      <c r="A586" s="24" t="s">
        <v>1653</v>
      </c>
      <c r="B586" s="50">
        <v>4225</v>
      </c>
      <c r="C586" s="25" t="s">
        <v>1654</v>
      </c>
      <c r="D586" s="25" t="s">
        <v>164</v>
      </c>
      <c r="E586" s="25" t="s">
        <v>194</v>
      </c>
      <c r="F586" s="25" t="s">
        <v>138</v>
      </c>
      <c r="G586" s="26" t="s">
        <v>139</v>
      </c>
      <c r="H586" s="27" t="s">
        <v>1655</v>
      </c>
      <c r="I586" s="24" t="s">
        <v>998</v>
      </c>
      <c r="J586" s="24" t="s">
        <v>107</v>
      </c>
      <c r="K586" s="28" t="s">
        <v>227</v>
      </c>
      <c r="L586" s="29">
        <v>2E-3</v>
      </c>
      <c r="M586" s="29">
        <v>1E-3</v>
      </c>
      <c r="N586" s="29">
        <v>0.02</v>
      </c>
      <c r="O586" s="27" t="s">
        <v>166</v>
      </c>
      <c r="P586" s="30" t="s">
        <v>164</v>
      </c>
      <c r="Q586" s="31">
        <v>98918981.260000005</v>
      </c>
      <c r="R586" s="31">
        <v>141855.94</v>
      </c>
      <c r="S586" s="32">
        <v>-1.335E-3</v>
      </c>
      <c r="T586" s="32" t="s">
        <v>139</v>
      </c>
      <c r="U586" s="32">
        <v>-1.763E-3</v>
      </c>
      <c r="V586" s="32">
        <v>7.2300000000000001E-4</v>
      </c>
      <c r="W586" s="32">
        <v>3.055E-3</v>
      </c>
      <c r="X586" s="32">
        <v>-1.2E-5</v>
      </c>
      <c r="Y586" s="32">
        <v>-3.3790000000000001E-3</v>
      </c>
      <c r="Z586" s="32">
        <v>6.3182000000000002E-2</v>
      </c>
      <c r="AA586" s="32">
        <v>0.19290399999999999</v>
      </c>
      <c r="AB586" s="32">
        <v>0.150196</v>
      </c>
    </row>
    <row r="587" spans="1:28" ht="15.6" customHeight="1" x14ac:dyDescent="0.25">
      <c r="A587" s="24" t="s">
        <v>1656</v>
      </c>
      <c r="B587" s="50">
        <v>4226</v>
      </c>
      <c r="C587" s="25" t="s">
        <v>1657</v>
      </c>
      <c r="D587" s="25" t="s">
        <v>164</v>
      </c>
      <c r="E587" s="25" t="s">
        <v>194</v>
      </c>
      <c r="F587" s="25" t="s">
        <v>138</v>
      </c>
      <c r="G587" s="26" t="s">
        <v>139</v>
      </c>
      <c r="H587" s="27" t="s">
        <v>1658</v>
      </c>
      <c r="I587" s="24" t="s">
        <v>998</v>
      </c>
      <c r="J587" s="24" t="s">
        <v>107</v>
      </c>
      <c r="K587" s="28" t="s">
        <v>227</v>
      </c>
      <c r="L587" s="29">
        <v>0</v>
      </c>
      <c r="M587" s="29">
        <v>0</v>
      </c>
      <c r="N587" s="29">
        <v>0.02</v>
      </c>
      <c r="O587" s="27" t="s">
        <v>166</v>
      </c>
      <c r="P587" s="30" t="s">
        <v>164</v>
      </c>
      <c r="Q587" s="31">
        <v>355089816.97000003</v>
      </c>
      <c r="R587" s="31">
        <v>1719.15</v>
      </c>
      <c r="S587" s="32">
        <v>5.919E-2</v>
      </c>
      <c r="T587" s="32" t="s">
        <v>139</v>
      </c>
      <c r="U587" s="32">
        <v>8.0900000000000004E-4</v>
      </c>
      <c r="V587" s="32">
        <v>-3.6099999999999999E-4</v>
      </c>
      <c r="W587" s="32">
        <v>3.1741999999999999E-2</v>
      </c>
      <c r="X587" s="32">
        <v>9.5662999999999998E-2</v>
      </c>
      <c r="Y587" s="32">
        <v>2.2877000000000002E-2</v>
      </c>
      <c r="Z587" s="32">
        <v>0.31483699999999998</v>
      </c>
      <c r="AA587" s="32">
        <v>0.49383500000000002</v>
      </c>
      <c r="AB587" s="32">
        <v>0.43788500000000002</v>
      </c>
    </row>
    <row r="588" spans="1:28" ht="15.6" customHeight="1" x14ac:dyDescent="0.25">
      <c r="A588" s="24" t="s">
        <v>1659</v>
      </c>
      <c r="B588" s="50">
        <v>4227</v>
      </c>
      <c r="C588" s="25" t="s">
        <v>1660</v>
      </c>
      <c r="D588" s="25" t="s">
        <v>164</v>
      </c>
      <c r="E588" s="25" t="s">
        <v>194</v>
      </c>
      <c r="F588" s="25" t="s">
        <v>138</v>
      </c>
      <c r="G588" s="26" t="s">
        <v>139</v>
      </c>
      <c r="H588" s="27" t="s">
        <v>1661</v>
      </c>
      <c r="I588" s="24" t="s">
        <v>998</v>
      </c>
      <c r="J588" s="24" t="s">
        <v>107</v>
      </c>
      <c r="K588" s="28" t="s">
        <v>108</v>
      </c>
      <c r="L588" s="29">
        <v>0</v>
      </c>
      <c r="M588" s="29">
        <v>0</v>
      </c>
      <c r="N588" s="29">
        <v>0.02</v>
      </c>
      <c r="O588" s="27" t="s">
        <v>166</v>
      </c>
      <c r="P588" s="30" t="s">
        <v>164</v>
      </c>
      <c r="Q588" s="31">
        <v>201184556.72999999</v>
      </c>
      <c r="R588" s="31">
        <v>15093.32</v>
      </c>
      <c r="S588" s="32">
        <v>8.8533000000000001E-2</v>
      </c>
      <c r="T588" s="32" t="s">
        <v>139</v>
      </c>
      <c r="U588" s="32">
        <v>-2.4589999999999998E-3</v>
      </c>
      <c r="V588" s="32">
        <v>4.2900000000000004E-3</v>
      </c>
      <c r="W588" s="32">
        <v>2.4782999999999999E-2</v>
      </c>
      <c r="X588" s="32">
        <v>0.10044599999999999</v>
      </c>
      <c r="Y588" s="32">
        <v>5.8702999999999998E-2</v>
      </c>
      <c r="Z588" s="32">
        <v>0.29966900000000002</v>
      </c>
      <c r="AA588" s="32">
        <v>0.45502700000000001</v>
      </c>
      <c r="AB588" s="32">
        <v>0.42656699999999997</v>
      </c>
    </row>
    <row r="589" spans="1:28" ht="15.6" customHeight="1" x14ac:dyDescent="0.25">
      <c r="A589" s="24" t="s">
        <v>1662</v>
      </c>
      <c r="B589" s="50">
        <v>4228</v>
      </c>
      <c r="C589" s="25" t="s">
        <v>1663</v>
      </c>
      <c r="D589" s="25" t="s">
        <v>127</v>
      </c>
      <c r="E589" s="25" t="s">
        <v>194</v>
      </c>
      <c r="F589" s="25" t="s">
        <v>113</v>
      </c>
      <c r="G589" s="26" t="s">
        <v>191</v>
      </c>
      <c r="H589" s="27" t="s">
        <v>115</v>
      </c>
      <c r="I589" s="24" t="s">
        <v>998</v>
      </c>
      <c r="J589" s="24" t="s">
        <v>107</v>
      </c>
      <c r="K589" s="28" t="s">
        <v>227</v>
      </c>
      <c r="L589" s="29">
        <v>0.03</v>
      </c>
      <c r="M589" s="29">
        <v>0.03</v>
      </c>
      <c r="N589" s="29">
        <v>0.02</v>
      </c>
      <c r="O589" s="27" t="s">
        <v>131</v>
      </c>
      <c r="P589" s="30" t="s">
        <v>131</v>
      </c>
      <c r="Q589" s="31">
        <v>1109950.94</v>
      </c>
      <c r="R589" s="31">
        <v>1109.95</v>
      </c>
      <c r="S589" s="32">
        <v>4.2430000000000002E-3</v>
      </c>
      <c r="T589" s="32" t="s">
        <v>139</v>
      </c>
      <c r="U589" s="32">
        <v>-1.2149999999999999E-3</v>
      </c>
      <c r="V589" s="32">
        <v>1.877E-3</v>
      </c>
      <c r="W589" s="32">
        <v>4.5890000000000002E-3</v>
      </c>
      <c r="X589" s="32">
        <v>5.5989999999999998E-3</v>
      </c>
      <c r="Y589" s="32">
        <v>7.3899999999999997E-4</v>
      </c>
      <c r="Z589" s="32">
        <v>4.9251000000000003E-2</v>
      </c>
      <c r="AA589" s="32" t="s">
        <v>139</v>
      </c>
      <c r="AB589" s="32" t="s">
        <v>139</v>
      </c>
    </row>
    <row r="590" spans="1:28" ht="15.6" customHeight="1" x14ac:dyDescent="0.25">
      <c r="A590" s="24" t="s">
        <v>1664</v>
      </c>
      <c r="B590" s="50">
        <v>4229</v>
      </c>
      <c r="C590" s="25" t="s">
        <v>1665</v>
      </c>
      <c r="D590" s="25" t="s">
        <v>164</v>
      </c>
      <c r="E590" s="25" t="s">
        <v>194</v>
      </c>
      <c r="F590" s="25" t="s">
        <v>155</v>
      </c>
      <c r="G590" s="26" t="s">
        <v>139</v>
      </c>
      <c r="H590" s="27" t="s">
        <v>588</v>
      </c>
      <c r="I590" s="24" t="s">
        <v>998</v>
      </c>
      <c r="J590" s="24" t="s">
        <v>121</v>
      </c>
      <c r="K590" s="28" t="s">
        <v>227</v>
      </c>
      <c r="L590" s="29">
        <v>0</v>
      </c>
      <c r="M590" s="29">
        <v>0</v>
      </c>
      <c r="N590" s="29">
        <v>0.02</v>
      </c>
      <c r="O590" s="27" t="s">
        <v>166</v>
      </c>
      <c r="P590" s="30" t="s">
        <v>164</v>
      </c>
      <c r="Q590" s="31">
        <v>362964660.79000002</v>
      </c>
      <c r="R590" s="31">
        <v>2102.0300000000002</v>
      </c>
      <c r="S590" s="32">
        <v>-1.66E-4</v>
      </c>
      <c r="T590" s="32" t="s">
        <v>139</v>
      </c>
      <c r="U590" s="32">
        <v>-1.4300000000000001E-4</v>
      </c>
      <c r="V590" s="32">
        <v>-9.2659999999999999E-3</v>
      </c>
      <c r="W590" s="32">
        <v>3.2080999999999998E-2</v>
      </c>
      <c r="X590" s="32">
        <v>9.5645999999999995E-2</v>
      </c>
      <c r="Y590" s="32">
        <v>-6.5282999999999994E-2</v>
      </c>
      <c r="Z590" s="32">
        <v>0.40636</v>
      </c>
      <c r="AA590" s="32">
        <v>0.74722200000000005</v>
      </c>
      <c r="AB590" s="32">
        <v>0.59618300000000002</v>
      </c>
    </row>
    <row r="591" spans="1:28" ht="15.6" customHeight="1" x14ac:dyDescent="0.25">
      <c r="A591" s="24" t="s">
        <v>1666</v>
      </c>
      <c r="B591" s="50">
        <v>4230</v>
      </c>
      <c r="C591" s="25" t="s">
        <v>1667</v>
      </c>
      <c r="D591" s="25" t="s">
        <v>164</v>
      </c>
      <c r="E591" s="25" t="s">
        <v>194</v>
      </c>
      <c r="F591" s="25" t="s">
        <v>155</v>
      </c>
      <c r="G591" s="26" t="s">
        <v>139</v>
      </c>
      <c r="H591" s="27" t="s">
        <v>1668</v>
      </c>
      <c r="I591" s="24" t="s">
        <v>998</v>
      </c>
      <c r="J591" s="24" t="s">
        <v>121</v>
      </c>
      <c r="K591" s="28" t="s">
        <v>227</v>
      </c>
      <c r="L591" s="29">
        <v>2E-3</v>
      </c>
      <c r="M591" s="29">
        <v>1E-3</v>
      </c>
      <c r="N591" s="29">
        <v>0.02</v>
      </c>
      <c r="O591" s="27" t="s">
        <v>166</v>
      </c>
      <c r="P591" s="30" t="s">
        <v>164</v>
      </c>
      <c r="Q591" s="31">
        <v>3317846182.0599999</v>
      </c>
      <c r="R591" s="31">
        <v>1488.94</v>
      </c>
      <c r="S591" s="32">
        <v>9.9335000000000007E-2</v>
      </c>
      <c r="T591" s="32" t="s">
        <v>139</v>
      </c>
      <c r="U591" s="32">
        <v>-5.7829999999999999E-3</v>
      </c>
      <c r="V591" s="32">
        <v>3.8969999999999999E-3</v>
      </c>
      <c r="W591" s="32">
        <v>4.1785000000000003E-2</v>
      </c>
      <c r="X591" s="32">
        <v>0.150418</v>
      </c>
      <c r="Y591" s="32">
        <v>2.8899000000000001E-2</v>
      </c>
      <c r="Z591" s="32">
        <v>0.47983900000000002</v>
      </c>
      <c r="AA591" s="32">
        <v>0.75058199999999997</v>
      </c>
      <c r="AB591" s="32">
        <v>0.65815500000000005</v>
      </c>
    </row>
    <row r="592" spans="1:28" ht="15.6" customHeight="1" x14ac:dyDescent="0.25">
      <c r="A592" s="24" t="s">
        <v>1669</v>
      </c>
      <c r="B592" s="50">
        <v>4231</v>
      </c>
      <c r="C592" s="25" t="s">
        <v>1670</v>
      </c>
      <c r="D592" s="25" t="s">
        <v>164</v>
      </c>
      <c r="E592" s="25" t="s">
        <v>194</v>
      </c>
      <c r="F592" s="25" t="s">
        <v>155</v>
      </c>
      <c r="G592" s="26" t="s">
        <v>139</v>
      </c>
      <c r="H592" s="27" t="s">
        <v>156</v>
      </c>
      <c r="I592" s="24" t="s">
        <v>998</v>
      </c>
      <c r="J592" s="24" t="s">
        <v>107</v>
      </c>
      <c r="K592" s="28" t="s">
        <v>108</v>
      </c>
      <c r="L592" s="29">
        <v>0.02</v>
      </c>
      <c r="M592" s="29">
        <v>0.02</v>
      </c>
      <c r="N592" s="29">
        <v>1.4999999999999999E-2</v>
      </c>
      <c r="O592" s="27" t="s">
        <v>166</v>
      </c>
      <c r="P592" s="30" t="s">
        <v>627</v>
      </c>
      <c r="Q592" s="31">
        <v>2138658.9</v>
      </c>
      <c r="R592" s="31">
        <v>158.55000000000001</v>
      </c>
      <c r="S592" s="32">
        <v>3.8378000000000002E-2</v>
      </c>
      <c r="T592" s="32" t="s">
        <v>139</v>
      </c>
      <c r="U592" s="32">
        <v>2.4020000000000001E-3</v>
      </c>
      <c r="V592" s="32">
        <v>7.626E-3</v>
      </c>
      <c r="W592" s="32">
        <v>5.7493000000000002E-2</v>
      </c>
      <c r="X592" s="32">
        <v>0.106961</v>
      </c>
      <c r="Y592" s="32">
        <v>-7.2373000000000007E-2</v>
      </c>
      <c r="Z592" s="32">
        <v>0.313587</v>
      </c>
      <c r="AA592" s="32" t="s">
        <v>139</v>
      </c>
      <c r="AB592" s="32" t="s">
        <v>139</v>
      </c>
    </row>
    <row r="593" spans="1:28" ht="15.6" customHeight="1" x14ac:dyDescent="0.25">
      <c r="A593" s="24" t="s">
        <v>1671</v>
      </c>
      <c r="B593" s="50">
        <v>4232</v>
      </c>
      <c r="C593" s="25" t="s">
        <v>1672</v>
      </c>
      <c r="D593" s="25" t="s">
        <v>164</v>
      </c>
      <c r="E593" s="25" t="s">
        <v>194</v>
      </c>
      <c r="F593" s="25" t="s">
        <v>155</v>
      </c>
      <c r="G593" s="26" t="s">
        <v>139</v>
      </c>
      <c r="H593" s="27" t="s">
        <v>156</v>
      </c>
      <c r="I593" s="24" t="s">
        <v>998</v>
      </c>
      <c r="J593" s="24" t="s">
        <v>107</v>
      </c>
      <c r="K593" s="28" t="s">
        <v>108</v>
      </c>
      <c r="L593" s="29">
        <v>0.02</v>
      </c>
      <c r="M593" s="29">
        <v>0.02</v>
      </c>
      <c r="N593" s="29">
        <v>1.4999999999999999E-2</v>
      </c>
      <c r="O593" s="27" t="s">
        <v>166</v>
      </c>
      <c r="P593" s="30" t="s">
        <v>627</v>
      </c>
      <c r="Q593" s="31">
        <v>2641808.2400000002</v>
      </c>
      <c r="R593" s="31">
        <v>134.41</v>
      </c>
      <c r="S593" s="32">
        <v>-2.2117000000000001E-2</v>
      </c>
      <c r="T593" s="32" t="s">
        <v>139</v>
      </c>
      <c r="U593" s="32">
        <v>1.4159999999999999E-3</v>
      </c>
      <c r="V593" s="32">
        <v>6.3639999999999999E-3</v>
      </c>
      <c r="W593" s="32">
        <v>5.6765000000000003E-2</v>
      </c>
      <c r="X593" s="32">
        <v>4.2261E-2</v>
      </c>
      <c r="Y593" s="32">
        <v>-0.113624</v>
      </c>
      <c r="Z593" s="32">
        <v>0.17913899999999999</v>
      </c>
      <c r="AA593" s="32" t="s">
        <v>139</v>
      </c>
      <c r="AB593" s="32" t="s">
        <v>139</v>
      </c>
    </row>
    <row r="594" spans="1:28" ht="15.6" customHeight="1" x14ac:dyDescent="0.25">
      <c r="A594" s="24" t="s">
        <v>1673</v>
      </c>
      <c r="B594" s="50">
        <v>4233</v>
      </c>
      <c r="C594" s="25" t="s">
        <v>1674</v>
      </c>
      <c r="D594" s="25" t="s">
        <v>164</v>
      </c>
      <c r="E594" s="25" t="s">
        <v>194</v>
      </c>
      <c r="F594" s="25" t="s">
        <v>155</v>
      </c>
      <c r="G594" s="26" t="s">
        <v>139</v>
      </c>
      <c r="H594" s="27" t="s">
        <v>156</v>
      </c>
      <c r="I594" s="24" t="s">
        <v>998</v>
      </c>
      <c r="J594" s="24" t="s">
        <v>107</v>
      </c>
      <c r="K594" s="28" t="s">
        <v>108</v>
      </c>
      <c r="L594" s="29">
        <v>0.02</v>
      </c>
      <c r="M594" s="29">
        <v>0.02</v>
      </c>
      <c r="N594" s="29">
        <v>1.4999999999999999E-2</v>
      </c>
      <c r="O594" s="27" t="s">
        <v>166</v>
      </c>
      <c r="P594" s="30" t="s">
        <v>627</v>
      </c>
      <c r="Q594" s="31">
        <v>91646992.140000001</v>
      </c>
      <c r="R594" s="31">
        <v>183.35</v>
      </c>
      <c r="S594" s="32">
        <v>3.4590000000000003E-2</v>
      </c>
      <c r="T594" s="32" t="s">
        <v>139</v>
      </c>
      <c r="U594" s="32">
        <v>-1.634E-3</v>
      </c>
      <c r="V594" s="32">
        <v>3.6129999999999999E-3</v>
      </c>
      <c r="W594" s="32">
        <v>4.4253000000000001E-2</v>
      </c>
      <c r="X594" s="32">
        <v>0.13339899999999999</v>
      </c>
      <c r="Y594" s="32">
        <v>-7.3522000000000004E-2</v>
      </c>
      <c r="Z594" s="32">
        <v>0.46668300000000001</v>
      </c>
      <c r="AA594" s="32" t="s">
        <v>139</v>
      </c>
      <c r="AB594" s="32" t="s">
        <v>139</v>
      </c>
    </row>
    <row r="595" spans="1:28" ht="15.6" customHeight="1" x14ac:dyDescent="0.25">
      <c r="A595" s="24" t="s">
        <v>1675</v>
      </c>
      <c r="B595" s="50">
        <v>4235</v>
      </c>
      <c r="C595" s="25" t="s">
        <v>1676</v>
      </c>
      <c r="D595" s="25" t="s">
        <v>112</v>
      </c>
      <c r="E595" s="25" t="s">
        <v>194</v>
      </c>
      <c r="F595" s="25" t="s">
        <v>155</v>
      </c>
      <c r="G595" s="26" t="s">
        <v>139</v>
      </c>
      <c r="H595" s="27" t="s">
        <v>156</v>
      </c>
      <c r="I595" s="24" t="s">
        <v>998</v>
      </c>
      <c r="J595" s="24" t="s">
        <v>107</v>
      </c>
      <c r="K595" s="28" t="s">
        <v>227</v>
      </c>
      <c r="L595" s="29">
        <v>0.03</v>
      </c>
      <c r="M595" s="29">
        <v>1.4999999999999999E-2</v>
      </c>
      <c r="N595" s="29">
        <v>0.02</v>
      </c>
      <c r="O595" s="27" t="s">
        <v>548</v>
      </c>
      <c r="P595" s="30" t="s">
        <v>112</v>
      </c>
      <c r="Q595" s="31">
        <v>43795552.590000004</v>
      </c>
      <c r="R595" s="31">
        <v>294.60000000000002</v>
      </c>
      <c r="S595" s="32">
        <v>-6.4435000000000006E-2</v>
      </c>
      <c r="T595" s="32" t="s">
        <v>139</v>
      </c>
      <c r="U595" s="32">
        <v>-1.5044999999999999E-2</v>
      </c>
      <c r="V595" s="32">
        <v>-2.2204999999999999E-2</v>
      </c>
      <c r="W595" s="32">
        <v>1.8707000000000001E-2</v>
      </c>
      <c r="X595" s="32">
        <v>7.6086000000000001E-2</v>
      </c>
      <c r="Y595" s="32">
        <v>-0.130332</v>
      </c>
      <c r="Z595" s="32">
        <v>0.35641600000000001</v>
      </c>
      <c r="AA595" s="32">
        <v>0.59303499999999998</v>
      </c>
      <c r="AB595" s="32">
        <v>0.56910799999999995</v>
      </c>
    </row>
    <row r="596" spans="1:28" ht="15.6" customHeight="1" x14ac:dyDescent="0.25">
      <c r="A596" s="24" t="s">
        <v>950</v>
      </c>
      <c r="B596" s="50">
        <v>4236</v>
      </c>
      <c r="C596" s="25" t="s">
        <v>951</v>
      </c>
      <c r="D596" s="25" t="s">
        <v>164</v>
      </c>
      <c r="E596" s="25" t="s">
        <v>194</v>
      </c>
      <c r="F596" s="25" t="s">
        <v>113</v>
      </c>
      <c r="G596" s="26" t="s">
        <v>647</v>
      </c>
      <c r="H596" s="27" t="s">
        <v>952</v>
      </c>
      <c r="I596" s="24" t="s">
        <v>106</v>
      </c>
      <c r="J596" s="24" t="s">
        <v>121</v>
      </c>
      <c r="K596" s="28" t="s">
        <v>227</v>
      </c>
      <c r="L596" s="29">
        <v>0</v>
      </c>
      <c r="M596" s="29">
        <v>0</v>
      </c>
      <c r="N596" s="29">
        <v>0.02</v>
      </c>
      <c r="O596" s="27" t="s">
        <v>166</v>
      </c>
      <c r="P596" s="30" t="s">
        <v>164</v>
      </c>
      <c r="Q596" s="31">
        <v>3315990329.2600002</v>
      </c>
      <c r="R596" s="31">
        <v>1907.08</v>
      </c>
      <c r="S596" s="32">
        <v>2.787E-3</v>
      </c>
      <c r="T596" s="32" t="s">
        <v>139</v>
      </c>
      <c r="U596" s="32">
        <v>-2.3440000000000002E-3</v>
      </c>
      <c r="V596" s="32">
        <v>-1.163E-3</v>
      </c>
      <c r="W596" s="32">
        <v>-4.2709999999999996E-3</v>
      </c>
      <c r="X596" s="32">
        <v>8.5349999999999992E-3</v>
      </c>
      <c r="Y596" s="32">
        <v>2.3227000000000001E-2</v>
      </c>
      <c r="Z596" s="32">
        <v>7.6771000000000006E-2</v>
      </c>
      <c r="AA596" s="32">
        <v>0.16155800000000001</v>
      </c>
      <c r="AB596" s="32">
        <v>0.183809</v>
      </c>
    </row>
    <row r="597" spans="1:28" ht="15.6" customHeight="1" x14ac:dyDescent="0.25">
      <c r="A597" s="24" t="s">
        <v>1677</v>
      </c>
      <c r="B597" s="50">
        <v>4237</v>
      </c>
      <c r="C597" s="25" t="s">
        <v>1678</v>
      </c>
      <c r="D597" s="25" t="s">
        <v>164</v>
      </c>
      <c r="E597" s="25" t="s">
        <v>194</v>
      </c>
      <c r="F597" s="25" t="s">
        <v>138</v>
      </c>
      <c r="G597" s="26" t="s">
        <v>139</v>
      </c>
      <c r="H597" s="27" t="s">
        <v>1679</v>
      </c>
      <c r="I597" s="24" t="s">
        <v>998</v>
      </c>
      <c r="J597" s="24" t="s">
        <v>121</v>
      </c>
      <c r="K597" s="28" t="s">
        <v>227</v>
      </c>
      <c r="L597" s="29">
        <v>0.03</v>
      </c>
      <c r="M597" s="29">
        <v>1.4999999999999999E-2</v>
      </c>
      <c r="N597" s="29">
        <v>0.02</v>
      </c>
      <c r="O597" s="27" t="s">
        <v>166</v>
      </c>
      <c r="P597" s="30" t="s">
        <v>164</v>
      </c>
      <c r="Q597" s="31">
        <v>1778282100.21</v>
      </c>
      <c r="R597" s="31">
        <v>1425.33</v>
      </c>
      <c r="S597" s="32">
        <v>2.9595E-2</v>
      </c>
      <c r="T597" s="32" t="s">
        <v>139</v>
      </c>
      <c r="U597" s="32">
        <v>-2.2190000000000001E-3</v>
      </c>
      <c r="V597" s="32">
        <v>5.3039999999999997E-3</v>
      </c>
      <c r="W597" s="32">
        <v>1.7090000000000001E-2</v>
      </c>
      <c r="X597" s="32">
        <v>4.4795000000000001E-2</v>
      </c>
      <c r="Y597" s="32">
        <v>8.6829999999999997E-3</v>
      </c>
      <c r="Z597" s="32">
        <v>0.167882</v>
      </c>
      <c r="AA597" s="32">
        <v>0.302647</v>
      </c>
      <c r="AB597" s="32">
        <v>0.38489099999999998</v>
      </c>
    </row>
    <row r="598" spans="1:28" ht="15.6" customHeight="1" x14ac:dyDescent="0.25">
      <c r="A598" s="24" t="s">
        <v>1680</v>
      </c>
      <c r="B598" s="50">
        <v>4238</v>
      </c>
      <c r="C598" s="25" t="s">
        <v>1681</v>
      </c>
      <c r="D598" s="25" t="s">
        <v>164</v>
      </c>
      <c r="E598" s="25" t="s">
        <v>194</v>
      </c>
      <c r="F598" s="25" t="s">
        <v>113</v>
      </c>
      <c r="G598" s="26" t="s">
        <v>866</v>
      </c>
      <c r="H598" s="27" t="s">
        <v>120</v>
      </c>
      <c r="I598" s="24" t="s">
        <v>998</v>
      </c>
      <c r="J598" s="24" t="s">
        <v>121</v>
      </c>
      <c r="K598" s="28" t="s">
        <v>108</v>
      </c>
      <c r="L598" s="29">
        <v>0</v>
      </c>
      <c r="M598" s="29">
        <v>0</v>
      </c>
      <c r="N598" s="29">
        <v>0.02</v>
      </c>
      <c r="O598" s="27" t="s">
        <v>166</v>
      </c>
      <c r="P598" s="30" t="s">
        <v>164</v>
      </c>
      <c r="Q598" s="31">
        <v>21124000331.549999</v>
      </c>
      <c r="R598" s="31">
        <v>170.01</v>
      </c>
      <c r="S598" s="32">
        <v>2.1080999999999999E-2</v>
      </c>
      <c r="T598" s="32" t="s">
        <v>139</v>
      </c>
      <c r="U598" s="32">
        <v>-2.9399999999999999E-4</v>
      </c>
      <c r="V598" s="32">
        <v>1.768E-3</v>
      </c>
      <c r="W598" s="32">
        <v>7.2880000000000002E-3</v>
      </c>
      <c r="X598" s="32">
        <v>1.7597000000000002E-2</v>
      </c>
      <c r="Y598" s="32">
        <v>2.6692E-2</v>
      </c>
      <c r="Z598" s="32">
        <v>6.2761999999999998E-2</v>
      </c>
      <c r="AA598" s="32">
        <v>0.107268</v>
      </c>
      <c r="AB598" s="32">
        <v>0.14616100000000001</v>
      </c>
    </row>
    <row r="599" spans="1:28" ht="15.6" customHeight="1" x14ac:dyDescent="0.25">
      <c r="A599" s="24" t="s">
        <v>953</v>
      </c>
      <c r="B599" s="50">
        <v>4239</v>
      </c>
      <c r="C599" s="25" t="s">
        <v>954</v>
      </c>
      <c r="D599" s="25" t="s">
        <v>164</v>
      </c>
      <c r="E599" s="25" t="s">
        <v>194</v>
      </c>
      <c r="F599" s="25" t="s">
        <v>138</v>
      </c>
      <c r="G599" s="26" t="s">
        <v>139</v>
      </c>
      <c r="H599" s="27" t="s">
        <v>955</v>
      </c>
      <c r="I599" s="24" t="s">
        <v>106</v>
      </c>
      <c r="J599" s="24" t="s">
        <v>107</v>
      </c>
      <c r="K599" s="28" t="s">
        <v>227</v>
      </c>
      <c r="L599" s="29">
        <v>0.03</v>
      </c>
      <c r="M599" s="29">
        <v>1.4999999999999999E-2</v>
      </c>
      <c r="N599" s="29">
        <v>0.02</v>
      </c>
      <c r="O599" s="27" t="s">
        <v>166</v>
      </c>
      <c r="P599" s="30" t="s">
        <v>164</v>
      </c>
      <c r="Q599" s="31">
        <v>128243711.93000001</v>
      </c>
      <c r="R599" s="31">
        <v>174550.82</v>
      </c>
      <c r="S599" s="32">
        <v>0.12606899999999999</v>
      </c>
      <c r="T599" s="32" t="s">
        <v>139</v>
      </c>
      <c r="U599" s="32">
        <v>-4.3689999999999996E-3</v>
      </c>
      <c r="V599" s="32">
        <v>1.3010000000000001E-2</v>
      </c>
      <c r="W599" s="32">
        <v>4.4241000000000003E-2</v>
      </c>
      <c r="X599" s="32">
        <v>0.13941799999999999</v>
      </c>
      <c r="Y599" s="32">
        <v>0.139458</v>
      </c>
      <c r="Z599" s="32">
        <v>0.34942099999999998</v>
      </c>
      <c r="AA599" s="32">
        <v>0.50623600000000002</v>
      </c>
      <c r="AB599" s="32">
        <v>0.53764699999999999</v>
      </c>
    </row>
    <row r="600" spans="1:28" ht="15.6" customHeight="1" x14ac:dyDescent="0.25">
      <c r="A600" s="24" t="s">
        <v>1682</v>
      </c>
      <c r="B600" s="50">
        <v>4240</v>
      </c>
      <c r="C600" s="25" t="s">
        <v>1683</v>
      </c>
      <c r="D600" s="25" t="s">
        <v>164</v>
      </c>
      <c r="E600" s="25" t="s">
        <v>194</v>
      </c>
      <c r="F600" s="25" t="s">
        <v>113</v>
      </c>
      <c r="G600" s="26" t="s">
        <v>151</v>
      </c>
      <c r="H600" s="27" t="s">
        <v>1498</v>
      </c>
      <c r="I600" s="24" t="s">
        <v>998</v>
      </c>
      <c r="J600" s="24" t="s">
        <v>121</v>
      </c>
      <c r="K600" s="28" t="s">
        <v>108</v>
      </c>
      <c r="L600" s="29">
        <v>0</v>
      </c>
      <c r="M600" s="29">
        <v>0</v>
      </c>
      <c r="N600" s="29">
        <v>0.02</v>
      </c>
      <c r="O600" s="27" t="s">
        <v>166</v>
      </c>
      <c r="P600" s="30" t="s">
        <v>164</v>
      </c>
      <c r="Q600" s="31">
        <v>1645781619.4200001</v>
      </c>
      <c r="R600" s="31">
        <v>301.58999999999997</v>
      </c>
      <c r="S600" s="32">
        <v>4.731E-3</v>
      </c>
      <c r="T600" s="32" t="s">
        <v>139</v>
      </c>
      <c r="U600" s="32">
        <v>-1.7210000000000001E-3</v>
      </c>
      <c r="V600" s="32">
        <v>2.6259999999999999E-3</v>
      </c>
      <c r="W600" s="32">
        <v>7.3819999999999997E-3</v>
      </c>
      <c r="X600" s="32">
        <v>1.1402000000000001E-2</v>
      </c>
      <c r="Y600" s="32">
        <v>1.395E-3</v>
      </c>
      <c r="Z600" s="32">
        <v>8.2869999999999999E-2</v>
      </c>
      <c r="AA600" s="32">
        <v>0.19436899999999999</v>
      </c>
      <c r="AB600" s="32">
        <v>0.18164</v>
      </c>
    </row>
    <row r="601" spans="1:28" ht="15.6" customHeight="1" x14ac:dyDescent="0.25">
      <c r="A601" s="24" t="s">
        <v>956</v>
      </c>
      <c r="B601" s="50">
        <v>4241</v>
      </c>
      <c r="C601" s="25" t="s">
        <v>957</v>
      </c>
      <c r="D601" s="25" t="s">
        <v>164</v>
      </c>
      <c r="E601" s="25" t="s">
        <v>194</v>
      </c>
      <c r="F601" s="25" t="s">
        <v>113</v>
      </c>
      <c r="G601" s="26" t="s">
        <v>958</v>
      </c>
      <c r="H601" s="27" t="s">
        <v>327</v>
      </c>
      <c r="I601" s="24" t="s">
        <v>106</v>
      </c>
      <c r="J601" s="24" t="s">
        <v>121</v>
      </c>
      <c r="K601" s="28" t="s">
        <v>227</v>
      </c>
      <c r="L601" s="29">
        <v>0.03</v>
      </c>
      <c r="M601" s="29">
        <v>1.4999999999999999E-2</v>
      </c>
      <c r="N601" s="29">
        <v>0.02</v>
      </c>
      <c r="O601" s="27" t="s">
        <v>166</v>
      </c>
      <c r="P601" s="30" t="s">
        <v>164</v>
      </c>
      <c r="Q601" s="31">
        <v>323863445.56999999</v>
      </c>
      <c r="R601" s="31">
        <v>1103.8699999999999</v>
      </c>
      <c r="S601" s="32">
        <v>9.1459999999999996E-3</v>
      </c>
      <c r="T601" s="32" t="s">
        <v>139</v>
      </c>
      <c r="U601" s="32">
        <v>-1.24E-3</v>
      </c>
      <c r="V601" s="32">
        <v>2.8890000000000001E-3</v>
      </c>
      <c r="W601" s="32">
        <v>7.1710000000000003E-3</v>
      </c>
      <c r="X601" s="32">
        <v>1.1457999999999999E-2</v>
      </c>
      <c r="Y601" s="32">
        <v>8.0689999999999998E-3</v>
      </c>
      <c r="Z601" s="32">
        <v>8.4959999999999994E-2</v>
      </c>
      <c r="AA601" s="32">
        <v>0.15257799999999999</v>
      </c>
      <c r="AB601" s="32">
        <v>0.15465300000000001</v>
      </c>
    </row>
    <row r="602" spans="1:28" ht="15.6" customHeight="1" x14ac:dyDescent="0.25">
      <c r="A602" s="24" t="s">
        <v>1684</v>
      </c>
      <c r="B602" s="50">
        <v>4242</v>
      </c>
      <c r="C602" s="25" t="s">
        <v>1685</v>
      </c>
      <c r="D602" s="25" t="s">
        <v>101</v>
      </c>
      <c r="E602" s="25" t="s">
        <v>194</v>
      </c>
      <c r="F602" s="25" t="s">
        <v>155</v>
      </c>
      <c r="G602" s="26" t="s">
        <v>139</v>
      </c>
      <c r="H602" s="27" t="s">
        <v>156</v>
      </c>
      <c r="I602" s="24" t="s">
        <v>998</v>
      </c>
      <c r="J602" s="24" t="s">
        <v>107</v>
      </c>
      <c r="K602" s="28" t="s">
        <v>108</v>
      </c>
      <c r="L602" s="29">
        <v>0.03</v>
      </c>
      <c r="M602" s="29">
        <v>1.4999999999999999E-2</v>
      </c>
      <c r="N602" s="29">
        <v>0.02</v>
      </c>
      <c r="O602" s="27" t="s">
        <v>262</v>
      </c>
      <c r="P602" s="30" t="s">
        <v>101</v>
      </c>
      <c r="Q602" s="31">
        <v>41980598.090000004</v>
      </c>
      <c r="R602" s="31">
        <v>2717.34</v>
      </c>
      <c r="S602" s="32">
        <v>6.7949999999999998E-3</v>
      </c>
      <c r="T602" s="32" t="s">
        <v>139</v>
      </c>
      <c r="U602" s="32">
        <v>-5.672E-3</v>
      </c>
      <c r="V602" s="32">
        <v>-2.8879999999999999E-3</v>
      </c>
      <c r="W602" s="32">
        <v>4.9020000000000001E-2</v>
      </c>
      <c r="X602" s="32">
        <v>9.7764000000000004E-2</v>
      </c>
      <c r="Y602" s="32">
        <v>-8.9991000000000002E-2</v>
      </c>
      <c r="Z602" s="32">
        <v>0.34806700000000002</v>
      </c>
      <c r="AA602" s="32">
        <v>0.59606899999999996</v>
      </c>
      <c r="AB602" s="32">
        <v>0.50726400000000005</v>
      </c>
    </row>
    <row r="603" spans="1:28" ht="15.6" customHeight="1" x14ac:dyDescent="0.25">
      <c r="A603" s="24" t="s">
        <v>959</v>
      </c>
      <c r="B603" s="50">
        <v>4243</v>
      </c>
      <c r="C603" s="25" t="s">
        <v>960</v>
      </c>
      <c r="D603" s="25" t="s">
        <v>101</v>
      </c>
      <c r="E603" s="25" t="s">
        <v>194</v>
      </c>
      <c r="F603" s="25" t="s">
        <v>103</v>
      </c>
      <c r="G603" s="26" t="s">
        <v>104</v>
      </c>
      <c r="H603" s="27" t="s">
        <v>961</v>
      </c>
      <c r="I603" s="24" t="s">
        <v>106</v>
      </c>
      <c r="J603" s="24" t="s">
        <v>107</v>
      </c>
      <c r="K603" s="28" t="s">
        <v>108</v>
      </c>
      <c r="L603" s="29">
        <v>0.03</v>
      </c>
      <c r="M603" s="29">
        <v>1.4999999999999999E-2</v>
      </c>
      <c r="N603" s="29">
        <v>0.02</v>
      </c>
      <c r="O603" s="27" t="s">
        <v>262</v>
      </c>
      <c r="P603" s="30" t="s">
        <v>291</v>
      </c>
      <c r="Q603" s="31">
        <v>4588248125.8299999</v>
      </c>
      <c r="R603" s="31">
        <v>1567.23</v>
      </c>
      <c r="S603" s="32">
        <v>1.8383E-2</v>
      </c>
      <c r="T603" s="32" t="s">
        <v>139</v>
      </c>
      <c r="U603" s="32">
        <v>2.1699999999999999E-4</v>
      </c>
      <c r="V603" s="32">
        <v>1.828E-3</v>
      </c>
      <c r="W603" s="32">
        <v>6.4729999999999996E-3</v>
      </c>
      <c r="X603" s="32">
        <v>1.3698999999999999E-2</v>
      </c>
      <c r="Y603" s="32">
        <v>2.5975999999999999E-2</v>
      </c>
      <c r="Z603" s="32">
        <v>5.6064000000000003E-2</v>
      </c>
      <c r="AA603" s="32">
        <v>8.9451000000000003E-2</v>
      </c>
      <c r="AB603" s="32">
        <v>0.12992600000000001</v>
      </c>
    </row>
    <row r="604" spans="1:28" ht="15.6" customHeight="1" x14ac:dyDescent="0.25">
      <c r="A604" s="24" t="s">
        <v>1686</v>
      </c>
      <c r="B604" s="50">
        <v>4244</v>
      </c>
      <c r="C604" s="25" t="s">
        <v>1687</v>
      </c>
      <c r="D604" s="25" t="s">
        <v>101</v>
      </c>
      <c r="E604" s="25" t="s">
        <v>194</v>
      </c>
      <c r="F604" s="25" t="s">
        <v>138</v>
      </c>
      <c r="G604" s="26" t="s">
        <v>139</v>
      </c>
      <c r="H604" s="27" t="s">
        <v>1688</v>
      </c>
      <c r="I604" s="24" t="s">
        <v>998</v>
      </c>
      <c r="J604" s="24" t="s">
        <v>107</v>
      </c>
      <c r="K604" s="28" t="s">
        <v>108</v>
      </c>
      <c r="L604" s="29">
        <v>0.03</v>
      </c>
      <c r="M604" s="29">
        <v>1.4999999999999999E-2</v>
      </c>
      <c r="N604" s="29">
        <v>0.02</v>
      </c>
      <c r="O604" s="27" t="s">
        <v>262</v>
      </c>
      <c r="P604" s="30" t="s">
        <v>101</v>
      </c>
      <c r="Q604" s="31">
        <v>3925985.23</v>
      </c>
      <c r="R604" s="31">
        <v>2205.1799999999998</v>
      </c>
      <c r="S604" s="32">
        <v>2.3955000000000001E-2</v>
      </c>
      <c r="T604" s="32" t="s">
        <v>139</v>
      </c>
      <c r="U604" s="32">
        <v>-5.3270000000000001E-3</v>
      </c>
      <c r="V604" s="32">
        <v>4.8099999999999998E-4</v>
      </c>
      <c r="W604" s="32">
        <v>2.1503000000000001E-2</v>
      </c>
      <c r="X604" s="32">
        <v>3.9361E-2</v>
      </c>
      <c r="Y604" s="32">
        <v>-1.0416E-2</v>
      </c>
      <c r="Z604" s="32">
        <v>0.21246999999999999</v>
      </c>
      <c r="AA604" s="32">
        <v>0.34055099999999999</v>
      </c>
      <c r="AB604" s="32">
        <v>0.29117999999999999</v>
      </c>
    </row>
    <row r="605" spans="1:28" ht="15.6" customHeight="1" x14ac:dyDescent="0.25">
      <c r="A605" s="24" t="s">
        <v>962</v>
      </c>
      <c r="B605" s="50">
        <v>4245</v>
      </c>
      <c r="C605" s="25" t="s">
        <v>963</v>
      </c>
      <c r="D605" s="25" t="s">
        <v>101</v>
      </c>
      <c r="E605" s="25" t="s">
        <v>194</v>
      </c>
      <c r="F605" s="25" t="s">
        <v>128</v>
      </c>
      <c r="G605" s="26" t="s">
        <v>250</v>
      </c>
      <c r="H605" s="27" t="s">
        <v>964</v>
      </c>
      <c r="I605" s="24" t="s">
        <v>106</v>
      </c>
      <c r="J605" s="24" t="s">
        <v>107</v>
      </c>
      <c r="K605" s="28" t="s">
        <v>108</v>
      </c>
      <c r="L605" s="29">
        <v>0.03</v>
      </c>
      <c r="M605" s="29">
        <v>1.4999999999999999E-2</v>
      </c>
      <c r="N605" s="29">
        <v>0.02</v>
      </c>
      <c r="O605" s="27" t="s">
        <v>262</v>
      </c>
      <c r="P605" s="30" t="s">
        <v>291</v>
      </c>
      <c r="Q605" s="31">
        <v>2016444920.96</v>
      </c>
      <c r="R605" s="31">
        <v>1615.27</v>
      </c>
      <c r="S605" s="32">
        <v>2.0166E-2</v>
      </c>
      <c r="T605" s="32" t="s">
        <v>139</v>
      </c>
      <c r="U605" s="32">
        <v>-3.6999999999999998E-5</v>
      </c>
      <c r="V605" s="32">
        <v>2.091E-3</v>
      </c>
      <c r="W605" s="32">
        <v>7.5979999999999997E-3</v>
      </c>
      <c r="X605" s="32">
        <v>1.5547999999999999E-2</v>
      </c>
      <c r="Y605" s="32">
        <v>2.7088000000000001E-2</v>
      </c>
      <c r="Z605" s="32">
        <v>6.1393000000000003E-2</v>
      </c>
      <c r="AA605" s="32">
        <v>9.9435999999999997E-2</v>
      </c>
      <c r="AB605" s="32">
        <v>0.13394500000000001</v>
      </c>
    </row>
    <row r="606" spans="1:28" ht="15.6" customHeight="1" x14ac:dyDescent="0.25">
      <c r="A606" s="24" t="s">
        <v>1689</v>
      </c>
      <c r="B606" s="50">
        <v>4246</v>
      </c>
      <c r="C606" s="25" t="s">
        <v>1690</v>
      </c>
      <c r="D606" s="25" t="s">
        <v>101</v>
      </c>
      <c r="E606" s="25" t="s">
        <v>194</v>
      </c>
      <c r="F606" s="25" t="s">
        <v>113</v>
      </c>
      <c r="G606" s="26" t="s">
        <v>114</v>
      </c>
      <c r="H606" s="27" t="s">
        <v>115</v>
      </c>
      <c r="I606" s="24" t="s">
        <v>998</v>
      </c>
      <c r="J606" s="24" t="s">
        <v>107</v>
      </c>
      <c r="K606" s="28" t="s">
        <v>108</v>
      </c>
      <c r="L606" s="29">
        <v>0.03</v>
      </c>
      <c r="M606" s="29">
        <v>1.4999999999999999E-2</v>
      </c>
      <c r="N606" s="29">
        <v>0.02</v>
      </c>
      <c r="O606" s="27" t="s">
        <v>262</v>
      </c>
      <c r="P606" s="30" t="s">
        <v>291</v>
      </c>
      <c r="Q606" s="31">
        <v>59354868.43</v>
      </c>
      <c r="R606" s="31">
        <v>1968.91</v>
      </c>
      <c r="S606" s="32">
        <v>2.2190000000000001E-3</v>
      </c>
      <c r="T606" s="32" t="s">
        <v>139</v>
      </c>
      <c r="U606" s="32">
        <v>-8.83E-4</v>
      </c>
      <c r="V606" s="32">
        <v>1.4599999999999999E-3</v>
      </c>
      <c r="W606" s="32">
        <v>4.4180000000000001E-3</v>
      </c>
      <c r="X606" s="32">
        <v>8.9210000000000001E-3</v>
      </c>
      <c r="Y606" s="32">
        <v>1.307E-3</v>
      </c>
      <c r="Z606" s="32">
        <v>0.12601200000000001</v>
      </c>
      <c r="AA606" s="32">
        <v>0.235348</v>
      </c>
      <c r="AB606" s="32">
        <v>0.210922</v>
      </c>
    </row>
    <row r="607" spans="1:28" ht="15.6" customHeight="1" x14ac:dyDescent="0.25">
      <c r="A607" s="24" t="s">
        <v>1691</v>
      </c>
      <c r="B607" s="50">
        <v>4247</v>
      </c>
      <c r="C607" s="25" t="s">
        <v>1692</v>
      </c>
      <c r="D607" s="25" t="s">
        <v>101</v>
      </c>
      <c r="E607" s="25" t="s">
        <v>194</v>
      </c>
      <c r="F607" s="25" t="s">
        <v>138</v>
      </c>
      <c r="G607" s="26" t="s">
        <v>139</v>
      </c>
      <c r="H607" s="27" t="s">
        <v>283</v>
      </c>
      <c r="I607" s="24" t="s">
        <v>998</v>
      </c>
      <c r="J607" s="24" t="s">
        <v>107</v>
      </c>
      <c r="K607" s="28" t="s">
        <v>108</v>
      </c>
      <c r="L607" s="29">
        <v>0.03</v>
      </c>
      <c r="M607" s="29">
        <v>1.4999999999999999E-2</v>
      </c>
      <c r="N607" s="29">
        <v>0.02</v>
      </c>
      <c r="O607" s="27" t="s">
        <v>262</v>
      </c>
      <c r="P607" s="30" t="s">
        <v>101</v>
      </c>
      <c r="Q607" s="31">
        <v>473250772.57999998</v>
      </c>
      <c r="R607" s="31">
        <v>1781.59</v>
      </c>
      <c r="S607" s="32">
        <v>-1.831E-2</v>
      </c>
      <c r="T607" s="32" t="s">
        <v>139</v>
      </c>
      <c r="U607" s="32">
        <v>-2.4520000000000002E-3</v>
      </c>
      <c r="V607" s="32">
        <v>9.7199999999999999E-4</v>
      </c>
      <c r="W607" s="32">
        <v>1.4560999999999999E-2</v>
      </c>
      <c r="X607" s="32">
        <v>1.8214000000000001E-2</v>
      </c>
      <c r="Y607" s="32">
        <v>-4.6844999999999998E-2</v>
      </c>
      <c r="Z607" s="32">
        <v>0.102715</v>
      </c>
      <c r="AA607" s="32">
        <v>0.20186899999999999</v>
      </c>
      <c r="AB607" s="32">
        <v>0.14403199999999999</v>
      </c>
    </row>
    <row r="608" spans="1:28" ht="15.6" customHeight="1" x14ac:dyDescent="0.25">
      <c r="A608" s="24" t="s">
        <v>965</v>
      </c>
      <c r="B608" s="50">
        <v>4248</v>
      </c>
      <c r="C608" s="25" t="s">
        <v>966</v>
      </c>
      <c r="D608" s="25" t="s">
        <v>101</v>
      </c>
      <c r="E608" s="25" t="s">
        <v>194</v>
      </c>
      <c r="F608" s="25" t="s">
        <v>103</v>
      </c>
      <c r="G608" s="26" t="s">
        <v>104</v>
      </c>
      <c r="H608" s="27" t="s">
        <v>124</v>
      </c>
      <c r="I608" s="24" t="s">
        <v>106</v>
      </c>
      <c r="J608" s="24" t="s">
        <v>107</v>
      </c>
      <c r="K608" s="28" t="s">
        <v>108</v>
      </c>
      <c r="L608" s="29">
        <v>0.03</v>
      </c>
      <c r="M608" s="29">
        <v>1.4999999999999999E-2</v>
      </c>
      <c r="N608" s="29">
        <v>0.02</v>
      </c>
      <c r="O608" s="27" t="s">
        <v>262</v>
      </c>
      <c r="P608" s="30" t="s">
        <v>291</v>
      </c>
      <c r="Q608" s="31">
        <v>1655572.48</v>
      </c>
      <c r="R608" s="31">
        <v>1437.32</v>
      </c>
      <c r="S608" s="32">
        <v>5.8079999999999998E-3</v>
      </c>
      <c r="T608" s="32" t="s">
        <v>139</v>
      </c>
      <c r="U608" s="32">
        <v>-3.4999999999999997E-5</v>
      </c>
      <c r="V608" s="32">
        <v>5.9199999999999997E-4</v>
      </c>
      <c r="W608" s="32">
        <v>2.14E-3</v>
      </c>
      <c r="X608" s="32">
        <v>4.4730000000000004E-3</v>
      </c>
      <c r="Y608" s="32">
        <v>7.8180000000000003E-3</v>
      </c>
      <c r="Z608" s="32">
        <v>1.8942000000000001E-2</v>
      </c>
      <c r="AA608" s="32">
        <v>4.2874000000000002E-2</v>
      </c>
      <c r="AB608" s="32">
        <v>7.3412000000000005E-2</v>
      </c>
    </row>
    <row r="609" spans="1:28" ht="15.6" customHeight="1" x14ac:dyDescent="0.25">
      <c r="A609" s="24" t="s">
        <v>967</v>
      </c>
      <c r="B609" s="50">
        <v>4249</v>
      </c>
      <c r="C609" s="25" t="s">
        <v>968</v>
      </c>
      <c r="D609" s="25" t="s">
        <v>908</v>
      </c>
      <c r="E609" s="25" t="s">
        <v>194</v>
      </c>
      <c r="F609" s="25" t="s">
        <v>128</v>
      </c>
      <c r="G609" s="26" t="s">
        <v>289</v>
      </c>
      <c r="H609" s="27" t="s">
        <v>130</v>
      </c>
      <c r="I609" s="24" t="s">
        <v>106</v>
      </c>
      <c r="J609" s="24" t="s">
        <v>107</v>
      </c>
      <c r="K609" s="28" t="s">
        <v>108</v>
      </c>
      <c r="L609" s="29">
        <v>0</v>
      </c>
      <c r="M609" s="29">
        <v>0</v>
      </c>
      <c r="N609" s="29">
        <v>0.02</v>
      </c>
      <c r="O609" s="27" t="s">
        <v>166</v>
      </c>
      <c r="P609" s="30" t="s">
        <v>908</v>
      </c>
      <c r="Q609" s="31">
        <v>149424619.03</v>
      </c>
      <c r="R609" s="31">
        <v>1075.07</v>
      </c>
      <c r="S609" s="32">
        <v>2.0969000000000002E-2</v>
      </c>
      <c r="T609" s="32" t="s">
        <v>139</v>
      </c>
      <c r="U609" s="32">
        <v>-2.8E-5</v>
      </c>
      <c r="V609" s="32">
        <v>2.1719999999999999E-3</v>
      </c>
      <c r="W609" s="32">
        <v>7.3080000000000003E-3</v>
      </c>
      <c r="X609" s="32">
        <v>1.5702000000000001E-2</v>
      </c>
      <c r="Y609" s="32">
        <v>2.8479999999999998E-2</v>
      </c>
      <c r="Z609" s="32">
        <v>6.3866999999999993E-2</v>
      </c>
      <c r="AA609" s="32" t="s">
        <v>139</v>
      </c>
      <c r="AB609" s="32" t="s">
        <v>139</v>
      </c>
    </row>
    <row r="610" spans="1:28" ht="15.6" customHeight="1" x14ac:dyDescent="0.25">
      <c r="A610" s="24" t="s">
        <v>1693</v>
      </c>
      <c r="B610" s="50">
        <v>4250</v>
      </c>
      <c r="C610" s="25" t="s">
        <v>1694</v>
      </c>
      <c r="D610" s="25" t="s">
        <v>164</v>
      </c>
      <c r="E610" s="25" t="s">
        <v>194</v>
      </c>
      <c r="F610" s="25" t="s">
        <v>113</v>
      </c>
      <c r="G610" s="26" t="s">
        <v>1695</v>
      </c>
      <c r="H610" s="27" t="s">
        <v>115</v>
      </c>
      <c r="I610" s="24" t="s">
        <v>998</v>
      </c>
      <c r="J610" s="24" t="s">
        <v>121</v>
      </c>
      <c r="K610" s="28" t="s">
        <v>227</v>
      </c>
      <c r="L610" s="29">
        <v>0</v>
      </c>
      <c r="M610" s="29">
        <v>0</v>
      </c>
      <c r="N610" s="29">
        <v>0.02</v>
      </c>
      <c r="O610" s="27" t="s">
        <v>166</v>
      </c>
      <c r="P610" s="30" t="s">
        <v>164</v>
      </c>
      <c r="Q610" s="31">
        <v>2017628592.9200001</v>
      </c>
      <c r="R610" s="31">
        <v>141.13999999999999</v>
      </c>
      <c r="S610" s="32">
        <v>2.2720000000000001E-3</v>
      </c>
      <c r="T610" s="32" t="s">
        <v>139</v>
      </c>
      <c r="U610" s="32">
        <v>-1.768E-3</v>
      </c>
      <c r="V610" s="32">
        <v>2.4859999999999999E-3</v>
      </c>
      <c r="W610" s="32">
        <v>3.9830000000000004E-3</v>
      </c>
      <c r="X610" s="32">
        <v>4.8409999999999998E-3</v>
      </c>
      <c r="Y610" s="32">
        <v>-1.2030000000000001E-3</v>
      </c>
      <c r="Z610" s="32">
        <v>-1.3421000000000001E-2</v>
      </c>
      <c r="AA610" s="32">
        <v>1.7958999999999999E-2</v>
      </c>
      <c r="AB610" s="32">
        <v>2.3643999999999998E-2</v>
      </c>
    </row>
    <row r="611" spans="1:28" ht="15.6" customHeight="1" x14ac:dyDescent="0.25">
      <c r="A611" s="24" t="s">
        <v>1696</v>
      </c>
      <c r="B611" s="50">
        <v>4251</v>
      </c>
      <c r="C611" s="25" t="s">
        <v>1697</v>
      </c>
      <c r="D611" s="25" t="s">
        <v>908</v>
      </c>
      <c r="E611" s="25" t="s">
        <v>194</v>
      </c>
      <c r="F611" s="25" t="s">
        <v>155</v>
      </c>
      <c r="G611" s="26" t="s">
        <v>139</v>
      </c>
      <c r="H611" s="27" t="s">
        <v>156</v>
      </c>
      <c r="I611" s="24" t="s">
        <v>998</v>
      </c>
      <c r="J611" s="24" t="s">
        <v>107</v>
      </c>
      <c r="K611" s="28" t="s">
        <v>180</v>
      </c>
      <c r="L611" s="29">
        <v>0.02</v>
      </c>
      <c r="M611" s="29">
        <v>1.4999999999999999E-2</v>
      </c>
      <c r="N611" s="29">
        <v>0.02</v>
      </c>
      <c r="O611" s="27" t="s">
        <v>166</v>
      </c>
      <c r="P611" s="30" t="s">
        <v>908</v>
      </c>
      <c r="Q611" s="31">
        <v>86951012.299999997</v>
      </c>
      <c r="R611" s="31">
        <v>1368.99</v>
      </c>
      <c r="S611" s="32">
        <v>7.6943999999999999E-2</v>
      </c>
      <c r="T611" s="32" t="s">
        <v>139</v>
      </c>
      <c r="U611" s="32">
        <v>1.258E-3</v>
      </c>
      <c r="V611" s="32">
        <v>5.2430000000000003E-3</v>
      </c>
      <c r="W611" s="32">
        <v>4.8760999999999999E-2</v>
      </c>
      <c r="X611" s="32">
        <v>0.123117</v>
      </c>
      <c r="Y611" s="32">
        <v>-5.1809999999999998E-3</v>
      </c>
      <c r="Z611" s="32">
        <v>0.433199</v>
      </c>
      <c r="AA611" s="32" t="s">
        <v>139</v>
      </c>
      <c r="AB611" s="32" t="s">
        <v>139</v>
      </c>
    </row>
    <row r="612" spans="1:28" ht="15.6" customHeight="1" x14ac:dyDescent="0.25">
      <c r="A612" s="24" t="s">
        <v>1698</v>
      </c>
      <c r="B612" s="50">
        <v>4252</v>
      </c>
      <c r="C612" s="25" t="s">
        <v>1699</v>
      </c>
      <c r="D612" s="25" t="s">
        <v>164</v>
      </c>
      <c r="E612" s="25" t="s">
        <v>194</v>
      </c>
      <c r="F612" s="25" t="s">
        <v>138</v>
      </c>
      <c r="G612" s="26" t="s">
        <v>139</v>
      </c>
      <c r="H612" s="27" t="s">
        <v>641</v>
      </c>
      <c r="I612" s="24" t="s">
        <v>998</v>
      </c>
      <c r="J612" s="24" t="s">
        <v>107</v>
      </c>
      <c r="K612" s="28" t="s">
        <v>108</v>
      </c>
      <c r="L612" s="29">
        <v>0</v>
      </c>
      <c r="M612" s="29">
        <v>0</v>
      </c>
      <c r="N612" s="29">
        <v>0.02</v>
      </c>
      <c r="O612" s="27" t="s">
        <v>166</v>
      </c>
      <c r="P612" s="30" t="s">
        <v>164</v>
      </c>
      <c r="Q612" s="31">
        <v>250004860.56999999</v>
      </c>
      <c r="R612" s="31">
        <v>17809.080000000002</v>
      </c>
      <c r="S612" s="32">
        <v>3.6146999999999999E-2</v>
      </c>
      <c r="T612" s="32" t="s">
        <v>139</v>
      </c>
      <c r="U612" s="32">
        <v>-4.6740000000000002E-3</v>
      </c>
      <c r="V612" s="32">
        <v>2.8300000000000001E-3</v>
      </c>
      <c r="W612" s="32">
        <v>2.6608E-2</v>
      </c>
      <c r="X612" s="32">
        <v>7.4383000000000005E-2</v>
      </c>
      <c r="Y612" s="32">
        <v>1.54E-4</v>
      </c>
      <c r="Z612" s="32">
        <v>0.25590600000000002</v>
      </c>
      <c r="AA612" s="32">
        <v>0.41113699999999997</v>
      </c>
      <c r="AB612" s="32">
        <v>0.388791</v>
      </c>
    </row>
    <row r="613" spans="1:28" ht="15.6" customHeight="1" x14ac:dyDescent="0.25">
      <c r="A613" s="24" t="s">
        <v>1700</v>
      </c>
      <c r="B613" s="50">
        <v>4253</v>
      </c>
      <c r="C613" s="25" t="s">
        <v>1701</v>
      </c>
      <c r="D613" s="25" t="s">
        <v>164</v>
      </c>
      <c r="E613" s="25" t="s">
        <v>194</v>
      </c>
      <c r="F613" s="25" t="s">
        <v>138</v>
      </c>
      <c r="G613" s="26" t="s">
        <v>139</v>
      </c>
      <c r="H613" s="27" t="s">
        <v>1030</v>
      </c>
      <c r="I613" s="24" t="s">
        <v>998</v>
      </c>
      <c r="J613" s="24" t="s">
        <v>107</v>
      </c>
      <c r="K613" s="28" t="s">
        <v>108</v>
      </c>
      <c r="L613" s="29">
        <v>0</v>
      </c>
      <c r="M613" s="29">
        <v>0</v>
      </c>
      <c r="N613" s="29">
        <v>0.02</v>
      </c>
      <c r="O613" s="27" t="s">
        <v>166</v>
      </c>
      <c r="P613" s="30" t="s">
        <v>164</v>
      </c>
      <c r="Q613" s="31">
        <v>122957219.76000001</v>
      </c>
      <c r="R613" s="31">
        <v>1008.39</v>
      </c>
      <c r="S613" s="32">
        <v>3.5222999999999997E-2</v>
      </c>
      <c r="T613" s="32" t="s">
        <v>139</v>
      </c>
      <c r="U613" s="32">
        <v>-3.1440000000000001E-3</v>
      </c>
      <c r="V613" s="32">
        <v>1.5100000000000001E-3</v>
      </c>
      <c r="W613" s="32">
        <v>2.6727000000000001E-2</v>
      </c>
      <c r="X613" s="32">
        <v>6.4870999999999998E-2</v>
      </c>
      <c r="Y613" s="32">
        <v>7.0809999999999996E-3</v>
      </c>
      <c r="Z613" s="32" t="s">
        <v>139</v>
      </c>
      <c r="AA613" s="32" t="s">
        <v>139</v>
      </c>
      <c r="AB613" s="32" t="s">
        <v>139</v>
      </c>
    </row>
    <row r="614" spans="1:28" ht="15.6" customHeight="1" x14ac:dyDescent="0.25">
      <c r="A614" s="24" t="s">
        <v>1702</v>
      </c>
      <c r="B614" s="50">
        <v>4254</v>
      </c>
      <c r="C614" s="25" t="s">
        <v>1703</v>
      </c>
      <c r="D614" s="25" t="s">
        <v>164</v>
      </c>
      <c r="E614" s="25" t="s">
        <v>194</v>
      </c>
      <c r="F614" s="25" t="s">
        <v>138</v>
      </c>
      <c r="G614" s="26" t="s">
        <v>139</v>
      </c>
      <c r="H614" s="27" t="s">
        <v>1704</v>
      </c>
      <c r="I614" s="24" t="s">
        <v>998</v>
      </c>
      <c r="J614" s="24" t="s">
        <v>107</v>
      </c>
      <c r="K614" s="28" t="s">
        <v>227</v>
      </c>
      <c r="L614" s="29">
        <v>0</v>
      </c>
      <c r="M614" s="29">
        <v>0</v>
      </c>
      <c r="N614" s="29">
        <v>0.02</v>
      </c>
      <c r="O614" s="27" t="s">
        <v>166</v>
      </c>
      <c r="P614" s="30" t="s">
        <v>164</v>
      </c>
      <c r="Q614" s="31">
        <v>394295656.86000001</v>
      </c>
      <c r="R614" s="31">
        <v>182.16</v>
      </c>
      <c r="S614" s="32">
        <v>3.0025E-2</v>
      </c>
      <c r="T614" s="32" t="s">
        <v>139</v>
      </c>
      <c r="U614" s="32">
        <v>-5.1339999999999997E-3</v>
      </c>
      <c r="V614" s="32">
        <v>8.2399999999999997E-4</v>
      </c>
      <c r="W614" s="32">
        <v>2.6716E-2</v>
      </c>
      <c r="X614" s="32">
        <v>7.9658999999999994E-2</v>
      </c>
      <c r="Y614" s="32">
        <v>-5.7850000000000002E-3</v>
      </c>
      <c r="Z614" s="32">
        <v>0.15620400000000001</v>
      </c>
      <c r="AA614" s="32">
        <v>0.25975100000000001</v>
      </c>
      <c r="AB614" s="32">
        <v>0.32365500000000003</v>
      </c>
    </row>
    <row r="615" spans="1:28" ht="15.6" customHeight="1" x14ac:dyDescent="0.25">
      <c r="A615" s="24" t="s">
        <v>1705</v>
      </c>
      <c r="B615" s="50">
        <v>4255</v>
      </c>
      <c r="C615" s="25" t="s">
        <v>1706</v>
      </c>
      <c r="D615" s="25" t="s">
        <v>164</v>
      </c>
      <c r="E615" s="25" t="s">
        <v>194</v>
      </c>
      <c r="F615" s="25" t="s">
        <v>138</v>
      </c>
      <c r="G615" s="26" t="s">
        <v>139</v>
      </c>
      <c r="H615" s="27" t="s">
        <v>521</v>
      </c>
      <c r="I615" s="24" t="s">
        <v>998</v>
      </c>
      <c r="J615" s="24" t="s">
        <v>107</v>
      </c>
      <c r="K615" s="28" t="s">
        <v>108</v>
      </c>
      <c r="L615" s="29">
        <v>0</v>
      </c>
      <c r="M615" s="29">
        <v>0</v>
      </c>
      <c r="N615" s="29">
        <v>0.02</v>
      </c>
      <c r="O615" s="27" t="s">
        <v>166</v>
      </c>
      <c r="P615" s="30" t="s">
        <v>164</v>
      </c>
      <c r="Q615" s="31">
        <v>285847341.12</v>
      </c>
      <c r="R615" s="31">
        <v>6431.38</v>
      </c>
      <c r="S615" s="32">
        <v>4.9981999999999999E-2</v>
      </c>
      <c r="T615" s="32" t="s">
        <v>139</v>
      </c>
      <c r="U615" s="32">
        <v>-7.6530000000000001E-3</v>
      </c>
      <c r="V615" s="32">
        <v>1.2999999999999999E-3</v>
      </c>
      <c r="W615" s="32">
        <v>2.4728E-2</v>
      </c>
      <c r="X615" s="32">
        <v>8.9153999999999997E-2</v>
      </c>
      <c r="Y615" s="32">
        <v>1.0789E-2</v>
      </c>
      <c r="Z615" s="32">
        <v>0.29276799999999997</v>
      </c>
      <c r="AA615" s="32">
        <v>0.47283700000000001</v>
      </c>
      <c r="AB615" s="32">
        <v>0.40960800000000003</v>
      </c>
    </row>
    <row r="616" spans="1:28" ht="15.6" customHeight="1" x14ac:dyDescent="0.25">
      <c r="A616" s="24" t="s">
        <v>1707</v>
      </c>
      <c r="B616" s="50">
        <v>4256</v>
      </c>
      <c r="C616" s="25" t="s">
        <v>1708</v>
      </c>
      <c r="D616" s="25" t="s">
        <v>112</v>
      </c>
      <c r="E616" s="25" t="s">
        <v>194</v>
      </c>
      <c r="F616" s="25" t="s">
        <v>113</v>
      </c>
      <c r="G616" s="26" t="s">
        <v>1709</v>
      </c>
      <c r="H616" s="27" t="s">
        <v>598</v>
      </c>
      <c r="I616" s="24" t="s">
        <v>998</v>
      </c>
      <c r="J616" s="24" t="s">
        <v>121</v>
      </c>
      <c r="K616" s="28" t="s">
        <v>227</v>
      </c>
      <c r="L616" s="29">
        <v>0</v>
      </c>
      <c r="M616" s="29">
        <v>0</v>
      </c>
      <c r="N616" s="29">
        <v>0.02</v>
      </c>
      <c r="O616" s="27" t="s">
        <v>116</v>
      </c>
      <c r="P616" s="30" t="s">
        <v>112</v>
      </c>
      <c r="Q616" s="31">
        <v>1102968.3899999999</v>
      </c>
      <c r="R616" s="31">
        <v>1102.96</v>
      </c>
      <c r="S616" s="32">
        <v>7.7850000000000003E-3</v>
      </c>
      <c r="T616" s="32" t="s">
        <v>139</v>
      </c>
      <c r="U616" s="32">
        <v>-1.023E-3</v>
      </c>
      <c r="V616" s="32">
        <v>2.0439999999999998E-3</v>
      </c>
      <c r="W616" s="32">
        <v>5.3410000000000003E-3</v>
      </c>
      <c r="X616" s="32">
        <v>8.4939999999999998E-3</v>
      </c>
      <c r="Y616" s="32">
        <v>6.1029999999999999E-3</v>
      </c>
      <c r="Z616" s="32">
        <v>5.4061999999999999E-2</v>
      </c>
      <c r="AA616" s="32">
        <v>0.12399</v>
      </c>
      <c r="AB616" s="32">
        <v>9.8160999999999998E-2</v>
      </c>
    </row>
    <row r="617" spans="1:28" ht="15.6" customHeight="1" x14ac:dyDescent="0.25">
      <c r="A617" s="24" t="s">
        <v>969</v>
      </c>
      <c r="B617" s="50">
        <v>4257</v>
      </c>
      <c r="C617" s="25" t="s">
        <v>970</v>
      </c>
      <c r="D617" s="25" t="s">
        <v>127</v>
      </c>
      <c r="E617" s="25" t="s">
        <v>194</v>
      </c>
      <c r="F617" s="25" t="s">
        <v>128</v>
      </c>
      <c r="G617" s="26" t="s">
        <v>250</v>
      </c>
      <c r="H617" s="27" t="s">
        <v>130</v>
      </c>
      <c r="I617" s="24" t="s">
        <v>106</v>
      </c>
      <c r="J617" s="24" t="s">
        <v>107</v>
      </c>
      <c r="K617" s="28" t="s">
        <v>108</v>
      </c>
      <c r="L617" s="29">
        <v>0</v>
      </c>
      <c r="M617" s="29">
        <v>0</v>
      </c>
      <c r="N617" s="29">
        <v>7.4999999999999997E-3</v>
      </c>
      <c r="O617" s="27" t="s">
        <v>131</v>
      </c>
      <c r="P617" s="30" t="s">
        <v>131</v>
      </c>
      <c r="Q617" s="31">
        <v>596141492.60000002</v>
      </c>
      <c r="R617" s="31">
        <v>216.94</v>
      </c>
      <c r="S617" s="32">
        <v>1.7399000000000001E-2</v>
      </c>
      <c r="T617" s="32" t="s">
        <v>139</v>
      </c>
      <c r="U617" s="32">
        <v>4.6E-5</v>
      </c>
      <c r="V617" s="32">
        <v>1.8940000000000001E-3</v>
      </c>
      <c r="W617" s="32">
        <v>6.7289999999999997E-3</v>
      </c>
      <c r="X617" s="32">
        <v>1.388E-2</v>
      </c>
      <c r="Y617" s="32">
        <v>2.3640000000000001E-2</v>
      </c>
      <c r="Z617" s="32">
        <v>5.6389000000000002E-2</v>
      </c>
      <c r="AA617" s="32">
        <v>9.6321000000000004E-2</v>
      </c>
      <c r="AB617" s="32">
        <v>0.13940900000000001</v>
      </c>
    </row>
    <row r="618" spans="1:28" ht="15.6" customHeight="1" x14ac:dyDescent="0.25">
      <c r="A618" s="24" t="s">
        <v>1710</v>
      </c>
      <c r="B618" s="50">
        <v>4258</v>
      </c>
      <c r="C618" s="25" t="s">
        <v>1711</v>
      </c>
      <c r="D618" s="25" t="s">
        <v>127</v>
      </c>
      <c r="E618" s="25" t="s">
        <v>194</v>
      </c>
      <c r="F618" s="25" t="s">
        <v>155</v>
      </c>
      <c r="G618" s="26" t="s">
        <v>139</v>
      </c>
      <c r="H618" s="27" t="s">
        <v>156</v>
      </c>
      <c r="I618" s="24" t="s">
        <v>998</v>
      </c>
      <c r="J618" s="24" t="s">
        <v>107</v>
      </c>
      <c r="K618" s="28" t="s">
        <v>108</v>
      </c>
      <c r="L618" s="29">
        <v>0.02</v>
      </c>
      <c r="M618" s="29">
        <v>0.02</v>
      </c>
      <c r="N618" s="29">
        <v>0.02</v>
      </c>
      <c r="O618" s="27" t="s">
        <v>131</v>
      </c>
      <c r="P618" s="30" t="s">
        <v>131</v>
      </c>
      <c r="Q618" s="31">
        <v>29752303.120000001</v>
      </c>
      <c r="R618" s="31">
        <v>195.3</v>
      </c>
      <c r="S618" s="32">
        <v>-6.8046999999999996E-2</v>
      </c>
      <c r="T618" s="32" t="s">
        <v>139</v>
      </c>
      <c r="U618" s="32">
        <v>-7.7229999999999998E-3</v>
      </c>
      <c r="V618" s="32">
        <v>-7.1679999999999999E-3</v>
      </c>
      <c r="W618" s="32">
        <v>1.1812E-2</v>
      </c>
      <c r="X618" s="32">
        <v>-2.7099999999999999E-2</v>
      </c>
      <c r="Y618" s="32">
        <v>-0.16567000000000001</v>
      </c>
      <c r="Z618" s="32">
        <v>0.118493</v>
      </c>
      <c r="AA618" s="32">
        <v>0.433921</v>
      </c>
      <c r="AB618" s="32">
        <v>0.42222500000000002</v>
      </c>
    </row>
    <row r="619" spans="1:28" ht="15.6" customHeight="1" x14ac:dyDescent="0.25">
      <c r="A619" s="24" t="s">
        <v>1712</v>
      </c>
      <c r="B619" s="50">
        <v>4259</v>
      </c>
      <c r="C619" s="25" t="s">
        <v>1713</v>
      </c>
      <c r="D619" s="25" t="s">
        <v>127</v>
      </c>
      <c r="E619" s="25" t="s">
        <v>194</v>
      </c>
      <c r="F619" s="25" t="s">
        <v>155</v>
      </c>
      <c r="G619" s="26" t="s">
        <v>139</v>
      </c>
      <c r="H619" s="27" t="s">
        <v>156</v>
      </c>
      <c r="I619" s="24" t="s">
        <v>998</v>
      </c>
      <c r="J619" s="24" t="s">
        <v>107</v>
      </c>
      <c r="K619" s="28" t="s">
        <v>108</v>
      </c>
      <c r="L619" s="29">
        <v>0.02</v>
      </c>
      <c r="M619" s="29">
        <v>1.4999999999999999E-2</v>
      </c>
      <c r="N619" s="29">
        <v>0.02</v>
      </c>
      <c r="O619" s="27" t="s">
        <v>131</v>
      </c>
      <c r="P619" s="30" t="s">
        <v>131</v>
      </c>
      <c r="Q619" s="31">
        <v>603088311.11000001</v>
      </c>
      <c r="R619" s="31">
        <v>814.61</v>
      </c>
      <c r="S619" s="32">
        <v>-1.6884E-2</v>
      </c>
      <c r="T619" s="32" t="s">
        <v>139</v>
      </c>
      <c r="U619" s="32">
        <v>-1.7417999999999999E-2</v>
      </c>
      <c r="V619" s="32">
        <v>-1.7736999999999999E-2</v>
      </c>
      <c r="W619" s="32">
        <v>-1.6000000000000001E-4</v>
      </c>
      <c r="X619" s="32">
        <v>9.5538999999999999E-2</v>
      </c>
      <c r="Y619" s="32">
        <v>-0.129048</v>
      </c>
      <c r="Z619" s="32">
        <v>0.327461</v>
      </c>
      <c r="AA619" s="32">
        <v>0.70086000000000004</v>
      </c>
      <c r="AB619" s="32">
        <v>0.58635700000000002</v>
      </c>
    </row>
    <row r="620" spans="1:28" ht="15.6" customHeight="1" x14ac:dyDescent="0.25">
      <c r="A620" s="24" t="s">
        <v>971</v>
      </c>
      <c r="B620" s="50">
        <v>4260</v>
      </c>
      <c r="C620" s="25" t="s">
        <v>972</v>
      </c>
      <c r="D620" s="25" t="s">
        <v>101</v>
      </c>
      <c r="E620" s="25" t="s">
        <v>194</v>
      </c>
      <c r="F620" s="25" t="s">
        <v>103</v>
      </c>
      <c r="G620" s="26" t="s">
        <v>392</v>
      </c>
      <c r="H620" s="27" t="s">
        <v>337</v>
      </c>
      <c r="I620" s="24" t="s">
        <v>106</v>
      </c>
      <c r="J620" s="24" t="s">
        <v>107</v>
      </c>
      <c r="K620" s="28" t="s">
        <v>108</v>
      </c>
      <c r="L620" s="29">
        <v>0.03</v>
      </c>
      <c r="M620" s="29">
        <v>0</v>
      </c>
      <c r="N620" s="29">
        <v>0.02</v>
      </c>
      <c r="O620" s="27" t="s">
        <v>109</v>
      </c>
      <c r="P620" s="30" t="s">
        <v>101</v>
      </c>
      <c r="Q620" s="31">
        <v>12365706.869999999</v>
      </c>
      <c r="R620" s="31">
        <v>140.91</v>
      </c>
      <c r="S620" s="32">
        <v>2.6966E-2</v>
      </c>
      <c r="T620" s="32" t="s">
        <v>139</v>
      </c>
      <c r="U620" s="32">
        <v>0</v>
      </c>
      <c r="V620" s="32">
        <v>9.9500000000000001E-4</v>
      </c>
      <c r="W620" s="32">
        <v>9.384E-3</v>
      </c>
      <c r="X620" s="32">
        <v>2.4353E-2</v>
      </c>
      <c r="Y620" s="32">
        <v>4.1924999999999997E-2</v>
      </c>
      <c r="Z620" s="32">
        <v>8.1592999999999999E-2</v>
      </c>
      <c r="AA620" s="32">
        <v>0.101204</v>
      </c>
      <c r="AB620" s="32">
        <v>0.119933</v>
      </c>
    </row>
    <row r="621" spans="1:28" ht="15.6" customHeight="1" x14ac:dyDescent="0.25">
      <c r="A621" s="24" t="s">
        <v>973</v>
      </c>
      <c r="B621" s="50">
        <v>4263</v>
      </c>
      <c r="C621" s="25" t="s">
        <v>974</v>
      </c>
      <c r="D621" s="25" t="s">
        <v>908</v>
      </c>
      <c r="E621" s="25" t="s">
        <v>194</v>
      </c>
      <c r="F621" s="25" t="s">
        <v>138</v>
      </c>
      <c r="G621" s="26" t="s">
        <v>139</v>
      </c>
      <c r="H621" s="27" t="s">
        <v>975</v>
      </c>
      <c r="I621" s="24" t="s">
        <v>106</v>
      </c>
      <c r="J621" s="24" t="s">
        <v>107</v>
      </c>
      <c r="K621" s="28" t="s">
        <v>227</v>
      </c>
      <c r="L621" s="29">
        <v>0.03</v>
      </c>
      <c r="M621" s="29">
        <v>0.03</v>
      </c>
      <c r="N621" s="29">
        <v>0.02</v>
      </c>
      <c r="O621" s="27" t="s">
        <v>262</v>
      </c>
      <c r="P621" s="30" t="s">
        <v>908</v>
      </c>
      <c r="Q621" s="31">
        <v>628276.74</v>
      </c>
      <c r="R621" s="31">
        <v>2026.69</v>
      </c>
      <c r="S621" s="32">
        <v>7.3679999999999995E-2</v>
      </c>
      <c r="T621" s="32" t="s">
        <v>139</v>
      </c>
      <c r="U621" s="32">
        <v>2.3289999999999999E-3</v>
      </c>
      <c r="V621" s="32">
        <v>5.2529999999999999E-3</v>
      </c>
      <c r="W621" s="32">
        <v>2.7619000000000001E-2</v>
      </c>
      <c r="X621" s="32">
        <v>0.10756</v>
      </c>
      <c r="Y621" s="32">
        <v>6.6109999999999997E-3</v>
      </c>
      <c r="Z621" s="32">
        <v>0.51385599999999998</v>
      </c>
      <c r="AA621" s="32">
        <v>0.76630200000000004</v>
      </c>
      <c r="AB621" s="32">
        <v>0.72831400000000002</v>
      </c>
    </row>
    <row r="622" spans="1:28" ht="15.6" customHeight="1" x14ac:dyDescent="0.25">
      <c r="A622" s="24" t="s">
        <v>976</v>
      </c>
      <c r="B622" s="50">
        <v>4265</v>
      </c>
      <c r="C622" s="25" t="s">
        <v>977</v>
      </c>
      <c r="D622" s="25" t="s">
        <v>127</v>
      </c>
      <c r="E622" s="25" t="s">
        <v>194</v>
      </c>
      <c r="F622" s="25" t="s">
        <v>138</v>
      </c>
      <c r="G622" s="26" t="s">
        <v>139</v>
      </c>
      <c r="H622" s="27" t="s">
        <v>195</v>
      </c>
      <c r="I622" s="24" t="s">
        <v>106</v>
      </c>
      <c r="J622" s="24" t="s">
        <v>107</v>
      </c>
      <c r="K622" s="28" t="s">
        <v>227</v>
      </c>
      <c r="L622" s="29">
        <v>0.03</v>
      </c>
      <c r="M622" s="29">
        <v>1.4999999999999999E-2</v>
      </c>
      <c r="N622" s="29">
        <v>0.02</v>
      </c>
      <c r="O622" s="27" t="s">
        <v>131</v>
      </c>
      <c r="P622" s="30" t="s">
        <v>978</v>
      </c>
      <c r="Q622" s="31">
        <v>1017711.2</v>
      </c>
      <c r="R622" s="31">
        <v>101.77</v>
      </c>
      <c r="S622" s="32" t="s">
        <v>139</v>
      </c>
      <c r="T622" s="32" t="s">
        <v>139</v>
      </c>
      <c r="U622" s="32">
        <v>1.0820000000000001E-3</v>
      </c>
      <c r="V622" s="32">
        <v>-2.9500000000000001E-4</v>
      </c>
      <c r="W622" s="32" t="s">
        <v>139</v>
      </c>
      <c r="X622" s="32" t="s">
        <v>139</v>
      </c>
      <c r="Y622" s="32" t="s">
        <v>139</v>
      </c>
      <c r="Z622" s="32" t="s">
        <v>139</v>
      </c>
      <c r="AA622" s="32" t="s">
        <v>139</v>
      </c>
      <c r="AB622" s="32" t="s">
        <v>139</v>
      </c>
    </row>
    <row r="623" spans="1:28" ht="15.6" customHeight="1" x14ac:dyDescent="0.25">
      <c r="A623" s="24" t="s">
        <v>979</v>
      </c>
      <c r="B623" s="50">
        <v>4266</v>
      </c>
      <c r="C623" s="25" t="s">
        <v>980</v>
      </c>
      <c r="D623" s="25" t="s">
        <v>127</v>
      </c>
      <c r="E623" s="25" t="s">
        <v>194</v>
      </c>
      <c r="F623" s="25" t="s">
        <v>155</v>
      </c>
      <c r="G623" s="26" t="s">
        <v>139</v>
      </c>
      <c r="H623" s="27" t="s">
        <v>632</v>
      </c>
      <c r="I623" s="24" t="s">
        <v>106</v>
      </c>
      <c r="J623" s="24" t="s">
        <v>107</v>
      </c>
      <c r="K623" s="28" t="s">
        <v>227</v>
      </c>
      <c r="L623" s="29">
        <v>0.03</v>
      </c>
      <c r="M623" s="29">
        <v>1.4999999999999999E-2</v>
      </c>
      <c r="N623" s="29">
        <v>0.02</v>
      </c>
      <c r="O623" s="27" t="s">
        <v>131</v>
      </c>
      <c r="P623" s="30" t="s">
        <v>978</v>
      </c>
      <c r="Q623" s="31">
        <v>1037306.78</v>
      </c>
      <c r="R623" s="31">
        <v>103.73</v>
      </c>
      <c r="S623" s="32" t="s">
        <v>139</v>
      </c>
      <c r="T623" s="32" t="s">
        <v>139</v>
      </c>
      <c r="U623" s="32">
        <v>5.6230000000000004E-3</v>
      </c>
      <c r="V623" s="32">
        <v>-2.5959999999999998E-3</v>
      </c>
      <c r="W623" s="32" t="s">
        <v>139</v>
      </c>
      <c r="X623" s="32" t="s">
        <v>139</v>
      </c>
      <c r="Y623" s="32" t="s">
        <v>139</v>
      </c>
      <c r="Z623" s="32" t="s">
        <v>139</v>
      </c>
      <c r="AA623" s="32" t="s">
        <v>139</v>
      </c>
      <c r="AB623" s="32" t="s">
        <v>139</v>
      </c>
    </row>
    <row r="624" spans="1:28" ht="15.6" customHeight="1" x14ac:dyDescent="0.25">
      <c r="A624" s="24" t="s">
        <v>981</v>
      </c>
      <c r="B624" s="50">
        <v>30002</v>
      </c>
      <c r="C624" s="25" t="s">
        <v>982</v>
      </c>
      <c r="D624" s="25" t="s">
        <v>712</v>
      </c>
      <c r="E624" s="25" t="s">
        <v>194</v>
      </c>
      <c r="F624" s="25" t="s">
        <v>113</v>
      </c>
      <c r="G624" s="26" t="s">
        <v>748</v>
      </c>
      <c r="H624" s="27" t="s">
        <v>115</v>
      </c>
      <c r="I624" s="24" t="s">
        <v>106</v>
      </c>
      <c r="J624" s="24" t="s">
        <v>121</v>
      </c>
      <c r="K624" s="28" t="s">
        <v>108</v>
      </c>
      <c r="L624" s="29">
        <v>0</v>
      </c>
      <c r="M624" s="29">
        <v>0</v>
      </c>
      <c r="N624" s="29">
        <v>0.02</v>
      </c>
      <c r="O624" s="27" t="s">
        <v>548</v>
      </c>
      <c r="P624" s="30" t="s">
        <v>712</v>
      </c>
      <c r="Q624" s="31">
        <v>201087678.02000001</v>
      </c>
      <c r="R624" s="31">
        <v>1007.13</v>
      </c>
      <c r="S624" s="32" t="s">
        <v>139</v>
      </c>
      <c r="T624" s="32" t="s">
        <v>139</v>
      </c>
      <c r="U624" s="32">
        <v>9.3400000000000004E-4</v>
      </c>
      <c r="V624" s="32">
        <v>2.349E-3</v>
      </c>
      <c r="W624" s="32">
        <v>5.8830000000000002E-3</v>
      </c>
      <c r="X624" s="32" t="s">
        <v>139</v>
      </c>
      <c r="Y624" s="32" t="s">
        <v>139</v>
      </c>
      <c r="Z624" s="32" t="s">
        <v>139</v>
      </c>
      <c r="AA624" s="32" t="s">
        <v>139</v>
      </c>
      <c r="AB624" s="32" t="s">
        <v>139</v>
      </c>
    </row>
    <row r="625" spans="1:28" ht="15.6" customHeight="1" x14ac:dyDescent="0.25">
      <c r="A625" s="24" t="s">
        <v>983</v>
      </c>
      <c r="B625" s="50">
        <v>30003</v>
      </c>
      <c r="C625" s="25" t="s">
        <v>984</v>
      </c>
      <c r="D625" s="25" t="s">
        <v>342</v>
      </c>
      <c r="E625" s="25" t="s">
        <v>194</v>
      </c>
      <c r="F625" s="25" t="s">
        <v>113</v>
      </c>
      <c r="G625" s="26" t="s">
        <v>985</v>
      </c>
      <c r="H625" s="27" t="s">
        <v>327</v>
      </c>
      <c r="I625" s="24" t="s">
        <v>106</v>
      </c>
      <c r="J625" s="24" t="s">
        <v>107</v>
      </c>
      <c r="K625" s="28" t="s">
        <v>227</v>
      </c>
      <c r="L625" s="29">
        <v>0.03</v>
      </c>
      <c r="M625" s="29">
        <v>1.4999999999999999E-2</v>
      </c>
      <c r="N625" s="29">
        <v>0.02</v>
      </c>
      <c r="O625" s="27" t="s">
        <v>659</v>
      </c>
      <c r="P625" s="30" t="s">
        <v>344</v>
      </c>
      <c r="Q625" s="31">
        <v>542310.85</v>
      </c>
      <c r="R625" s="31">
        <v>1004.28</v>
      </c>
      <c r="S625" s="32" t="s">
        <v>139</v>
      </c>
      <c r="T625" s="32" t="s">
        <v>139</v>
      </c>
      <c r="U625" s="32">
        <v>-2.225E-3</v>
      </c>
      <c r="V625" s="32">
        <v>3.0899999999999998E-4</v>
      </c>
      <c r="W625" s="32">
        <v>4.9129999999999998E-3</v>
      </c>
      <c r="X625" s="32" t="s">
        <v>139</v>
      </c>
      <c r="Y625" s="32" t="s">
        <v>139</v>
      </c>
      <c r="Z625" s="32" t="s">
        <v>139</v>
      </c>
      <c r="AA625" s="32" t="s">
        <v>139</v>
      </c>
      <c r="AB625" s="32" t="s">
        <v>139</v>
      </c>
    </row>
    <row r="626" spans="1:28" ht="15.6" customHeight="1" x14ac:dyDescent="0.25">
      <c r="A626" s="24" t="s">
        <v>986</v>
      </c>
      <c r="B626" s="50">
        <v>30004</v>
      </c>
      <c r="C626" s="25" t="s">
        <v>987</v>
      </c>
      <c r="D626" s="25" t="s">
        <v>342</v>
      </c>
      <c r="E626" s="25" t="s">
        <v>194</v>
      </c>
      <c r="F626" s="25" t="s">
        <v>155</v>
      </c>
      <c r="G626" s="26" t="s">
        <v>139</v>
      </c>
      <c r="H626" s="27" t="s">
        <v>156</v>
      </c>
      <c r="I626" s="24" t="s">
        <v>106</v>
      </c>
      <c r="J626" s="24" t="s">
        <v>107</v>
      </c>
      <c r="K626" s="28" t="s">
        <v>227</v>
      </c>
      <c r="L626" s="29">
        <v>0.03</v>
      </c>
      <c r="M626" s="29">
        <v>1.4999999999999999E-2</v>
      </c>
      <c r="N626" s="29">
        <v>0.02</v>
      </c>
      <c r="O626" s="27" t="s">
        <v>663</v>
      </c>
      <c r="P626" s="30" t="s">
        <v>344</v>
      </c>
      <c r="Q626" s="31">
        <v>547512.69999999995</v>
      </c>
      <c r="R626" s="31">
        <v>1015.79</v>
      </c>
      <c r="S626" s="32" t="s">
        <v>139</v>
      </c>
      <c r="T626" s="32" t="s">
        <v>139</v>
      </c>
      <c r="U626" s="32">
        <v>-7.7700000000000002E-4</v>
      </c>
      <c r="V626" s="32">
        <v>-4.6249999999999998E-3</v>
      </c>
      <c r="W626" s="32">
        <v>1.7051E-2</v>
      </c>
      <c r="X626" s="32" t="s">
        <v>139</v>
      </c>
      <c r="Y626" s="32" t="s">
        <v>139</v>
      </c>
      <c r="Z626" s="32" t="s">
        <v>139</v>
      </c>
      <c r="AA626" s="32" t="s">
        <v>139</v>
      </c>
      <c r="AB626" s="32" t="s">
        <v>139</v>
      </c>
    </row>
    <row r="627" spans="1:28" ht="15.6" customHeight="1" x14ac:dyDescent="0.25">
      <c r="A627" s="24" t="s">
        <v>988</v>
      </c>
      <c r="B627" s="50">
        <v>30005</v>
      </c>
      <c r="C627" s="25" t="s">
        <v>989</v>
      </c>
      <c r="D627" s="25" t="s">
        <v>342</v>
      </c>
      <c r="E627" s="25" t="s">
        <v>194</v>
      </c>
      <c r="F627" s="25" t="s">
        <v>113</v>
      </c>
      <c r="G627" s="26" t="s">
        <v>985</v>
      </c>
      <c r="H627" s="27" t="s">
        <v>327</v>
      </c>
      <c r="I627" s="24" t="s">
        <v>106</v>
      </c>
      <c r="J627" s="24" t="s">
        <v>107</v>
      </c>
      <c r="K627" s="28" t="s">
        <v>227</v>
      </c>
      <c r="L627" s="29">
        <v>0.03</v>
      </c>
      <c r="M627" s="29">
        <v>1.4999999999999999E-2</v>
      </c>
      <c r="N627" s="29">
        <v>0.02</v>
      </c>
      <c r="O627" s="27" t="s">
        <v>131</v>
      </c>
      <c r="P627" s="30" t="s">
        <v>344</v>
      </c>
      <c r="Q627" s="31">
        <v>542700.53</v>
      </c>
      <c r="R627" s="31">
        <v>1005</v>
      </c>
      <c r="S627" s="32" t="s">
        <v>139</v>
      </c>
      <c r="T627" s="32" t="s">
        <v>139</v>
      </c>
      <c r="U627" s="32">
        <v>-2.1640000000000001E-3</v>
      </c>
      <c r="V627" s="32">
        <v>3.9800000000000002E-4</v>
      </c>
      <c r="W627" s="32">
        <v>5.4929999999999996E-3</v>
      </c>
      <c r="X627" s="32" t="s">
        <v>139</v>
      </c>
      <c r="Y627" s="32" t="s">
        <v>139</v>
      </c>
      <c r="Z627" s="32" t="s">
        <v>139</v>
      </c>
      <c r="AA627" s="32" t="s">
        <v>139</v>
      </c>
      <c r="AB627" s="32" t="s">
        <v>139</v>
      </c>
    </row>
    <row r="628" spans="1:28" ht="15.6" customHeight="1" x14ac:dyDescent="0.25">
      <c r="A628" s="24" t="s">
        <v>990</v>
      </c>
      <c r="B628" s="50">
        <v>30007</v>
      </c>
      <c r="C628" s="25" t="s">
        <v>991</v>
      </c>
      <c r="D628" s="25" t="s">
        <v>524</v>
      </c>
      <c r="E628" s="25" t="s">
        <v>194</v>
      </c>
      <c r="F628" s="25" t="s">
        <v>113</v>
      </c>
      <c r="G628" s="26" t="s">
        <v>748</v>
      </c>
      <c r="H628" s="27" t="s">
        <v>115</v>
      </c>
      <c r="I628" s="24" t="s">
        <v>106</v>
      </c>
      <c r="J628" s="24" t="s">
        <v>121</v>
      </c>
      <c r="K628" s="28" t="s">
        <v>108</v>
      </c>
      <c r="L628" s="29">
        <v>0</v>
      </c>
      <c r="M628" s="29">
        <v>0</v>
      </c>
      <c r="N628" s="29">
        <v>0.02</v>
      </c>
      <c r="O628" s="27" t="s">
        <v>548</v>
      </c>
      <c r="P628" s="30" t="s">
        <v>524</v>
      </c>
      <c r="Q628" s="31">
        <v>201980966.16</v>
      </c>
      <c r="R628" s="31">
        <v>1004.11</v>
      </c>
      <c r="S628" s="32" t="s">
        <v>139</v>
      </c>
      <c r="T628" s="32" t="s">
        <v>139</v>
      </c>
      <c r="U628" s="32">
        <v>-1.372E-3</v>
      </c>
      <c r="V628" s="32">
        <v>1.8860000000000001E-3</v>
      </c>
      <c r="W628" s="32" t="s">
        <v>139</v>
      </c>
      <c r="X628" s="32" t="s">
        <v>139</v>
      </c>
      <c r="Y628" s="32" t="s">
        <v>139</v>
      </c>
      <c r="Z628" s="32" t="s">
        <v>139</v>
      </c>
      <c r="AA628" s="32" t="s">
        <v>139</v>
      </c>
      <c r="AB628" s="32" t="s">
        <v>139</v>
      </c>
    </row>
    <row r="629" spans="1:28" ht="15.6" customHeight="1" x14ac:dyDescent="0.25">
      <c r="A629" s="24" t="s">
        <v>992</v>
      </c>
      <c r="B629" s="50">
        <v>30009</v>
      </c>
      <c r="C629" s="25" t="s">
        <v>993</v>
      </c>
      <c r="D629" s="25" t="s">
        <v>718</v>
      </c>
      <c r="E629" s="25" t="s">
        <v>194</v>
      </c>
      <c r="F629" s="25" t="s">
        <v>113</v>
      </c>
      <c r="G629" s="26" t="s">
        <v>994</v>
      </c>
      <c r="H629" s="27" t="s">
        <v>115</v>
      </c>
      <c r="I629" s="24" t="s">
        <v>106</v>
      </c>
      <c r="J629" s="24" t="s">
        <v>121</v>
      </c>
      <c r="K629" s="28" t="s">
        <v>108</v>
      </c>
      <c r="L629" s="29">
        <v>0</v>
      </c>
      <c r="M629" s="29">
        <v>0</v>
      </c>
      <c r="N629" s="29">
        <v>0.02</v>
      </c>
      <c r="O629" s="27" t="s">
        <v>548</v>
      </c>
      <c r="P629" s="30" t="s">
        <v>718</v>
      </c>
      <c r="Q629" s="31">
        <v>200434177.69</v>
      </c>
      <c r="R629" s="31">
        <v>1003.09</v>
      </c>
      <c r="S629" s="32" t="s">
        <v>139</v>
      </c>
      <c r="T629" s="32" t="s">
        <v>139</v>
      </c>
      <c r="U629" s="32">
        <v>-1.6899999999999999E-4</v>
      </c>
      <c r="V629" s="32">
        <v>1.6479999999999999E-3</v>
      </c>
      <c r="W629" s="32" t="s">
        <v>139</v>
      </c>
      <c r="X629" s="32" t="s">
        <v>139</v>
      </c>
      <c r="Y629" s="32" t="s">
        <v>139</v>
      </c>
      <c r="Z629" s="32" t="s">
        <v>139</v>
      </c>
      <c r="AA629" s="32" t="s">
        <v>139</v>
      </c>
      <c r="AB629" s="32" t="s">
        <v>139</v>
      </c>
    </row>
    <row r="630" spans="1:28" ht="15.6" customHeight="1" x14ac:dyDescent="0.25">
      <c r="A630" s="24"/>
      <c r="B630" s="24"/>
      <c r="C630" s="25"/>
      <c r="D630" s="25"/>
      <c r="E630" s="25"/>
      <c r="F630" s="25"/>
      <c r="G630" s="26"/>
      <c r="H630" s="27"/>
      <c r="I630" s="24"/>
      <c r="J630" s="24"/>
      <c r="K630" s="28"/>
      <c r="L630" s="29"/>
      <c r="M630" s="29"/>
      <c r="N630" s="29"/>
      <c r="O630" s="27"/>
      <c r="P630" s="30"/>
      <c r="Q630" s="31"/>
      <c r="R630" s="31"/>
      <c r="S630" s="32"/>
      <c r="T630" s="32"/>
      <c r="U630" s="32"/>
      <c r="V630" s="32"/>
      <c r="W630" s="32"/>
      <c r="X630" s="32"/>
      <c r="Y630" s="32"/>
      <c r="Z630" s="32"/>
      <c r="AA630" s="32"/>
      <c r="AB630" s="32"/>
    </row>
    <row r="631" spans="1:28" ht="15.6" customHeight="1" x14ac:dyDescent="0.25">
      <c r="A631" s="24"/>
      <c r="B631" s="24"/>
      <c r="C631" s="25"/>
      <c r="D631" s="25"/>
      <c r="E631" s="25"/>
      <c r="F631" s="25"/>
      <c r="G631" s="26"/>
      <c r="H631" s="27"/>
      <c r="I631" s="24"/>
      <c r="J631" s="24"/>
      <c r="K631" s="28"/>
      <c r="L631" s="29"/>
      <c r="M631" s="29"/>
      <c r="N631" s="29"/>
      <c r="O631" s="27"/>
      <c r="P631" s="30"/>
      <c r="Q631" s="31"/>
      <c r="R631" s="31"/>
      <c r="S631" s="32"/>
      <c r="T631" s="32"/>
      <c r="U631" s="32"/>
      <c r="V631" s="32"/>
      <c r="W631" s="32"/>
      <c r="X631" s="32"/>
      <c r="Y631" s="32"/>
      <c r="Z631" s="32"/>
      <c r="AA631" s="32"/>
      <c r="AB631" s="32"/>
    </row>
    <row r="632" spans="1:28" ht="15.6" customHeight="1" x14ac:dyDescent="0.25">
      <c r="A632" s="24"/>
      <c r="B632" s="24"/>
      <c r="C632" s="25"/>
      <c r="D632" s="25"/>
      <c r="E632" s="25"/>
      <c r="F632" s="25"/>
      <c r="G632" s="26"/>
      <c r="H632" s="27"/>
      <c r="I632" s="24"/>
      <c r="J632" s="24"/>
      <c r="K632" s="28"/>
      <c r="L632" s="29"/>
      <c r="M632" s="29"/>
      <c r="N632" s="29"/>
      <c r="O632" s="27"/>
      <c r="P632" s="30"/>
      <c r="Q632" s="31"/>
      <c r="R632" s="31"/>
      <c r="S632" s="32"/>
      <c r="T632" s="32"/>
      <c r="U632" s="32"/>
      <c r="V632" s="32"/>
      <c r="W632" s="32"/>
      <c r="X632" s="32"/>
      <c r="Y632" s="32"/>
      <c r="Z632" s="32"/>
      <c r="AA632" s="32"/>
      <c r="AB632" s="32"/>
    </row>
    <row r="633" spans="1:28" ht="15.6" customHeight="1" x14ac:dyDescent="0.25">
      <c r="A633" s="24"/>
      <c r="B633" s="24"/>
      <c r="C633" s="25"/>
      <c r="D633" s="25"/>
      <c r="E633" s="25"/>
      <c r="F633" s="25"/>
      <c r="G633" s="26"/>
      <c r="H633" s="27"/>
      <c r="I633" s="24"/>
      <c r="J633" s="24"/>
      <c r="K633" s="28"/>
      <c r="L633" s="29"/>
      <c r="M633" s="29"/>
      <c r="N633" s="29"/>
      <c r="O633" s="27"/>
      <c r="P633" s="30"/>
      <c r="Q633" s="31"/>
      <c r="R633" s="31"/>
      <c r="S633" s="32"/>
      <c r="T633" s="32"/>
      <c r="U633" s="32"/>
      <c r="V633" s="32"/>
      <c r="W633" s="32"/>
      <c r="X633" s="32"/>
      <c r="Y633" s="32"/>
      <c r="Z633" s="32"/>
      <c r="AA633" s="32"/>
      <c r="AB633" s="32"/>
    </row>
    <row r="634" spans="1:28" ht="15.6" customHeight="1" x14ac:dyDescent="0.25">
      <c r="A634" s="24"/>
      <c r="B634" s="24"/>
      <c r="C634" s="25"/>
      <c r="D634" s="25"/>
      <c r="E634" s="25"/>
      <c r="F634" s="25"/>
      <c r="G634" s="26"/>
      <c r="H634" s="27"/>
      <c r="I634" s="24"/>
      <c r="J634" s="24"/>
      <c r="K634" s="28"/>
      <c r="L634" s="29"/>
      <c r="M634" s="29"/>
      <c r="N634" s="29"/>
      <c r="O634" s="27"/>
      <c r="P634" s="30"/>
      <c r="Q634" s="31"/>
      <c r="R634" s="31"/>
      <c r="S634" s="32"/>
      <c r="T634" s="32"/>
      <c r="U634" s="32"/>
      <c r="V634" s="32"/>
      <c r="W634" s="32"/>
      <c r="X634" s="32"/>
      <c r="Y634" s="32"/>
      <c r="Z634" s="32"/>
      <c r="AA634" s="32"/>
      <c r="AB634" s="32"/>
    </row>
    <row r="635" spans="1:28" ht="15.6" customHeight="1" x14ac:dyDescent="0.25">
      <c r="A635" s="24"/>
      <c r="B635" s="24"/>
      <c r="C635" s="25"/>
      <c r="D635" s="25"/>
      <c r="E635" s="25"/>
      <c r="F635" s="25"/>
      <c r="G635" s="26"/>
      <c r="H635" s="27"/>
      <c r="I635" s="24"/>
      <c r="J635" s="24"/>
      <c r="K635" s="28"/>
      <c r="L635" s="29"/>
      <c r="M635" s="29"/>
      <c r="N635" s="29"/>
      <c r="O635" s="27"/>
      <c r="P635" s="30"/>
      <c r="Q635" s="31"/>
      <c r="R635" s="31"/>
      <c r="S635" s="32"/>
      <c r="T635" s="32"/>
      <c r="U635" s="32"/>
      <c r="V635" s="32"/>
      <c r="W635" s="32"/>
      <c r="X635" s="32"/>
      <c r="Y635" s="32"/>
      <c r="Z635" s="32"/>
      <c r="AA635" s="32"/>
      <c r="AB635" s="32"/>
    </row>
    <row r="636" spans="1:28" ht="15.6" customHeight="1" x14ac:dyDescent="0.25">
      <c r="A636" s="24"/>
      <c r="B636" s="24"/>
      <c r="C636" s="25"/>
      <c r="D636" s="25"/>
      <c r="E636" s="25"/>
      <c r="F636" s="25"/>
      <c r="G636" s="26"/>
      <c r="H636" s="27"/>
      <c r="I636" s="24"/>
      <c r="J636" s="24"/>
      <c r="K636" s="28"/>
      <c r="L636" s="29"/>
      <c r="M636" s="29"/>
      <c r="N636" s="29"/>
      <c r="O636" s="27"/>
      <c r="P636" s="30"/>
      <c r="Q636" s="31"/>
      <c r="R636" s="31"/>
      <c r="S636" s="32"/>
      <c r="T636" s="32"/>
      <c r="U636" s="32"/>
      <c r="V636" s="32"/>
      <c r="W636" s="32"/>
      <c r="X636" s="32"/>
      <c r="Y636" s="32"/>
      <c r="Z636" s="32"/>
      <c r="AA636" s="32"/>
      <c r="AB636" s="32"/>
    </row>
    <row r="637" spans="1:28" ht="15.6" customHeight="1" x14ac:dyDescent="0.25">
      <c r="A637" s="24"/>
      <c r="B637" s="24"/>
      <c r="C637" s="25"/>
      <c r="D637" s="25"/>
      <c r="E637" s="25"/>
      <c r="F637" s="25"/>
      <c r="G637" s="26"/>
      <c r="H637" s="27"/>
      <c r="I637" s="24"/>
      <c r="J637" s="24"/>
      <c r="K637" s="28"/>
      <c r="L637" s="29"/>
      <c r="M637" s="29"/>
      <c r="N637" s="29"/>
      <c r="O637" s="27"/>
      <c r="P637" s="30"/>
      <c r="Q637" s="31"/>
      <c r="R637" s="31"/>
      <c r="S637" s="32"/>
      <c r="T637" s="32"/>
      <c r="U637" s="32"/>
      <c r="V637" s="32"/>
      <c r="W637" s="32"/>
      <c r="X637" s="32"/>
      <c r="Y637" s="32"/>
      <c r="Z637" s="32"/>
      <c r="AA637" s="32"/>
      <c r="AB637" s="32"/>
    </row>
    <row r="638" spans="1:28" ht="15.6" customHeight="1" x14ac:dyDescent="0.25">
      <c r="A638" s="24"/>
      <c r="B638" s="24"/>
      <c r="C638" s="25"/>
      <c r="D638" s="25"/>
      <c r="E638" s="25"/>
      <c r="F638" s="25"/>
      <c r="G638" s="26"/>
      <c r="H638" s="27"/>
      <c r="I638" s="24"/>
      <c r="J638" s="24"/>
      <c r="K638" s="28"/>
      <c r="L638" s="29"/>
      <c r="M638" s="29"/>
      <c r="N638" s="29"/>
      <c r="O638" s="27"/>
      <c r="P638" s="30"/>
      <c r="Q638" s="31"/>
      <c r="R638" s="31"/>
      <c r="S638" s="32"/>
      <c r="T638" s="32"/>
      <c r="U638" s="32"/>
      <c r="V638" s="32"/>
      <c r="W638" s="32"/>
      <c r="X638" s="32"/>
      <c r="Y638" s="32"/>
      <c r="Z638" s="32"/>
      <c r="AA638" s="32"/>
      <c r="AB638" s="32"/>
    </row>
    <row r="639" spans="1:28" ht="15.6" customHeight="1" x14ac:dyDescent="0.25">
      <c r="A639" s="24"/>
      <c r="B639" s="24"/>
      <c r="C639" s="25"/>
      <c r="D639" s="25"/>
      <c r="E639" s="25"/>
      <c r="F639" s="25"/>
      <c r="G639" s="26"/>
      <c r="H639" s="27"/>
      <c r="I639" s="24"/>
      <c r="J639" s="24"/>
      <c r="K639" s="28"/>
      <c r="L639" s="29"/>
      <c r="M639" s="29"/>
      <c r="N639" s="29"/>
      <c r="O639" s="27"/>
      <c r="P639" s="30"/>
      <c r="Q639" s="31"/>
      <c r="R639" s="31"/>
      <c r="S639" s="32"/>
      <c r="T639" s="32"/>
      <c r="U639" s="32"/>
      <c r="V639" s="32"/>
      <c r="W639" s="32"/>
      <c r="X639" s="32"/>
      <c r="Y639" s="32"/>
      <c r="Z639" s="32"/>
      <c r="AA639" s="32"/>
      <c r="AB639" s="32"/>
    </row>
    <row r="640" spans="1:28" ht="15.6" customHeight="1" x14ac:dyDescent="0.25">
      <c r="A640" s="24"/>
      <c r="B640" s="24"/>
      <c r="C640" s="25"/>
      <c r="D640" s="25"/>
      <c r="E640" s="25"/>
      <c r="F640" s="25"/>
      <c r="G640" s="26"/>
      <c r="H640" s="27"/>
      <c r="I640" s="24"/>
      <c r="J640" s="24"/>
      <c r="K640" s="28"/>
      <c r="L640" s="29"/>
      <c r="M640" s="29"/>
      <c r="N640" s="29"/>
      <c r="O640" s="27"/>
      <c r="P640" s="30"/>
      <c r="Q640" s="31"/>
      <c r="R640" s="31"/>
      <c r="S640" s="32"/>
      <c r="T640" s="32"/>
      <c r="U640" s="32"/>
      <c r="V640" s="32"/>
      <c r="W640" s="32"/>
      <c r="X640" s="32"/>
      <c r="Y640" s="32"/>
      <c r="Z640" s="32"/>
      <c r="AA640" s="32"/>
      <c r="AB640" s="32"/>
    </row>
    <row r="641" spans="1:28" ht="15.6" customHeight="1" x14ac:dyDescent="0.25">
      <c r="A641" s="24"/>
      <c r="B641" s="24"/>
      <c r="C641" s="25"/>
      <c r="D641" s="25"/>
      <c r="E641" s="25"/>
      <c r="F641" s="25"/>
      <c r="G641" s="26"/>
      <c r="H641" s="27"/>
      <c r="I641" s="24"/>
      <c r="J641" s="24"/>
      <c r="K641" s="28"/>
      <c r="L641" s="29"/>
      <c r="M641" s="29"/>
      <c r="N641" s="29"/>
      <c r="O641" s="27"/>
      <c r="P641" s="30"/>
      <c r="Q641" s="31"/>
      <c r="R641" s="31"/>
      <c r="S641" s="32"/>
      <c r="T641" s="32"/>
      <c r="U641" s="32"/>
      <c r="V641" s="32"/>
      <c r="W641" s="32"/>
      <c r="X641" s="32"/>
      <c r="Y641" s="32"/>
      <c r="Z641" s="32"/>
      <c r="AA641" s="32"/>
      <c r="AB641" s="32"/>
    </row>
    <row r="642" spans="1:28" ht="15.6" customHeight="1" x14ac:dyDescent="0.25">
      <c r="A642" s="24"/>
      <c r="B642" s="24"/>
      <c r="C642" s="25"/>
      <c r="D642" s="25"/>
      <c r="E642" s="25"/>
      <c r="F642" s="25"/>
      <c r="G642" s="26"/>
      <c r="H642" s="27"/>
      <c r="I642" s="24"/>
      <c r="J642" s="24"/>
      <c r="K642" s="28"/>
      <c r="L642" s="29"/>
      <c r="M642" s="29"/>
      <c r="N642" s="29"/>
      <c r="O642" s="27"/>
      <c r="P642" s="30"/>
      <c r="Q642" s="31"/>
      <c r="R642" s="31"/>
      <c r="S642" s="32"/>
      <c r="T642" s="32"/>
      <c r="U642" s="32"/>
      <c r="V642" s="32"/>
      <c r="W642" s="32"/>
      <c r="X642" s="32"/>
      <c r="Y642" s="32"/>
      <c r="Z642" s="32"/>
      <c r="AA642" s="32"/>
      <c r="AB642" s="32"/>
    </row>
    <row r="643" spans="1:28" ht="15.6" customHeight="1" x14ac:dyDescent="0.25">
      <c r="A643" s="24"/>
      <c r="B643" s="24"/>
      <c r="C643" s="25"/>
      <c r="D643" s="25"/>
      <c r="E643" s="25"/>
      <c r="F643" s="25"/>
      <c r="G643" s="26"/>
      <c r="H643" s="27"/>
      <c r="I643" s="24"/>
      <c r="J643" s="24"/>
      <c r="K643" s="28"/>
      <c r="L643" s="29"/>
      <c r="M643" s="29"/>
      <c r="N643" s="29"/>
      <c r="O643" s="27"/>
      <c r="P643" s="30"/>
      <c r="Q643" s="31"/>
      <c r="R643" s="31"/>
      <c r="S643" s="32"/>
      <c r="T643" s="32"/>
      <c r="U643" s="32"/>
      <c r="V643" s="32"/>
      <c r="W643" s="32"/>
      <c r="X643" s="32"/>
      <c r="Y643" s="32"/>
      <c r="Z643" s="32"/>
      <c r="AA643" s="32"/>
      <c r="AB643" s="32"/>
    </row>
    <row r="644" spans="1:28" ht="15.6" customHeight="1" x14ac:dyDescent="0.25">
      <c r="A644" s="24"/>
      <c r="B644" s="24"/>
      <c r="C644" s="25"/>
      <c r="D644" s="25"/>
      <c r="E644" s="25"/>
      <c r="F644" s="25"/>
      <c r="G644" s="26"/>
      <c r="H644" s="27"/>
      <c r="I644" s="24"/>
      <c r="J644" s="24"/>
      <c r="K644" s="28"/>
      <c r="L644" s="29"/>
      <c r="M644" s="29"/>
      <c r="N644" s="29"/>
      <c r="O644" s="27"/>
      <c r="P644" s="30"/>
      <c r="Q644" s="31"/>
      <c r="R644" s="31"/>
      <c r="S644" s="32"/>
      <c r="T644" s="32"/>
      <c r="U644" s="32"/>
      <c r="V644" s="32"/>
      <c r="W644" s="32"/>
      <c r="X644" s="32"/>
      <c r="Y644" s="32"/>
      <c r="Z644" s="32"/>
      <c r="AA644" s="32"/>
      <c r="AB644" s="32"/>
    </row>
    <row r="645" spans="1:28" ht="15.6" customHeight="1" x14ac:dyDescent="0.25">
      <c r="A645" s="24"/>
      <c r="B645" s="24"/>
      <c r="C645" s="25"/>
      <c r="D645" s="25"/>
      <c r="E645" s="25"/>
      <c r="F645" s="25"/>
      <c r="G645" s="26"/>
      <c r="H645" s="27"/>
      <c r="I645" s="24"/>
      <c r="J645" s="24"/>
      <c r="K645" s="28"/>
      <c r="L645" s="29"/>
      <c r="M645" s="29"/>
      <c r="N645" s="29"/>
      <c r="O645" s="27"/>
      <c r="P645" s="30"/>
      <c r="Q645" s="31"/>
      <c r="R645" s="31"/>
      <c r="S645" s="32"/>
      <c r="T645" s="32"/>
      <c r="U645" s="32"/>
      <c r="V645" s="32"/>
      <c r="W645" s="32"/>
      <c r="X645" s="32"/>
      <c r="Y645" s="32"/>
      <c r="Z645" s="32"/>
      <c r="AA645" s="32"/>
      <c r="AB645" s="32"/>
    </row>
    <row r="646" spans="1:28" ht="15.6" customHeight="1" x14ac:dyDescent="0.25">
      <c r="A646" s="24"/>
      <c r="B646" s="24"/>
      <c r="C646" s="25"/>
      <c r="D646" s="25"/>
      <c r="E646" s="25"/>
      <c r="F646" s="25"/>
      <c r="G646" s="26"/>
      <c r="H646" s="27"/>
      <c r="I646" s="24"/>
      <c r="J646" s="24"/>
      <c r="K646" s="28"/>
      <c r="L646" s="29"/>
      <c r="M646" s="29"/>
      <c r="N646" s="29"/>
      <c r="O646" s="27"/>
      <c r="P646" s="30"/>
      <c r="Q646" s="31"/>
      <c r="R646" s="31"/>
      <c r="S646" s="32"/>
      <c r="T646" s="32"/>
      <c r="U646" s="32"/>
      <c r="V646" s="32"/>
      <c r="W646" s="32"/>
      <c r="X646" s="32"/>
      <c r="Y646" s="32"/>
      <c r="Z646" s="32"/>
      <c r="AA646" s="32"/>
      <c r="AB646" s="32"/>
    </row>
    <row r="647" spans="1:28" ht="15.6" customHeight="1" x14ac:dyDescent="0.25">
      <c r="A647" s="24"/>
      <c r="B647" s="24"/>
      <c r="C647" s="25"/>
      <c r="D647" s="25"/>
      <c r="E647" s="25"/>
      <c r="F647" s="25"/>
      <c r="G647" s="26"/>
      <c r="H647" s="27"/>
      <c r="I647" s="24"/>
      <c r="J647" s="24"/>
      <c r="K647" s="28"/>
      <c r="L647" s="29"/>
      <c r="M647" s="29"/>
      <c r="N647" s="29"/>
      <c r="O647" s="27"/>
      <c r="P647" s="30"/>
      <c r="Q647" s="31"/>
      <c r="R647" s="31"/>
      <c r="S647" s="32"/>
      <c r="T647" s="32"/>
      <c r="U647" s="32"/>
      <c r="V647" s="32"/>
      <c r="W647" s="32"/>
      <c r="X647" s="32"/>
      <c r="Y647" s="32"/>
      <c r="Z647" s="32"/>
      <c r="AA647" s="32"/>
      <c r="AB647" s="32"/>
    </row>
    <row r="648" spans="1:28" ht="15.6" customHeight="1" x14ac:dyDescent="0.25">
      <c r="A648" s="24"/>
      <c r="B648" s="24"/>
      <c r="C648" s="25"/>
      <c r="D648" s="25"/>
      <c r="E648" s="25"/>
      <c r="F648" s="25"/>
      <c r="G648" s="26"/>
      <c r="H648" s="27"/>
      <c r="I648" s="24"/>
      <c r="J648" s="24"/>
      <c r="K648" s="28"/>
      <c r="L648" s="29"/>
      <c r="M648" s="29"/>
      <c r="N648" s="29"/>
      <c r="O648" s="27"/>
      <c r="P648" s="30"/>
      <c r="Q648" s="31"/>
      <c r="R648" s="31"/>
      <c r="S648" s="32"/>
      <c r="T648" s="32"/>
      <c r="U648" s="32"/>
      <c r="V648" s="32"/>
      <c r="W648" s="32"/>
      <c r="X648" s="32"/>
      <c r="Y648" s="32"/>
      <c r="Z648" s="32"/>
      <c r="AA648" s="32"/>
      <c r="AB648" s="32"/>
    </row>
    <row r="649" spans="1:28" ht="15.6" customHeight="1" x14ac:dyDescent="0.25">
      <c r="A649" s="24"/>
      <c r="B649" s="24"/>
      <c r="C649" s="25"/>
      <c r="D649" s="25"/>
      <c r="E649" s="25"/>
      <c r="F649" s="25"/>
      <c r="G649" s="26"/>
      <c r="H649" s="27"/>
      <c r="I649" s="24"/>
      <c r="J649" s="24"/>
      <c r="K649" s="28"/>
      <c r="L649" s="29"/>
      <c r="M649" s="29"/>
      <c r="N649" s="29"/>
      <c r="O649" s="27"/>
      <c r="P649" s="30"/>
      <c r="Q649" s="31"/>
      <c r="R649" s="31"/>
      <c r="S649" s="32"/>
      <c r="T649" s="32"/>
      <c r="U649" s="32"/>
      <c r="V649" s="32"/>
      <c r="W649" s="32"/>
      <c r="X649" s="32"/>
      <c r="Y649" s="32"/>
      <c r="Z649" s="32"/>
      <c r="AA649" s="32"/>
      <c r="AB649" s="32"/>
    </row>
    <row r="650" spans="1:28" ht="15.6" customHeight="1" x14ac:dyDescent="0.25">
      <c r="A650" s="24"/>
      <c r="B650" s="24"/>
      <c r="C650" s="25"/>
      <c r="D650" s="25"/>
      <c r="E650" s="25"/>
      <c r="F650" s="25"/>
      <c r="G650" s="26"/>
      <c r="H650" s="27"/>
      <c r="I650" s="24"/>
      <c r="J650" s="24"/>
      <c r="K650" s="28"/>
      <c r="L650" s="29"/>
      <c r="M650" s="29"/>
      <c r="N650" s="29"/>
      <c r="O650" s="27"/>
      <c r="P650" s="30"/>
      <c r="Q650" s="31"/>
      <c r="R650" s="31"/>
      <c r="S650" s="32"/>
      <c r="T650" s="32"/>
      <c r="U650" s="32"/>
      <c r="V650" s="32"/>
      <c r="W650" s="32"/>
      <c r="X650" s="32"/>
      <c r="Y650" s="32"/>
      <c r="Z650" s="32"/>
      <c r="AA650" s="32"/>
      <c r="AB650" s="32"/>
    </row>
    <row r="651" spans="1:28" ht="15.6" customHeight="1" x14ac:dyDescent="0.25">
      <c r="A651" s="24"/>
      <c r="B651" s="24"/>
      <c r="C651" s="25"/>
      <c r="D651" s="25"/>
      <c r="E651" s="25"/>
      <c r="F651" s="25"/>
      <c r="G651" s="26"/>
      <c r="H651" s="27"/>
      <c r="I651" s="24"/>
      <c r="J651" s="24"/>
      <c r="K651" s="28"/>
      <c r="L651" s="29"/>
      <c r="M651" s="29"/>
      <c r="N651" s="29"/>
      <c r="O651" s="27"/>
      <c r="P651" s="30"/>
      <c r="Q651" s="31"/>
      <c r="R651" s="31"/>
      <c r="S651" s="32"/>
      <c r="T651" s="32"/>
      <c r="U651" s="32"/>
      <c r="V651" s="32"/>
      <c r="W651" s="32"/>
      <c r="X651" s="32"/>
      <c r="Y651" s="32"/>
      <c r="Z651" s="32"/>
      <c r="AA651" s="32"/>
      <c r="AB651" s="32"/>
    </row>
    <row r="652" spans="1:28" ht="15.6" customHeight="1" x14ac:dyDescent="0.25">
      <c r="A652" s="24"/>
      <c r="B652" s="24"/>
      <c r="C652" s="25"/>
      <c r="D652" s="25"/>
      <c r="E652" s="25"/>
      <c r="F652" s="25"/>
      <c r="G652" s="26"/>
      <c r="H652" s="27"/>
      <c r="I652" s="24"/>
      <c r="J652" s="24"/>
      <c r="K652" s="28"/>
      <c r="L652" s="29"/>
      <c r="M652" s="29"/>
      <c r="N652" s="29"/>
      <c r="O652" s="27"/>
      <c r="P652" s="30"/>
      <c r="Q652" s="31"/>
      <c r="R652" s="31"/>
      <c r="S652" s="32"/>
      <c r="T652" s="32"/>
      <c r="U652" s="32"/>
      <c r="V652" s="32"/>
      <c r="W652" s="32"/>
      <c r="X652" s="32"/>
      <c r="Y652" s="32"/>
      <c r="Z652" s="32"/>
      <c r="AA652" s="32"/>
      <c r="AB652" s="32"/>
    </row>
    <row r="653" spans="1:28" ht="15.6" customHeight="1" x14ac:dyDescent="0.25">
      <c r="A653" s="24"/>
      <c r="B653" s="24"/>
      <c r="C653" s="25"/>
      <c r="D653" s="25"/>
      <c r="E653" s="25"/>
      <c r="F653" s="25"/>
      <c r="G653" s="26"/>
      <c r="H653" s="27"/>
      <c r="I653" s="24"/>
      <c r="J653" s="24"/>
      <c r="K653" s="28"/>
      <c r="L653" s="29"/>
      <c r="M653" s="29"/>
      <c r="N653" s="29"/>
      <c r="O653" s="27"/>
      <c r="P653" s="30"/>
      <c r="Q653" s="31"/>
      <c r="R653" s="31"/>
      <c r="S653" s="32"/>
      <c r="T653" s="32"/>
      <c r="U653" s="32"/>
      <c r="V653" s="32"/>
      <c r="W653" s="32"/>
      <c r="X653" s="32"/>
      <c r="Y653" s="32"/>
      <c r="Z653" s="32"/>
      <c r="AA653" s="32"/>
      <c r="AB653" s="32"/>
    </row>
    <row r="654" spans="1:28" ht="15.6" customHeight="1" x14ac:dyDescent="0.25">
      <c r="A654" s="24"/>
      <c r="B654" s="24"/>
      <c r="C654" s="25"/>
      <c r="D654" s="25"/>
      <c r="E654" s="25"/>
      <c r="F654" s="25"/>
      <c r="G654" s="26"/>
      <c r="H654" s="27"/>
      <c r="I654" s="24"/>
      <c r="J654" s="24"/>
      <c r="K654" s="28"/>
      <c r="L654" s="29"/>
      <c r="M654" s="29"/>
      <c r="N654" s="29"/>
      <c r="O654" s="27"/>
      <c r="P654" s="30"/>
      <c r="Q654" s="31"/>
      <c r="R654" s="31"/>
      <c r="S654" s="32"/>
      <c r="T654" s="32"/>
      <c r="U654" s="32"/>
      <c r="V654" s="32"/>
      <c r="W654" s="32"/>
      <c r="X654" s="32"/>
      <c r="Y654" s="32"/>
      <c r="Z654" s="32"/>
      <c r="AA654" s="32"/>
      <c r="AB654" s="32"/>
    </row>
    <row r="655" spans="1:28" ht="15.6" customHeight="1" x14ac:dyDescent="0.25">
      <c r="A655" s="24"/>
      <c r="B655" s="24"/>
      <c r="C655" s="25"/>
      <c r="D655" s="25"/>
      <c r="E655" s="25"/>
      <c r="F655" s="25"/>
      <c r="G655" s="26"/>
      <c r="H655" s="27"/>
      <c r="I655" s="24"/>
      <c r="J655" s="24"/>
      <c r="K655" s="28"/>
      <c r="L655" s="29"/>
      <c r="M655" s="29"/>
      <c r="N655" s="29"/>
      <c r="O655" s="27"/>
      <c r="P655" s="30"/>
      <c r="Q655" s="31"/>
      <c r="R655" s="31"/>
      <c r="S655" s="32"/>
      <c r="T655" s="32"/>
      <c r="U655" s="32"/>
      <c r="V655" s="32"/>
      <c r="W655" s="32"/>
      <c r="X655" s="32"/>
      <c r="Y655" s="32"/>
      <c r="Z655" s="32"/>
      <c r="AA655" s="32"/>
      <c r="AB655" s="32"/>
    </row>
    <row r="656" spans="1:28" ht="15.6" customHeight="1" x14ac:dyDescent="0.25">
      <c r="A656" s="24"/>
      <c r="B656" s="24"/>
      <c r="C656" s="25"/>
      <c r="D656" s="25"/>
      <c r="E656" s="25"/>
      <c r="F656" s="25"/>
      <c r="G656" s="26"/>
      <c r="H656" s="27"/>
      <c r="I656" s="24"/>
      <c r="J656" s="24"/>
      <c r="K656" s="28"/>
      <c r="L656" s="29"/>
      <c r="M656" s="29"/>
      <c r="N656" s="29"/>
      <c r="O656" s="27"/>
      <c r="P656" s="30"/>
      <c r="Q656" s="31"/>
      <c r="R656" s="31"/>
      <c r="S656" s="32"/>
      <c r="T656" s="32"/>
      <c r="U656" s="32"/>
      <c r="V656" s="32"/>
      <c r="W656" s="32"/>
      <c r="X656" s="32"/>
      <c r="Y656" s="32"/>
      <c r="Z656" s="32"/>
      <c r="AA656" s="32"/>
      <c r="AB656" s="32"/>
    </row>
    <row r="657" spans="1:28" ht="15.6" customHeight="1" x14ac:dyDescent="0.25">
      <c r="A657" s="24"/>
      <c r="B657" s="24"/>
      <c r="C657" s="25"/>
      <c r="D657" s="25"/>
      <c r="E657" s="25"/>
      <c r="F657" s="25"/>
      <c r="G657" s="26"/>
      <c r="H657" s="27"/>
      <c r="I657" s="24"/>
      <c r="J657" s="24"/>
      <c r="K657" s="28"/>
      <c r="L657" s="29"/>
      <c r="M657" s="29"/>
      <c r="N657" s="29"/>
      <c r="O657" s="27"/>
      <c r="P657" s="30"/>
      <c r="Q657" s="31"/>
      <c r="R657" s="31"/>
      <c r="S657" s="32"/>
      <c r="T657" s="32"/>
      <c r="U657" s="32"/>
      <c r="V657" s="32"/>
      <c r="W657" s="32"/>
      <c r="X657" s="32"/>
      <c r="Y657" s="32"/>
      <c r="Z657" s="32"/>
      <c r="AA657" s="32"/>
      <c r="AB657" s="32"/>
    </row>
    <row r="658" spans="1:28" ht="15.6" customHeight="1" x14ac:dyDescent="0.25">
      <c r="A658" s="24"/>
      <c r="B658" s="24"/>
      <c r="C658" s="25"/>
      <c r="D658" s="25"/>
      <c r="E658" s="25"/>
      <c r="F658" s="25"/>
      <c r="G658" s="26"/>
      <c r="H658" s="27"/>
      <c r="I658" s="24"/>
      <c r="J658" s="24"/>
      <c r="K658" s="28"/>
      <c r="L658" s="29"/>
      <c r="M658" s="29"/>
      <c r="N658" s="29"/>
      <c r="O658" s="27"/>
      <c r="P658" s="30"/>
      <c r="Q658" s="31"/>
      <c r="R658" s="31"/>
      <c r="S658" s="32"/>
      <c r="T658" s="32"/>
      <c r="U658" s="32"/>
      <c r="V658" s="32"/>
      <c r="W658" s="32"/>
      <c r="X658" s="32"/>
      <c r="Y658" s="32"/>
      <c r="Z658" s="32"/>
      <c r="AA658" s="32"/>
      <c r="AB658" s="32"/>
    </row>
    <row r="659" spans="1:28" ht="15.6" customHeight="1" x14ac:dyDescent="0.25">
      <c r="A659" s="24"/>
      <c r="B659" s="24"/>
      <c r="C659" s="25"/>
      <c r="D659" s="25"/>
      <c r="E659" s="25"/>
      <c r="F659" s="25"/>
      <c r="G659" s="26"/>
      <c r="H659" s="27"/>
      <c r="I659" s="24"/>
      <c r="J659" s="24"/>
      <c r="K659" s="28"/>
      <c r="L659" s="29"/>
      <c r="M659" s="29"/>
      <c r="N659" s="29"/>
      <c r="O659" s="27"/>
      <c r="P659" s="30"/>
      <c r="Q659" s="31"/>
      <c r="R659" s="31"/>
      <c r="S659" s="32"/>
      <c r="T659" s="32"/>
      <c r="U659" s="32"/>
      <c r="V659" s="32"/>
      <c r="W659" s="32"/>
      <c r="X659" s="32"/>
      <c r="Y659" s="32"/>
      <c r="Z659" s="32"/>
      <c r="AA659" s="32"/>
      <c r="AB659" s="32"/>
    </row>
    <row r="660" spans="1:28" ht="15.6" customHeight="1" x14ac:dyDescent="0.25">
      <c r="A660" s="24"/>
      <c r="B660" s="24"/>
      <c r="C660" s="25"/>
      <c r="D660" s="25"/>
      <c r="E660" s="25"/>
      <c r="F660" s="25"/>
      <c r="G660" s="26"/>
      <c r="H660" s="27"/>
      <c r="I660" s="24"/>
      <c r="J660" s="24"/>
      <c r="K660" s="28"/>
      <c r="L660" s="29"/>
      <c r="M660" s="29"/>
      <c r="N660" s="29"/>
      <c r="O660" s="27"/>
      <c r="P660" s="30"/>
      <c r="Q660" s="31"/>
      <c r="R660" s="31"/>
      <c r="S660" s="32"/>
      <c r="T660" s="32"/>
      <c r="U660" s="32"/>
      <c r="V660" s="32"/>
      <c r="W660" s="32"/>
      <c r="X660" s="32"/>
      <c r="Y660" s="32"/>
      <c r="Z660" s="32"/>
      <c r="AA660" s="32"/>
      <c r="AB660" s="32"/>
    </row>
    <row r="661" spans="1:28" ht="15.6" customHeight="1" x14ac:dyDescent="0.25">
      <c r="A661" s="24"/>
      <c r="B661" s="24"/>
      <c r="C661" s="25"/>
      <c r="D661" s="25"/>
      <c r="E661" s="25"/>
      <c r="F661" s="25"/>
      <c r="G661" s="26"/>
      <c r="H661" s="27"/>
      <c r="I661" s="24"/>
      <c r="J661" s="24"/>
      <c r="K661" s="28"/>
      <c r="L661" s="29"/>
      <c r="M661" s="29"/>
      <c r="N661" s="29"/>
      <c r="O661" s="27"/>
      <c r="P661" s="30"/>
      <c r="Q661" s="31"/>
      <c r="R661" s="31"/>
      <c r="S661" s="32"/>
      <c r="T661" s="32"/>
      <c r="U661" s="32"/>
      <c r="V661" s="32"/>
      <c r="W661" s="32"/>
      <c r="X661" s="32"/>
      <c r="Y661" s="32"/>
      <c r="Z661" s="32"/>
      <c r="AA661" s="32"/>
      <c r="AB661" s="32"/>
    </row>
    <row r="662" spans="1:28" ht="15.6" customHeight="1" x14ac:dyDescent="0.25">
      <c r="A662" s="24"/>
      <c r="B662" s="24"/>
      <c r="C662" s="25"/>
      <c r="D662" s="25"/>
      <c r="E662" s="25"/>
      <c r="F662" s="25"/>
      <c r="G662" s="26"/>
      <c r="H662" s="27"/>
      <c r="I662" s="24"/>
      <c r="J662" s="24"/>
      <c r="K662" s="28"/>
      <c r="L662" s="29"/>
      <c r="M662" s="29"/>
      <c r="N662" s="29"/>
      <c r="O662" s="27"/>
      <c r="P662" s="30"/>
      <c r="Q662" s="31"/>
      <c r="R662" s="31"/>
      <c r="S662" s="32"/>
      <c r="T662" s="32"/>
      <c r="U662" s="32"/>
      <c r="V662" s="32"/>
      <c r="W662" s="32"/>
      <c r="X662" s="32"/>
      <c r="Y662" s="32"/>
      <c r="Z662" s="32"/>
      <c r="AA662" s="32"/>
      <c r="AB662" s="32"/>
    </row>
    <row r="663" spans="1:28" ht="15.6" customHeight="1" x14ac:dyDescent="0.25">
      <c r="A663" s="24"/>
      <c r="B663" s="24"/>
      <c r="C663" s="25"/>
      <c r="D663" s="25"/>
      <c r="E663" s="25"/>
      <c r="F663" s="25"/>
      <c r="G663" s="26"/>
      <c r="H663" s="27"/>
      <c r="I663" s="24"/>
      <c r="J663" s="24"/>
      <c r="K663" s="28"/>
      <c r="L663" s="29"/>
      <c r="M663" s="29"/>
      <c r="N663" s="29"/>
      <c r="O663" s="27"/>
      <c r="P663" s="30"/>
      <c r="Q663" s="31"/>
      <c r="R663" s="31"/>
      <c r="S663" s="32"/>
      <c r="T663" s="32"/>
      <c r="U663" s="32"/>
      <c r="V663" s="32"/>
      <c r="W663" s="32"/>
      <c r="X663" s="32"/>
      <c r="Y663" s="32"/>
      <c r="Z663" s="32"/>
      <c r="AA663" s="32"/>
      <c r="AB663" s="32"/>
    </row>
    <row r="664" spans="1:28" ht="15.6" customHeight="1" x14ac:dyDescent="0.25">
      <c r="A664" s="24"/>
      <c r="B664" s="24"/>
      <c r="C664" s="25"/>
      <c r="D664" s="25"/>
      <c r="E664" s="25"/>
      <c r="F664" s="25"/>
      <c r="G664" s="26"/>
      <c r="H664" s="27"/>
      <c r="I664" s="24"/>
      <c r="J664" s="24"/>
      <c r="K664" s="28"/>
      <c r="L664" s="29"/>
      <c r="M664" s="29"/>
      <c r="N664" s="29"/>
      <c r="O664" s="27"/>
      <c r="P664" s="30"/>
      <c r="Q664" s="31"/>
      <c r="R664" s="31"/>
      <c r="S664" s="32"/>
      <c r="T664" s="32"/>
      <c r="U664" s="32"/>
      <c r="V664" s="32"/>
      <c r="W664" s="32"/>
      <c r="X664" s="32"/>
      <c r="Y664" s="32"/>
      <c r="Z664" s="32"/>
      <c r="AA664" s="32"/>
      <c r="AB664" s="32"/>
    </row>
    <row r="665" spans="1:28" ht="15.6" customHeight="1" x14ac:dyDescent="0.25">
      <c r="A665" s="24"/>
      <c r="B665" s="24"/>
      <c r="C665" s="25"/>
      <c r="D665" s="25"/>
      <c r="E665" s="25"/>
      <c r="F665" s="25"/>
      <c r="G665" s="26"/>
      <c r="H665" s="27"/>
      <c r="I665" s="24"/>
      <c r="J665" s="24"/>
      <c r="K665" s="28"/>
      <c r="L665" s="29"/>
      <c r="M665" s="29"/>
      <c r="N665" s="29"/>
      <c r="O665" s="27"/>
      <c r="P665" s="30"/>
      <c r="Q665" s="31"/>
      <c r="R665" s="31"/>
      <c r="S665" s="32"/>
      <c r="T665" s="32"/>
      <c r="U665" s="32"/>
      <c r="V665" s="32"/>
      <c r="W665" s="32"/>
      <c r="X665" s="32"/>
      <c r="Y665" s="32"/>
      <c r="Z665" s="32"/>
      <c r="AA665" s="32"/>
      <c r="AB665" s="32"/>
    </row>
    <row r="666" spans="1:28" ht="15.6" customHeight="1" x14ac:dyDescent="0.25">
      <c r="A666" s="24"/>
      <c r="B666" s="24"/>
      <c r="C666" s="25"/>
      <c r="D666" s="25"/>
      <c r="E666" s="25"/>
      <c r="F666" s="25"/>
      <c r="G666" s="26"/>
      <c r="H666" s="27"/>
      <c r="I666" s="24"/>
      <c r="J666" s="24"/>
      <c r="K666" s="28"/>
      <c r="L666" s="29"/>
      <c r="M666" s="29"/>
      <c r="N666" s="29"/>
      <c r="O666" s="27"/>
      <c r="P666" s="30"/>
      <c r="Q666" s="31"/>
      <c r="R666" s="31"/>
      <c r="S666" s="32"/>
      <c r="T666" s="32"/>
      <c r="U666" s="32"/>
      <c r="V666" s="32"/>
      <c r="W666" s="32"/>
      <c r="X666" s="32"/>
      <c r="Y666" s="32"/>
      <c r="Z666" s="32"/>
      <c r="AA666" s="32"/>
      <c r="AB666" s="32"/>
    </row>
    <row r="667" spans="1:28" ht="15.6" customHeight="1" x14ac:dyDescent="0.25">
      <c r="A667" s="24"/>
      <c r="B667" s="24"/>
      <c r="C667" s="25"/>
      <c r="D667" s="25"/>
      <c r="E667" s="25"/>
      <c r="F667" s="25"/>
      <c r="G667" s="26"/>
      <c r="H667" s="27"/>
      <c r="I667" s="24"/>
      <c r="J667" s="24"/>
      <c r="K667" s="28"/>
      <c r="L667" s="29"/>
      <c r="M667" s="29"/>
      <c r="N667" s="29"/>
      <c r="O667" s="27"/>
      <c r="P667" s="30"/>
      <c r="Q667" s="31"/>
      <c r="R667" s="31"/>
      <c r="S667" s="32"/>
      <c r="T667" s="32"/>
      <c r="U667" s="32"/>
      <c r="V667" s="32"/>
      <c r="W667" s="32"/>
      <c r="X667" s="32"/>
      <c r="Y667" s="32"/>
      <c r="Z667" s="32"/>
      <c r="AA667" s="32"/>
      <c r="AB667" s="32"/>
    </row>
    <row r="668" spans="1:28" ht="15.6" customHeight="1" x14ac:dyDescent="0.25">
      <c r="A668" s="24"/>
      <c r="B668" s="24"/>
      <c r="C668" s="25"/>
      <c r="D668" s="25"/>
      <c r="E668" s="25"/>
      <c r="F668" s="25"/>
      <c r="G668" s="26"/>
      <c r="H668" s="27"/>
      <c r="I668" s="24"/>
      <c r="J668" s="24"/>
      <c r="K668" s="28"/>
      <c r="L668" s="29"/>
      <c r="M668" s="29"/>
      <c r="N668" s="29"/>
      <c r="O668" s="27"/>
      <c r="P668" s="30"/>
      <c r="Q668" s="31"/>
      <c r="R668" s="31"/>
      <c r="S668" s="32"/>
      <c r="T668" s="32"/>
      <c r="U668" s="32"/>
      <c r="V668" s="32"/>
      <c r="W668" s="32"/>
      <c r="X668" s="32"/>
      <c r="Y668" s="32"/>
      <c r="Z668" s="32"/>
      <c r="AA668" s="32"/>
      <c r="AB668" s="32"/>
    </row>
    <row r="669" spans="1:28" ht="15.6" customHeight="1" x14ac:dyDescent="0.25">
      <c r="A669" s="24"/>
      <c r="B669" s="24"/>
      <c r="C669" s="25"/>
      <c r="D669" s="25"/>
      <c r="E669" s="25"/>
      <c r="F669" s="25"/>
      <c r="G669" s="26"/>
      <c r="H669" s="27"/>
      <c r="I669" s="24"/>
      <c r="J669" s="24"/>
      <c r="K669" s="28"/>
      <c r="L669" s="29"/>
      <c r="M669" s="29"/>
      <c r="N669" s="29"/>
      <c r="O669" s="27"/>
      <c r="P669" s="30"/>
      <c r="Q669" s="31"/>
      <c r="R669" s="31"/>
      <c r="S669" s="32"/>
      <c r="T669" s="32"/>
      <c r="U669" s="32"/>
      <c r="V669" s="32"/>
      <c r="W669" s="32"/>
      <c r="X669" s="32"/>
      <c r="Y669" s="32"/>
      <c r="Z669" s="32"/>
      <c r="AA669" s="32"/>
      <c r="AB669" s="32"/>
    </row>
    <row r="670" spans="1:28" ht="15.6" customHeight="1" x14ac:dyDescent="0.25">
      <c r="A670" s="24"/>
      <c r="B670" s="24"/>
      <c r="C670" s="25"/>
      <c r="D670" s="25"/>
      <c r="E670" s="25"/>
      <c r="F670" s="25"/>
      <c r="G670" s="26"/>
      <c r="H670" s="27"/>
      <c r="I670" s="24"/>
      <c r="J670" s="24"/>
      <c r="K670" s="28"/>
      <c r="L670" s="29"/>
      <c r="M670" s="29"/>
      <c r="N670" s="29"/>
      <c r="O670" s="27"/>
      <c r="P670" s="30"/>
      <c r="Q670" s="31"/>
      <c r="R670" s="31"/>
      <c r="S670" s="32"/>
      <c r="T670" s="32"/>
      <c r="U670" s="32"/>
      <c r="V670" s="32"/>
      <c r="W670" s="32"/>
      <c r="X670" s="32"/>
      <c r="Y670" s="32"/>
      <c r="Z670" s="32"/>
      <c r="AA670" s="32"/>
      <c r="AB670" s="32"/>
    </row>
    <row r="671" spans="1:28" ht="15.6" customHeight="1" x14ac:dyDescent="0.25">
      <c r="A671" s="24"/>
      <c r="B671" s="24"/>
      <c r="C671" s="25"/>
      <c r="D671" s="25"/>
      <c r="E671" s="25"/>
      <c r="F671" s="25"/>
      <c r="G671" s="26"/>
      <c r="H671" s="27"/>
      <c r="I671" s="24"/>
      <c r="J671" s="24"/>
      <c r="K671" s="28"/>
      <c r="L671" s="29"/>
      <c r="M671" s="29"/>
      <c r="N671" s="29"/>
      <c r="O671" s="27"/>
      <c r="P671" s="30"/>
      <c r="Q671" s="31"/>
      <c r="R671" s="31"/>
      <c r="S671" s="32"/>
      <c r="T671" s="32"/>
      <c r="U671" s="32"/>
      <c r="V671" s="32"/>
      <c r="W671" s="32"/>
      <c r="X671" s="32"/>
      <c r="Y671" s="32"/>
      <c r="Z671" s="32"/>
      <c r="AA671" s="32"/>
      <c r="AB671" s="32"/>
    </row>
    <row r="672" spans="1:28" ht="15.6" customHeight="1" x14ac:dyDescent="0.25">
      <c r="A672" s="24"/>
      <c r="B672" s="24"/>
      <c r="C672" s="25"/>
      <c r="D672" s="25"/>
      <c r="E672" s="25"/>
      <c r="F672" s="25"/>
      <c r="G672" s="26"/>
      <c r="H672" s="27"/>
      <c r="I672" s="24"/>
      <c r="J672" s="24"/>
      <c r="K672" s="28"/>
      <c r="L672" s="29"/>
      <c r="M672" s="29"/>
      <c r="N672" s="29"/>
      <c r="O672" s="27"/>
      <c r="P672" s="30"/>
      <c r="Q672" s="31"/>
      <c r="R672" s="31"/>
      <c r="S672" s="32"/>
      <c r="T672" s="32"/>
      <c r="U672" s="32"/>
      <c r="V672" s="32"/>
      <c r="W672" s="32"/>
      <c r="X672" s="32"/>
      <c r="Y672" s="32"/>
      <c r="Z672" s="32"/>
      <c r="AA672" s="32"/>
      <c r="AB672" s="32"/>
    </row>
    <row r="673" spans="1:28" ht="15.6" customHeight="1" x14ac:dyDescent="0.25">
      <c r="A673" s="24"/>
      <c r="B673" s="24"/>
      <c r="C673" s="25"/>
      <c r="D673" s="25"/>
      <c r="E673" s="25"/>
      <c r="F673" s="25"/>
      <c r="G673" s="26"/>
      <c r="H673" s="27"/>
      <c r="I673" s="24"/>
      <c r="J673" s="24"/>
      <c r="K673" s="28"/>
      <c r="L673" s="29"/>
      <c r="M673" s="29"/>
      <c r="N673" s="29"/>
      <c r="O673" s="27"/>
      <c r="P673" s="30"/>
      <c r="Q673" s="31"/>
      <c r="R673" s="31"/>
      <c r="S673" s="32"/>
      <c r="T673" s="32"/>
      <c r="U673" s="32"/>
      <c r="V673" s="32"/>
      <c r="W673" s="32"/>
      <c r="X673" s="32"/>
      <c r="Y673" s="32"/>
      <c r="Z673" s="32"/>
      <c r="AA673" s="32"/>
      <c r="AB673" s="32"/>
    </row>
    <row r="674" spans="1:28" ht="15.6" customHeight="1" x14ac:dyDescent="0.25">
      <c r="A674" s="24"/>
      <c r="B674" s="24"/>
      <c r="C674" s="25"/>
      <c r="D674" s="25"/>
      <c r="E674" s="25"/>
      <c r="F674" s="25"/>
      <c r="G674" s="26"/>
      <c r="H674" s="27"/>
      <c r="I674" s="24"/>
      <c r="J674" s="24"/>
      <c r="K674" s="28"/>
      <c r="L674" s="29"/>
      <c r="M674" s="29"/>
      <c r="N674" s="29"/>
      <c r="O674" s="27"/>
      <c r="P674" s="30"/>
      <c r="Q674" s="31"/>
      <c r="R674" s="31"/>
      <c r="S674" s="32"/>
      <c r="T674" s="32"/>
      <c r="U674" s="32"/>
      <c r="V674" s="32"/>
      <c r="W674" s="32"/>
      <c r="X674" s="32"/>
      <c r="Y674" s="32"/>
      <c r="Z674" s="32"/>
      <c r="AA674" s="32"/>
      <c r="AB674" s="32"/>
    </row>
    <row r="675" spans="1:28" ht="15.6" customHeight="1" x14ac:dyDescent="0.25">
      <c r="A675" s="24"/>
      <c r="B675" s="24"/>
      <c r="C675" s="25"/>
      <c r="D675" s="25"/>
      <c r="E675" s="25"/>
      <c r="F675" s="25"/>
      <c r="G675" s="26"/>
      <c r="H675" s="27"/>
      <c r="I675" s="24"/>
      <c r="J675" s="24"/>
      <c r="K675" s="28"/>
      <c r="L675" s="29"/>
      <c r="M675" s="29"/>
      <c r="N675" s="29"/>
      <c r="O675" s="27"/>
      <c r="P675" s="30"/>
      <c r="Q675" s="31"/>
      <c r="R675" s="31"/>
      <c r="S675" s="32"/>
      <c r="T675" s="32"/>
      <c r="U675" s="32"/>
      <c r="V675" s="32"/>
      <c r="W675" s="32"/>
      <c r="X675" s="32"/>
      <c r="Y675" s="32"/>
      <c r="Z675" s="32"/>
      <c r="AA675" s="32"/>
      <c r="AB675" s="32"/>
    </row>
    <row r="676" spans="1:28" ht="15.6" customHeight="1" x14ac:dyDescent="0.25">
      <c r="A676" s="24"/>
      <c r="B676" s="24"/>
      <c r="C676" s="25"/>
      <c r="D676" s="25"/>
      <c r="E676" s="25"/>
      <c r="F676" s="25"/>
      <c r="G676" s="26"/>
      <c r="H676" s="27"/>
      <c r="I676" s="24"/>
      <c r="J676" s="24"/>
      <c r="K676" s="28"/>
      <c r="L676" s="29"/>
      <c r="M676" s="29"/>
      <c r="N676" s="29"/>
      <c r="O676" s="27"/>
      <c r="P676" s="30"/>
      <c r="Q676" s="31"/>
      <c r="R676" s="31"/>
      <c r="S676" s="32"/>
      <c r="T676" s="32"/>
      <c r="U676" s="32"/>
      <c r="V676" s="32"/>
      <c r="W676" s="32"/>
      <c r="X676" s="32"/>
      <c r="Y676" s="32"/>
      <c r="Z676" s="32"/>
      <c r="AA676" s="32"/>
      <c r="AB676" s="32"/>
    </row>
    <row r="677" spans="1:28" ht="15.6" customHeight="1" x14ac:dyDescent="0.25">
      <c r="A677" s="24"/>
      <c r="B677" s="24"/>
      <c r="C677" s="25"/>
      <c r="D677" s="25"/>
      <c r="E677" s="25"/>
      <c r="F677" s="25"/>
      <c r="G677" s="26"/>
      <c r="H677" s="27"/>
      <c r="I677" s="24"/>
      <c r="J677" s="24"/>
      <c r="K677" s="28"/>
      <c r="L677" s="29"/>
      <c r="M677" s="29"/>
      <c r="N677" s="29"/>
      <c r="O677" s="27"/>
      <c r="P677" s="30"/>
      <c r="Q677" s="31"/>
      <c r="R677" s="31"/>
      <c r="S677" s="32"/>
      <c r="T677" s="32"/>
      <c r="U677" s="32"/>
      <c r="V677" s="32"/>
      <c r="W677" s="32"/>
      <c r="X677" s="32"/>
      <c r="Y677" s="32"/>
      <c r="Z677" s="32"/>
      <c r="AA677" s="32"/>
      <c r="AB677" s="32"/>
    </row>
    <row r="678" spans="1:28" ht="15.6" customHeight="1" x14ac:dyDescent="0.25">
      <c r="A678" s="24"/>
      <c r="B678" s="24"/>
      <c r="C678" s="25"/>
      <c r="D678" s="25"/>
      <c r="E678" s="25"/>
      <c r="F678" s="25"/>
      <c r="G678" s="26"/>
      <c r="H678" s="27"/>
      <c r="I678" s="24"/>
      <c r="J678" s="24"/>
      <c r="K678" s="28"/>
      <c r="L678" s="29"/>
      <c r="M678" s="29"/>
      <c r="N678" s="29"/>
      <c r="O678" s="27"/>
      <c r="P678" s="30"/>
      <c r="Q678" s="31"/>
      <c r="R678" s="31"/>
      <c r="S678" s="32"/>
      <c r="T678" s="32"/>
      <c r="U678" s="32"/>
      <c r="V678" s="32"/>
      <c r="W678" s="32"/>
      <c r="X678" s="32"/>
      <c r="Y678" s="32"/>
      <c r="Z678" s="32"/>
      <c r="AA678" s="32"/>
      <c r="AB678" s="32"/>
    </row>
    <row r="679" spans="1:28" ht="15.6" customHeight="1" x14ac:dyDescent="0.25">
      <c r="A679" s="24"/>
      <c r="B679" s="24"/>
      <c r="C679" s="25"/>
      <c r="D679" s="25"/>
      <c r="E679" s="25"/>
      <c r="F679" s="25"/>
      <c r="G679" s="26"/>
      <c r="H679" s="27"/>
      <c r="I679" s="24"/>
      <c r="J679" s="24"/>
      <c r="K679" s="28"/>
      <c r="L679" s="29"/>
      <c r="M679" s="29"/>
      <c r="N679" s="29"/>
      <c r="O679" s="27"/>
      <c r="P679" s="30"/>
      <c r="Q679" s="31"/>
      <c r="R679" s="31"/>
      <c r="S679" s="32"/>
      <c r="T679" s="32"/>
      <c r="U679" s="32"/>
      <c r="V679" s="32"/>
      <c r="W679" s="32"/>
      <c r="X679" s="32"/>
      <c r="Y679" s="32"/>
      <c r="Z679" s="32"/>
      <c r="AA679" s="32"/>
      <c r="AB679" s="32"/>
    </row>
    <row r="680" spans="1:28" ht="15.6" customHeight="1" x14ac:dyDescent="0.25">
      <c r="A680" s="24"/>
      <c r="B680" s="24"/>
      <c r="C680" s="25"/>
      <c r="D680" s="25"/>
      <c r="E680" s="25"/>
      <c r="F680" s="25"/>
      <c r="G680" s="26"/>
      <c r="H680" s="27"/>
      <c r="I680" s="24"/>
      <c r="J680" s="24"/>
      <c r="K680" s="28"/>
      <c r="L680" s="29"/>
      <c r="M680" s="29"/>
      <c r="N680" s="29"/>
      <c r="O680" s="27"/>
      <c r="P680" s="30"/>
      <c r="Q680" s="31"/>
      <c r="R680" s="31"/>
      <c r="S680" s="32"/>
      <c r="T680" s="32"/>
      <c r="U680" s="32"/>
      <c r="V680" s="32"/>
      <c r="W680" s="32"/>
      <c r="X680" s="32"/>
      <c r="Y680" s="32"/>
      <c r="Z680" s="32"/>
      <c r="AA680" s="32"/>
      <c r="AB680" s="32"/>
    </row>
    <row r="681" spans="1:28" ht="15.6" customHeight="1" x14ac:dyDescent="0.25">
      <c r="A681" s="24"/>
      <c r="B681" s="24"/>
      <c r="C681" s="25"/>
      <c r="D681" s="25"/>
      <c r="E681" s="25"/>
      <c r="F681" s="25"/>
      <c r="G681" s="26"/>
      <c r="H681" s="27"/>
      <c r="I681" s="24"/>
      <c r="J681" s="24"/>
      <c r="K681" s="28"/>
      <c r="L681" s="29"/>
      <c r="M681" s="29"/>
      <c r="N681" s="29"/>
      <c r="O681" s="27"/>
      <c r="P681" s="30"/>
      <c r="Q681" s="31"/>
      <c r="R681" s="31"/>
      <c r="S681" s="32"/>
      <c r="T681" s="32"/>
      <c r="U681" s="32"/>
      <c r="V681" s="32"/>
      <c r="W681" s="32"/>
      <c r="X681" s="32"/>
      <c r="Y681" s="32"/>
      <c r="Z681" s="32"/>
      <c r="AA681" s="32"/>
      <c r="AB681" s="32"/>
    </row>
    <row r="682" spans="1:28" ht="15.6" customHeight="1" x14ac:dyDescent="0.25">
      <c r="A682" s="24"/>
      <c r="B682" s="24"/>
      <c r="C682" s="25"/>
      <c r="D682" s="25"/>
      <c r="E682" s="25"/>
      <c r="F682" s="25"/>
      <c r="G682" s="26"/>
      <c r="H682" s="27"/>
      <c r="I682" s="24"/>
      <c r="J682" s="24"/>
      <c r="K682" s="28"/>
      <c r="L682" s="29"/>
      <c r="M682" s="29"/>
      <c r="N682" s="29"/>
      <c r="O682" s="27"/>
      <c r="P682" s="30"/>
      <c r="Q682" s="31"/>
      <c r="R682" s="31"/>
      <c r="S682" s="32"/>
      <c r="T682" s="32"/>
      <c r="U682" s="32"/>
      <c r="V682" s="32"/>
      <c r="W682" s="32"/>
      <c r="X682" s="32"/>
      <c r="Y682" s="32"/>
      <c r="Z682" s="32"/>
      <c r="AA682" s="32"/>
      <c r="AB682" s="32"/>
    </row>
    <row r="683" spans="1:28" ht="15.6" customHeight="1" x14ac:dyDescent="0.25">
      <c r="A683" s="24"/>
      <c r="B683" s="24"/>
      <c r="C683" s="25"/>
      <c r="D683" s="25"/>
      <c r="E683" s="25"/>
      <c r="F683" s="25"/>
      <c r="G683" s="26"/>
      <c r="H683" s="27"/>
      <c r="I683" s="24"/>
      <c r="J683" s="24"/>
      <c r="K683" s="28"/>
      <c r="L683" s="29"/>
      <c r="M683" s="29"/>
      <c r="N683" s="29"/>
      <c r="O683" s="27"/>
      <c r="P683" s="30"/>
      <c r="Q683" s="31"/>
      <c r="R683" s="31"/>
      <c r="S683" s="32"/>
      <c r="T683" s="32"/>
      <c r="U683" s="32"/>
      <c r="V683" s="32"/>
      <c r="W683" s="32"/>
      <c r="X683" s="32"/>
      <c r="Y683" s="32"/>
      <c r="Z683" s="32"/>
      <c r="AA683" s="32"/>
      <c r="AB683" s="32"/>
    </row>
    <row r="684" spans="1:28" ht="15.6" customHeight="1" x14ac:dyDescent="0.25">
      <c r="A684" s="24"/>
      <c r="B684" s="24"/>
      <c r="C684" s="25"/>
      <c r="D684" s="25"/>
      <c r="E684" s="25"/>
      <c r="F684" s="25"/>
      <c r="G684" s="26"/>
      <c r="H684" s="27"/>
      <c r="I684" s="24"/>
      <c r="J684" s="24"/>
      <c r="K684" s="28"/>
      <c r="L684" s="29"/>
      <c r="M684" s="29"/>
      <c r="N684" s="29"/>
      <c r="O684" s="27"/>
      <c r="P684" s="30"/>
      <c r="Q684" s="31"/>
      <c r="R684" s="31"/>
      <c r="S684" s="32"/>
      <c r="T684" s="32"/>
      <c r="U684" s="32"/>
      <c r="V684" s="32"/>
      <c r="W684" s="32"/>
      <c r="X684" s="32"/>
      <c r="Y684" s="32"/>
      <c r="Z684" s="32"/>
      <c r="AA684" s="32"/>
      <c r="AB684" s="32"/>
    </row>
    <row r="685" spans="1:28" ht="15.6" customHeight="1" x14ac:dyDescent="0.25">
      <c r="A685" s="24"/>
      <c r="B685" s="24"/>
      <c r="C685" s="25"/>
      <c r="D685" s="25"/>
      <c r="E685" s="25"/>
      <c r="F685" s="25"/>
      <c r="G685" s="26"/>
      <c r="H685" s="27"/>
      <c r="I685" s="24"/>
      <c r="J685" s="24"/>
      <c r="K685" s="28"/>
      <c r="L685" s="29"/>
      <c r="M685" s="29"/>
      <c r="N685" s="29"/>
      <c r="O685" s="27"/>
      <c r="P685" s="30"/>
      <c r="Q685" s="31"/>
      <c r="R685" s="31"/>
      <c r="S685" s="32"/>
      <c r="T685" s="32"/>
      <c r="U685" s="32"/>
      <c r="V685" s="32"/>
      <c r="W685" s="32"/>
      <c r="X685" s="32"/>
      <c r="Y685" s="32"/>
      <c r="Z685" s="32"/>
      <c r="AA685" s="32"/>
      <c r="AB685" s="32"/>
    </row>
    <row r="686" spans="1:28" ht="15.6" customHeight="1" x14ac:dyDescent="0.25">
      <c r="A686" s="24"/>
      <c r="B686" s="24"/>
      <c r="C686" s="25"/>
      <c r="D686" s="25"/>
      <c r="E686" s="25"/>
      <c r="F686" s="25"/>
      <c r="G686" s="26"/>
      <c r="H686" s="27"/>
      <c r="I686" s="24"/>
      <c r="J686" s="24"/>
      <c r="K686" s="28"/>
      <c r="L686" s="29"/>
      <c r="M686" s="29"/>
      <c r="N686" s="29"/>
      <c r="O686" s="27"/>
      <c r="P686" s="30"/>
      <c r="Q686" s="31"/>
      <c r="R686" s="31"/>
      <c r="S686" s="32"/>
      <c r="T686" s="32"/>
      <c r="U686" s="32"/>
      <c r="V686" s="32"/>
      <c r="W686" s="32"/>
      <c r="X686" s="32"/>
      <c r="Y686" s="32"/>
      <c r="Z686" s="32"/>
      <c r="AA686" s="32"/>
      <c r="AB686" s="32"/>
    </row>
    <row r="687" spans="1:28" ht="15.6" customHeight="1" x14ac:dyDescent="0.25">
      <c r="A687" s="24"/>
      <c r="B687" s="24"/>
      <c r="C687" s="25"/>
      <c r="D687" s="25"/>
      <c r="E687" s="25"/>
      <c r="F687" s="25"/>
      <c r="G687" s="26"/>
      <c r="H687" s="27"/>
      <c r="I687" s="24"/>
      <c r="J687" s="24"/>
      <c r="K687" s="28"/>
      <c r="L687" s="29"/>
      <c r="M687" s="29"/>
      <c r="N687" s="29"/>
      <c r="O687" s="27"/>
      <c r="P687" s="30"/>
      <c r="Q687" s="31"/>
      <c r="R687" s="31"/>
      <c r="S687" s="32"/>
      <c r="T687" s="32"/>
      <c r="U687" s="32"/>
      <c r="V687" s="32"/>
      <c r="W687" s="32"/>
      <c r="X687" s="32"/>
      <c r="Y687" s="32"/>
      <c r="Z687" s="32"/>
      <c r="AA687" s="32"/>
      <c r="AB687" s="32"/>
    </row>
    <row r="688" spans="1:28" ht="15.6" customHeight="1" x14ac:dyDescent="0.25">
      <c r="A688" s="24"/>
      <c r="B688" s="24"/>
      <c r="C688" s="25"/>
      <c r="D688" s="25"/>
      <c r="E688" s="25"/>
      <c r="F688" s="25"/>
      <c r="G688" s="26"/>
      <c r="H688" s="27"/>
      <c r="I688" s="24"/>
      <c r="J688" s="24"/>
      <c r="K688" s="28"/>
      <c r="L688" s="29"/>
      <c r="M688" s="29"/>
      <c r="N688" s="29"/>
      <c r="O688" s="27"/>
      <c r="P688" s="30"/>
      <c r="Q688" s="31"/>
      <c r="R688" s="31"/>
      <c r="S688" s="32"/>
      <c r="T688" s="32"/>
      <c r="U688" s="32"/>
      <c r="V688" s="32"/>
      <c r="W688" s="32"/>
      <c r="X688" s="32"/>
      <c r="Y688" s="32"/>
      <c r="Z688" s="32"/>
      <c r="AA688" s="32"/>
      <c r="AB688" s="32"/>
    </row>
    <row r="689" spans="1:28" ht="15.6" customHeight="1" x14ac:dyDescent="0.25">
      <c r="A689" s="24"/>
      <c r="B689" s="24"/>
      <c r="C689" s="25"/>
      <c r="D689" s="25"/>
      <c r="E689" s="25"/>
      <c r="F689" s="25"/>
      <c r="G689" s="26"/>
      <c r="H689" s="27"/>
      <c r="I689" s="24"/>
      <c r="J689" s="24"/>
      <c r="K689" s="28"/>
      <c r="L689" s="29"/>
      <c r="M689" s="29"/>
      <c r="N689" s="29"/>
      <c r="O689" s="27"/>
      <c r="P689" s="30"/>
      <c r="Q689" s="31"/>
      <c r="R689" s="31"/>
      <c r="S689" s="32"/>
      <c r="T689" s="32"/>
      <c r="U689" s="32"/>
      <c r="V689" s="32"/>
      <c r="W689" s="32"/>
      <c r="X689" s="32"/>
      <c r="Y689" s="32"/>
      <c r="Z689" s="32"/>
      <c r="AA689" s="32"/>
      <c r="AB689" s="32"/>
    </row>
    <row r="690" spans="1:28" ht="15.6" customHeight="1" x14ac:dyDescent="0.25">
      <c r="A690" s="24"/>
      <c r="B690" s="24"/>
      <c r="C690" s="25"/>
      <c r="D690" s="25"/>
      <c r="E690" s="25"/>
      <c r="F690" s="25"/>
      <c r="G690" s="26"/>
      <c r="H690" s="27"/>
      <c r="I690" s="24"/>
      <c r="J690" s="24"/>
      <c r="K690" s="28"/>
      <c r="L690" s="29"/>
      <c r="M690" s="29"/>
      <c r="N690" s="29"/>
      <c r="O690" s="27"/>
      <c r="P690" s="30"/>
      <c r="Q690" s="31"/>
      <c r="R690" s="31"/>
      <c r="S690" s="32"/>
      <c r="T690" s="32"/>
      <c r="U690" s="32"/>
      <c r="V690" s="32"/>
      <c r="W690" s="32"/>
      <c r="X690" s="32"/>
      <c r="Y690" s="32"/>
      <c r="Z690" s="32"/>
      <c r="AA690" s="32"/>
      <c r="AB690" s="32"/>
    </row>
    <row r="691" spans="1:28" ht="15.6" customHeight="1" x14ac:dyDescent="0.25">
      <c r="A691" s="24"/>
      <c r="B691" s="24"/>
      <c r="C691" s="25"/>
      <c r="D691" s="25"/>
      <c r="E691" s="25"/>
      <c r="F691" s="25"/>
      <c r="G691" s="26"/>
      <c r="H691" s="27"/>
      <c r="I691" s="24"/>
      <c r="J691" s="24"/>
      <c r="K691" s="28"/>
      <c r="L691" s="29"/>
      <c r="M691" s="29"/>
      <c r="N691" s="29"/>
      <c r="O691" s="27"/>
      <c r="P691" s="30"/>
      <c r="Q691" s="31"/>
      <c r="R691" s="31"/>
      <c r="S691" s="32"/>
      <c r="T691" s="32"/>
      <c r="U691" s="32"/>
      <c r="V691" s="32"/>
      <c r="W691" s="32"/>
      <c r="X691" s="32"/>
      <c r="Y691" s="32"/>
      <c r="Z691" s="32"/>
      <c r="AA691" s="32"/>
      <c r="AB691" s="32"/>
    </row>
    <row r="692" spans="1:28" ht="15.6" customHeight="1" x14ac:dyDescent="0.25">
      <c r="A692" s="24"/>
      <c r="B692" s="24"/>
      <c r="C692" s="25"/>
      <c r="D692" s="25"/>
      <c r="E692" s="25"/>
      <c r="F692" s="25"/>
      <c r="G692" s="26"/>
      <c r="H692" s="27"/>
      <c r="I692" s="24"/>
      <c r="J692" s="24"/>
      <c r="K692" s="28"/>
      <c r="L692" s="29"/>
      <c r="M692" s="29"/>
      <c r="N692" s="29"/>
      <c r="O692" s="27"/>
      <c r="P692" s="30"/>
      <c r="Q692" s="31"/>
      <c r="R692" s="31"/>
      <c r="S692" s="32"/>
      <c r="T692" s="32"/>
      <c r="U692" s="32"/>
      <c r="V692" s="32"/>
      <c r="W692" s="32"/>
      <c r="X692" s="32"/>
      <c r="Y692" s="32"/>
      <c r="Z692" s="32"/>
      <c r="AA692" s="32"/>
      <c r="AB692" s="32"/>
    </row>
    <row r="693" spans="1:28" ht="15.6" customHeight="1" x14ac:dyDescent="0.25">
      <c r="A693" s="24"/>
      <c r="B693" s="24"/>
      <c r="C693" s="25"/>
      <c r="D693" s="25"/>
      <c r="E693" s="25"/>
      <c r="F693" s="25"/>
      <c r="G693" s="26"/>
      <c r="H693" s="27"/>
      <c r="I693" s="24"/>
      <c r="J693" s="24"/>
      <c r="K693" s="28"/>
      <c r="L693" s="29"/>
      <c r="M693" s="29"/>
      <c r="N693" s="29"/>
      <c r="O693" s="27"/>
      <c r="P693" s="30"/>
      <c r="Q693" s="31"/>
      <c r="R693" s="31"/>
      <c r="S693" s="32"/>
      <c r="T693" s="32"/>
      <c r="U693" s="32"/>
      <c r="V693" s="32"/>
      <c r="W693" s="32"/>
      <c r="X693" s="32"/>
      <c r="Y693" s="32"/>
      <c r="Z693" s="32"/>
      <c r="AA693" s="32"/>
      <c r="AB693" s="32"/>
    </row>
    <row r="694" spans="1:28" ht="15.6" customHeight="1" x14ac:dyDescent="0.25">
      <c r="A694" s="24"/>
      <c r="B694" s="24"/>
      <c r="C694" s="25"/>
      <c r="D694" s="25"/>
      <c r="E694" s="25"/>
      <c r="F694" s="25"/>
      <c r="G694" s="26"/>
      <c r="H694" s="27"/>
      <c r="I694" s="24"/>
      <c r="J694" s="24"/>
      <c r="K694" s="28"/>
      <c r="L694" s="29"/>
      <c r="M694" s="29"/>
      <c r="N694" s="29"/>
      <c r="O694" s="27"/>
      <c r="P694" s="30"/>
      <c r="Q694" s="31"/>
      <c r="R694" s="31"/>
      <c r="S694" s="32"/>
      <c r="T694" s="32"/>
      <c r="U694" s="32"/>
      <c r="V694" s="32"/>
      <c r="W694" s="32"/>
      <c r="X694" s="32"/>
      <c r="Y694" s="32"/>
      <c r="Z694" s="32"/>
      <c r="AA694" s="32"/>
      <c r="AB694" s="32"/>
    </row>
    <row r="695" spans="1:28" ht="15.6" customHeight="1" x14ac:dyDescent="0.25">
      <c r="A695" s="24"/>
      <c r="B695" s="24"/>
      <c r="C695" s="25"/>
      <c r="D695" s="25"/>
      <c r="E695" s="25"/>
      <c r="F695" s="25"/>
      <c r="G695" s="26"/>
      <c r="H695" s="27"/>
      <c r="I695" s="24"/>
      <c r="J695" s="24"/>
      <c r="K695" s="28"/>
      <c r="L695" s="29"/>
      <c r="M695" s="29"/>
      <c r="N695" s="29"/>
      <c r="O695" s="27"/>
      <c r="P695" s="30"/>
      <c r="Q695" s="31"/>
      <c r="R695" s="31"/>
      <c r="S695" s="32"/>
      <c r="T695" s="32"/>
      <c r="U695" s="32"/>
      <c r="V695" s="32"/>
      <c r="W695" s="32"/>
      <c r="X695" s="32"/>
      <c r="Y695" s="32"/>
      <c r="Z695" s="32"/>
      <c r="AA695" s="32"/>
      <c r="AB695" s="32"/>
    </row>
    <row r="696" spans="1:28" ht="15.6" customHeight="1" x14ac:dyDescent="0.25">
      <c r="A696" s="24"/>
      <c r="B696" s="24"/>
      <c r="C696" s="25"/>
      <c r="D696" s="25"/>
      <c r="E696" s="25"/>
      <c r="F696" s="25"/>
      <c r="G696" s="26"/>
      <c r="H696" s="27"/>
      <c r="I696" s="24"/>
      <c r="J696" s="24"/>
      <c r="K696" s="28"/>
      <c r="L696" s="29"/>
      <c r="M696" s="29"/>
      <c r="N696" s="29"/>
      <c r="O696" s="27"/>
      <c r="P696" s="30"/>
      <c r="Q696" s="31"/>
      <c r="R696" s="31"/>
      <c r="S696" s="32"/>
      <c r="T696" s="32"/>
      <c r="U696" s="32"/>
      <c r="V696" s="32"/>
      <c r="W696" s="32"/>
      <c r="X696" s="32"/>
      <c r="Y696" s="32"/>
      <c r="Z696" s="32"/>
      <c r="AA696" s="32"/>
      <c r="AB696" s="32"/>
    </row>
    <row r="697" spans="1:28" ht="15.6" customHeight="1" x14ac:dyDescent="0.25">
      <c r="A697" s="24"/>
      <c r="B697" s="24"/>
      <c r="C697" s="25"/>
      <c r="D697" s="25"/>
      <c r="E697" s="25"/>
      <c r="F697" s="25"/>
      <c r="G697" s="26"/>
      <c r="H697" s="27"/>
      <c r="I697" s="24"/>
      <c r="J697" s="24"/>
      <c r="K697" s="28"/>
      <c r="L697" s="29"/>
      <c r="M697" s="29"/>
      <c r="N697" s="29"/>
      <c r="O697" s="27"/>
      <c r="P697" s="30"/>
      <c r="Q697" s="31"/>
      <c r="R697" s="31"/>
      <c r="S697" s="32"/>
      <c r="T697" s="32"/>
      <c r="U697" s="32"/>
      <c r="V697" s="32"/>
      <c r="W697" s="32"/>
      <c r="X697" s="32"/>
      <c r="Y697" s="32"/>
      <c r="Z697" s="32"/>
      <c r="AA697" s="32"/>
      <c r="AB697" s="32"/>
    </row>
    <row r="698" spans="1:28" ht="15.6" customHeight="1" x14ac:dyDescent="0.25">
      <c r="A698" s="24"/>
      <c r="B698" s="24"/>
      <c r="C698" s="25"/>
      <c r="D698" s="25"/>
      <c r="E698" s="25"/>
      <c r="F698" s="25"/>
      <c r="G698" s="26"/>
      <c r="H698" s="27"/>
      <c r="I698" s="24"/>
      <c r="J698" s="24"/>
      <c r="K698" s="28"/>
      <c r="L698" s="29"/>
      <c r="M698" s="29"/>
      <c r="N698" s="29"/>
      <c r="O698" s="27"/>
      <c r="P698" s="30"/>
      <c r="Q698" s="31"/>
      <c r="R698" s="31"/>
      <c r="S698" s="32"/>
      <c r="T698" s="32"/>
      <c r="U698" s="32"/>
      <c r="V698" s="32"/>
      <c r="W698" s="32"/>
      <c r="X698" s="32"/>
      <c r="Y698" s="32"/>
      <c r="Z698" s="32"/>
      <c r="AA698" s="32"/>
      <c r="AB698" s="32"/>
    </row>
    <row r="699" spans="1:28" ht="15.6" customHeight="1" x14ac:dyDescent="0.25">
      <c r="A699" s="24"/>
      <c r="B699" s="24"/>
      <c r="C699" s="25"/>
      <c r="D699" s="25"/>
      <c r="E699" s="25"/>
      <c r="F699" s="25"/>
      <c r="G699" s="26"/>
      <c r="H699" s="27"/>
      <c r="I699" s="24"/>
      <c r="J699" s="24"/>
      <c r="K699" s="28"/>
      <c r="L699" s="29"/>
      <c r="M699" s="29"/>
      <c r="N699" s="29"/>
      <c r="O699" s="27"/>
      <c r="P699" s="30"/>
      <c r="Q699" s="31"/>
      <c r="R699" s="31"/>
      <c r="S699" s="32"/>
      <c r="T699" s="32"/>
      <c r="U699" s="32"/>
      <c r="V699" s="32"/>
      <c r="W699" s="32"/>
      <c r="X699" s="32"/>
      <c r="Y699" s="32"/>
      <c r="Z699" s="32"/>
      <c r="AA699" s="32"/>
      <c r="AB699" s="32"/>
    </row>
    <row r="700" spans="1:28" ht="15.6" customHeight="1" x14ac:dyDescent="0.25">
      <c r="A700" s="24"/>
      <c r="B700" s="24"/>
      <c r="C700" s="25"/>
      <c r="D700" s="25"/>
      <c r="E700" s="25"/>
      <c r="F700" s="25"/>
      <c r="G700" s="26"/>
      <c r="H700" s="27"/>
      <c r="I700" s="24"/>
      <c r="J700" s="24"/>
      <c r="K700" s="28"/>
      <c r="L700" s="29"/>
      <c r="M700" s="29"/>
      <c r="N700" s="29"/>
      <c r="O700" s="27"/>
      <c r="P700" s="30"/>
      <c r="Q700" s="31"/>
      <c r="R700" s="31"/>
      <c r="S700" s="32"/>
      <c r="T700" s="32"/>
      <c r="U700" s="32"/>
      <c r="V700" s="32"/>
      <c r="W700" s="32"/>
      <c r="X700" s="32"/>
      <c r="Y700" s="32"/>
      <c r="Z700" s="32"/>
      <c r="AA700" s="32"/>
      <c r="AB700" s="32"/>
    </row>
    <row r="701" spans="1:28" ht="15.6" customHeight="1" x14ac:dyDescent="0.25">
      <c r="A701" s="24"/>
      <c r="B701" s="24"/>
      <c r="C701" s="25"/>
      <c r="D701" s="25"/>
      <c r="E701" s="25"/>
      <c r="F701" s="25"/>
      <c r="G701" s="26"/>
      <c r="H701" s="27"/>
      <c r="I701" s="24"/>
      <c r="J701" s="24"/>
      <c r="K701" s="28"/>
      <c r="L701" s="29"/>
      <c r="M701" s="29"/>
      <c r="N701" s="29"/>
      <c r="O701" s="27"/>
      <c r="P701" s="30"/>
      <c r="Q701" s="31"/>
      <c r="R701" s="31"/>
      <c r="S701" s="32"/>
      <c r="T701" s="32"/>
      <c r="U701" s="32"/>
      <c r="V701" s="32"/>
      <c r="W701" s="32"/>
      <c r="X701" s="32"/>
      <c r="Y701" s="32"/>
      <c r="Z701" s="32"/>
      <c r="AA701" s="32"/>
      <c r="AB701" s="32"/>
    </row>
    <row r="702" spans="1:28" ht="15.6" customHeight="1" x14ac:dyDescent="0.25">
      <c r="A702" s="24"/>
      <c r="B702" s="24"/>
      <c r="C702" s="25"/>
      <c r="D702" s="25"/>
      <c r="E702" s="25"/>
      <c r="F702" s="25"/>
      <c r="G702" s="26"/>
      <c r="H702" s="27"/>
      <c r="I702" s="24"/>
      <c r="J702" s="24"/>
      <c r="K702" s="28"/>
      <c r="L702" s="29"/>
      <c r="M702" s="29"/>
      <c r="N702" s="29"/>
      <c r="O702" s="27"/>
      <c r="P702" s="30"/>
      <c r="Q702" s="31"/>
      <c r="R702" s="31"/>
      <c r="S702" s="32"/>
      <c r="T702" s="32"/>
      <c r="U702" s="32"/>
      <c r="V702" s="32"/>
      <c r="W702" s="32"/>
      <c r="X702" s="32"/>
      <c r="Y702" s="32"/>
      <c r="Z702" s="32"/>
      <c r="AA702" s="32"/>
      <c r="AB702" s="32"/>
    </row>
    <row r="703" spans="1:28" ht="15.6" customHeight="1" x14ac:dyDescent="0.25">
      <c r="A703" s="24"/>
      <c r="B703" s="24"/>
      <c r="C703" s="25"/>
      <c r="D703" s="25"/>
      <c r="E703" s="25"/>
      <c r="F703" s="25"/>
      <c r="G703" s="26"/>
      <c r="H703" s="27"/>
      <c r="I703" s="24"/>
      <c r="J703" s="24"/>
      <c r="K703" s="28"/>
      <c r="L703" s="29"/>
      <c r="M703" s="29"/>
      <c r="N703" s="29"/>
      <c r="O703" s="27"/>
      <c r="P703" s="30"/>
      <c r="Q703" s="31"/>
      <c r="R703" s="31"/>
      <c r="S703" s="32"/>
      <c r="T703" s="32"/>
      <c r="U703" s="32"/>
      <c r="V703" s="32"/>
      <c r="W703" s="32"/>
      <c r="X703" s="32"/>
      <c r="Y703" s="32"/>
      <c r="Z703" s="32"/>
      <c r="AA703" s="32"/>
      <c r="AB703" s="32"/>
    </row>
    <row r="704" spans="1:28" ht="15.6" customHeight="1" x14ac:dyDescent="0.25">
      <c r="A704" s="24"/>
      <c r="B704" s="24"/>
      <c r="C704" s="25"/>
      <c r="D704" s="25"/>
      <c r="E704" s="25"/>
      <c r="F704" s="25"/>
      <c r="G704" s="26"/>
      <c r="H704" s="27"/>
      <c r="I704" s="24"/>
      <c r="J704" s="24"/>
      <c r="K704" s="28"/>
      <c r="L704" s="29"/>
      <c r="M704" s="29"/>
      <c r="N704" s="29"/>
      <c r="O704" s="27"/>
      <c r="P704" s="30"/>
      <c r="Q704" s="31"/>
      <c r="R704" s="31"/>
      <c r="S704" s="32"/>
      <c r="T704" s="32"/>
      <c r="U704" s="32"/>
      <c r="V704" s="32"/>
      <c r="W704" s="32"/>
      <c r="X704" s="32"/>
      <c r="Y704" s="32"/>
      <c r="Z704" s="32"/>
      <c r="AA704" s="32"/>
      <c r="AB704" s="32"/>
    </row>
    <row r="705" spans="1:28" ht="15.6" customHeight="1" x14ac:dyDescent="0.25">
      <c r="A705" s="24"/>
      <c r="B705" s="24"/>
      <c r="C705" s="25"/>
      <c r="D705" s="25"/>
      <c r="E705" s="25"/>
      <c r="F705" s="25"/>
      <c r="G705" s="26"/>
      <c r="H705" s="27"/>
      <c r="I705" s="24"/>
      <c r="J705" s="24"/>
      <c r="K705" s="28"/>
      <c r="L705" s="29"/>
      <c r="M705" s="29"/>
      <c r="N705" s="29"/>
      <c r="O705" s="27"/>
      <c r="P705" s="30"/>
      <c r="Q705" s="31"/>
      <c r="R705" s="31"/>
      <c r="S705" s="32"/>
      <c r="T705" s="32"/>
      <c r="U705" s="32"/>
      <c r="V705" s="32"/>
      <c r="W705" s="32"/>
      <c r="X705" s="32"/>
      <c r="Y705" s="32"/>
      <c r="Z705" s="32"/>
      <c r="AA705" s="32"/>
      <c r="AB705" s="32"/>
    </row>
    <row r="706" spans="1:28" ht="15.6" customHeight="1" x14ac:dyDescent="0.25">
      <c r="A706" s="24"/>
      <c r="B706" s="24"/>
      <c r="C706" s="25"/>
      <c r="D706" s="25"/>
      <c r="E706" s="25"/>
      <c r="F706" s="25"/>
      <c r="G706" s="26"/>
      <c r="H706" s="27"/>
      <c r="I706" s="24"/>
      <c r="J706" s="24"/>
      <c r="K706" s="28"/>
      <c r="L706" s="29"/>
      <c r="M706" s="29"/>
      <c r="N706" s="29"/>
      <c r="O706" s="27"/>
      <c r="P706" s="30"/>
      <c r="Q706" s="31"/>
      <c r="R706" s="31"/>
      <c r="S706" s="32"/>
      <c r="T706" s="32"/>
      <c r="U706" s="32"/>
      <c r="V706" s="32"/>
      <c r="W706" s="32"/>
      <c r="X706" s="32"/>
      <c r="Y706" s="32"/>
      <c r="Z706" s="32"/>
      <c r="AA706" s="32"/>
      <c r="AB706" s="32"/>
    </row>
    <row r="707" spans="1:28" ht="15.6" customHeight="1" x14ac:dyDescent="0.25">
      <c r="A707" s="24"/>
      <c r="B707" s="24"/>
      <c r="C707" s="25"/>
      <c r="D707" s="25"/>
      <c r="E707" s="25"/>
      <c r="F707" s="25"/>
      <c r="G707" s="26"/>
      <c r="H707" s="27"/>
      <c r="I707" s="24"/>
      <c r="J707" s="24"/>
      <c r="K707" s="28"/>
      <c r="L707" s="29"/>
      <c r="M707" s="29"/>
      <c r="N707" s="29"/>
      <c r="O707" s="27"/>
      <c r="P707" s="30"/>
      <c r="Q707" s="31"/>
      <c r="R707" s="31"/>
      <c r="S707" s="32"/>
      <c r="T707" s="32"/>
      <c r="U707" s="32"/>
      <c r="V707" s="32"/>
      <c r="W707" s="32"/>
      <c r="X707" s="32"/>
      <c r="Y707" s="32"/>
      <c r="Z707" s="32"/>
      <c r="AA707" s="32"/>
      <c r="AB707" s="32"/>
    </row>
    <row r="708" spans="1:28" ht="15.6" customHeight="1" x14ac:dyDescent="0.25">
      <c r="A708" s="24"/>
      <c r="B708" s="24"/>
      <c r="C708" s="25"/>
      <c r="D708" s="25"/>
      <c r="E708" s="25"/>
      <c r="F708" s="25"/>
      <c r="G708" s="26"/>
      <c r="H708" s="27"/>
      <c r="I708" s="24"/>
      <c r="J708" s="24"/>
      <c r="K708" s="28"/>
      <c r="L708" s="29"/>
      <c r="M708" s="29"/>
      <c r="N708" s="29"/>
      <c r="O708" s="27"/>
      <c r="P708" s="30"/>
      <c r="Q708" s="31"/>
      <c r="R708" s="31"/>
      <c r="S708" s="32"/>
      <c r="T708" s="32"/>
      <c r="U708" s="32"/>
      <c r="V708" s="32"/>
      <c r="W708" s="32"/>
      <c r="X708" s="32"/>
      <c r="Y708" s="32"/>
      <c r="Z708" s="32"/>
      <c r="AA708" s="32"/>
      <c r="AB708" s="32"/>
    </row>
    <row r="709" spans="1:28" ht="15.6" customHeight="1" x14ac:dyDescent="0.25">
      <c r="A709" s="24"/>
      <c r="B709" s="24"/>
      <c r="C709" s="25"/>
      <c r="D709" s="25"/>
      <c r="E709" s="25"/>
      <c r="F709" s="25"/>
      <c r="G709" s="26"/>
      <c r="H709" s="27"/>
      <c r="I709" s="24"/>
      <c r="J709" s="24"/>
      <c r="K709" s="28"/>
      <c r="L709" s="29"/>
      <c r="M709" s="29"/>
      <c r="N709" s="29"/>
      <c r="O709" s="27"/>
      <c r="P709" s="30"/>
      <c r="Q709" s="31"/>
      <c r="R709" s="31"/>
      <c r="S709" s="32"/>
      <c r="T709" s="32"/>
      <c r="U709" s="32"/>
      <c r="V709" s="32"/>
      <c r="W709" s="32"/>
      <c r="X709" s="32"/>
      <c r="Y709" s="32"/>
      <c r="Z709" s="32"/>
      <c r="AA709" s="32"/>
      <c r="AB709" s="32"/>
    </row>
    <row r="710" spans="1:28" ht="15.6" customHeight="1" x14ac:dyDescent="0.25">
      <c r="A710" s="24"/>
      <c r="B710" s="24"/>
      <c r="C710" s="25"/>
      <c r="D710" s="25"/>
      <c r="E710" s="25"/>
      <c r="F710" s="25"/>
      <c r="G710" s="26"/>
      <c r="H710" s="27"/>
      <c r="I710" s="24"/>
      <c r="J710" s="24"/>
      <c r="K710" s="28"/>
      <c r="L710" s="29"/>
      <c r="M710" s="29"/>
      <c r="N710" s="29"/>
      <c r="O710" s="27"/>
      <c r="P710" s="30"/>
      <c r="Q710" s="31"/>
      <c r="R710" s="31"/>
      <c r="S710" s="32"/>
      <c r="T710" s="32"/>
      <c r="U710" s="32"/>
      <c r="V710" s="32"/>
      <c r="W710" s="32"/>
      <c r="X710" s="32"/>
      <c r="Y710" s="32"/>
      <c r="Z710" s="32"/>
      <c r="AA710" s="32"/>
      <c r="AB710" s="32"/>
    </row>
    <row r="711" spans="1:28" ht="15.6" customHeight="1" x14ac:dyDescent="0.25">
      <c r="A711" s="24"/>
      <c r="B711" s="24"/>
      <c r="C711" s="25"/>
      <c r="D711" s="25"/>
      <c r="E711" s="25"/>
      <c r="F711" s="25"/>
      <c r="G711" s="26"/>
      <c r="H711" s="27"/>
      <c r="I711" s="24"/>
      <c r="J711" s="24"/>
      <c r="K711" s="28"/>
      <c r="L711" s="29"/>
      <c r="M711" s="29"/>
      <c r="N711" s="29"/>
      <c r="O711" s="27"/>
      <c r="P711" s="30"/>
      <c r="Q711" s="31"/>
      <c r="R711" s="31"/>
      <c r="S711" s="32"/>
      <c r="T711" s="32"/>
      <c r="U711" s="32"/>
      <c r="V711" s="32"/>
      <c r="W711" s="32"/>
      <c r="X711" s="32"/>
      <c r="Y711" s="32"/>
      <c r="Z711" s="32"/>
      <c r="AA711" s="32"/>
      <c r="AB711" s="32"/>
    </row>
    <row r="712" spans="1:28" ht="15.6" customHeight="1" x14ac:dyDescent="0.25">
      <c r="A712" s="24"/>
      <c r="B712" s="24"/>
      <c r="C712" s="25"/>
      <c r="D712" s="25"/>
      <c r="E712" s="25"/>
      <c r="F712" s="25"/>
      <c r="G712" s="26"/>
      <c r="H712" s="27"/>
      <c r="I712" s="24"/>
      <c r="J712" s="24"/>
      <c r="K712" s="28"/>
      <c r="L712" s="29"/>
      <c r="M712" s="29"/>
      <c r="N712" s="29"/>
      <c r="O712" s="27"/>
      <c r="P712" s="30"/>
      <c r="Q712" s="31"/>
      <c r="R712" s="31"/>
      <c r="S712" s="32"/>
      <c r="T712" s="32"/>
      <c r="U712" s="32"/>
      <c r="V712" s="32"/>
      <c r="W712" s="32"/>
      <c r="X712" s="32"/>
      <c r="Y712" s="32"/>
      <c r="Z712" s="32"/>
      <c r="AA712" s="32"/>
      <c r="AB712" s="32"/>
    </row>
    <row r="713" spans="1:28" ht="15.6" customHeight="1" x14ac:dyDescent="0.25">
      <c r="A713" s="24"/>
      <c r="B713" s="24"/>
      <c r="C713" s="25"/>
      <c r="D713" s="25"/>
      <c r="E713" s="25"/>
      <c r="F713" s="25"/>
      <c r="G713" s="26"/>
      <c r="H713" s="27"/>
      <c r="I713" s="24"/>
      <c r="J713" s="24"/>
      <c r="K713" s="28"/>
      <c r="L713" s="29"/>
      <c r="M713" s="29"/>
      <c r="N713" s="29"/>
      <c r="O713" s="27"/>
      <c r="P713" s="30"/>
      <c r="Q713" s="31"/>
      <c r="R713" s="31"/>
      <c r="S713" s="32"/>
      <c r="T713" s="32"/>
      <c r="U713" s="32"/>
      <c r="V713" s="32"/>
      <c r="W713" s="32"/>
      <c r="X713" s="32"/>
      <c r="Y713" s="32"/>
      <c r="Z713" s="32"/>
      <c r="AA713" s="32"/>
      <c r="AB713" s="32"/>
    </row>
    <row r="714" spans="1:28" ht="15.6" customHeight="1" x14ac:dyDescent="0.25">
      <c r="A714" s="24"/>
      <c r="B714" s="24"/>
      <c r="C714" s="25"/>
      <c r="D714" s="25"/>
      <c r="E714" s="25"/>
      <c r="F714" s="25"/>
      <c r="G714" s="26"/>
      <c r="H714" s="27"/>
      <c r="I714" s="24"/>
      <c r="J714" s="24"/>
      <c r="K714" s="28"/>
      <c r="L714" s="29"/>
      <c r="M714" s="29"/>
      <c r="N714" s="29"/>
      <c r="O714" s="27"/>
      <c r="P714" s="30"/>
      <c r="Q714" s="31"/>
      <c r="R714" s="31"/>
      <c r="S714" s="32"/>
      <c r="T714" s="32"/>
      <c r="U714" s="32"/>
      <c r="V714" s="32"/>
      <c r="W714" s="32"/>
      <c r="X714" s="32"/>
      <c r="Y714" s="32"/>
      <c r="Z714" s="32"/>
      <c r="AA714" s="32"/>
      <c r="AB714" s="32"/>
    </row>
    <row r="715" spans="1:28" ht="15.6" customHeight="1" x14ac:dyDescent="0.25">
      <c r="A715" s="24"/>
      <c r="B715" s="24"/>
      <c r="C715" s="25"/>
      <c r="D715" s="25"/>
      <c r="E715" s="25"/>
      <c r="F715" s="25"/>
      <c r="G715" s="26"/>
      <c r="H715" s="27"/>
      <c r="I715" s="24"/>
      <c r="J715" s="24"/>
      <c r="K715" s="28"/>
      <c r="L715" s="29"/>
      <c r="M715" s="29"/>
      <c r="N715" s="29"/>
      <c r="O715" s="27"/>
      <c r="P715" s="30"/>
      <c r="Q715" s="31"/>
      <c r="R715" s="31"/>
      <c r="S715" s="32"/>
      <c r="T715" s="32"/>
      <c r="U715" s="32"/>
      <c r="V715" s="32"/>
      <c r="W715" s="32"/>
      <c r="X715" s="32"/>
      <c r="Y715" s="32"/>
      <c r="Z715" s="32"/>
      <c r="AA715" s="32"/>
      <c r="AB715" s="32"/>
    </row>
    <row r="716" spans="1:28" ht="15.6" customHeight="1" x14ac:dyDescent="0.25">
      <c r="A716" s="24"/>
      <c r="B716" s="24"/>
      <c r="C716" s="25"/>
      <c r="D716" s="25"/>
      <c r="E716" s="25"/>
      <c r="F716" s="25"/>
      <c r="G716" s="26"/>
      <c r="H716" s="27"/>
      <c r="I716" s="24"/>
      <c r="J716" s="24"/>
      <c r="K716" s="28"/>
      <c r="L716" s="29"/>
      <c r="M716" s="29"/>
      <c r="N716" s="29"/>
      <c r="O716" s="27"/>
      <c r="P716" s="30"/>
      <c r="Q716" s="31"/>
      <c r="R716" s="31"/>
      <c r="S716" s="32"/>
      <c r="T716" s="32"/>
      <c r="U716" s="32"/>
      <c r="V716" s="32"/>
      <c r="W716" s="32"/>
      <c r="X716" s="32"/>
      <c r="Y716" s="32"/>
      <c r="Z716" s="32"/>
      <c r="AA716" s="32"/>
      <c r="AB716" s="32"/>
    </row>
    <row r="717" spans="1:28" ht="15.6" customHeight="1" x14ac:dyDescent="0.25">
      <c r="A717" s="24"/>
      <c r="B717" s="24"/>
      <c r="C717" s="25"/>
      <c r="D717" s="25"/>
      <c r="E717" s="25"/>
      <c r="F717" s="25"/>
      <c r="G717" s="26"/>
      <c r="H717" s="27"/>
      <c r="I717" s="24"/>
      <c r="J717" s="24"/>
      <c r="K717" s="28"/>
      <c r="L717" s="29"/>
      <c r="M717" s="29"/>
      <c r="N717" s="29"/>
      <c r="O717" s="27"/>
      <c r="P717" s="30"/>
      <c r="Q717" s="31"/>
      <c r="R717" s="31"/>
      <c r="S717" s="32"/>
      <c r="T717" s="32"/>
      <c r="U717" s="32"/>
      <c r="V717" s="32"/>
      <c r="W717" s="32"/>
      <c r="X717" s="32"/>
      <c r="Y717" s="32"/>
      <c r="Z717" s="32"/>
      <c r="AA717" s="32"/>
      <c r="AB717" s="32"/>
    </row>
    <row r="718" spans="1:28" ht="15.6" customHeight="1" x14ac:dyDescent="0.25">
      <c r="A718" s="24"/>
      <c r="B718" s="24"/>
      <c r="C718" s="25"/>
      <c r="D718" s="25"/>
      <c r="E718" s="25"/>
      <c r="F718" s="25"/>
      <c r="G718" s="26"/>
      <c r="H718" s="27"/>
      <c r="I718" s="24"/>
      <c r="J718" s="24"/>
      <c r="K718" s="28"/>
      <c r="L718" s="29"/>
      <c r="M718" s="29"/>
      <c r="N718" s="29"/>
      <c r="O718" s="27"/>
      <c r="P718" s="30"/>
      <c r="Q718" s="31"/>
      <c r="R718" s="31"/>
      <c r="S718" s="32"/>
      <c r="T718" s="32"/>
      <c r="U718" s="32"/>
      <c r="V718" s="32"/>
      <c r="W718" s="32"/>
      <c r="X718" s="32"/>
      <c r="Y718" s="32"/>
      <c r="Z718" s="32"/>
      <c r="AA718" s="32"/>
      <c r="AB718" s="32"/>
    </row>
    <row r="719" spans="1:28" ht="15.6" customHeight="1" x14ac:dyDescent="0.25">
      <c r="A719" s="24"/>
      <c r="B719" s="24"/>
      <c r="C719" s="25"/>
      <c r="D719" s="25"/>
      <c r="E719" s="25"/>
      <c r="F719" s="25"/>
      <c r="G719" s="26"/>
      <c r="H719" s="27"/>
      <c r="I719" s="24"/>
      <c r="J719" s="24"/>
      <c r="K719" s="28"/>
      <c r="L719" s="29"/>
      <c r="M719" s="29"/>
      <c r="N719" s="29"/>
      <c r="O719" s="27"/>
      <c r="P719" s="30"/>
      <c r="Q719" s="31"/>
      <c r="R719" s="31"/>
      <c r="S719" s="32"/>
      <c r="T719" s="32"/>
      <c r="U719" s="32"/>
      <c r="V719" s="32"/>
      <c r="W719" s="32"/>
      <c r="X719" s="32"/>
      <c r="Y719" s="32"/>
      <c r="Z719" s="32"/>
      <c r="AA719" s="32"/>
      <c r="AB719" s="32"/>
    </row>
    <row r="720" spans="1:28" ht="15.6" customHeight="1" x14ac:dyDescent="0.25">
      <c r="A720" s="24"/>
      <c r="B720" s="24"/>
      <c r="C720" s="25"/>
      <c r="D720" s="25"/>
      <c r="E720" s="25"/>
      <c r="F720" s="25"/>
      <c r="G720" s="26"/>
      <c r="H720" s="27"/>
      <c r="I720" s="24"/>
      <c r="J720" s="24"/>
      <c r="K720" s="28"/>
      <c r="L720" s="29"/>
      <c r="M720" s="29"/>
      <c r="N720" s="29"/>
      <c r="O720" s="27"/>
      <c r="P720" s="30"/>
      <c r="Q720" s="31"/>
      <c r="R720" s="31"/>
      <c r="S720" s="32"/>
      <c r="T720" s="32"/>
      <c r="U720" s="32"/>
      <c r="V720" s="32"/>
      <c r="W720" s="32"/>
      <c r="X720" s="32"/>
      <c r="Y720" s="32"/>
      <c r="Z720" s="32"/>
      <c r="AA720" s="32"/>
      <c r="AB720" s="32"/>
    </row>
    <row r="721" spans="1:28" ht="15.6" customHeight="1" x14ac:dyDescent="0.25">
      <c r="A721" s="24"/>
      <c r="B721" s="24"/>
      <c r="C721" s="25"/>
      <c r="D721" s="25"/>
      <c r="E721" s="25"/>
      <c r="F721" s="25"/>
      <c r="G721" s="26"/>
      <c r="H721" s="27"/>
      <c r="I721" s="24"/>
      <c r="J721" s="24"/>
      <c r="K721" s="28"/>
      <c r="L721" s="29"/>
      <c r="M721" s="29"/>
      <c r="N721" s="29"/>
      <c r="O721" s="27"/>
      <c r="P721" s="30"/>
      <c r="Q721" s="31"/>
      <c r="R721" s="31"/>
      <c r="S721" s="32"/>
      <c r="T721" s="32"/>
      <c r="U721" s="32"/>
      <c r="V721" s="32"/>
      <c r="W721" s="32"/>
      <c r="X721" s="32"/>
      <c r="Y721" s="32"/>
      <c r="Z721" s="32"/>
      <c r="AA721" s="32"/>
      <c r="AB721" s="32"/>
    </row>
    <row r="722" spans="1:28" ht="15.6" customHeight="1" x14ac:dyDescent="0.25">
      <c r="A722" s="24"/>
      <c r="B722" s="24"/>
      <c r="C722" s="25"/>
      <c r="D722" s="25"/>
      <c r="E722" s="25"/>
      <c r="F722" s="25"/>
      <c r="G722" s="26"/>
      <c r="H722" s="27"/>
      <c r="I722" s="24"/>
      <c r="J722" s="24"/>
      <c r="K722" s="28"/>
      <c r="L722" s="29"/>
      <c r="M722" s="29"/>
      <c r="N722" s="29"/>
      <c r="O722" s="27"/>
      <c r="P722" s="30"/>
      <c r="Q722" s="31"/>
      <c r="R722" s="31"/>
      <c r="S722" s="32"/>
      <c r="T722" s="32"/>
      <c r="U722" s="32"/>
      <c r="V722" s="32"/>
      <c r="W722" s="32"/>
      <c r="X722" s="32"/>
      <c r="Y722" s="32"/>
      <c r="Z722" s="32"/>
      <c r="AA722" s="32"/>
      <c r="AB722" s="32"/>
    </row>
    <row r="723" spans="1:28" ht="15.6" customHeight="1" x14ac:dyDescent="0.25">
      <c r="A723" s="24"/>
      <c r="B723" s="24"/>
      <c r="C723" s="25"/>
      <c r="D723" s="25"/>
      <c r="E723" s="25"/>
      <c r="F723" s="25"/>
      <c r="G723" s="26"/>
      <c r="H723" s="27"/>
      <c r="I723" s="24"/>
      <c r="J723" s="24"/>
      <c r="K723" s="28"/>
      <c r="L723" s="29"/>
      <c r="M723" s="29"/>
      <c r="N723" s="29"/>
      <c r="O723" s="27"/>
      <c r="P723" s="30"/>
      <c r="Q723" s="31"/>
      <c r="R723" s="31"/>
      <c r="S723" s="32"/>
      <c r="T723" s="32"/>
      <c r="U723" s="32"/>
      <c r="V723" s="32"/>
      <c r="W723" s="32"/>
      <c r="X723" s="32"/>
      <c r="Y723" s="32"/>
      <c r="Z723" s="32"/>
      <c r="AA723" s="32"/>
      <c r="AB723" s="32"/>
    </row>
    <row r="724" spans="1:28" ht="15.6" customHeight="1" x14ac:dyDescent="0.25">
      <c r="A724" s="24"/>
      <c r="B724" s="24"/>
      <c r="C724" s="25"/>
      <c r="D724" s="25"/>
      <c r="E724" s="25"/>
      <c r="F724" s="25"/>
      <c r="G724" s="26"/>
      <c r="H724" s="27"/>
      <c r="I724" s="24"/>
      <c r="J724" s="24"/>
      <c r="K724" s="28"/>
      <c r="L724" s="29"/>
      <c r="M724" s="29"/>
      <c r="N724" s="29"/>
      <c r="O724" s="27"/>
      <c r="P724" s="30"/>
      <c r="Q724" s="31"/>
      <c r="R724" s="31"/>
      <c r="S724" s="32"/>
      <c r="T724" s="32"/>
      <c r="U724" s="32"/>
      <c r="V724" s="32"/>
      <c r="W724" s="32"/>
      <c r="X724" s="32"/>
      <c r="Y724" s="32"/>
      <c r="Z724" s="32"/>
      <c r="AA724" s="32"/>
      <c r="AB724" s="32"/>
    </row>
    <row r="725" spans="1:28" ht="15.6" customHeight="1" x14ac:dyDescent="0.25">
      <c r="A725" s="24"/>
      <c r="B725" s="24"/>
      <c r="C725" s="25"/>
      <c r="D725" s="25"/>
      <c r="E725" s="25"/>
      <c r="F725" s="25"/>
      <c r="G725" s="26"/>
      <c r="H725" s="27"/>
      <c r="I725" s="24"/>
      <c r="J725" s="24"/>
      <c r="K725" s="28"/>
      <c r="L725" s="29"/>
      <c r="M725" s="29"/>
      <c r="N725" s="29"/>
      <c r="O725" s="27"/>
      <c r="P725" s="30"/>
      <c r="Q725" s="31"/>
      <c r="R725" s="31"/>
      <c r="S725" s="32"/>
      <c r="T725" s="32"/>
      <c r="U725" s="32"/>
      <c r="V725" s="32"/>
      <c r="W725" s="32"/>
      <c r="X725" s="32"/>
      <c r="Y725" s="32"/>
      <c r="Z725" s="32"/>
      <c r="AA725" s="32"/>
      <c r="AB725" s="32"/>
    </row>
    <row r="726" spans="1:28" ht="15.6" customHeight="1" x14ac:dyDescent="0.25">
      <c r="A726" s="24"/>
      <c r="B726" s="24"/>
      <c r="C726" s="25"/>
      <c r="D726" s="25"/>
      <c r="E726" s="25"/>
      <c r="F726" s="25"/>
      <c r="G726" s="26"/>
      <c r="H726" s="27"/>
      <c r="I726" s="24"/>
      <c r="J726" s="24"/>
      <c r="K726" s="28"/>
      <c r="L726" s="29"/>
      <c r="M726" s="29"/>
      <c r="N726" s="29"/>
      <c r="O726" s="27"/>
      <c r="P726" s="30"/>
      <c r="Q726" s="31"/>
      <c r="R726" s="31"/>
      <c r="S726" s="32"/>
      <c r="T726" s="32"/>
      <c r="U726" s="32"/>
      <c r="V726" s="32"/>
      <c r="W726" s="32"/>
      <c r="X726" s="32"/>
      <c r="Y726" s="32"/>
      <c r="Z726" s="32"/>
      <c r="AA726" s="32"/>
      <c r="AB726" s="32"/>
    </row>
    <row r="727" spans="1:28" ht="15.6" customHeight="1" x14ac:dyDescent="0.25">
      <c r="A727" s="24"/>
      <c r="B727" s="24"/>
      <c r="C727" s="25"/>
      <c r="D727" s="25"/>
      <c r="E727" s="25"/>
      <c r="F727" s="25"/>
      <c r="G727" s="26"/>
      <c r="H727" s="27"/>
      <c r="I727" s="24"/>
      <c r="J727" s="24"/>
      <c r="K727" s="28"/>
      <c r="L727" s="29"/>
      <c r="M727" s="29"/>
      <c r="N727" s="29"/>
      <c r="O727" s="27"/>
      <c r="P727" s="30"/>
      <c r="Q727" s="31"/>
      <c r="R727" s="31"/>
      <c r="S727" s="32"/>
      <c r="T727" s="32"/>
      <c r="U727" s="32"/>
      <c r="V727" s="32"/>
      <c r="W727" s="32"/>
      <c r="X727" s="32"/>
      <c r="Y727" s="32"/>
      <c r="Z727" s="32"/>
      <c r="AA727" s="32"/>
      <c r="AB727" s="32"/>
    </row>
    <row r="728" spans="1:28" ht="15.6" customHeight="1" x14ac:dyDescent="0.25">
      <c r="A728" s="24"/>
      <c r="B728" s="24"/>
      <c r="C728" s="25"/>
      <c r="D728" s="25"/>
      <c r="E728" s="25"/>
      <c r="F728" s="25"/>
      <c r="G728" s="26"/>
      <c r="H728" s="27"/>
      <c r="I728" s="24"/>
      <c r="J728" s="24"/>
      <c r="K728" s="28"/>
      <c r="L728" s="29"/>
      <c r="M728" s="29"/>
      <c r="N728" s="29"/>
      <c r="O728" s="27"/>
      <c r="P728" s="30"/>
      <c r="Q728" s="31"/>
      <c r="R728" s="31"/>
      <c r="S728" s="32"/>
      <c r="T728" s="32"/>
      <c r="U728" s="32"/>
      <c r="V728" s="32"/>
      <c r="W728" s="32"/>
      <c r="X728" s="32"/>
      <c r="Y728" s="32"/>
      <c r="Z728" s="32"/>
      <c r="AA728" s="32"/>
      <c r="AB728" s="32"/>
    </row>
    <row r="729" spans="1:28" ht="15.6" customHeight="1" x14ac:dyDescent="0.25">
      <c r="A729" s="24"/>
      <c r="B729" s="24"/>
      <c r="C729" s="25"/>
      <c r="D729" s="25"/>
      <c r="E729" s="25"/>
      <c r="F729" s="25"/>
      <c r="G729" s="26"/>
      <c r="H729" s="27"/>
      <c r="I729" s="24"/>
      <c r="J729" s="24"/>
      <c r="K729" s="28"/>
      <c r="L729" s="29"/>
      <c r="M729" s="29"/>
      <c r="N729" s="29"/>
      <c r="O729" s="27"/>
      <c r="P729" s="30"/>
      <c r="Q729" s="31"/>
      <c r="R729" s="31"/>
      <c r="S729" s="32"/>
      <c r="T729" s="32"/>
      <c r="U729" s="32"/>
      <c r="V729" s="32"/>
      <c r="W729" s="32"/>
      <c r="X729" s="32"/>
      <c r="Y729" s="32"/>
      <c r="Z729" s="32"/>
      <c r="AA729" s="32"/>
      <c r="AB729" s="32"/>
    </row>
    <row r="730" spans="1:28" ht="15.6" customHeight="1" x14ac:dyDescent="0.25">
      <c r="A730" s="24"/>
      <c r="B730" s="24"/>
      <c r="C730" s="25"/>
      <c r="D730" s="25"/>
      <c r="E730" s="25"/>
      <c r="F730" s="25"/>
      <c r="G730" s="26"/>
      <c r="H730" s="27"/>
      <c r="I730" s="24"/>
      <c r="J730" s="24"/>
      <c r="K730" s="28"/>
      <c r="L730" s="29"/>
      <c r="M730" s="29"/>
      <c r="N730" s="29"/>
      <c r="O730" s="27"/>
      <c r="P730" s="30"/>
      <c r="Q730" s="31"/>
      <c r="R730" s="31"/>
      <c r="S730" s="32"/>
      <c r="T730" s="32"/>
      <c r="U730" s="32"/>
      <c r="V730" s="32"/>
      <c r="W730" s="32"/>
      <c r="X730" s="32"/>
      <c r="Y730" s="32"/>
      <c r="Z730" s="32"/>
      <c r="AA730" s="32"/>
      <c r="AB730" s="32"/>
    </row>
    <row r="731" spans="1:28" ht="15.6" customHeight="1" x14ac:dyDescent="0.25">
      <c r="A731" s="24"/>
      <c r="B731" s="24"/>
      <c r="C731" s="25"/>
      <c r="D731" s="25"/>
      <c r="E731" s="25"/>
      <c r="F731" s="25"/>
      <c r="G731" s="26"/>
      <c r="H731" s="27"/>
      <c r="I731" s="24"/>
      <c r="J731" s="24"/>
      <c r="K731" s="28"/>
      <c r="L731" s="29"/>
      <c r="M731" s="29"/>
      <c r="N731" s="29"/>
      <c r="O731" s="27"/>
      <c r="P731" s="30"/>
      <c r="Q731" s="31"/>
      <c r="R731" s="31"/>
      <c r="S731" s="32"/>
      <c r="T731" s="32"/>
      <c r="U731" s="32"/>
      <c r="V731" s="32"/>
      <c r="W731" s="32"/>
      <c r="X731" s="32"/>
      <c r="Y731" s="32"/>
      <c r="Z731" s="32"/>
      <c r="AA731" s="32"/>
      <c r="AB731" s="32"/>
    </row>
    <row r="732" spans="1:28" ht="15.6" customHeight="1" x14ac:dyDescent="0.25">
      <c r="A732" s="24"/>
      <c r="B732" s="24"/>
      <c r="C732" s="25"/>
      <c r="D732" s="25"/>
      <c r="E732" s="25"/>
      <c r="F732" s="25"/>
      <c r="G732" s="26"/>
      <c r="H732" s="27"/>
      <c r="I732" s="24"/>
      <c r="J732" s="24"/>
      <c r="K732" s="28"/>
      <c r="L732" s="29"/>
      <c r="M732" s="29"/>
      <c r="N732" s="29"/>
      <c r="O732" s="27"/>
      <c r="P732" s="30"/>
      <c r="Q732" s="31"/>
      <c r="R732" s="31"/>
      <c r="S732" s="32"/>
      <c r="T732" s="32"/>
      <c r="U732" s="32"/>
      <c r="V732" s="32"/>
      <c r="W732" s="32"/>
      <c r="X732" s="32"/>
      <c r="Y732" s="32"/>
      <c r="Z732" s="32"/>
      <c r="AA732" s="32"/>
      <c r="AB732" s="32"/>
    </row>
    <row r="733" spans="1:28" ht="15.6" customHeight="1" x14ac:dyDescent="0.25">
      <c r="A733" s="24"/>
      <c r="B733" s="24"/>
      <c r="C733" s="25"/>
      <c r="D733" s="25"/>
      <c r="E733" s="25"/>
      <c r="F733" s="25"/>
      <c r="G733" s="26"/>
      <c r="H733" s="27"/>
      <c r="I733" s="24"/>
      <c r="J733" s="24"/>
      <c r="K733" s="28"/>
      <c r="L733" s="29"/>
      <c r="M733" s="29"/>
      <c r="N733" s="29"/>
      <c r="O733" s="27"/>
      <c r="P733" s="30"/>
      <c r="Q733" s="31"/>
      <c r="R733" s="31"/>
      <c r="S733" s="32"/>
      <c r="T733" s="32"/>
      <c r="U733" s="32"/>
      <c r="V733" s="32"/>
      <c r="W733" s="32"/>
      <c r="X733" s="32"/>
      <c r="Y733" s="32"/>
      <c r="Z733" s="32"/>
      <c r="AA733" s="32"/>
      <c r="AB733" s="32"/>
    </row>
    <row r="734" spans="1:28" ht="15.6" customHeight="1" x14ac:dyDescent="0.25">
      <c r="A734" s="24"/>
      <c r="B734" s="24"/>
      <c r="C734" s="25"/>
      <c r="D734" s="25"/>
      <c r="E734" s="25"/>
      <c r="F734" s="25"/>
      <c r="G734" s="26"/>
      <c r="H734" s="27"/>
      <c r="I734" s="24"/>
      <c r="J734" s="24"/>
      <c r="K734" s="28"/>
      <c r="L734" s="29"/>
      <c r="M734" s="29"/>
      <c r="N734" s="29"/>
      <c r="O734" s="27"/>
      <c r="P734" s="30"/>
      <c r="Q734" s="31"/>
      <c r="R734" s="31"/>
      <c r="S734" s="32"/>
      <c r="T734" s="32"/>
      <c r="U734" s="32"/>
      <c r="V734" s="32"/>
      <c r="W734" s="32"/>
      <c r="X734" s="32"/>
      <c r="Y734" s="32"/>
      <c r="Z734" s="32"/>
      <c r="AA734" s="32"/>
      <c r="AB734" s="32"/>
    </row>
    <row r="735" spans="1:28" ht="15.6" customHeight="1" x14ac:dyDescent="0.25">
      <c r="A735" s="24"/>
      <c r="B735" s="24"/>
      <c r="C735" s="25"/>
      <c r="D735" s="25"/>
      <c r="E735" s="25"/>
      <c r="F735" s="25"/>
      <c r="G735" s="26"/>
      <c r="H735" s="27"/>
      <c r="I735" s="24"/>
      <c r="J735" s="24"/>
      <c r="K735" s="28"/>
      <c r="L735" s="29"/>
      <c r="M735" s="29"/>
      <c r="N735" s="29"/>
      <c r="O735" s="27"/>
      <c r="P735" s="30"/>
      <c r="Q735" s="31"/>
      <c r="R735" s="31"/>
      <c r="S735" s="32"/>
      <c r="T735" s="32"/>
      <c r="U735" s="32"/>
      <c r="V735" s="32"/>
      <c r="W735" s="32"/>
      <c r="X735" s="32"/>
      <c r="Y735" s="32"/>
      <c r="Z735" s="32"/>
      <c r="AA735" s="32"/>
      <c r="AB735" s="32"/>
    </row>
    <row r="736" spans="1:28" ht="15.6" customHeight="1" x14ac:dyDescent="0.25">
      <c r="A736" s="24"/>
      <c r="B736" s="24"/>
      <c r="C736" s="25"/>
      <c r="D736" s="25"/>
      <c r="E736" s="25"/>
      <c r="F736" s="25"/>
      <c r="G736" s="26"/>
      <c r="H736" s="27"/>
      <c r="I736" s="24"/>
      <c r="J736" s="24"/>
      <c r="K736" s="28"/>
      <c r="L736" s="29"/>
      <c r="M736" s="29"/>
      <c r="N736" s="29"/>
      <c r="O736" s="27"/>
      <c r="P736" s="30"/>
      <c r="Q736" s="31"/>
      <c r="R736" s="31"/>
      <c r="S736" s="32"/>
      <c r="T736" s="32"/>
      <c r="U736" s="32"/>
      <c r="V736" s="32"/>
      <c r="W736" s="32"/>
      <c r="X736" s="32"/>
      <c r="Y736" s="32"/>
      <c r="Z736" s="32"/>
      <c r="AA736" s="32"/>
      <c r="AB736" s="32"/>
    </row>
    <row r="737" spans="1:28" ht="15.6" customHeight="1" x14ac:dyDescent="0.25">
      <c r="A737" s="24"/>
      <c r="B737" s="24"/>
      <c r="C737" s="25"/>
      <c r="D737" s="25"/>
      <c r="E737" s="25"/>
      <c r="F737" s="25"/>
      <c r="G737" s="26"/>
      <c r="H737" s="27"/>
      <c r="I737" s="24"/>
      <c r="J737" s="24"/>
      <c r="K737" s="28"/>
      <c r="L737" s="29"/>
      <c r="M737" s="29"/>
      <c r="N737" s="29"/>
      <c r="O737" s="27"/>
      <c r="P737" s="30"/>
      <c r="Q737" s="31"/>
      <c r="R737" s="31"/>
      <c r="S737" s="32"/>
      <c r="T737" s="32"/>
      <c r="U737" s="32"/>
      <c r="V737" s="32"/>
      <c r="W737" s="32"/>
      <c r="X737" s="32"/>
      <c r="Y737" s="32"/>
      <c r="Z737" s="32"/>
      <c r="AA737" s="32"/>
      <c r="AB737" s="32"/>
    </row>
    <row r="738" spans="1:28" ht="15.6" customHeight="1" x14ac:dyDescent="0.25">
      <c r="A738" s="24"/>
      <c r="B738" s="24"/>
      <c r="C738" s="25"/>
      <c r="D738" s="25"/>
      <c r="E738" s="25"/>
      <c r="F738" s="25"/>
      <c r="G738" s="26"/>
      <c r="H738" s="27"/>
      <c r="I738" s="24"/>
      <c r="J738" s="24"/>
      <c r="K738" s="28"/>
      <c r="L738" s="29"/>
      <c r="M738" s="29"/>
      <c r="N738" s="29"/>
      <c r="O738" s="27"/>
      <c r="P738" s="30"/>
      <c r="Q738" s="31"/>
      <c r="R738" s="31"/>
      <c r="S738" s="32"/>
      <c r="T738" s="32"/>
      <c r="U738" s="32"/>
      <c r="V738" s="32"/>
      <c r="W738" s="32"/>
      <c r="X738" s="32"/>
      <c r="Y738" s="32"/>
      <c r="Z738" s="32"/>
      <c r="AA738" s="32"/>
      <c r="AB738" s="32"/>
    </row>
    <row r="739" spans="1:28" ht="15.6" customHeight="1" x14ac:dyDescent="0.25">
      <c r="A739" s="24"/>
      <c r="B739" s="24"/>
      <c r="C739" s="25"/>
      <c r="D739" s="25"/>
      <c r="E739" s="25"/>
      <c r="F739" s="25"/>
      <c r="G739" s="26"/>
      <c r="H739" s="27"/>
      <c r="I739" s="24"/>
      <c r="J739" s="24"/>
      <c r="K739" s="28"/>
      <c r="L739" s="29"/>
      <c r="M739" s="29"/>
      <c r="N739" s="29"/>
      <c r="O739" s="27"/>
      <c r="P739" s="30"/>
      <c r="Q739" s="31"/>
      <c r="R739" s="31"/>
      <c r="S739" s="32"/>
      <c r="T739" s="32"/>
      <c r="U739" s="32"/>
      <c r="V739" s="32"/>
      <c r="W739" s="32"/>
      <c r="X739" s="32"/>
      <c r="Y739" s="32"/>
      <c r="Z739" s="32"/>
      <c r="AA739" s="32"/>
      <c r="AB739" s="32"/>
    </row>
    <row r="740" spans="1:28" ht="15.6" customHeight="1" x14ac:dyDescent="0.25">
      <c r="A740" s="24"/>
      <c r="B740" s="24"/>
      <c r="C740" s="25"/>
      <c r="D740" s="25"/>
      <c r="E740" s="25"/>
      <c r="F740" s="25"/>
      <c r="G740" s="26"/>
      <c r="H740" s="27"/>
      <c r="I740" s="24"/>
      <c r="J740" s="24"/>
      <c r="K740" s="28"/>
      <c r="L740" s="29"/>
      <c r="M740" s="29"/>
      <c r="N740" s="29"/>
      <c r="O740" s="27"/>
      <c r="P740" s="30"/>
      <c r="Q740" s="31"/>
      <c r="R740" s="31"/>
      <c r="S740" s="32"/>
      <c r="T740" s="32"/>
      <c r="U740" s="32"/>
      <c r="V740" s="32"/>
      <c r="W740" s="32"/>
      <c r="X740" s="32"/>
      <c r="Y740" s="32"/>
      <c r="Z740" s="32"/>
      <c r="AA740" s="32"/>
      <c r="AB740" s="32"/>
    </row>
    <row r="741" spans="1:28" ht="15.6" customHeight="1" x14ac:dyDescent="0.25">
      <c r="A741" s="24"/>
      <c r="B741" s="24"/>
      <c r="C741" s="25"/>
      <c r="D741" s="25"/>
      <c r="E741" s="25"/>
      <c r="F741" s="25"/>
      <c r="G741" s="26"/>
      <c r="H741" s="27"/>
      <c r="I741" s="24"/>
      <c r="J741" s="24"/>
      <c r="K741" s="28"/>
      <c r="L741" s="29"/>
      <c r="M741" s="29"/>
      <c r="N741" s="29"/>
      <c r="O741" s="27"/>
      <c r="P741" s="30"/>
      <c r="Q741" s="31"/>
      <c r="R741" s="31"/>
      <c r="S741" s="32"/>
      <c r="T741" s="32"/>
      <c r="U741" s="32"/>
      <c r="V741" s="32"/>
      <c r="W741" s="32"/>
      <c r="X741" s="32"/>
      <c r="Y741" s="32"/>
      <c r="Z741" s="32"/>
      <c r="AA741" s="32"/>
      <c r="AB741" s="32"/>
    </row>
    <row r="742" spans="1:28" ht="15.6" customHeight="1" x14ac:dyDescent="0.25">
      <c r="A742" s="24"/>
      <c r="B742" s="24"/>
      <c r="C742" s="25"/>
      <c r="D742" s="25"/>
      <c r="E742" s="25"/>
      <c r="F742" s="25"/>
      <c r="G742" s="26"/>
      <c r="H742" s="27"/>
      <c r="I742" s="24"/>
      <c r="J742" s="24"/>
      <c r="K742" s="28"/>
      <c r="L742" s="29"/>
      <c r="M742" s="29"/>
      <c r="N742" s="29"/>
      <c r="O742" s="27"/>
      <c r="P742" s="30"/>
      <c r="Q742" s="31"/>
      <c r="R742" s="31"/>
      <c r="S742" s="32"/>
      <c r="T742" s="32"/>
      <c r="U742" s="32"/>
      <c r="V742" s="32"/>
      <c r="W742" s="32"/>
      <c r="X742" s="32"/>
      <c r="Y742" s="32"/>
      <c r="Z742" s="32"/>
      <c r="AA742" s="32"/>
      <c r="AB742" s="32"/>
    </row>
    <row r="743" spans="1:28" ht="15.6" customHeight="1" x14ac:dyDescent="0.25">
      <c r="A743" s="24"/>
      <c r="B743" s="24"/>
      <c r="C743" s="25"/>
      <c r="D743" s="25"/>
      <c r="E743" s="25"/>
      <c r="F743" s="25"/>
      <c r="G743" s="26"/>
      <c r="H743" s="27"/>
      <c r="I743" s="24"/>
      <c r="J743" s="24"/>
      <c r="K743" s="28"/>
      <c r="L743" s="29"/>
      <c r="M743" s="29"/>
      <c r="N743" s="29"/>
      <c r="O743" s="27"/>
      <c r="P743" s="30"/>
      <c r="Q743" s="31"/>
      <c r="R743" s="31"/>
      <c r="S743" s="32"/>
      <c r="T743" s="32"/>
      <c r="U743" s="32"/>
      <c r="V743" s="32"/>
      <c r="W743" s="32"/>
      <c r="X743" s="32"/>
      <c r="Y743" s="32"/>
      <c r="Z743" s="32"/>
      <c r="AA743" s="32"/>
      <c r="AB743" s="32"/>
    </row>
    <row r="744" spans="1:28" ht="15.6" customHeight="1" x14ac:dyDescent="0.25">
      <c r="A744" s="24"/>
      <c r="B744" s="24"/>
      <c r="C744" s="25"/>
      <c r="D744" s="25"/>
      <c r="E744" s="25"/>
      <c r="F744" s="25"/>
      <c r="G744" s="26"/>
      <c r="H744" s="27"/>
      <c r="I744" s="24"/>
      <c r="J744" s="24"/>
      <c r="K744" s="28"/>
      <c r="L744" s="29"/>
      <c r="M744" s="29"/>
      <c r="N744" s="29"/>
      <c r="O744" s="27"/>
      <c r="P744" s="30"/>
      <c r="Q744" s="31"/>
      <c r="R744" s="31"/>
      <c r="S744" s="32"/>
      <c r="T744" s="32"/>
      <c r="U744" s="32"/>
      <c r="V744" s="32"/>
      <c r="W744" s="32"/>
      <c r="X744" s="32"/>
      <c r="Y744" s="32"/>
      <c r="Z744" s="32"/>
      <c r="AA744" s="32"/>
      <c r="AB744" s="32"/>
    </row>
    <row r="745" spans="1:28" ht="15.6" customHeight="1" x14ac:dyDescent="0.25">
      <c r="A745" s="24"/>
      <c r="B745" s="24"/>
      <c r="C745" s="25"/>
      <c r="D745" s="25"/>
      <c r="E745" s="25"/>
      <c r="F745" s="25"/>
      <c r="G745" s="26"/>
      <c r="H745" s="27"/>
      <c r="I745" s="24"/>
      <c r="J745" s="24"/>
      <c r="K745" s="28"/>
      <c r="L745" s="29"/>
      <c r="M745" s="29"/>
      <c r="N745" s="29"/>
      <c r="O745" s="27"/>
      <c r="P745" s="30"/>
      <c r="Q745" s="31"/>
      <c r="R745" s="31"/>
      <c r="S745" s="32"/>
      <c r="T745" s="32"/>
      <c r="U745" s="32"/>
      <c r="V745" s="32"/>
      <c r="W745" s="32"/>
      <c r="X745" s="32"/>
      <c r="Y745" s="32"/>
      <c r="Z745" s="32"/>
      <c r="AA745" s="32"/>
      <c r="AB745" s="32"/>
    </row>
    <row r="746" spans="1:28" ht="15.6" customHeight="1" x14ac:dyDescent="0.25">
      <c r="A746" s="24"/>
      <c r="B746" s="24"/>
      <c r="C746" s="25"/>
      <c r="D746" s="25"/>
      <c r="E746" s="25"/>
      <c r="F746" s="25"/>
      <c r="G746" s="26"/>
      <c r="H746" s="27"/>
      <c r="I746" s="24"/>
      <c r="J746" s="24"/>
      <c r="K746" s="28"/>
      <c r="L746" s="29"/>
      <c r="M746" s="29"/>
      <c r="N746" s="29"/>
      <c r="O746" s="27"/>
      <c r="P746" s="30"/>
      <c r="Q746" s="31"/>
      <c r="R746" s="31"/>
      <c r="S746" s="32"/>
      <c r="T746" s="32"/>
      <c r="U746" s="32"/>
      <c r="V746" s="32"/>
      <c r="W746" s="32"/>
      <c r="X746" s="32"/>
      <c r="Y746" s="32"/>
      <c r="Z746" s="32"/>
      <c r="AA746" s="32"/>
      <c r="AB746" s="32"/>
    </row>
    <row r="747" spans="1:28" ht="15.6" customHeight="1" x14ac:dyDescent="0.25">
      <c r="A747" s="24"/>
      <c r="B747" s="24"/>
      <c r="C747" s="25"/>
      <c r="D747" s="25"/>
      <c r="E747" s="25"/>
      <c r="F747" s="25"/>
      <c r="G747" s="26"/>
      <c r="H747" s="27"/>
      <c r="I747" s="24"/>
      <c r="J747" s="24"/>
      <c r="K747" s="28"/>
      <c r="L747" s="29"/>
      <c r="M747" s="29"/>
      <c r="N747" s="29"/>
      <c r="O747" s="27"/>
      <c r="P747" s="30"/>
      <c r="Q747" s="31"/>
      <c r="R747" s="31"/>
      <c r="S747" s="32"/>
      <c r="T747" s="32"/>
      <c r="U747" s="32"/>
      <c r="V747" s="32"/>
      <c r="W747" s="32"/>
      <c r="X747" s="32"/>
      <c r="Y747" s="32"/>
      <c r="Z747" s="32"/>
      <c r="AA747" s="32"/>
      <c r="AB747" s="32"/>
    </row>
    <row r="748" spans="1:28" ht="15.6" customHeight="1" x14ac:dyDescent="0.25">
      <c r="A748" s="24"/>
      <c r="B748" s="24"/>
      <c r="C748" s="25"/>
      <c r="D748" s="25"/>
      <c r="E748" s="25"/>
      <c r="F748" s="25"/>
      <c r="G748" s="26"/>
      <c r="H748" s="27"/>
      <c r="I748" s="24"/>
      <c r="J748" s="24"/>
      <c r="K748" s="28"/>
      <c r="L748" s="29"/>
      <c r="M748" s="29"/>
      <c r="N748" s="29"/>
      <c r="O748" s="27"/>
      <c r="P748" s="30"/>
      <c r="Q748" s="31"/>
      <c r="R748" s="31"/>
      <c r="S748" s="32"/>
      <c r="T748" s="32"/>
      <c r="U748" s="32"/>
      <c r="V748" s="32"/>
      <c r="W748" s="32"/>
      <c r="X748" s="32"/>
      <c r="Y748" s="32"/>
      <c r="Z748" s="32"/>
      <c r="AA748" s="32"/>
      <c r="AB748" s="32"/>
    </row>
    <row r="749" spans="1:28" ht="15.6" customHeight="1" x14ac:dyDescent="0.25">
      <c r="A749" s="24"/>
      <c r="B749" s="24"/>
      <c r="C749" s="25"/>
      <c r="D749" s="25"/>
      <c r="E749" s="25"/>
      <c r="F749" s="25"/>
      <c r="G749" s="26"/>
      <c r="H749" s="27"/>
      <c r="I749" s="24"/>
      <c r="J749" s="24"/>
      <c r="K749" s="28"/>
      <c r="L749" s="29"/>
      <c r="M749" s="29"/>
      <c r="N749" s="29"/>
      <c r="O749" s="27"/>
      <c r="P749" s="30"/>
      <c r="Q749" s="31"/>
      <c r="R749" s="31"/>
      <c r="S749" s="32"/>
      <c r="T749" s="32"/>
      <c r="U749" s="32"/>
      <c r="V749" s="32"/>
      <c r="W749" s="32"/>
      <c r="X749" s="32"/>
      <c r="Y749" s="32"/>
      <c r="Z749" s="32"/>
      <c r="AA749" s="32"/>
      <c r="AB749" s="32"/>
    </row>
    <row r="750" spans="1:28" ht="15.6" customHeight="1" x14ac:dyDescent="0.25">
      <c r="A750" s="24"/>
      <c r="B750" s="24"/>
      <c r="C750" s="25"/>
      <c r="D750" s="25"/>
      <c r="E750" s="25"/>
      <c r="F750" s="25"/>
      <c r="G750" s="26"/>
      <c r="H750" s="27"/>
      <c r="I750" s="24"/>
      <c r="J750" s="24"/>
      <c r="K750" s="28"/>
      <c r="L750" s="29"/>
      <c r="M750" s="29"/>
      <c r="N750" s="29"/>
      <c r="O750" s="27"/>
      <c r="P750" s="30"/>
      <c r="Q750" s="31"/>
      <c r="R750" s="31"/>
      <c r="S750" s="32"/>
      <c r="T750" s="32"/>
      <c r="U750" s="32"/>
      <c r="V750" s="32"/>
      <c r="W750" s="32"/>
      <c r="X750" s="32"/>
      <c r="Y750" s="32"/>
      <c r="Z750" s="32"/>
      <c r="AA750" s="32"/>
      <c r="AB750" s="32"/>
    </row>
    <row r="751" spans="1:28" ht="15.6" customHeight="1" x14ac:dyDescent="0.25">
      <c r="A751" s="24"/>
      <c r="B751" s="24"/>
      <c r="C751" s="25"/>
      <c r="D751" s="25"/>
      <c r="E751" s="25"/>
      <c r="F751" s="25"/>
      <c r="G751" s="26"/>
      <c r="H751" s="27"/>
      <c r="I751" s="24"/>
      <c r="J751" s="24"/>
      <c r="K751" s="28"/>
      <c r="L751" s="29"/>
      <c r="M751" s="29"/>
      <c r="N751" s="29"/>
      <c r="O751" s="27"/>
      <c r="P751" s="30"/>
      <c r="Q751" s="31"/>
      <c r="R751" s="31"/>
      <c r="S751" s="32"/>
      <c r="T751" s="32"/>
      <c r="U751" s="32"/>
      <c r="V751" s="32"/>
      <c r="W751" s="32"/>
      <c r="X751" s="32"/>
      <c r="Y751" s="32"/>
      <c r="Z751" s="32"/>
      <c r="AA751" s="32"/>
      <c r="AB751" s="32"/>
    </row>
    <row r="752" spans="1:28" ht="15.6" customHeight="1" x14ac:dyDescent="0.25">
      <c r="A752" s="24"/>
      <c r="B752" s="24"/>
      <c r="C752" s="25"/>
      <c r="D752" s="25"/>
      <c r="E752" s="25"/>
      <c r="F752" s="25"/>
      <c r="G752" s="26"/>
      <c r="H752" s="27"/>
      <c r="I752" s="24"/>
      <c r="J752" s="24"/>
      <c r="K752" s="28"/>
      <c r="L752" s="29"/>
      <c r="M752" s="29"/>
      <c r="N752" s="29"/>
      <c r="O752" s="27"/>
      <c r="P752" s="30"/>
      <c r="Q752" s="31"/>
      <c r="R752" s="31"/>
      <c r="S752" s="32"/>
      <c r="T752" s="32"/>
      <c r="U752" s="32"/>
      <c r="V752" s="32"/>
      <c r="W752" s="32"/>
      <c r="X752" s="32"/>
      <c r="Y752" s="32"/>
      <c r="Z752" s="32"/>
      <c r="AA752" s="32"/>
      <c r="AB752" s="32"/>
    </row>
    <row r="753" spans="1:28" ht="15.6" customHeight="1" x14ac:dyDescent="0.25">
      <c r="A753" s="24"/>
      <c r="B753" s="24"/>
      <c r="C753" s="25"/>
      <c r="D753" s="25"/>
      <c r="E753" s="25"/>
      <c r="F753" s="25"/>
      <c r="G753" s="26"/>
      <c r="H753" s="27"/>
      <c r="I753" s="24"/>
      <c r="J753" s="24"/>
      <c r="K753" s="28"/>
      <c r="L753" s="29"/>
      <c r="M753" s="29"/>
      <c r="N753" s="29"/>
      <c r="O753" s="27"/>
      <c r="P753" s="30"/>
      <c r="Q753" s="31"/>
      <c r="R753" s="31"/>
      <c r="S753" s="32"/>
      <c r="T753" s="32"/>
      <c r="U753" s="32"/>
      <c r="V753" s="32"/>
      <c r="W753" s="32"/>
      <c r="X753" s="32"/>
      <c r="Y753" s="32"/>
      <c r="Z753" s="32"/>
      <c r="AA753" s="32"/>
      <c r="AB753" s="32"/>
    </row>
    <row r="754" spans="1:28" ht="15.6" customHeight="1" x14ac:dyDescent="0.25">
      <c r="A754" s="24"/>
      <c r="B754" s="24"/>
      <c r="C754" s="25"/>
      <c r="D754" s="25"/>
      <c r="E754" s="25"/>
      <c r="F754" s="25"/>
      <c r="G754" s="26"/>
      <c r="H754" s="27"/>
      <c r="I754" s="24"/>
      <c r="J754" s="24"/>
      <c r="K754" s="28"/>
      <c r="L754" s="29"/>
      <c r="M754" s="29"/>
      <c r="N754" s="29"/>
      <c r="O754" s="27"/>
      <c r="P754" s="30"/>
      <c r="Q754" s="31"/>
      <c r="R754" s="31"/>
      <c r="S754" s="32"/>
      <c r="T754" s="32"/>
      <c r="U754" s="32"/>
      <c r="V754" s="32"/>
      <c r="W754" s="32"/>
      <c r="X754" s="32"/>
      <c r="Y754" s="32"/>
      <c r="Z754" s="32"/>
      <c r="AA754" s="32"/>
      <c r="AB754" s="32"/>
    </row>
    <row r="755" spans="1:28" ht="15.6" customHeight="1" x14ac:dyDescent="0.25">
      <c r="A755" s="24"/>
      <c r="B755" s="24"/>
      <c r="C755" s="25"/>
      <c r="D755" s="25"/>
      <c r="E755" s="25"/>
      <c r="F755" s="25"/>
      <c r="G755" s="26"/>
      <c r="H755" s="27"/>
      <c r="I755" s="24"/>
      <c r="J755" s="24"/>
      <c r="K755" s="28"/>
      <c r="L755" s="29"/>
      <c r="M755" s="29"/>
      <c r="N755" s="29"/>
      <c r="O755" s="27"/>
      <c r="P755" s="30"/>
      <c r="Q755" s="31"/>
      <c r="R755" s="31"/>
      <c r="S755" s="32"/>
      <c r="T755" s="32"/>
      <c r="U755" s="32"/>
      <c r="V755" s="32"/>
      <c r="W755" s="32"/>
      <c r="X755" s="32"/>
      <c r="Y755" s="32"/>
      <c r="Z755" s="32"/>
      <c r="AA755" s="32"/>
      <c r="AB755" s="32"/>
    </row>
    <row r="756" spans="1:28" ht="15.6" customHeight="1" x14ac:dyDescent="0.25">
      <c r="A756" s="24"/>
      <c r="B756" s="24"/>
      <c r="C756" s="25"/>
      <c r="D756" s="25"/>
      <c r="E756" s="25"/>
      <c r="F756" s="25"/>
      <c r="G756" s="26"/>
      <c r="H756" s="27"/>
      <c r="I756" s="24"/>
      <c r="J756" s="24"/>
      <c r="K756" s="28"/>
      <c r="L756" s="29"/>
      <c r="M756" s="29"/>
      <c r="N756" s="29"/>
      <c r="O756" s="27"/>
      <c r="P756" s="30"/>
      <c r="Q756" s="31"/>
      <c r="R756" s="31"/>
      <c r="S756" s="32"/>
      <c r="T756" s="32"/>
      <c r="U756" s="32"/>
      <c r="V756" s="32"/>
      <c r="W756" s="32"/>
      <c r="X756" s="32"/>
      <c r="Y756" s="32"/>
      <c r="Z756" s="32"/>
      <c r="AA756" s="32"/>
      <c r="AB756" s="32"/>
    </row>
    <row r="757" spans="1:28" ht="15.6" customHeight="1" x14ac:dyDescent="0.25">
      <c r="A757" s="24"/>
      <c r="B757" s="24"/>
      <c r="C757" s="25"/>
      <c r="D757" s="25"/>
      <c r="E757" s="25"/>
      <c r="F757" s="25"/>
      <c r="G757" s="26"/>
      <c r="H757" s="27"/>
      <c r="I757" s="24"/>
      <c r="J757" s="24"/>
      <c r="K757" s="28"/>
      <c r="L757" s="29"/>
      <c r="M757" s="29"/>
      <c r="N757" s="29"/>
      <c r="O757" s="27"/>
      <c r="P757" s="30"/>
      <c r="Q757" s="31"/>
      <c r="R757" s="31"/>
      <c r="S757" s="32"/>
      <c r="T757" s="32"/>
      <c r="U757" s="32"/>
      <c r="V757" s="32"/>
      <c r="W757" s="32"/>
      <c r="X757" s="32"/>
      <c r="Y757" s="32"/>
      <c r="Z757" s="32"/>
      <c r="AA757" s="32"/>
      <c r="AB757" s="32"/>
    </row>
    <row r="758" spans="1:28" ht="15.6" customHeight="1" x14ac:dyDescent="0.25">
      <c r="A758" s="24"/>
      <c r="B758" s="24"/>
      <c r="C758" s="25"/>
      <c r="D758" s="25"/>
      <c r="E758" s="25"/>
      <c r="F758" s="25"/>
      <c r="G758" s="26"/>
      <c r="H758" s="27"/>
      <c r="I758" s="24"/>
      <c r="J758" s="24"/>
      <c r="K758" s="28"/>
      <c r="L758" s="29"/>
      <c r="M758" s="29"/>
      <c r="N758" s="29"/>
      <c r="O758" s="27"/>
      <c r="P758" s="30"/>
      <c r="Q758" s="31"/>
      <c r="R758" s="31"/>
      <c r="S758" s="32"/>
      <c r="T758" s="32"/>
      <c r="U758" s="32"/>
      <c r="V758" s="32"/>
      <c r="W758" s="32"/>
      <c r="X758" s="32"/>
      <c r="Y758" s="32"/>
      <c r="Z758" s="32"/>
      <c r="AA758" s="32"/>
      <c r="AB758" s="32"/>
    </row>
    <row r="759" spans="1:28" ht="15.6" customHeight="1" x14ac:dyDescent="0.25">
      <c r="A759" s="24"/>
      <c r="B759" s="24"/>
      <c r="C759" s="25"/>
      <c r="D759" s="25"/>
      <c r="E759" s="25"/>
      <c r="F759" s="25"/>
      <c r="G759" s="26"/>
      <c r="H759" s="27"/>
      <c r="I759" s="24"/>
      <c r="J759" s="24"/>
      <c r="K759" s="28"/>
      <c r="L759" s="29"/>
      <c r="M759" s="29"/>
      <c r="N759" s="29"/>
      <c r="O759" s="27"/>
      <c r="P759" s="30"/>
      <c r="Q759" s="31"/>
      <c r="R759" s="31"/>
      <c r="S759" s="32"/>
      <c r="T759" s="32"/>
      <c r="U759" s="32"/>
      <c r="V759" s="32"/>
      <c r="W759" s="32"/>
      <c r="X759" s="32"/>
      <c r="Y759" s="32"/>
      <c r="Z759" s="32"/>
      <c r="AA759" s="32"/>
      <c r="AB759" s="32"/>
    </row>
    <row r="760" spans="1:28" ht="15.6" customHeight="1" x14ac:dyDescent="0.25">
      <c r="A760" s="24"/>
      <c r="B760" s="24"/>
      <c r="C760" s="25"/>
      <c r="D760" s="25"/>
      <c r="E760" s="25"/>
      <c r="F760" s="25"/>
      <c r="G760" s="26"/>
      <c r="H760" s="27"/>
      <c r="I760" s="24"/>
      <c r="J760" s="24"/>
      <c r="K760" s="28"/>
      <c r="L760" s="29"/>
      <c r="M760" s="29"/>
      <c r="N760" s="29"/>
      <c r="O760" s="27"/>
      <c r="P760" s="30"/>
      <c r="Q760" s="31"/>
      <c r="R760" s="31"/>
      <c r="S760" s="32"/>
      <c r="T760" s="32"/>
      <c r="U760" s="32"/>
      <c r="V760" s="32"/>
      <c r="W760" s="32"/>
      <c r="X760" s="32"/>
      <c r="Y760" s="32"/>
      <c r="Z760" s="32"/>
      <c r="AA760" s="32"/>
      <c r="AB760" s="32"/>
    </row>
    <row r="761" spans="1:28" ht="15.6" customHeight="1" x14ac:dyDescent="0.25">
      <c r="A761" s="24"/>
      <c r="B761" s="24"/>
      <c r="C761" s="25"/>
      <c r="D761" s="25"/>
      <c r="E761" s="25"/>
      <c r="F761" s="25"/>
      <c r="G761" s="26"/>
      <c r="H761" s="27"/>
      <c r="I761" s="24"/>
      <c r="J761" s="24"/>
      <c r="K761" s="28"/>
      <c r="L761" s="29"/>
      <c r="M761" s="29"/>
      <c r="N761" s="29"/>
      <c r="O761" s="27"/>
      <c r="P761" s="30"/>
      <c r="Q761" s="31"/>
      <c r="R761" s="31"/>
      <c r="S761" s="32"/>
      <c r="T761" s="32"/>
      <c r="U761" s="32"/>
      <c r="V761" s="32"/>
      <c r="W761" s="32"/>
      <c r="X761" s="32"/>
      <c r="Y761" s="32"/>
      <c r="Z761" s="32"/>
      <c r="AA761" s="32"/>
      <c r="AB761" s="32"/>
    </row>
    <row r="762" spans="1:28" ht="15.6" customHeight="1" x14ac:dyDescent="0.25">
      <c r="A762" s="24"/>
      <c r="B762" s="24"/>
      <c r="C762" s="25"/>
      <c r="D762" s="25"/>
      <c r="E762" s="25"/>
      <c r="F762" s="25"/>
      <c r="G762" s="26"/>
      <c r="H762" s="27"/>
      <c r="I762" s="24"/>
      <c r="J762" s="24"/>
      <c r="K762" s="28"/>
      <c r="L762" s="29"/>
      <c r="M762" s="29"/>
      <c r="N762" s="29"/>
      <c r="O762" s="27"/>
      <c r="P762" s="30"/>
      <c r="Q762" s="31"/>
      <c r="R762" s="31"/>
      <c r="S762" s="32"/>
      <c r="T762" s="32"/>
      <c r="U762" s="32"/>
      <c r="V762" s="32"/>
      <c r="W762" s="32"/>
      <c r="X762" s="32"/>
      <c r="Y762" s="32"/>
      <c r="Z762" s="32"/>
      <c r="AA762" s="32"/>
      <c r="AB762" s="32"/>
    </row>
    <row r="763" spans="1:28" ht="15.6" customHeight="1" x14ac:dyDescent="0.25">
      <c r="A763" s="24"/>
      <c r="B763" s="24"/>
      <c r="C763" s="25"/>
      <c r="D763" s="25"/>
      <c r="E763" s="25"/>
      <c r="F763" s="25"/>
      <c r="G763" s="26"/>
      <c r="H763" s="27"/>
      <c r="I763" s="24"/>
      <c r="J763" s="24"/>
      <c r="K763" s="28"/>
      <c r="L763" s="29"/>
      <c r="M763" s="29"/>
      <c r="N763" s="29"/>
      <c r="O763" s="27"/>
      <c r="P763" s="30"/>
      <c r="Q763" s="31"/>
      <c r="R763" s="31"/>
      <c r="S763" s="32"/>
      <c r="T763" s="32"/>
      <c r="U763" s="32"/>
      <c r="V763" s="32"/>
      <c r="W763" s="32"/>
      <c r="X763" s="32"/>
      <c r="Y763" s="32"/>
      <c r="Z763" s="32"/>
      <c r="AA763" s="32"/>
      <c r="AB763" s="32"/>
    </row>
    <row r="764" spans="1:28" ht="15.6" customHeight="1" x14ac:dyDescent="0.25">
      <c r="A764" s="24"/>
      <c r="B764" s="24"/>
      <c r="C764" s="25"/>
      <c r="D764" s="25"/>
      <c r="E764" s="25"/>
      <c r="F764" s="25"/>
      <c r="G764" s="26"/>
      <c r="H764" s="27"/>
      <c r="I764" s="24"/>
      <c r="J764" s="24"/>
      <c r="K764" s="28"/>
      <c r="L764" s="29"/>
      <c r="M764" s="29"/>
      <c r="N764" s="29"/>
      <c r="O764" s="27"/>
      <c r="P764" s="30"/>
      <c r="Q764" s="31"/>
      <c r="R764" s="31"/>
      <c r="S764" s="32"/>
      <c r="T764" s="32"/>
      <c r="U764" s="32"/>
      <c r="V764" s="32"/>
      <c r="W764" s="32"/>
      <c r="X764" s="32"/>
      <c r="Y764" s="32"/>
      <c r="Z764" s="32"/>
      <c r="AA764" s="32"/>
      <c r="AB764" s="32"/>
    </row>
    <row r="765" spans="1:28" ht="15.6" customHeight="1" x14ac:dyDescent="0.25">
      <c r="A765" s="24"/>
      <c r="B765" s="24"/>
      <c r="C765" s="25"/>
      <c r="D765" s="25"/>
      <c r="E765" s="25"/>
      <c r="F765" s="25"/>
      <c r="G765" s="26"/>
      <c r="H765" s="27"/>
      <c r="I765" s="24"/>
      <c r="J765" s="24"/>
      <c r="K765" s="28"/>
      <c r="L765" s="29"/>
      <c r="M765" s="29"/>
      <c r="N765" s="29"/>
      <c r="O765" s="27"/>
      <c r="P765" s="30"/>
      <c r="Q765" s="31"/>
      <c r="R765" s="31"/>
      <c r="S765" s="32"/>
      <c r="T765" s="32"/>
      <c r="U765" s="32"/>
      <c r="V765" s="32"/>
      <c r="W765" s="32"/>
      <c r="X765" s="32"/>
      <c r="Y765" s="32"/>
      <c r="Z765" s="32"/>
      <c r="AA765" s="32"/>
      <c r="AB765" s="32"/>
    </row>
    <row r="766" spans="1:28" ht="15.6" customHeight="1" x14ac:dyDescent="0.25">
      <c r="A766" s="24"/>
      <c r="B766" s="24"/>
      <c r="C766" s="25"/>
      <c r="D766" s="25"/>
      <c r="E766" s="25"/>
      <c r="F766" s="25"/>
      <c r="G766" s="26"/>
      <c r="H766" s="27"/>
      <c r="I766" s="24"/>
      <c r="J766" s="24"/>
      <c r="K766" s="28"/>
      <c r="L766" s="29"/>
      <c r="M766" s="29"/>
      <c r="N766" s="29"/>
      <c r="O766" s="27"/>
      <c r="P766" s="30"/>
      <c r="Q766" s="31"/>
      <c r="R766" s="31"/>
      <c r="S766" s="32"/>
      <c r="T766" s="32"/>
      <c r="U766" s="32"/>
      <c r="V766" s="32"/>
      <c r="W766" s="32"/>
      <c r="X766" s="32"/>
      <c r="Y766" s="32"/>
      <c r="Z766" s="32"/>
      <c r="AA766" s="32"/>
      <c r="AB766" s="32"/>
    </row>
    <row r="767" spans="1:28" ht="15.6" customHeight="1" x14ac:dyDescent="0.25">
      <c r="A767" s="24"/>
      <c r="B767" s="24"/>
      <c r="C767" s="25"/>
      <c r="D767" s="25"/>
      <c r="E767" s="25"/>
      <c r="F767" s="25"/>
      <c r="G767" s="26"/>
      <c r="H767" s="27"/>
      <c r="I767" s="24"/>
      <c r="J767" s="24"/>
      <c r="K767" s="28"/>
      <c r="L767" s="29"/>
      <c r="M767" s="29"/>
      <c r="N767" s="29"/>
      <c r="O767" s="27"/>
      <c r="P767" s="30"/>
      <c r="Q767" s="31"/>
      <c r="R767" s="31"/>
      <c r="S767" s="32"/>
      <c r="T767" s="32"/>
      <c r="U767" s="32"/>
      <c r="V767" s="32"/>
      <c r="W767" s="32"/>
      <c r="X767" s="32"/>
      <c r="Y767" s="32"/>
      <c r="Z767" s="32"/>
      <c r="AA767" s="32"/>
      <c r="AB767" s="32"/>
    </row>
    <row r="768" spans="1:28" ht="15.6" customHeight="1" x14ac:dyDescent="0.25">
      <c r="A768" s="24"/>
      <c r="B768" s="24"/>
      <c r="C768" s="25"/>
      <c r="D768" s="25"/>
      <c r="E768" s="25"/>
      <c r="F768" s="25"/>
      <c r="G768" s="26"/>
      <c r="H768" s="27"/>
      <c r="I768" s="24"/>
      <c r="J768" s="24"/>
      <c r="K768" s="28"/>
      <c r="L768" s="29"/>
      <c r="M768" s="29"/>
      <c r="N768" s="29"/>
      <c r="O768" s="27"/>
      <c r="P768" s="30"/>
      <c r="Q768" s="31"/>
      <c r="R768" s="31"/>
      <c r="S768" s="32"/>
      <c r="T768" s="32"/>
      <c r="U768" s="32"/>
      <c r="V768" s="32"/>
      <c r="W768" s="32"/>
      <c r="X768" s="32"/>
      <c r="Y768" s="32"/>
      <c r="Z768" s="32"/>
      <c r="AA768" s="32"/>
      <c r="AB768" s="32"/>
    </row>
    <row r="769" spans="1:28" ht="15.6" customHeight="1" x14ac:dyDescent="0.25">
      <c r="A769" s="24"/>
      <c r="B769" s="24"/>
      <c r="C769" s="25"/>
      <c r="D769" s="25"/>
      <c r="E769" s="25"/>
      <c r="F769" s="25"/>
      <c r="G769" s="26"/>
      <c r="H769" s="27"/>
      <c r="I769" s="24"/>
      <c r="J769" s="24"/>
      <c r="K769" s="28"/>
      <c r="L769" s="29"/>
      <c r="M769" s="29"/>
      <c r="N769" s="29"/>
      <c r="O769" s="27"/>
      <c r="P769" s="30"/>
      <c r="Q769" s="31"/>
      <c r="R769" s="31"/>
      <c r="S769" s="32"/>
      <c r="T769" s="32"/>
      <c r="U769" s="32"/>
      <c r="V769" s="32"/>
      <c r="W769" s="32"/>
      <c r="X769" s="32"/>
      <c r="Y769" s="32"/>
      <c r="Z769" s="32"/>
      <c r="AA769" s="32"/>
      <c r="AB769" s="32"/>
    </row>
    <row r="770" spans="1:28" ht="15.6" customHeight="1" x14ac:dyDescent="0.25">
      <c r="A770" s="24"/>
      <c r="B770" s="24"/>
      <c r="C770" s="25"/>
      <c r="D770" s="25"/>
      <c r="E770" s="25"/>
      <c r="F770" s="25"/>
      <c r="G770" s="26"/>
      <c r="H770" s="27"/>
      <c r="I770" s="24"/>
      <c r="J770" s="24"/>
      <c r="K770" s="28"/>
      <c r="L770" s="29"/>
      <c r="M770" s="29"/>
      <c r="N770" s="29"/>
      <c r="O770" s="27"/>
      <c r="P770" s="30"/>
      <c r="Q770" s="31"/>
      <c r="R770" s="31"/>
      <c r="S770" s="32"/>
      <c r="T770" s="32"/>
      <c r="U770" s="32"/>
      <c r="V770" s="32"/>
      <c r="W770" s="32"/>
      <c r="X770" s="32"/>
      <c r="Y770" s="32"/>
      <c r="Z770" s="32"/>
      <c r="AA770" s="32"/>
      <c r="AB770" s="32"/>
    </row>
    <row r="771" spans="1:28" ht="15.6" customHeight="1" x14ac:dyDescent="0.25">
      <c r="A771" s="24"/>
      <c r="B771" s="24"/>
      <c r="C771" s="25"/>
      <c r="D771" s="25"/>
      <c r="E771" s="25"/>
      <c r="F771" s="25"/>
      <c r="G771" s="26"/>
      <c r="H771" s="27"/>
      <c r="I771" s="24"/>
      <c r="J771" s="24"/>
      <c r="K771" s="28"/>
      <c r="L771" s="29"/>
      <c r="M771" s="29"/>
      <c r="N771" s="29"/>
      <c r="O771" s="27"/>
      <c r="P771" s="30"/>
      <c r="Q771" s="31"/>
      <c r="R771" s="31"/>
      <c r="S771" s="32"/>
      <c r="T771" s="32"/>
      <c r="U771" s="32"/>
      <c r="V771" s="32"/>
      <c r="W771" s="32"/>
      <c r="X771" s="32"/>
      <c r="Y771" s="32"/>
      <c r="Z771" s="32"/>
      <c r="AA771" s="32"/>
      <c r="AB771" s="32"/>
    </row>
    <row r="772" spans="1:28" ht="15.6" customHeight="1" x14ac:dyDescent="0.25">
      <c r="A772" s="24"/>
      <c r="B772" s="24"/>
      <c r="C772" s="25"/>
      <c r="D772" s="25"/>
      <c r="E772" s="25"/>
      <c r="F772" s="25"/>
      <c r="G772" s="26"/>
      <c r="H772" s="27"/>
      <c r="I772" s="24"/>
      <c r="J772" s="24"/>
      <c r="K772" s="28"/>
      <c r="L772" s="29"/>
      <c r="M772" s="29"/>
      <c r="N772" s="29"/>
      <c r="O772" s="27"/>
      <c r="P772" s="30"/>
      <c r="Q772" s="31"/>
      <c r="R772" s="31"/>
      <c r="S772" s="32"/>
      <c r="T772" s="32"/>
      <c r="U772" s="32"/>
      <c r="V772" s="32"/>
      <c r="W772" s="32"/>
      <c r="X772" s="32"/>
      <c r="Y772" s="32"/>
      <c r="Z772" s="32"/>
      <c r="AA772" s="32"/>
      <c r="AB772" s="32"/>
    </row>
    <row r="773" spans="1:28" ht="15.6" customHeight="1" x14ac:dyDescent="0.25">
      <c r="A773" s="24"/>
      <c r="B773" s="24"/>
      <c r="C773" s="25"/>
      <c r="D773" s="25"/>
      <c r="E773" s="25"/>
      <c r="F773" s="25"/>
      <c r="G773" s="26"/>
      <c r="H773" s="27"/>
      <c r="I773" s="24"/>
      <c r="J773" s="24"/>
      <c r="K773" s="28"/>
      <c r="L773" s="29"/>
      <c r="M773" s="29"/>
      <c r="N773" s="29"/>
      <c r="O773" s="27"/>
      <c r="P773" s="30"/>
      <c r="Q773" s="31"/>
      <c r="R773" s="31"/>
      <c r="S773" s="32"/>
      <c r="T773" s="32"/>
      <c r="U773" s="32"/>
      <c r="V773" s="32"/>
      <c r="W773" s="32"/>
      <c r="X773" s="32"/>
      <c r="Y773" s="32"/>
      <c r="Z773" s="32"/>
      <c r="AA773" s="32"/>
      <c r="AB773" s="32"/>
    </row>
    <row r="774" spans="1:28" ht="15.6" customHeight="1" x14ac:dyDescent="0.25">
      <c r="A774" s="24"/>
      <c r="B774" s="24"/>
      <c r="C774" s="25"/>
      <c r="D774" s="25"/>
      <c r="E774" s="25"/>
      <c r="F774" s="25"/>
      <c r="G774" s="26"/>
      <c r="H774" s="27"/>
      <c r="I774" s="24"/>
      <c r="J774" s="24"/>
      <c r="K774" s="28"/>
      <c r="L774" s="29"/>
      <c r="M774" s="29"/>
      <c r="N774" s="29"/>
      <c r="O774" s="27"/>
      <c r="P774" s="30"/>
      <c r="Q774" s="31"/>
      <c r="R774" s="31"/>
      <c r="S774" s="32"/>
      <c r="T774" s="32"/>
      <c r="U774" s="32"/>
      <c r="V774" s="32"/>
      <c r="W774" s="32"/>
      <c r="X774" s="32"/>
      <c r="Y774" s="32"/>
      <c r="Z774" s="32"/>
      <c r="AA774" s="32"/>
      <c r="AB774" s="32"/>
    </row>
    <row r="775" spans="1:28" ht="15.6" customHeight="1" x14ac:dyDescent="0.25">
      <c r="A775" s="24"/>
      <c r="B775" s="24"/>
      <c r="C775" s="25"/>
      <c r="D775" s="25"/>
      <c r="E775" s="25"/>
      <c r="F775" s="25"/>
      <c r="G775" s="26"/>
      <c r="H775" s="27"/>
      <c r="I775" s="24"/>
      <c r="J775" s="24"/>
      <c r="K775" s="28"/>
      <c r="L775" s="29"/>
      <c r="M775" s="29"/>
      <c r="N775" s="29"/>
      <c r="O775" s="27"/>
      <c r="P775" s="30"/>
      <c r="Q775" s="31"/>
      <c r="R775" s="31"/>
      <c r="S775" s="32"/>
      <c r="T775" s="32"/>
      <c r="U775" s="32"/>
      <c r="V775" s="32"/>
      <c r="W775" s="32"/>
      <c r="X775" s="32"/>
      <c r="Y775" s="32"/>
      <c r="Z775" s="32"/>
      <c r="AA775" s="32"/>
      <c r="AB775" s="32"/>
    </row>
    <row r="776" spans="1:28" ht="15.6" customHeight="1" x14ac:dyDescent="0.25">
      <c r="A776" s="24"/>
      <c r="B776" s="24"/>
      <c r="C776" s="25"/>
      <c r="D776" s="25"/>
      <c r="E776" s="25"/>
      <c r="F776" s="25"/>
      <c r="G776" s="26"/>
      <c r="H776" s="27"/>
      <c r="I776" s="24"/>
      <c r="J776" s="24"/>
      <c r="K776" s="28"/>
      <c r="L776" s="29"/>
      <c r="M776" s="29"/>
      <c r="N776" s="29"/>
      <c r="O776" s="27"/>
      <c r="P776" s="30"/>
      <c r="Q776" s="31"/>
      <c r="R776" s="31"/>
      <c r="S776" s="32"/>
      <c r="T776" s="32"/>
      <c r="U776" s="32"/>
      <c r="V776" s="32"/>
      <c r="W776" s="32"/>
      <c r="X776" s="32"/>
      <c r="Y776" s="32"/>
      <c r="Z776" s="32"/>
      <c r="AA776" s="32"/>
      <c r="AB776" s="32"/>
    </row>
    <row r="777" spans="1:28" ht="15.6" customHeight="1" x14ac:dyDescent="0.25">
      <c r="A777" s="24"/>
      <c r="B777" s="24"/>
      <c r="C777" s="25"/>
      <c r="D777" s="25"/>
      <c r="E777" s="25"/>
      <c r="F777" s="25"/>
      <c r="G777" s="26"/>
      <c r="H777" s="27"/>
      <c r="I777" s="24"/>
      <c r="J777" s="24"/>
      <c r="K777" s="28"/>
      <c r="L777" s="29"/>
      <c r="M777" s="29"/>
      <c r="N777" s="29"/>
      <c r="O777" s="27"/>
      <c r="P777" s="30"/>
      <c r="Q777" s="31"/>
      <c r="R777" s="31"/>
      <c r="S777" s="32"/>
      <c r="T777" s="32"/>
      <c r="U777" s="32"/>
      <c r="V777" s="32"/>
      <c r="W777" s="32"/>
      <c r="X777" s="32"/>
      <c r="Y777" s="32"/>
      <c r="Z777" s="32"/>
      <c r="AA777" s="32"/>
      <c r="AB777" s="32"/>
    </row>
    <row r="778" spans="1:28" ht="15.6" customHeight="1" x14ac:dyDescent="0.25">
      <c r="A778" s="24"/>
      <c r="B778" s="24"/>
      <c r="C778" s="25"/>
      <c r="D778" s="25"/>
      <c r="E778" s="25"/>
      <c r="F778" s="25"/>
      <c r="G778" s="26"/>
      <c r="H778" s="27"/>
      <c r="I778" s="24"/>
      <c r="J778" s="24"/>
      <c r="K778" s="28"/>
      <c r="L778" s="29"/>
      <c r="M778" s="29"/>
      <c r="N778" s="29"/>
      <c r="O778" s="27"/>
      <c r="P778" s="30"/>
      <c r="Q778" s="31"/>
      <c r="R778" s="31"/>
      <c r="S778" s="32"/>
      <c r="T778" s="32"/>
      <c r="U778" s="32"/>
      <c r="V778" s="32"/>
      <c r="W778" s="32"/>
      <c r="X778" s="32"/>
      <c r="Y778" s="32"/>
      <c r="Z778" s="32"/>
      <c r="AA778" s="32"/>
      <c r="AB778" s="32"/>
    </row>
    <row r="779" spans="1:28" ht="15.6" customHeight="1" x14ac:dyDescent="0.25">
      <c r="A779" s="24"/>
      <c r="B779" s="24"/>
      <c r="C779" s="25"/>
      <c r="D779" s="25"/>
      <c r="E779" s="25"/>
      <c r="F779" s="25"/>
      <c r="G779" s="26"/>
      <c r="H779" s="27"/>
      <c r="I779" s="24"/>
      <c r="J779" s="24"/>
      <c r="K779" s="28"/>
      <c r="L779" s="29"/>
      <c r="M779" s="29"/>
      <c r="N779" s="29"/>
      <c r="O779" s="27"/>
      <c r="P779" s="30"/>
      <c r="Q779" s="31"/>
      <c r="R779" s="31"/>
      <c r="S779" s="32"/>
      <c r="T779" s="32"/>
      <c r="U779" s="32"/>
      <c r="V779" s="32"/>
      <c r="W779" s="32"/>
      <c r="X779" s="32"/>
      <c r="Y779" s="32"/>
      <c r="Z779" s="32"/>
      <c r="AA779" s="32"/>
      <c r="AB779" s="32"/>
    </row>
    <row r="780" spans="1:28" ht="15.6" customHeight="1" x14ac:dyDescent="0.25">
      <c r="A780" s="24"/>
      <c r="B780" s="24"/>
      <c r="C780" s="25"/>
      <c r="D780" s="25"/>
      <c r="E780" s="25"/>
      <c r="F780" s="25"/>
      <c r="G780" s="26"/>
      <c r="H780" s="27"/>
      <c r="I780" s="24"/>
      <c r="J780" s="24"/>
      <c r="K780" s="28"/>
      <c r="L780" s="29"/>
      <c r="M780" s="29"/>
      <c r="N780" s="29"/>
      <c r="O780" s="27"/>
      <c r="P780" s="30"/>
      <c r="Q780" s="31"/>
      <c r="R780" s="31"/>
      <c r="S780" s="32"/>
      <c r="T780" s="32"/>
      <c r="U780" s="32"/>
      <c r="V780" s="32"/>
      <c r="W780" s="32"/>
      <c r="X780" s="32"/>
      <c r="Y780" s="32"/>
      <c r="Z780" s="32"/>
      <c r="AA780" s="32"/>
      <c r="AB780" s="32"/>
    </row>
    <row r="781" spans="1:28" ht="15.6" customHeight="1" x14ac:dyDescent="0.25">
      <c r="A781" s="24"/>
      <c r="B781" s="24"/>
      <c r="C781" s="25"/>
      <c r="D781" s="25"/>
      <c r="E781" s="25"/>
      <c r="F781" s="25"/>
      <c r="G781" s="26"/>
      <c r="H781" s="27"/>
      <c r="I781" s="24"/>
      <c r="J781" s="24"/>
      <c r="K781" s="28"/>
      <c r="L781" s="29"/>
      <c r="M781" s="29"/>
      <c r="N781" s="29"/>
      <c r="O781" s="27"/>
      <c r="P781" s="30"/>
      <c r="Q781" s="31"/>
      <c r="R781" s="31"/>
      <c r="S781" s="32"/>
      <c r="T781" s="32"/>
      <c r="U781" s="32"/>
      <c r="V781" s="32"/>
      <c r="W781" s="32"/>
      <c r="X781" s="32"/>
      <c r="Y781" s="32"/>
      <c r="Z781" s="32"/>
      <c r="AA781" s="32"/>
      <c r="AB781" s="32"/>
    </row>
    <row r="782" spans="1:28" ht="15.6" customHeight="1" x14ac:dyDescent="0.25">
      <c r="A782" s="24"/>
      <c r="B782" s="24"/>
      <c r="C782" s="25"/>
      <c r="D782" s="25"/>
      <c r="E782" s="25"/>
      <c r="F782" s="25"/>
      <c r="G782" s="26"/>
      <c r="H782" s="27"/>
      <c r="I782" s="24"/>
      <c r="J782" s="24"/>
      <c r="K782" s="28"/>
      <c r="L782" s="29"/>
      <c r="M782" s="29"/>
      <c r="N782" s="29"/>
      <c r="O782" s="27"/>
      <c r="P782" s="30"/>
      <c r="Q782" s="31"/>
      <c r="R782" s="31"/>
      <c r="S782" s="32"/>
      <c r="T782" s="32"/>
      <c r="U782" s="32"/>
      <c r="V782" s="32"/>
      <c r="W782" s="32"/>
      <c r="X782" s="32"/>
      <c r="Y782" s="32"/>
      <c r="Z782" s="32"/>
      <c r="AA782" s="32"/>
      <c r="AB782" s="32"/>
    </row>
    <row r="783" spans="1:28" ht="15.6" customHeight="1" x14ac:dyDescent="0.25">
      <c r="A783" s="24"/>
      <c r="B783" s="24"/>
      <c r="C783" s="25"/>
      <c r="D783" s="25"/>
      <c r="E783" s="25"/>
      <c r="F783" s="25"/>
      <c r="G783" s="26"/>
      <c r="H783" s="27"/>
      <c r="I783" s="24"/>
      <c r="J783" s="24"/>
      <c r="K783" s="28"/>
      <c r="L783" s="29"/>
      <c r="M783" s="29"/>
      <c r="N783" s="29"/>
      <c r="O783" s="27"/>
      <c r="P783" s="30"/>
      <c r="Q783" s="31"/>
      <c r="R783" s="31"/>
      <c r="S783" s="32"/>
      <c r="T783" s="32"/>
      <c r="U783" s="32"/>
      <c r="V783" s="32"/>
      <c r="W783" s="32"/>
      <c r="X783" s="32"/>
      <c r="Y783" s="32"/>
      <c r="Z783" s="32"/>
      <c r="AA783" s="32"/>
      <c r="AB783" s="32"/>
    </row>
    <row r="784" spans="1:28" ht="15.6" customHeight="1" x14ac:dyDescent="0.25">
      <c r="A784" s="24"/>
      <c r="B784" s="24"/>
      <c r="C784" s="25"/>
      <c r="D784" s="25"/>
      <c r="E784" s="25"/>
      <c r="F784" s="25"/>
      <c r="G784" s="26"/>
      <c r="H784" s="27"/>
      <c r="I784" s="24"/>
      <c r="J784" s="24"/>
      <c r="K784" s="28"/>
      <c r="L784" s="29"/>
      <c r="M784" s="29"/>
      <c r="N784" s="29"/>
      <c r="O784" s="27"/>
      <c r="P784" s="30"/>
      <c r="Q784" s="31"/>
      <c r="R784" s="31"/>
      <c r="S784" s="32"/>
      <c r="T784" s="32"/>
      <c r="U784" s="32"/>
      <c r="V784" s="32"/>
      <c r="W784" s="32"/>
      <c r="X784" s="32"/>
      <c r="Y784" s="32"/>
      <c r="Z784" s="32"/>
      <c r="AA784" s="32"/>
      <c r="AB784" s="32"/>
    </row>
    <row r="785" spans="1:28" ht="15.6" customHeight="1" x14ac:dyDescent="0.25">
      <c r="A785" s="24"/>
      <c r="B785" s="24"/>
      <c r="C785" s="25"/>
      <c r="D785" s="25"/>
      <c r="E785" s="25"/>
      <c r="F785" s="25"/>
      <c r="G785" s="26"/>
      <c r="H785" s="27"/>
      <c r="I785" s="24"/>
      <c r="J785" s="24"/>
      <c r="K785" s="28"/>
      <c r="L785" s="29"/>
      <c r="M785" s="29"/>
      <c r="N785" s="29"/>
      <c r="O785" s="27"/>
      <c r="P785" s="30"/>
      <c r="Q785" s="31"/>
      <c r="R785" s="31"/>
      <c r="S785" s="32"/>
      <c r="T785" s="32"/>
      <c r="U785" s="32"/>
      <c r="V785" s="32"/>
      <c r="W785" s="32"/>
      <c r="X785" s="32"/>
      <c r="Y785" s="32"/>
      <c r="Z785" s="32"/>
      <c r="AA785" s="32"/>
      <c r="AB785" s="32"/>
    </row>
    <row r="786" spans="1:28" ht="15.6" customHeight="1" x14ac:dyDescent="0.25">
      <c r="A786" s="24"/>
      <c r="B786" s="24"/>
      <c r="C786" s="25"/>
      <c r="D786" s="25"/>
      <c r="E786" s="25"/>
      <c r="F786" s="25"/>
      <c r="G786" s="26"/>
      <c r="H786" s="27"/>
      <c r="I786" s="24"/>
      <c r="J786" s="24"/>
      <c r="K786" s="28"/>
      <c r="L786" s="29"/>
      <c r="M786" s="29"/>
      <c r="N786" s="29"/>
      <c r="O786" s="27"/>
      <c r="P786" s="30"/>
      <c r="Q786" s="31"/>
      <c r="R786" s="31"/>
      <c r="S786" s="32"/>
      <c r="T786" s="32"/>
      <c r="U786" s="32"/>
      <c r="V786" s="32"/>
      <c r="W786" s="32"/>
      <c r="X786" s="32"/>
      <c r="Y786" s="32"/>
      <c r="Z786" s="32"/>
      <c r="AA786" s="32"/>
      <c r="AB786" s="32"/>
    </row>
    <row r="787" spans="1:28" ht="15.6" customHeight="1" x14ac:dyDescent="0.25">
      <c r="A787" s="24"/>
      <c r="B787" s="24"/>
      <c r="C787" s="25"/>
      <c r="D787" s="25"/>
      <c r="E787" s="25"/>
      <c r="F787" s="25"/>
      <c r="G787" s="26"/>
      <c r="H787" s="27"/>
      <c r="I787" s="24"/>
      <c r="J787" s="24"/>
      <c r="K787" s="28"/>
      <c r="L787" s="29"/>
      <c r="M787" s="29"/>
      <c r="N787" s="29"/>
      <c r="O787" s="27"/>
      <c r="P787" s="30"/>
      <c r="Q787" s="31"/>
      <c r="R787" s="31"/>
      <c r="S787" s="32"/>
      <c r="T787" s="32"/>
      <c r="U787" s="32"/>
      <c r="V787" s="32"/>
      <c r="W787" s="32"/>
      <c r="X787" s="32"/>
      <c r="Y787" s="32"/>
      <c r="Z787" s="32"/>
      <c r="AA787" s="32"/>
      <c r="AB787" s="32"/>
    </row>
    <row r="788" spans="1:28" ht="15.6" customHeight="1" x14ac:dyDescent="0.25">
      <c r="A788" s="24"/>
      <c r="B788" s="24"/>
      <c r="C788" s="25"/>
      <c r="D788" s="25"/>
      <c r="E788" s="25"/>
      <c r="F788" s="25"/>
      <c r="G788" s="26"/>
      <c r="H788" s="27"/>
      <c r="I788" s="24"/>
      <c r="J788" s="24"/>
      <c r="K788" s="28"/>
      <c r="L788" s="29"/>
      <c r="M788" s="29"/>
      <c r="N788" s="29"/>
      <c r="O788" s="27"/>
      <c r="P788" s="30"/>
      <c r="Q788" s="31"/>
      <c r="R788" s="31"/>
      <c r="S788" s="32"/>
      <c r="T788" s="32"/>
      <c r="U788" s="32"/>
      <c r="V788" s="32"/>
      <c r="W788" s="32"/>
      <c r="X788" s="32"/>
      <c r="Y788" s="32"/>
      <c r="Z788" s="32"/>
      <c r="AA788" s="32"/>
      <c r="AB788" s="32"/>
    </row>
    <row r="789" spans="1:28" ht="15.6" customHeight="1" x14ac:dyDescent="0.25">
      <c r="A789" s="24"/>
      <c r="B789" s="24"/>
      <c r="C789" s="25"/>
      <c r="D789" s="25"/>
      <c r="E789" s="25"/>
      <c r="F789" s="25"/>
      <c r="G789" s="26"/>
      <c r="H789" s="27"/>
      <c r="I789" s="24"/>
      <c r="J789" s="24"/>
      <c r="K789" s="28"/>
      <c r="L789" s="29"/>
      <c r="M789" s="29"/>
      <c r="N789" s="29"/>
      <c r="O789" s="27"/>
      <c r="P789" s="30"/>
      <c r="Q789" s="31"/>
      <c r="R789" s="31"/>
      <c r="S789" s="32"/>
      <c r="T789" s="32"/>
      <c r="U789" s="32"/>
      <c r="V789" s="32"/>
      <c r="W789" s="32"/>
      <c r="X789" s="32"/>
      <c r="Y789" s="32"/>
      <c r="Z789" s="32"/>
      <c r="AA789" s="32"/>
      <c r="AB789" s="32"/>
    </row>
    <row r="790" spans="1:28" ht="15.6" customHeight="1" x14ac:dyDescent="0.25">
      <c r="A790" s="24"/>
      <c r="B790" s="24"/>
      <c r="C790" s="25"/>
      <c r="D790" s="25"/>
      <c r="E790" s="25"/>
      <c r="F790" s="25"/>
      <c r="G790" s="26"/>
      <c r="H790" s="27"/>
      <c r="I790" s="24"/>
      <c r="J790" s="24"/>
      <c r="K790" s="28"/>
      <c r="L790" s="29"/>
      <c r="M790" s="29"/>
      <c r="N790" s="29"/>
      <c r="O790" s="27"/>
      <c r="P790" s="30"/>
      <c r="Q790" s="31"/>
      <c r="R790" s="31"/>
      <c r="S790" s="32"/>
      <c r="T790" s="32"/>
      <c r="U790" s="32"/>
      <c r="V790" s="32"/>
      <c r="W790" s="32"/>
      <c r="X790" s="32"/>
      <c r="Y790" s="32"/>
      <c r="Z790" s="32"/>
      <c r="AA790" s="32"/>
      <c r="AB790" s="32"/>
    </row>
    <row r="791" spans="1:28" ht="15.6" customHeight="1" x14ac:dyDescent="0.25">
      <c r="A791" s="24"/>
      <c r="B791" s="24"/>
      <c r="C791" s="25"/>
      <c r="D791" s="25"/>
      <c r="E791" s="25"/>
      <c r="F791" s="25"/>
      <c r="G791" s="26"/>
      <c r="H791" s="27"/>
      <c r="I791" s="24"/>
      <c r="J791" s="24"/>
      <c r="K791" s="28"/>
      <c r="L791" s="29"/>
      <c r="M791" s="29"/>
      <c r="N791" s="29"/>
      <c r="O791" s="27"/>
      <c r="P791" s="30"/>
      <c r="Q791" s="31"/>
      <c r="R791" s="31"/>
      <c r="S791" s="32"/>
      <c r="T791" s="32"/>
      <c r="U791" s="32"/>
      <c r="V791" s="32"/>
      <c r="W791" s="32"/>
      <c r="X791" s="32"/>
      <c r="Y791" s="32"/>
      <c r="Z791" s="32"/>
      <c r="AA791" s="32"/>
      <c r="AB791" s="32"/>
    </row>
    <row r="792" spans="1:28" ht="15.6" customHeight="1" x14ac:dyDescent="0.25">
      <c r="A792" s="24"/>
      <c r="B792" s="24"/>
      <c r="C792" s="25"/>
      <c r="D792" s="25"/>
      <c r="E792" s="25"/>
      <c r="F792" s="25"/>
      <c r="G792" s="26"/>
      <c r="H792" s="27"/>
      <c r="I792" s="24"/>
      <c r="J792" s="24"/>
      <c r="K792" s="28"/>
      <c r="L792" s="29"/>
      <c r="M792" s="29"/>
      <c r="N792" s="29"/>
      <c r="O792" s="27"/>
      <c r="P792" s="30"/>
      <c r="Q792" s="31"/>
      <c r="R792" s="31"/>
      <c r="S792" s="32"/>
      <c r="T792" s="32"/>
      <c r="U792" s="32"/>
      <c r="V792" s="32"/>
      <c r="W792" s="32"/>
      <c r="X792" s="32"/>
      <c r="Y792" s="32"/>
      <c r="Z792" s="32"/>
      <c r="AA792" s="32"/>
      <c r="AB792" s="32"/>
    </row>
    <row r="793" spans="1:28" ht="15.6" customHeight="1" x14ac:dyDescent="0.25">
      <c r="A793" s="24"/>
      <c r="B793" s="24"/>
      <c r="C793" s="25"/>
      <c r="D793" s="25"/>
      <c r="E793" s="25"/>
      <c r="F793" s="25"/>
      <c r="G793" s="26"/>
      <c r="H793" s="27"/>
      <c r="I793" s="24"/>
      <c r="J793" s="24"/>
      <c r="K793" s="28"/>
      <c r="L793" s="29"/>
      <c r="M793" s="29"/>
      <c r="N793" s="29"/>
      <c r="O793" s="27"/>
      <c r="P793" s="30"/>
      <c r="Q793" s="31"/>
      <c r="R793" s="31"/>
      <c r="S793" s="32"/>
      <c r="T793" s="32"/>
      <c r="U793" s="32"/>
      <c r="V793" s="32"/>
      <c r="W793" s="32"/>
      <c r="X793" s="32"/>
      <c r="Y793" s="32"/>
      <c r="Z793" s="32"/>
      <c r="AA793" s="32"/>
      <c r="AB793" s="32"/>
    </row>
    <row r="794" spans="1:28" ht="15.6" customHeight="1" x14ac:dyDescent="0.25">
      <c r="A794" s="24"/>
      <c r="B794" s="24"/>
      <c r="C794" s="25"/>
      <c r="D794" s="25"/>
      <c r="E794" s="25"/>
      <c r="F794" s="25"/>
      <c r="G794" s="26"/>
      <c r="H794" s="27"/>
      <c r="I794" s="24"/>
      <c r="J794" s="24"/>
      <c r="K794" s="28"/>
      <c r="L794" s="29"/>
      <c r="M794" s="29"/>
      <c r="N794" s="29"/>
      <c r="O794" s="27"/>
      <c r="P794" s="30"/>
      <c r="Q794" s="31"/>
      <c r="R794" s="31"/>
      <c r="S794" s="32"/>
      <c r="T794" s="32"/>
      <c r="U794" s="32"/>
      <c r="V794" s="32"/>
      <c r="W794" s="32"/>
      <c r="X794" s="32"/>
      <c r="Y794" s="32"/>
      <c r="Z794" s="32"/>
      <c r="AA794" s="32"/>
      <c r="AB794" s="32"/>
    </row>
    <row r="795" spans="1:28" ht="15.6" customHeight="1" x14ac:dyDescent="0.25">
      <c r="A795" s="24"/>
      <c r="B795" s="24"/>
      <c r="C795" s="25"/>
      <c r="D795" s="25"/>
      <c r="E795" s="25"/>
      <c r="F795" s="25"/>
      <c r="G795" s="26"/>
      <c r="H795" s="27"/>
      <c r="I795" s="24"/>
      <c r="J795" s="24"/>
      <c r="K795" s="28"/>
      <c r="L795" s="29"/>
      <c r="M795" s="29"/>
      <c r="N795" s="29"/>
      <c r="O795" s="27"/>
      <c r="P795" s="30"/>
      <c r="Q795" s="31"/>
      <c r="R795" s="31"/>
      <c r="S795" s="32"/>
      <c r="T795" s="32"/>
      <c r="U795" s="32"/>
      <c r="V795" s="32"/>
      <c r="W795" s="32"/>
      <c r="X795" s="32"/>
      <c r="Y795" s="32"/>
      <c r="Z795" s="32"/>
      <c r="AA795" s="32"/>
      <c r="AB795" s="32"/>
    </row>
    <row r="796" spans="1:28" ht="15.6" customHeight="1" x14ac:dyDescent="0.25">
      <c r="A796" s="24"/>
      <c r="B796" s="24"/>
      <c r="C796" s="25"/>
      <c r="D796" s="25"/>
      <c r="E796" s="25"/>
      <c r="F796" s="25"/>
      <c r="G796" s="26"/>
      <c r="H796" s="27"/>
      <c r="I796" s="24"/>
      <c r="J796" s="24"/>
      <c r="K796" s="28"/>
      <c r="L796" s="29"/>
      <c r="M796" s="29"/>
      <c r="N796" s="29"/>
      <c r="O796" s="27"/>
      <c r="P796" s="30"/>
      <c r="Q796" s="31"/>
      <c r="R796" s="31"/>
      <c r="S796" s="32"/>
      <c r="T796" s="32"/>
      <c r="U796" s="32"/>
      <c r="V796" s="32"/>
      <c r="W796" s="32"/>
      <c r="X796" s="32"/>
      <c r="Y796" s="32"/>
      <c r="Z796" s="32"/>
      <c r="AA796" s="32"/>
      <c r="AB796" s="32"/>
    </row>
    <row r="797" spans="1:28" ht="15.6" customHeight="1" x14ac:dyDescent="0.25">
      <c r="A797" s="24"/>
      <c r="B797" s="24"/>
      <c r="C797" s="25"/>
      <c r="D797" s="25"/>
      <c r="E797" s="25"/>
      <c r="F797" s="25"/>
      <c r="G797" s="26"/>
      <c r="H797" s="27"/>
      <c r="I797" s="24"/>
      <c r="J797" s="24"/>
      <c r="K797" s="28"/>
      <c r="L797" s="29"/>
      <c r="M797" s="29"/>
      <c r="N797" s="29"/>
      <c r="O797" s="27"/>
      <c r="P797" s="30"/>
      <c r="Q797" s="31"/>
      <c r="R797" s="31"/>
      <c r="S797" s="32"/>
      <c r="T797" s="32"/>
      <c r="U797" s="32"/>
      <c r="V797" s="32"/>
      <c r="W797" s="32"/>
      <c r="X797" s="32"/>
      <c r="Y797" s="32"/>
      <c r="Z797" s="32"/>
      <c r="AA797" s="32"/>
      <c r="AB797" s="32"/>
    </row>
    <row r="798" spans="1:28" ht="15.6" customHeight="1" x14ac:dyDescent="0.25">
      <c r="A798" s="24"/>
      <c r="B798" s="24"/>
      <c r="C798" s="25"/>
      <c r="D798" s="25"/>
      <c r="E798" s="25"/>
      <c r="F798" s="25"/>
      <c r="G798" s="26"/>
      <c r="H798" s="27"/>
      <c r="I798" s="24"/>
      <c r="J798" s="24"/>
      <c r="K798" s="28"/>
      <c r="L798" s="29"/>
      <c r="M798" s="29"/>
      <c r="N798" s="29"/>
      <c r="O798" s="27"/>
      <c r="P798" s="30"/>
      <c r="Q798" s="31"/>
      <c r="R798" s="31"/>
      <c r="S798" s="32"/>
      <c r="T798" s="32"/>
      <c r="U798" s="32"/>
      <c r="V798" s="32"/>
      <c r="W798" s="32"/>
      <c r="X798" s="32"/>
      <c r="Y798" s="32"/>
      <c r="Z798" s="32"/>
      <c r="AA798" s="32"/>
      <c r="AB798" s="32"/>
    </row>
    <row r="799" spans="1:28" ht="15.6" customHeight="1" x14ac:dyDescent="0.25">
      <c r="A799" s="24"/>
      <c r="B799" s="24"/>
      <c r="C799" s="25"/>
      <c r="D799" s="25"/>
      <c r="E799" s="25"/>
      <c r="F799" s="25"/>
      <c r="G799" s="26"/>
      <c r="H799" s="27"/>
      <c r="I799" s="24"/>
      <c r="J799" s="24"/>
      <c r="K799" s="28"/>
      <c r="L799" s="29"/>
      <c r="M799" s="29"/>
      <c r="N799" s="29"/>
      <c r="O799" s="27"/>
      <c r="P799" s="30"/>
      <c r="Q799" s="31"/>
      <c r="R799" s="31"/>
      <c r="S799" s="32"/>
      <c r="T799" s="32"/>
      <c r="U799" s="32"/>
      <c r="V799" s="32"/>
      <c r="W799" s="32"/>
      <c r="X799" s="32"/>
      <c r="Y799" s="32"/>
      <c r="Z799" s="32"/>
      <c r="AA799" s="32"/>
      <c r="AB799" s="32"/>
    </row>
    <row r="800" spans="1:28" ht="15.6" customHeight="1" x14ac:dyDescent="0.25">
      <c r="A800" s="24"/>
      <c r="B800" s="24"/>
      <c r="C800" s="25"/>
      <c r="D800" s="25"/>
      <c r="E800" s="25"/>
      <c r="F800" s="25"/>
      <c r="G800" s="26"/>
      <c r="H800" s="27"/>
      <c r="I800" s="24"/>
      <c r="J800" s="24"/>
      <c r="K800" s="28"/>
      <c r="L800" s="29"/>
      <c r="M800" s="29"/>
      <c r="N800" s="29"/>
      <c r="O800" s="27"/>
      <c r="P800" s="30"/>
      <c r="Q800" s="31"/>
      <c r="R800" s="31"/>
      <c r="S800" s="32"/>
      <c r="T800" s="32"/>
      <c r="U800" s="32"/>
      <c r="V800" s="32"/>
      <c r="W800" s="32"/>
      <c r="X800" s="32"/>
      <c r="Y800" s="32"/>
      <c r="Z800" s="32"/>
      <c r="AA800" s="32"/>
      <c r="AB800" s="32"/>
    </row>
    <row r="801" spans="1:28" ht="15.6" customHeight="1" x14ac:dyDescent="0.25">
      <c r="A801" s="24"/>
      <c r="B801" s="24"/>
      <c r="C801" s="25"/>
      <c r="D801" s="25"/>
      <c r="E801" s="25"/>
      <c r="F801" s="25"/>
      <c r="G801" s="26"/>
      <c r="H801" s="27"/>
      <c r="I801" s="24"/>
      <c r="J801" s="24"/>
      <c r="K801" s="28"/>
      <c r="L801" s="29"/>
      <c r="M801" s="29"/>
      <c r="N801" s="29"/>
      <c r="O801" s="27"/>
      <c r="P801" s="30"/>
      <c r="Q801" s="31"/>
      <c r="R801" s="31"/>
      <c r="S801" s="32"/>
      <c r="T801" s="32"/>
      <c r="U801" s="32"/>
      <c r="V801" s="32"/>
      <c r="W801" s="32"/>
      <c r="X801" s="32"/>
      <c r="Y801" s="32"/>
      <c r="Z801" s="32"/>
      <c r="AA801" s="32"/>
      <c r="AB801" s="32"/>
    </row>
    <row r="802" spans="1:28" ht="15.6" customHeight="1" x14ac:dyDescent="0.25">
      <c r="A802" s="24"/>
      <c r="B802" s="24"/>
      <c r="C802" s="25"/>
      <c r="D802" s="25"/>
      <c r="E802" s="25"/>
      <c r="F802" s="25"/>
      <c r="G802" s="26"/>
      <c r="H802" s="27"/>
      <c r="I802" s="24"/>
      <c r="J802" s="24"/>
      <c r="K802" s="28"/>
      <c r="L802" s="29"/>
      <c r="M802" s="29"/>
      <c r="N802" s="29"/>
      <c r="O802" s="27"/>
      <c r="P802" s="30"/>
      <c r="Q802" s="31"/>
      <c r="R802" s="31"/>
      <c r="S802" s="32"/>
      <c r="T802" s="32"/>
      <c r="U802" s="32"/>
      <c r="V802" s="32"/>
      <c r="W802" s="32"/>
      <c r="X802" s="32"/>
      <c r="Y802" s="32"/>
      <c r="Z802" s="32"/>
      <c r="AA802" s="32"/>
      <c r="AB802" s="32"/>
    </row>
    <row r="803" spans="1:28" ht="15.6" customHeight="1" x14ac:dyDescent="0.25">
      <c r="A803" s="24"/>
      <c r="B803" s="24"/>
      <c r="C803" s="25"/>
      <c r="D803" s="25"/>
      <c r="E803" s="25"/>
      <c r="F803" s="25"/>
      <c r="G803" s="26"/>
      <c r="H803" s="27"/>
      <c r="I803" s="24"/>
      <c r="J803" s="24"/>
      <c r="K803" s="28"/>
      <c r="L803" s="29"/>
      <c r="M803" s="29"/>
      <c r="N803" s="29"/>
      <c r="O803" s="27"/>
      <c r="P803" s="30"/>
      <c r="Q803" s="31"/>
      <c r="R803" s="31"/>
      <c r="S803" s="32"/>
      <c r="T803" s="32"/>
      <c r="U803" s="32"/>
      <c r="V803" s="32"/>
      <c r="W803" s="32"/>
      <c r="X803" s="32"/>
      <c r="Y803" s="32"/>
      <c r="Z803" s="32"/>
      <c r="AA803" s="32"/>
      <c r="AB803" s="32"/>
    </row>
    <row r="804" spans="1:28" ht="15.6" customHeight="1" x14ac:dyDescent="0.25">
      <c r="A804" s="24"/>
      <c r="B804" s="24"/>
      <c r="C804" s="25"/>
      <c r="D804" s="25"/>
      <c r="E804" s="25"/>
      <c r="F804" s="25"/>
      <c r="G804" s="26"/>
      <c r="H804" s="27"/>
      <c r="I804" s="24"/>
      <c r="J804" s="24"/>
      <c r="K804" s="28"/>
      <c r="L804" s="29"/>
      <c r="M804" s="29"/>
      <c r="N804" s="29"/>
      <c r="O804" s="27"/>
      <c r="P804" s="30"/>
      <c r="Q804" s="31"/>
      <c r="R804" s="31"/>
      <c r="S804" s="32"/>
      <c r="T804" s="32"/>
      <c r="U804" s="32"/>
      <c r="V804" s="32"/>
      <c r="W804" s="32"/>
      <c r="X804" s="32"/>
      <c r="Y804" s="32"/>
      <c r="Z804" s="32"/>
      <c r="AA804" s="32"/>
      <c r="AB804" s="32"/>
    </row>
    <row r="805" spans="1:28" ht="15.6" customHeight="1" x14ac:dyDescent="0.25">
      <c r="A805" s="24"/>
      <c r="B805" s="24"/>
      <c r="C805" s="25"/>
      <c r="D805" s="25"/>
      <c r="E805" s="25"/>
      <c r="F805" s="25"/>
      <c r="G805" s="26"/>
      <c r="H805" s="27"/>
      <c r="I805" s="24"/>
      <c r="J805" s="24"/>
      <c r="K805" s="28"/>
      <c r="L805" s="29"/>
      <c r="M805" s="29"/>
      <c r="N805" s="29"/>
      <c r="O805" s="27"/>
      <c r="P805" s="30"/>
      <c r="Q805" s="31"/>
      <c r="R805" s="31"/>
      <c r="S805" s="32"/>
      <c r="T805" s="32"/>
      <c r="U805" s="32"/>
      <c r="V805" s="32"/>
      <c r="W805" s="32"/>
      <c r="X805" s="32"/>
      <c r="Y805" s="32"/>
      <c r="Z805" s="32"/>
      <c r="AA805" s="32"/>
      <c r="AB805" s="32"/>
    </row>
    <row r="806" spans="1:28" ht="15.6" customHeight="1" x14ac:dyDescent="0.25">
      <c r="A806" s="24"/>
      <c r="B806" s="24"/>
      <c r="C806" s="25"/>
      <c r="D806" s="25"/>
      <c r="E806" s="25"/>
      <c r="F806" s="25"/>
      <c r="G806" s="26"/>
      <c r="H806" s="27"/>
      <c r="I806" s="24"/>
      <c r="J806" s="24"/>
      <c r="K806" s="28"/>
      <c r="L806" s="29"/>
      <c r="M806" s="29"/>
      <c r="N806" s="29"/>
      <c r="O806" s="27"/>
      <c r="P806" s="30"/>
      <c r="Q806" s="31"/>
      <c r="R806" s="31"/>
      <c r="S806" s="32"/>
      <c r="T806" s="32"/>
      <c r="U806" s="32"/>
      <c r="V806" s="32"/>
      <c r="W806" s="32"/>
      <c r="X806" s="32"/>
      <c r="Y806" s="32"/>
      <c r="Z806" s="32"/>
      <c r="AA806" s="32"/>
      <c r="AB806" s="32"/>
    </row>
    <row r="807" spans="1:28" ht="15.6" customHeight="1" x14ac:dyDescent="0.25">
      <c r="A807" s="24"/>
      <c r="B807" s="24"/>
      <c r="C807" s="25"/>
      <c r="D807" s="25"/>
      <c r="E807" s="25"/>
      <c r="F807" s="25"/>
      <c r="G807" s="26"/>
      <c r="H807" s="27"/>
      <c r="I807" s="24"/>
      <c r="J807" s="24"/>
      <c r="K807" s="28"/>
      <c r="L807" s="29"/>
      <c r="M807" s="29"/>
      <c r="N807" s="29"/>
      <c r="O807" s="27"/>
      <c r="P807" s="30"/>
      <c r="Q807" s="31"/>
      <c r="R807" s="31"/>
      <c r="S807" s="32"/>
      <c r="T807" s="32"/>
      <c r="U807" s="32"/>
      <c r="V807" s="32"/>
      <c r="W807" s="32"/>
      <c r="X807" s="32"/>
      <c r="Y807" s="32"/>
      <c r="Z807" s="32"/>
      <c r="AA807" s="32"/>
      <c r="AB807" s="32"/>
    </row>
    <row r="808" spans="1:28" ht="15.6" customHeight="1" x14ac:dyDescent="0.25">
      <c r="A808" s="24"/>
      <c r="B808" s="24"/>
      <c r="C808" s="25"/>
      <c r="D808" s="25"/>
      <c r="E808" s="25"/>
      <c r="F808" s="25"/>
      <c r="G808" s="26"/>
      <c r="H808" s="27"/>
      <c r="I808" s="24"/>
      <c r="J808" s="24"/>
      <c r="K808" s="28"/>
      <c r="L808" s="29"/>
      <c r="M808" s="29"/>
      <c r="N808" s="29"/>
      <c r="O808" s="27"/>
      <c r="P808" s="30"/>
      <c r="Q808" s="31"/>
      <c r="R808" s="31"/>
      <c r="S808" s="32"/>
      <c r="T808" s="32"/>
      <c r="U808" s="32"/>
      <c r="V808" s="32"/>
      <c r="W808" s="32"/>
      <c r="X808" s="32"/>
      <c r="Y808" s="32"/>
      <c r="Z808" s="32"/>
      <c r="AA808" s="32"/>
      <c r="AB808" s="32"/>
    </row>
    <row r="809" spans="1:28" ht="15.6" customHeight="1" x14ac:dyDescent="0.25">
      <c r="A809" s="24"/>
      <c r="B809" s="24"/>
      <c r="C809" s="25"/>
      <c r="D809" s="25"/>
      <c r="E809" s="25"/>
      <c r="F809" s="25"/>
      <c r="G809" s="26"/>
      <c r="H809" s="27"/>
      <c r="I809" s="24"/>
      <c r="J809" s="24"/>
      <c r="K809" s="28"/>
      <c r="L809" s="29"/>
      <c r="M809" s="29"/>
      <c r="N809" s="29"/>
      <c r="O809" s="27"/>
      <c r="P809" s="30"/>
      <c r="Q809" s="31"/>
      <c r="R809" s="31"/>
      <c r="S809" s="32"/>
      <c r="T809" s="32"/>
      <c r="U809" s="32"/>
      <c r="V809" s="32"/>
      <c r="W809" s="32"/>
      <c r="X809" s="32"/>
      <c r="Y809" s="32"/>
      <c r="Z809" s="32"/>
      <c r="AA809" s="32"/>
      <c r="AB809" s="32"/>
    </row>
    <row r="810" spans="1:28" ht="15.6" customHeight="1" x14ac:dyDescent="0.25">
      <c r="A810" s="24"/>
      <c r="B810" s="24"/>
      <c r="C810" s="25"/>
      <c r="D810" s="25"/>
      <c r="E810" s="25"/>
      <c r="F810" s="25"/>
      <c r="G810" s="26"/>
      <c r="H810" s="27"/>
      <c r="I810" s="24"/>
      <c r="J810" s="24"/>
      <c r="K810" s="28"/>
      <c r="L810" s="29"/>
      <c r="M810" s="29"/>
      <c r="N810" s="29"/>
      <c r="O810" s="27"/>
      <c r="P810" s="30"/>
      <c r="Q810" s="31"/>
      <c r="R810" s="31"/>
      <c r="S810" s="32"/>
      <c r="T810" s="32"/>
      <c r="U810" s="32"/>
      <c r="V810" s="32"/>
      <c r="W810" s="32"/>
      <c r="X810" s="32"/>
      <c r="Y810" s="32"/>
      <c r="Z810" s="32"/>
      <c r="AA810" s="32"/>
      <c r="AB810" s="32"/>
    </row>
    <row r="811" spans="1:28" ht="15.6" customHeight="1" x14ac:dyDescent="0.25">
      <c r="A811" s="24"/>
      <c r="B811" s="24"/>
      <c r="C811" s="25"/>
      <c r="D811" s="25"/>
      <c r="E811" s="25"/>
      <c r="F811" s="25"/>
      <c r="G811" s="26"/>
      <c r="H811" s="27"/>
      <c r="I811" s="24"/>
      <c r="J811" s="24"/>
      <c r="K811" s="28"/>
      <c r="L811" s="29"/>
      <c r="M811" s="29"/>
      <c r="N811" s="29"/>
      <c r="O811" s="27"/>
      <c r="P811" s="30"/>
      <c r="Q811" s="31"/>
      <c r="R811" s="31"/>
      <c r="S811" s="32"/>
      <c r="T811" s="32"/>
      <c r="U811" s="32"/>
      <c r="V811" s="32"/>
      <c r="W811" s="32"/>
      <c r="X811" s="32"/>
      <c r="Y811" s="32"/>
      <c r="Z811" s="32"/>
      <c r="AA811" s="32"/>
      <c r="AB811" s="32"/>
    </row>
    <row r="812" spans="1:28" ht="15.6" customHeight="1" x14ac:dyDescent="0.25">
      <c r="A812" s="24"/>
      <c r="B812" s="24"/>
      <c r="C812" s="25"/>
      <c r="D812" s="25"/>
      <c r="E812" s="25"/>
      <c r="F812" s="25"/>
      <c r="G812" s="26"/>
      <c r="H812" s="27"/>
      <c r="I812" s="24"/>
      <c r="J812" s="24"/>
      <c r="K812" s="28"/>
      <c r="L812" s="29"/>
      <c r="M812" s="29"/>
      <c r="N812" s="29"/>
      <c r="O812" s="27"/>
      <c r="P812" s="30"/>
      <c r="Q812" s="31"/>
      <c r="R812" s="31"/>
      <c r="S812" s="32"/>
      <c r="T812" s="32"/>
      <c r="U812" s="32"/>
      <c r="V812" s="32"/>
      <c r="W812" s="32"/>
      <c r="X812" s="32"/>
      <c r="Y812" s="32"/>
      <c r="Z812" s="32"/>
      <c r="AA812" s="32"/>
      <c r="AB812" s="32"/>
    </row>
    <row r="813" spans="1:28" ht="15.6" customHeight="1" x14ac:dyDescent="0.25">
      <c r="A813" s="24"/>
      <c r="B813" s="24"/>
      <c r="C813" s="25"/>
      <c r="D813" s="25"/>
      <c r="E813" s="25"/>
      <c r="F813" s="25"/>
      <c r="G813" s="26"/>
      <c r="H813" s="27"/>
      <c r="I813" s="24"/>
      <c r="J813" s="24"/>
      <c r="K813" s="28"/>
      <c r="L813" s="29"/>
      <c r="M813" s="29"/>
      <c r="N813" s="29"/>
      <c r="O813" s="27"/>
      <c r="P813" s="30"/>
      <c r="Q813" s="31"/>
      <c r="R813" s="31"/>
      <c r="S813" s="32"/>
      <c r="T813" s="32"/>
      <c r="U813" s="32"/>
      <c r="V813" s="32"/>
      <c r="W813" s="32"/>
      <c r="X813" s="32"/>
      <c r="Y813" s="32"/>
      <c r="Z813" s="32"/>
      <c r="AA813" s="32"/>
      <c r="AB813" s="32"/>
    </row>
    <row r="814" spans="1:28" ht="15.6" customHeight="1" x14ac:dyDescent="0.25">
      <c r="A814" s="24"/>
      <c r="B814" s="24"/>
      <c r="C814" s="25"/>
      <c r="D814" s="25"/>
      <c r="E814" s="25"/>
      <c r="F814" s="25"/>
      <c r="G814" s="26"/>
      <c r="H814" s="27"/>
      <c r="I814" s="24"/>
      <c r="J814" s="24"/>
      <c r="K814" s="28"/>
      <c r="L814" s="29"/>
      <c r="M814" s="29"/>
      <c r="N814" s="29"/>
      <c r="O814" s="27"/>
      <c r="P814" s="30"/>
      <c r="Q814" s="31"/>
      <c r="R814" s="31"/>
      <c r="S814" s="32"/>
      <c r="T814" s="32"/>
      <c r="U814" s="32"/>
      <c r="V814" s="32"/>
      <c r="W814" s="32"/>
      <c r="X814" s="32"/>
      <c r="Y814" s="32"/>
      <c r="Z814" s="32"/>
      <c r="AA814" s="32"/>
      <c r="AB814" s="32"/>
    </row>
    <row r="815" spans="1:28" ht="15.6" customHeight="1" x14ac:dyDescent="0.25">
      <c r="A815" s="24"/>
      <c r="B815" s="24"/>
      <c r="C815" s="25"/>
      <c r="D815" s="25"/>
      <c r="E815" s="25"/>
      <c r="F815" s="25"/>
      <c r="G815" s="26"/>
      <c r="H815" s="27"/>
      <c r="I815" s="24"/>
      <c r="J815" s="24"/>
      <c r="K815" s="28"/>
      <c r="L815" s="29"/>
      <c r="M815" s="29"/>
      <c r="N815" s="29"/>
      <c r="O815" s="27"/>
      <c r="P815" s="30"/>
      <c r="Q815" s="31"/>
      <c r="R815" s="31"/>
      <c r="S815" s="32"/>
      <c r="T815" s="32"/>
      <c r="U815" s="32"/>
      <c r="V815" s="32"/>
      <c r="W815" s="32"/>
      <c r="X815" s="32"/>
      <c r="Y815" s="32"/>
      <c r="Z815" s="32"/>
      <c r="AA815" s="32"/>
      <c r="AB815" s="32"/>
    </row>
    <row r="816" spans="1:28" ht="15.6" customHeight="1" x14ac:dyDescent="0.25">
      <c r="A816" s="24"/>
      <c r="B816" s="24"/>
      <c r="C816" s="25"/>
      <c r="D816" s="25"/>
      <c r="E816" s="25"/>
      <c r="F816" s="25"/>
      <c r="G816" s="26"/>
      <c r="H816" s="27"/>
      <c r="I816" s="24"/>
      <c r="J816" s="24"/>
      <c r="K816" s="28"/>
      <c r="L816" s="29"/>
      <c r="M816" s="29"/>
      <c r="N816" s="29"/>
      <c r="O816" s="27"/>
      <c r="P816" s="30"/>
      <c r="Q816" s="31"/>
      <c r="R816" s="31"/>
      <c r="S816" s="32"/>
      <c r="T816" s="32"/>
      <c r="U816" s="32"/>
      <c r="V816" s="32"/>
      <c r="W816" s="32"/>
      <c r="X816" s="32"/>
      <c r="Y816" s="32"/>
      <c r="Z816" s="32"/>
      <c r="AA816" s="32"/>
      <c r="AB816" s="32"/>
    </row>
    <row r="817" spans="1:28" ht="15.6" customHeight="1" x14ac:dyDescent="0.25">
      <c r="A817" s="24"/>
      <c r="B817" s="24"/>
      <c r="C817" s="25"/>
      <c r="D817" s="25"/>
      <c r="E817" s="25"/>
      <c r="F817" s="25"/>
      <c r="G817" s="26"/>
      <c r="H817" s="27"/>
      <c r="I817" s="24"/>
      <c r="J817" s="24"/>
      <c r="K817" s="28"/>
      <c r="L817" s="29"/>
      <c r="M817" s="29"/>
      <c r="N817" s="29"/>
      <c r="O817" s="27"/>
      <c r="P817" s="30"/>
      <c r="Q817" s="31"/>
      <c r="R817" s="31"/>
      <c r="S817" s="32"/>
      <c r="T817" s="32"/>
      <c r="U817" s="32"/>
      <c r="V817" s="32"/>
      <c r="W817" s="32"/>
      <c r="X817" s="32"/>
      <c r="Y817" s="32"/>
      <c r="Z817" s="32"/>
      <c r="AA817" s="32"/>
      <c r="AB817" s="32"/>
    </row>
    <row r="818" spans="1:28" ht="15.6" customHeight="1" x14ac:dyDescent="0.25">
      <c r="A818" s="24"/>
      <c r="B818" s="24"/>
      <c r="C818" s="25"/>
      <c r="D818" s="25"/>
      <c r="E818" s="25"/>
      <c r="F818" s="25"/>
      <c r="G818" s="26"/>
      <c r="H818" s="27"/>
      <c r="I818" s="24"/>
      <c r="J818" s="24"/>
      <c r="K818" s="28"/>
      <c r="L818" s="29"/>
      <c r="M818" s="29"/>
      <c r="N818" s="29"/>
      <c r="O818" s="27"/>
      <c r="P818" s="30"/>
      <c r="Q818" s="31"/>
      <c r="R818" s="31"/>
      <c r="S818" s="32"/>
      <c r="T818" s="32"/>
      <c r="U818" s="32"/>
      <c r="V818" s="32"/>
      <c r="W818" s="32"/>
      <c r="X818" s="32"/>
      <c r="Y818" s="32"/>
      <c r="Z818" s="32"/>
      <c r="AA818" s="32"/>
      <c r="AB818" s="32"/>
    </row>
    <row r="819" spans="1:28" ht="15.6" customHeight="1" x14ac:dyDescent="0.25">
      <c r="A819" s="24"/>
      <c r="B819" s="24"/>
      <c r="C819" s="25"/>
      <c r="D819" s="25"/>
      <c r="E819" s="25"/>
      <c r="F819" s="25"/>
      <c r="G819" s="26"/>
      <c r="H819" s="27"/>
      <c r="I819" s="24"/>
      <c r="J819" s="24"/>
      <c r="K819" s="28"/>
      <c r="L819" s="29"/>
      <c r="M819" s="29"/>
      <c r="N819" s="29"/>
      <c r="O819" s="27"/>
      <c r="P819" s="30"/>
      <c r="Q819" s="31"/>
      <c r="R819" s="31"/>
      <c r="S819" s="32"/>
      <c r="T819" s="32"/>
      <c r="U819" s="32"/>
      <c r="V819" s="32"/>
      <c r="W819" s="32"/>
      <c r="X819" s="32"/>
      <c r="Y819" s="32"/>
      <c r="Z819" s="32"/>
      <c r="AA819" s="32"/>
      <c r="AB819" s="32"/>
    </row>
    <row r="820" spans="1:28" ht="15.6" customHeight="1" x14ac:dyDescent="0.25">
      <c r="A820" s="24"/>
      <c r="B820" s="24"/>
      <c r="C820" s="25"/>
      <c r="D820" s="25"/>
      <c r="E820" s="25"/>
      <c r="F820" s="25"/>
      <c r="G820" s="26"/>
      <c r="H820" s="27"/>
      <c r="I820" s="24"/>
      <c r="J820" s="24"/>
      <c r="K820" s="28"/>
      <c r="L820" s="29"/>
      <c r="M820" s="29"/>
      <c r="N820" s="29"/>
      <c r="O820" s="27"/>
      <c r="P820" s="30"/>
      <c r="Q820" s="31"/>
      <c r="R820" s="31"/>
      <c r="S820" s="32"/>
      <c r="T820" s="32"/>
      <c r="U820" s="32"/>
      <c r="V820" s="32"/>
      <c r="W820" s="32"/>
      <c r="X820" s="32"/>
      <c r="Y820" s="32"/>
      <c r="Z820" s="32"/>
      <c r="AA820" s="32"/>
      <c r="AB820" s="32"/>
    </row>
    <row r="821" spans="1:28" ht="15.6" customHeight="1" x14ac:dyDescent="0.25">
      <c r="A821" s="24"/>
      <c r="B821" s="24"/>
      <c r="C821" s="25"/>
      <c r="D821" s="25"/>
      <c r="E821" s="25"/>
      <c r="F821" s="25"/>
      <c r="G821" s="26"/>
      <c r="H821" s="27"/>
      <c r="I821" s="24"/>
      <c r="J821" s="24"/>
      <c r="K821" s="28"/>
      <c r="L821" s="29"/>
      <c r="M821" s="29"/>
      <c r="N821" s="29"/>
      <c r="O821" s="27"/>
      <c r="P821" s="30"/>
      <c r="Q821" s="31"/>
      <c r="R821" s="31"/>
      <c r="S821" s="32"/>
      <c r="T821" s="32"/>
      <c r="U821" s="32"/>
      <c r="V821" s="32"/>
      <c r="W821" s="32"/>
      <c r="X821" s="32"/>
      <c r="Y821" s="32"/>
      <c r="Z821" s="32"/>
      <c r="AA821" s="32"/>
      <c r="AB821" s="32"/>
    </row>
    <row r="822" spans="1:28" ht="15.6" customHeight="1" x14ac:dyDescent="0.25">
      <c r="A822" s="24"/>
      <c r="B822" s="24"/>
      <c r="C822" s="25"/>
      <c r="D822" s="25"/>
      <c r="E822" s="25"/>
      <c r="F822" s="25"/>
      <c r="G822" s="26"/>
      <c r="H822" s="27"/>
      <c r="I822" s="24"/>
      <c r="J822" s="24"/>
      <c r="K822" s="28"/>
      <c r="L822" s="29"/>
      <c r="M822" s="29"/>
      <c r="N822" s="29"/>
      <c r="O822" s="27"/>
      <c r="P822" s="30"/>
      <c r="Q822" s="31"/>
      <c r="R822" s="31"/>
      <c r="S822" s="32"/>
      <c r="T822" s="32"/>
      <c r="U822" s="32"/>
      <c r="V822" s="32"/>
      <c r="W822" s="32"/>
      <c r="X822" s="32"/>
      <c r="Y822" s="32"/>
      <c r="Z822" s="32"/>
      <c r="AA822" s="32"/>
      <c r="AB822" s="32"/>
    </row>
    <row r="823" spans="1:28" ht="15.6" customHeight="1" x14ac:dyDescent="0.25">
      <c r="A823" s="24"/>
      <c r="B823" s="24"/>
      <c r="C823" s="25"/>
      <c r="D823" s="25"/>
      <c r="E823" s="25"/>
      <c r="F823" s="25"/>
      <c r="G823" s="26"/>
      <c r="H823" s="27"/>
      <c r="I823" s="24"/>
      <c r="J823" s="24"/>
      <c r="K823" s="28"/>
      <c r="L823" s="29"/>
      <c r="M823" s="29"/>
      <c r="N823" s="29"/>
      <c r="O823" s="27"/>
      <c r="P823" s="30"/>
      <c r="Q823" s="31"/>
      <c r="R823" s="31"/>
      <c r="S823" s="32"/>
      <c r="T823" s="32"/>
      <c r="U823" s="32"/>
      <c r="V823" s="32"/>
      <c r="W823" s="32"/>
      <c r="X823" s="32"/>
      <c r="Y823" s="32"/>
      <c r="Z823" s="32"/>
      <c r="AA823" s="32"/>
      <c r="AB823" s="32"/>
    </row>
    <row r="824" spans="1:28" ht="15.6" customHeight="1" x14ac:dyDescent="0.25">
      <c r="A824" s="24"/>
      <c r="B824" s="24"/>
      <c r="C824" s="25"/>
      <c r="D824" s="25"/>
      <c r="E824" s="25"/>
      <c r="F824" s="25"/>
      <c r="G824" s="26"/>
      <c r="H824" s="27"/>
      <c r="I824" s="24"/>
      <c r="J824" s="24"/>
      <c r="K824" s="28"/>
      <c r="L824" s="29"/>
      <c r="M824" s="29"/>
      <c r="N824" s="29"/>
      <c r="O824" s="27"/>
      <c r="P824" s="30"/>
      <c r="Q824" s="31"/>
      <c r="R824" s="31"/>
      <c r="S824" s="32"/>
      <c r="T824" s="32"/>
      <c r="U824" s="32"/>
      <c r="V824" s="32"/>
      <c r="W824" s="32"/>
      <c r="X824" s="32"/>
      <c r="Y824" s="32"/>
      <c r="Z824" s="32"/>
      <c r="AA824" s="32"/>
      <c r="AB824" s="32"/>
    </row>
    <row r="825" spans="1:28" ht="15.6" customHeight="1" x14ac:dyDescent="0.25">
      <c r="A825" s="24"/>
      <c r="B825" s="24"/>
      <c r="C825" s="25"/>
      <c r="D825" s="25"/>
      <c r="E825" s="25"/>
      <c r="F825" s="25"/>
      <c r="G825" s="26"/>
      <c r="H825" s="27"/>
      <c r="I825" s="24"/>
      <c r="J825" s="24"/>
      <c r="K825" s="28"/>
      <c r="L825" s="29"/>
      <c r="M825" s="29"/>
      <c r="N825" s="29"/>
      <c r="O825" s="27"/>
      <c r="P825" s="30"/>
      <c r="Q825" s="31"/>
      <c r="R825" s="31"/>
      <c r="S825" s="32"/>
      <c r="T825" s="32"/>
      <c r="U825" s="32"/>
      <c r="V825" s="32"/>
      <c r="W825" s="32"/>
      <c r="X825" s="32"/>
      <c r="Y825" s="32"/>
      <c r="Z825" s="32"/>
      <c r="AA825" s="32"/>
      <c r="AB825" s="32"/>
    </row>
    <row r="826" spans="1:28" ht="15.6" customHeight="1" x14ac:dyDescent="0.25">
      <c r="A826" s="24"/>
      <c r="B826" s="24"/>
      <c r="C826" s="25"/>
      <c r="D826" s="25"/>
      <c r="E826" s="25"/>
      <c r="F826" s="25"/>
      <c r="G826" s="26"/>
      <c r="H826" s="27"/>
      <c r="I826" s="24"/>
      <c r="J826" s="24"/>
      <c r="K826" s="28"/>
      <c r="L826" s="29"/>
      <c r="M826" s="29"/>
      <c r="N826" s="29"/>
      <c r="O826" s="27"/>
      <c r="P826" s="30"/>
      <c r="Q826" s="31"/>
      <c r="R826" s="31"/>
      <c r="S826" s="32"/>
      <c r="T826" s="32"/>
      <c r="U826" s="32"/>
      <c r="V826" s="32"/>
      <c r="W826" s="32"/>
      <c r="X826" s="32"/>
      <c r="Y826" s="32"/>
      <c r="Z826" s="32"/>
      <c r="AA826" s="32"/>
      <c r="AB826" s="32"/>
    </row>
    <row r="827" spans="1:28" ht="15.6" customHeight="1" x14ac:dyDescent="0.25">
      <c r="A827" s="24"/>
      <c r="B827" s="24"/>
      <c r="C827" s="25"/>
      <c r="D827" s="25"/>
      <c r="E827" s="25"/>
      <c r="F827" s="25"/>
      <c r="G827" s="26"/>
      <c r="H827" s="27"/>
      <c r="I827" s="24"/>
      <c r="J827" s="24"/>
      <c r="K827" s="28"/>
      <c r="L827" s="29"/>
      <c r="M827" s="29"/>
      <c r="N827" s="29"/>
      <c r="O827" s="27"/>
      <c r="P827" s="30"/>
      <c r="Q827" s="31"/>
      <c r="R827" s="31"/>
      <c r="S827" s="32"/>
      <c r="T827" s="32"/>
      <c r="U827" s="32"/>
      <c r="V827" s="32"/>
      <c r="W827" s="32"/>
      <c r="X827" s="32"/>
      <c r="Y827" s="32"/>
      <c r="Z827" s="32"/>
      <c r="AA827" s="32"/>
      <c r="AB827" s="32"/>
    </row>
    <row r="828" spans="1:28" ht="15.6" customHeight="1" x14ac:dyDescent="0.25">
      <c r="A828" s="24"/>
      <c r="B828" s="24"/>
      <c r="C828" s="25"/>
      <c r="D828" s="25"/>
      <c r="E828" s="25"/>
      <c r="F828" s="25"/>
      <c r="G828" s="26"/>
      <c r="H828" s="27"/>
      <c r="I828" s="24"/>
      <c r="J828" s="24"/>
      <c r="K828" s="28"/>
      <c r="L828" s="29"/>
      <c r="M828" s="29"/>
      <c r="N828" s="29"/>
      <c r="O828" s="27"/>
      <c r="P828" s="30"/>
      <c r="Q828" s="31"/>
      <c r="R828" s="31"/>
      <c r="S828" s="32"/>
      <c r="T828" s="32"/>
      <c r="U828" s="32"/>
      <c r="V828" s="32"/>
      <c r="W828" s="32"/>
      <c r="X828" s="32"/>
      <c r="Y828" s="32"/>
      <c r="Z828" s="32"/>
      <c r="AA828" s="32"/>
      <c r="AB828" s="32"/>
    </row>
    <row r="829" spans="1:28" ht="15.6" customHeight="1" x14ac:dyDescent="0.25">
      <c r="A829" s="24"/>
      <c r="B829" s="24"/>
      <c r="C829" s="25"/>
      <c r="D829" s="25"/>
      <c r="E829" s="25"/>
      <c r="F829" s="25"/>
      <c r="G829" s="26"/>
      <c r="H829" s="27"/>
      <c r="I829" s="24"/>
      <c r="J829" s="24"/>
      <c r="K829" s="28"/>
      <c r="L829" s="29"/>
      <c r="M829" s="29"/>
      <c r="N829" s="29"/>
      <c r="O829" s="27"/>
      <c r="P829" s="30"/>
      <c r="Q829" s="31"/>
      <c r="R829" s="31"/>
      <c r="S829" s="32"/>
      <c r="T829" s="32"/>
      <c r="U829" s="32"/>
      <c r="V829" s="32"/>
      <c r="W829" s="32"/>
      <c r="X829" s="32"/>
      <c r="Y829" s="32"/>
      <c r="Z829" s="32"/>
      <c r="AA829" s="32"/>
      <c r="AB829" s="32"/>
    </row>
    <row r="830" spans="1:28" ht="15.6" customHeight="1" x14ac:dyDescent="0.25">
      <c r="A830" s="24"/>
      <c r="B830" s="24"/>
      <c r="C830" s="25"/>
      <c r="D830" s="25"/>
      <c r="E830" s="25"/>
      <c r="F830" s="25"/>
      <c r="G830" s="26"/>
      <c r="H830" s="27"/>
      <c r="I830" s="24"/>
      <c r="J830" s="24"/>
      <c r="K830" s="28"/>
      <c r="L830" s="29"/>
      <c r="M830" s="29"/>
      <c r="N830" s="29"/>
      <c r="O830" s="27"/>
      <c r="P830" s="30"/>
      <c r="Q830" s="31"/>
      <c r="R830" s="31"/>
      <c r="S830" s="32"/>
      <c r="T830" s="32"/>
      <c r="U830" s="32"/>
      <c r="V830" s="32"/>
      <c r="W830" s="32"/>
      <c r="X830" s="32"/>
      <c r="Y830" s="32"/>
      <c r="Z830" s="32"/>
      <c r="AA830" s="32"/>
      <c r="AB830" s="32"/>
    </row>
    <row r="831" spans="1:28" ht="15.6" customHeight="1" x14ac:dyDescent="0.25">
      <c r="A831" s="24"/>
      <c r="B831" s="24"/>
      <c r="C831" s="25"/>
      <c r="D831" s="25"/>
      <c r="E831" s="25"/>
      <c r="F831" s="25"/>
      <c r="G831" s="26"/>
      <c r="H831" s="27"/>
      <c r="I831" s="24"/>
      <c r="J831" s="24"/>
      <c r="K831" s="28"/>
      <c r="L831" s="29"/>
      <c r="M831" s="29"/>
      <c r="N831" s="29"/>
      <c r="O831" s="27"/>
      <c r="P831" s="30"/>
      <c r="Q831" s="31"/>
      <c r="R831" s="31"/>
      <c r="S831" s="32"/>
      <c r="T831" s="32"/>
      <c r="U831" s="32"/>
      <c r="V831" s="32"/>
      <c r="W831" s="32"/>
      <c r="X831" s="32"/>
      <c r="Y831" s="32"/>
      <c r="Z831" s="32"/>
      <c r="AA831" s="32"/>
      <c r="AB831" s="32"/>
    </row>
    <row r="832" spans="1:28" ht="15.6" customHeight="1" x14ac:dyDescent="0.25">
      <c r="A832" s="24"/>
      <c r="B832" s="24"/>
      <c r="C832" s="25"/>
      <c r="D832" s="25"/>
      <c r="E832" s="25"/>
      <c r="F832" s="25"/>
      <c r="G832" s="26"/>
      <c r="H832" s="27"/>
      <c r="I832" s="24"/>
      <c r="J832" s="24"/>
      <c r="K832" s="28"/>
      <c r="L832" s="29"/>
      <c r="M832" s="29"/>
      <c r="N832" s="29"/>
      <c r="O832" s="27"/>
      <c r="P832" s="30"/>
      <c r="Q832" s="31"/>
      <c r="R832" s="31"/>
      <c r="S832" s="32"/>
      <c r="T832" s="32"/>
      <c r="U832" s="32"/>
      <c r="V832" s="32"/>
      <c r="W832" s="32"/>
      <c r="X832" s="32"/>
      <c r="Y832" s="32"/>
      <c r="Z832" s="32"/>
      <c r="AA832" s="32"/>
      <c r="AB832" s="32"/>
    </row>
    <row r="833" spans="1:28" ht="15.6" customHeight="1" x14ac:dyDescent="0.25">
      <c r="A833" s="24"/>
      <c r="B833" s="24"/>
      <c r="C833" s="25"/>
      <c r="D833" s="25"/>
      <c r="E833" s="25"/>
      <c r="F833" s="25"/>
      <c r="G833" s="26"/>
      <c r="H833" s="27"/>
      <c r="I833" s="24"/>
      <c r="J833" s="24"/>
      <c r="K833" s="28"/>
      <c r="L833" s="29"/>
      <c r="M833" s="29"/>
      <c r="N833" s="29"/>
      <c r="O833" s="27"/>
      <c r="P833" s="30"/>
      <c r="Q833" s="31"/>
      <c r="R833" s="31"/>
      <c r="S833" s="32"/>
      <c r="T833" s="32"/>
      <c r="U833" s="32"/>
      <c r="V833" s="32"/>
      <c r="W833" s="32"/>
      <c r="X833" s="32"/>
      <c r="Y833" s="32"/>
      <c r="Z833" s="32"/>
      <c r="AA833" s="32"/>
      <c r="AB833" s="32"/>
    </row>
    <row r="834" spans="1:28" ht="15.6" customHeight="1" x14ac:dyDescent="0.25">
      <c r="A834" s="24"/>
      <c r="B834" s="24"/>
      <c r="C834" s="25"/>
      <c r="D834" s="25"/>
      <c r="E834" s="25"/>
      <c r="F834" s="25"/>
      <c r="G834" s="26"/>
      <c r="H834" s="27"/>
      <c r="I834" s="24"/>
      <c r="J834" s="24"/>
      <c r="K834" s="28"/>
      <c r="L834" s="29"/>
      <c r="M834" s="29"/>
      <c r="N834" s="29"/>
      <c r="O834" s="27"/>
      <c r="P834" s="30"/>
      <c r="Q834" s="31"/>
      <c r="R834" s="31"/>
      <c r="S834" s="32"/>
      <c r="T834" s="32"/>
      <c r="U834" s="32"/>
      <c r="V834" s="32"/>
      <c r="W834" s="32"/>
      <c r="X834" s="32"/>
      <c r="Y834" s="32"/>
      <c r="Z834" s="32"/>
      <c r="AA834" s="32"/>
      <c r="AB834" s="32"/>
    </row>
    <row r="835" spans="1:28" ht="15.6" customHeight="1" x14ac:dyDescent="0.25">
      <c r="A835" s="24"/>
      <c r="B835" s="24"/>
      <c r="C835" s="25"/>
      <c r="D835" s="25"/>
      <c r="E835" s="25"/>
      <c r="F835" s="25"/>
      <c r="G835" s="26"/>
      <c r="H835" s="27"/>
      <c r="I835" s="24"/>
      <c r="J835" s="24"/>
      <c r="K835" s="28"/>
      <c r="L835" s="29"/>
      <c r="M835" s="29"/>
      <c r="N835" s="29"/>
      <c r="O835" s="27"/>
      <c r="P835" s="30"/>
      <c r="Q835" s="31"/>
      <c r="R835" s="31"/>
      <c r="S835" s="32"/>
      <c r="T835" s="32"/>
      <c r="U835" s="32"/>
      <c r="V835" s="32"/>
      <c r="W835" s="32"/>
      <c r="X835" s="32"/>
      <c r="Y835" s="32"/>
      <c r="Z835" s="32"/>
      <c r="AA835" s="32"/>
      <c r="AB835" s="32"/>
    </row>
    <row r="836" spans="1:28" ht="15.6" customHeight="1" x14ac:dyDescent="0.25">
      <c r="A836" s="24"/>
      <c r="B836" s="24"/>
      <c r="C836" s="25"/>
      <c r="D836" s="25"/>
      <c r="E836" s="25"/>
      <c r="F836" s="25"/>
      <c r="G836" s="26"/>
      <c r="H836" s="27"/>
      <c r="I836" s="24"/>
      <c r="J836" s="24"/>
      <c r="K836" s="28"/>
      <c r="L836" s="29"/>
      <c r="M836" s="29"/>
      <c r="N836" s="29"/>
      <c r="O836" s="27"/>
      <c r="P836" s="30"/>
      <c r="Q836" s="31"/>
      <c r="R836" s="31"/>
      <c r="S836" s="32"/>
      <c r="T836" s="32"/>
      <c r="U836" s="32"/>
      <c r="V836" s="32"/>
      <c r="W836" s="32"/>
      <c r="X836" s="32"/>
      <c r="Y836" s="32"/>
      <c r="Z836" s="32"/>
      <c r="AA836" s="32"/>
      <c r="AB836" s="32"/>
    </row>
    <row r="837" spans="1:28" ht="15.6" customHeight="1" x14ac:dyDescent="0.25">
      <c r="A837" s="24"/>
      <c r="B837" s="24"/>
      <c r="C837" s="25"/>
      <c r="D837" s="25"/>
      <c r="E837" s="25"/>
      <c r="F837" s="25"/>
      <c r="G837" s="26"/>
      <c r="H837" s="27"/>
      <c r="I837" s="24"/>
      <c r="J837" s="24"/>
      <c r="K837" s="28"/>
      <c r="L837" s="29"/>
      <c r="M837" s="29"/>
      <c r="N837" s="29"/>
      <c r="O837" s="27"/>
      <c r="P837" s="30"/>
      <c r="Q837" s="31"/>
      <c r="R837" s="31"/>
      <c r="S837" s="32"/>
      <c r="T837" s="32"/>
      <c r="U837" s="32"/>
      <c r="V837" s="32"/>
      <c r="W837" s="32"/>
      <c r="X837" s="32"/>
      <c r="Y837" s="32"/>
      <c r="Z837" s="32"/>
      <c r="AA837" s="32"/>
      <c r="AB837" s="32"/>
    </row>
    <row r="838" spans="1:28" ht="15.6" customHeight="1" x14ac:dyDescent="0.25">
      <c r="A838" s="24"/>
      <c r="B838" s="24"/>
      <c r="C838" s="25"/>
      <c r="D838" s="25"/>
      <c r="E838" s="25"/>
      <c r="F838" s="25"/>
      <c r="G838" s="26"/>
      <c r="H838" s="27"/>
      <c r="I838" s="24"/>
      <c r="J838" s="24"/>
      <c r="K838" s="28"/>
      <c r="L838" s="29"/>
      <c r="M838" s="29"/>
      <c r="N838" s="29"/>
      <c r="O838" s="27"/>
      <c r="P838" s="30"/>
      <c r="Q838" s="31"/>
      <c r="R838" s="31"/>
      <c r="S838" s="32"/>
      <c r="T838" s="32"/>
      <c r="U838" s="32"/>
      <c r="V838" s="32"/>
      <c r="W838" s="32"/>
      <c r="X838" s="32"/>
      <c r="Y838" s="32"/>
      <c r="Z838" s="32"/>
      <c r="AA838" s="32"/>
      <c r="AB838" s="32"/>
    </row>
    <row r="839" spans="1:28" ht="15.6" customHeight="1" x14ac:dyDescent="0.25">
      <c r="A839" s="24"/>
      <c r="B839" s="24"/>
      <c r="C839" s="25"/>
      <c r="D839" s="25"/>
      <c r="E839" s="25"/>
      <c r="F839" s="25"/>
      <c r="G839" s="26"/>
      <c r="H839" s="27"/>
      <c r="I839" s="24"/>
      <c r="J839" s="24"/>
      <c r="K839" s="28"/>
      <c r="L839" s="29"/>
      <c r="M839" s="29"/>
      <c r="N839" s="29"/>
      <c r="O839" s="27"/>
      <c r="P839" s="30"/>
      <c r="Q839" s="31"/>
      <c r="R839" s="31"/>
      <c r="S839" s="32"/>
      <c r="T839" s="32"/>
      <c r="U839" s="32"/>
      <c r="V839" s="32"/>
      <c r="W839" s="32"/>
      <c r="X839" s="32"/>
      <c r="Y839" s="32"/>
      <c r="Z839" s="32"/>
      <c r="AA839" s="32"/>
      <c r="AB839" s="32"/>
    </row>
    <row r="840" spans="1:28" ht="15.6" customHeight="1" x14ac:dyDescent="0.25">
      <c r="A840" s="24"/>
      <c r="B840" s="24"/>
      <c r="C840" s="25"/>
      <c r="D840" s="25"/>
      <c r="E840" s="25"/>
      <c r="F840" s="25"/>
      <c r="G840" s="26"/>
      <c r="H840" s="27"/>
      <c r="I840" s="24"/>
      <c r="J840" s="24"/>
      <c r="K840" s="28"/>
      <c r="L840" s="29"/>
      <c r="M840" s="29"/>
      <c r="N840" s="29"/>
      <c r="O840" s="27"/>
      <c r="P840" s="30"/>
      <c r="Q840" s="31"/>
      <c r="R840" s="31"/>
      <c r="S840" s="32"/>
      <c r="T840" s="32"/>
      <c r="U840" s="32"/>
      <c r="V840" s="32"/>
      <c r="W840" s="32"/>
      <c r="X840" s="32"/>
      <c r="Y840" s="32"/>
      <c r="Z840" s="32"/>
      <c r="AA840" s="32"/>
      <c r="AB840" s="32"/>
    </row>
    <row r="841" spans="1:28" ht="15.6" customHeight="1" x14ac:dyDescent="0.25">
      <c r="A841" s="24"/>
      <c r="B841" s="24"/>
      <c r="C841" s="25"/>
      <c r="D841" s="25"/>
      <c r="E841" s="25"/>
      <c r="F841" s="25"/>
      <c r="G841" s="26"/>
      <c r="H841" s="27"/>
      <c r="I841" s="24"/>
      <c r="J841" s="24"/>
      <c r="K841" s="28"/>
      <c r="L841" s="29"/>
      <c r="M841" s="29"/>
      <c r="N841" s="29"/>
      <c r="O841" s="27"/>
      <c r="P841" s="30"/>
      <c r="Q841" s="31"/>
      <c r="R841" s="31"/>
      <c r="S841" s="32"/>
      <c r="T841" s="32"/>
      <c r="U841" s="32"/>
      <c r="V841" s="32"/>
      <c r="W841" s="32"/>
      <c r="X841" s="32"/>
      <c r="Y841" s="32"/>
      <c r="Z841" s="32"/>
      <c r="AA841" s="32"/>
      <c r="AB841" s="32"/>
    </row>
    <row r="842" spans="1:28" ht="15.6" customHeight="1" x14ac:dyDescent="0.25">
      <c r="A842" s="24"/>
      <c r="B842" s="24"/>
      <c r="C842" s="25"/>
      <c r="D842" s="25"/>
      <c r="E842" s="25"/>
      <c r="F842" s="25"/>
      <c r="G842" s="26"/>
      <c r="H842" s="27"/>
      <c r="I842" s="24"/>
      <c r="J842" s="24"/>
      <c r="K842" s="28"/>
      <c r="L842" s="29"/>
      <c r="M842" s="29"/>
      <c r="N842" s="29"/>
      <c r="O842" s="27"/>
      <c r="P842" s="30"/>
      <c r="Q842" s="31"/>
      <c r="R842" s="31"/>
      <c r="S842" s="32"/>
      <c r="T842" s="32"/>
      <c r="U842" s="32"/>
      <c r="V842" s="32"/>
      <c r="W842" s="32"/>
      <c r="X842" s="32"/>
      <c r="Y842" s="32"/>
      <c r="Z842" s="32"/>
      <c r="AA842" s="32"/>
      <c r="AB842" s="32"/>
    </row>
    <row r="843" spans="1:28" ht="15.6" customHeight="1" x14ac:dyDescent="0.25">
      <c r="A843" s="24"/>
      <c r="B843" s="24"/>
      <c r="C843" s="25"/>
      <c r="D843" s="25"/>
      <c r="E843" s="25"/>
      <c r="F843" s="25"/>
      <c r="G843" s="26"/>
      <c r="H843" s="27"/>
      <c r="I843" s="24"/>
      <c r="J843" s="24"/>
      <c r="K843" s="28"/>
      <c r="L843" s="29"/>
      <c r="M843" s="29"/>
      <c r="N843" s="29"/>
      <c r="O843" s="27"/>
      <c r="P843" s="30"/>
      <c r="Q843" s="31"/>
      <c r="R843" s="31"/>
      <c r="S843" s="32"/>
      <c r="T843" s="32"/>
      <c r="U843" s="32"/>
      <c r="V843" s="32"/>
      <c r="W843" s="32"/>
      <c r="X843" s="32"/>
      <c r="Y843" s="32"/>
      <c r="Z843" s="32"/>
      <c r="AA843" s="32"/>
      <c r="AB843" s="32"/>
    </row>
    <row r="844" spans="1:28" ht="15.6" customHeight="1" x14ac:dyDescent="0.25">
      <c r="A844" s="24"/>
      <c r="B844" s="24"/>
      <c r="C844" s="25"/>
      <c r="D844" s="25"/>
      <c r="E844" s="25"/>
      <c r="F844" s="25"/>
      <c r="G844" s="26"/>
      <c r="H844" s="27"/>
      <c r="I844" s="24"/>
      <c r="J844" s="24"/>
      <c r="K844" s="28"/>
      <c r="L844" s="29"/>
      <c r="M844" s="29"/>
      <c r="N844" s="29"/>
      <c r="O844" s="27"/>
      <c r="P844" s="30"/>
      <c r="Q844" s="31"/>
      <c r="R844" s="31"/>
      <c r="S844" s="32"/>
      <c r="T844" s="32"/>
      <c r="U844" s="32"/>
      <c r="V844" s="32"/>
      <c r="W844" s="32"/>
      <c r="X844" s="32"/>
      <c r="Y844" s="32"/>
      <c r="Z844" s="32"/>
      <c r="AA844" s="32"/>
      <c r="AB844" s="32"/>
    </row>
    <row r="845" spans="1:28" ht="15.6" customHeight="1" x14ac:dyDescent="0.25">
      <c r="A845" s="24"/>
      <c r="B845" s="24"/>
      <c r="C845" s="25"/>
      <c r="D845" s="25"/>
      <c r="E845" s="25"/>
      <c r="F845" s="25"/>
      <c r="G845" s="26"/>
      <c r="H845" s="27"/>
      <c r="I845" s="24"/>
      <c r="J845" s="24"/>
      <c r="K845" s="28"/>
      <c r="L845" s="29"/>
      <c r="M845" s="29"/>
      <c r="N845" s="29"/>
      <c r="O845" s="27"/>
      <c r="P845" s="30"/>
      <c r="Q845" s="31"/>
      <c r="R845" s="31"/>
      <c r="S845" s="32"/>
      <c r="T845" s="32"/>
      <c r="U845" s="32"/>
      <c r="V845" s="32"/>
      <c r="W845" s="32"/>
      <c r="X845" s="32"/>
      <c r="Y845" s="32"/>
      <c r="Z845" s="32"/>
      <c r="AA845" s="32"/>
      <c r="AB845" s="32"/>
    </row>
    <row r="846" spans="1:28" ht="15.6" customHeight="1" x14ac:dyDescent="0.25">
      <c r="A846" s="24"/>
      <c r="B846" s="24"/>
      <c r="C846" s="25"/>
      <c r="D846" s="25"/>
      <c r="E846" s="25"/>
      <c r="F846" s="25"/>
      <c r="G846" s="26"/>
      <c r="H846" s="27"/>
      <c r="I846" s="24"/>
      <c r="J846" s="24"/>
      <c r="K846" s="28"/>
      <c r="L846" s="29"/>
      <c r="M846" s="29"/>
      <c r="N846" s="29"/>
      <c r="O846" s="27"/>
      <c r="P846" s="30"/>
      <c r="Q846" s="31"/>
      <c r="R846" s="31"/>
      <c r="S846" s="32"/>
      <c r="T846" s="32"/>
      <c r="U846" s="32"/>
      <c r="V846" s="32"/>
      <c r="W846" s="32"/>
      <c r="X846" s="32"/>
      <c r="Y846" s="32"/>
      <c r="Z846" s="32"/>
      <c r="AA846" s="32"/>
      <c r="AB846" s="32"/>
    </row>
    <row r="847" spans="1:28" ht="15.6" customHeight="1" x14ac:dyDescent="0.25">
      <c r="A847" s="24"/>
      <c r="B847" s="24"/>
      <c r="C847" s="25"/>
      <c r="D847" s="25"/>
      <c r="E847" s="25"/>
      <c r="F847" s="25"/>
      <c r="G847" s="26"/>
      <c r="H847" s="27"/>
      <c r="I847" s="24"/>
      <c r="J847" s="24"/>
      <c r="K847" s="28"/>
      <c r="L847" s="29"/>
      <c r="M847" s="29"/>
      <c r="N847" s="29"/>
      <c r="O847" s="27"/>
      <c r="P847" s="30"/>
      <c r="Q847" s="31"/>
      <c r="R847" s="31"/>
      <c r="S847" s="32"/>
      <c r="T847" s="32"/>
      <c r="U847" s="32"/>
      <c r="V847" s="32"/>
      <c r="W847" s="32"/>
      <c r="X847" s="32"/>
      <c r="Y847" s="32"/>
      <c r="Z847" s="32"/>
      <c r="AA847" s="32"/>
      <c r="AB847" s="32"/>
    </row>
    <row r="848" spans="1:28" ht="15.6" customHeight="1" x14ac:dyDescent="0.25">
      <c r="A848" s="24"/>
      <c r="B848" s="24"/>
      <c r="C848" s="25"/>
      <c r="D848" s="25"/>
      <c r="E848" s="25"/>
      <c r="F848" s="25"/>
      <c r="G848" s="26"/>
      <c r="H848" s="27"/>
      <c r="I848" s="24"/>
      <c r="J848" s="24"/>
      <c r="K848" s="28"/>
      <c r="L848" s="29"/>
      <c r="M848" s="29"/>
      <c r="N848" s="29"/>
      <c r="O848" s="27"/>
      <c r="P848" s="30"/>
      <c r="Q848" s="31"/>
      <c r="R848" s="31"/>
      <c r="S848" s="32"/>
      <c r="T848" s="32"/>
      <c r="U848" s="32"/>
      <c r="V848" s="32"/>
      <c r="W848" s="32"/>
      <c r="X848" s="32"/>
      <c r="Y848" s="32"/>
      <c r="Z848" s="32"/>
      <c r="AA848" s="32"/>
      <c r="AB848" s="32"/>
    </row>
    <row r="849" spans="1:28" ht="15.6" customHeight="1" x14ac:dyDescent="0.25">
      <c r="A849" s="24"/>
      <c r="B849" s="24"/>
      <c r="C849" s="25"/>
      <c r="D849" s="25"/>
      <c r="E849" s="25"/>
      <c r="F849" s="25"/>
      <c r="G849" s="26"/>
      <c r="H849" s="27"/>
      <c r="I849" s="24"/>
      <c r="J849" s="24"/>
      <c r="K849" s="28"/>
      <c r="L849" s="29"/>
      <c r="M849" s="29"/>
      <c r="N849" s="29"/>
      <c r="O849" s="27"/>
      <c r="P849" s="30"/>
      <c r="Q849" s="31"/>
      <c r="R849" s="31"/>
      <c r="S849" s="32"/>
      <c r="T849" s="32"/>
      <c r="U849" s="32"/>
      <c r="V849" s="32"/>
      <c r="W849" s="32"/>
      <c r="X849" s="32"/>
      <c r="Y849" s="32"/>
      <c r="Z849" s="32"/>
      <c r="AA849" s="32"/>
      <c r="AB849" s="32"/>
    </row>
    <row r="850" spans="1:28" ht="15.6" customHeight="1" x14ac:dyDescent="0.25">
      <c r="A850" s="24"/>
      <c r="B850" s="24"/>
      <c r="C850" s="25"/>
      <c r="D850" s="25"/>
      <c r="E850" s="25"/>
      <c r="F850" s="25"/>
      <c r="G850" s="26"/>
      <c r="H850" s="27"/>
      <c r="I850" s="24"/>
      <c r="J850" s="24"/>
      <c r="K850" s="28"/>
      <c r="L850" s="29"/>
      <c r="M850" s="29"/>
      <c r="N850" s="29"/>
      <c r="O850" s="27"/>
      <c r="P850" s="30"/>
      <c r="Q850" s="31"/>
      <c r="R850" s="31"/>
      <c r="S850" s="32"/>
      <c r="T850" s="32"/>
      <c r="U850" s="32"/>
      <c r="V850" s="32"/>
      <c r="W850" s="32"/>
      <c r="X850" s="32"/>
      <c r="Y850" s="32"/>
      <c r="Z850" s="32"/>
      <c r="AA850" s="32"/>
      <c r="AB850" s="32"/>
    </row>
    <row r="851" spans="1:28" ht="15.6" customHeight="1" x14ac:dyDescent="0.25">
      <c r="A851" s="24"/>
      <c r="B851" s="24"/>
      <c r="C851" s="25"/>
      <c r="D851" s="25"/>
      <c r="E851" s="25"/>
      <c r="F851" s="25"/>
      <c r="G851" s="26"/>
      <c r="H851" s="27"/>
      <c r="I851" s="24"/>
      <c r="J851" s="24"/>
      <c r="K851" s="28"/>
      <c r="L851" s="29"/>
      <c r="M851" s="29"/>
      <c r="N851" s="29"/>
      <c r="O851" s="27"/>
      <c r="P851" s="30"/>
      <c r="Q851" s="31"/>
      <c r="R851" s="31"/>
      <c r="S851" s="32"/>
      <c r="T851" s="32"/>
      <c r="U851" s="32"/>
      <c r="V851" s="32"/>
      <c r="W851" s="32"/>
      <c r="X851" s="32"/>
      <c r="Y851" s="32"/>
      <c r="Z851" s="32"/>
      <c r="AA851" s="32"/>
      <c r="AB851" s="32"/>
    </row>
    <row r="852" spans="1:28" ht="15.6" customHeight="1" x14ac:dyDescent="0.25">
      <c r="A852" s="24"/>
      <c r="B852" s="24"/>
      <c r="C852" s="25"/>
      <c r="D852" s="25"/>
      <c r="E852" s="25"/>
      <c r="F852" s="25"/>
      <c r="G852" s="26"/>
      <c r="H852" s="27"/>
      <c r="I852" s="24"/>
      <c r="J852" s="24"/>
      <c r="K852" s="28"/>
      <c r="L852" s="29"/>
      <c r="M852" s="29"/>
      <c r="N852" s="29"/>
      <c r="O852" s="27"/>
      <c r="P852" s="30"/>
      <c r="Q852" s="31"/>
      <c r="R852" s="31"/>
      <c r="S852" s="32"/>
      <c r="T852" s="32"/>
      <c r="U852" s="32"/>
      <c r="V852" s="32"/>
      <c r="W852" s="32"/>
      <c r="X852" s="32"/>
      <c r="Y852" s="32"/>
      <c r="Z852" s="32"/>
      <c r="AA852" s="32"/>
      <c r="AB852" s="32"/>
    </row>
    <row r="853" spans="1:28" ht="15.6" customHeight="1" x14ac:dyDescent="0.25">
      <c r="A853" s="24"/>
      <c r="B853" s="24"/>
      <c r="C853" s="25"/>
      <c r="D853" s="25"/>
      <c r="E853" s="25"/>
      <c r="F853" s="25"/>
      <c r="G853" s="26"/>
      <c r="H853" s="27"/>
      <c r="I853" s="24"/>
      <c r="J853" s="24"/>
      <c r="K853" s="28"/>
      <c r="L853" s="29"/>
      <c r="M853" s="29"/>
      <c r="N853" s="29"/>
      <c r="O853" s="27"/>
      <c r="P853" s="30"/>
      <c r="Q853" s="31"/>
      <c r="R853" s="31"/>
      <c r="S853" s="32"/>
      <c r="T853" s="32"/>
      <c r="U853" s="32"/>
      <c r="V853" s="32"/>
      <c r="W853" s="32"/>
      <c r="X853" s="32"/>
      <c r="Y853" s="32"/>
      <c r="Z853" s="32"/>
      <c r="AA853" s="32"/>
      <c r="AB853" s="32"/>
    </row>
    <row r="854" spans="1:28" ht="15.6" customHeight="1" x14ac:dyDescent="0.25">
      <c r="A854" s="24"/>
      <c r="B854" s="24"/>
      <c r="C854" s="25"/>
      <c r="D854" s="25"/>
      <c r="E854" s="25"/>
      <c r="F854" s="25"/>
      <c r="G854" s="26"/>
      <c r="H854" s="27"/>
      <c r="I854" s="24"/>
      <c r="J854" s="24"/>
      <c r="K854" s="28"/>
      <c r="L854" s="29"/>
      <c r="M854" s="29"/>
      <c r="N854" s="29"/>
      <c r="O854" s="27"/>
      <c r="P854" s="30"/>
      <c r="Q854" s="31"/>
      <c r="R854" s="31"/>
      <c r="S854" s="32"/>
      <c r="T854" s="32"/>
      <c r="U854" s="32"/>
      <c r="V854" s="32"/>
      <c r="W854" s="32"/>
      <c r="X854" s="32"/>
      <c r="Y854" s="32"/>
      <c r="Z854" s="32"/>
      <c r="AA854" s="32"/>
      <c r="AB854" s="32"/>
    </row>
    <row r="855" spans="1:28" ht="15.6" customHeight="1" x14ac:dyDescent="0.25">
      <c r="A855" s="24"/>
      <c r="B855" s="24"/>
      <c r="C855" s="25"/>
      <c r="D855" s="25"/>
      <c r="E855" s="25"/>
      <c r="F855" s="25"/>
      <c r="G855" s="26"/>
      <c r="H855" s="27"/>
      <c r="I855" s="24"/>
      <c r="J855" s="24"/>
      <c r="K855" s="28"/>
      <c r="L855" s="29"/>
      <c r="M855" s="29"/>
      <c r="N855" s="29"/>
      <c r="O855" s="27"/>
      <c r="P855" s="30"/>
      <c r="Q855" s="31"/>
      <c r="R855" s="31"/>
      <c r="S855" s="32"/>
      <c r="T855" s="32"/>
      <c r="U855" s="32"/>
      <c r="V855" s="32"/>
      <c r="W855" s="32"/>
      <c r="X855" s="32"/>
      <c r="Y855" s="32"/>
      <c r="Z855" s="32"/>
      <c r="AA855" s="32"/>
      <c r="AB855" s="32"/>
    </row>
    <row r="856" spans="1:28" ht="15.6" customHeight="1" x14ac:dyDescent="0.25">
      <c r="A856" s="24"/>
      <c r="B856" s="24"/>
      <c r="C856" s="25"/>
      <c r="D856" s="25"/>
      <c r="E856" s="25"/>
      <c r="F856" s="25"/>
      <c r="G856" s="26"/>
      <c r="H856" s="27"/>
      <c r="I856" s="24"/>
      <c r="J856" s="24"/>
      <c r="K856" s="28"/>
      <c r="L856" s="29"/>
      <c r="M856" s="29"/>
      <c r="N856" s="29"/>
      <c r="O856" s="27"/>
      <c r="P856" s="30"/>
      <c r="Q856" s="31"/>
      <c r="R856" s="31"/>
      <c r="S856" s="32"/>
      <c r="T856" s="32"/>
      <c r="U856" s="32"/>
      <c r="V856" s="32"/>
      <c r="W856" s="32"/>
      <c r="X856" s="32"/>
      <c r="Y856" s="32"/>
      <c r="Z856" s="32"/>
      <c r="AA856" s="32"/>
      <c r="AB856" s="32"/>
    </row>
    <row r="857" spans="1:28" ht="15.6" customHeight="1" x14ac:dyDescent="0.25">
      <c r="A857" s="24"/>
      <c r="B857" s="24"/>
      <c r="C857" s="25"/>
      <c r="D857" s="25"/>
      <c r="E857" s="25"/>
      <c r="F857" s="25"/>
      <c r="G857" s="26"/>
      <c r="H857" s="27"/>
      <c r="I857" s="24"/>
      <c r="J857" s="24"/>
      <c r="K857" s="28"/>
      <c r="L857" s="29"/>
      <c r="M857" s="29"/>
      <c r="N857" s="29"/>
      <c r="O857" s="27"/>
      <c r="P857" s="30"/>
      <c r="Q857" s="31"/>
      <c r="R857" s="31"/>
      <c r="S857" s="32"/>
      <c r="T857" s="32"/>
      <c r="U857" s="32"/>
      <c r="V857" s="32"/>
      <c r="W857" s="32"/>
      <c r="X857" s="32"/>
      <c r="Y857" s="32"/>
      <c r="Z857" s="32"/>
      <c r="AA857" s="32"/>
      <c r="AB857" s="32"/>
    </row>
    <row r="858" spans="1:28" ht="15.6" customHeight="1" x14ac:dyDescent="0.25">
      <c r="A858" s="24"/>
      <c r="B858" s="24"/>
      <c r="C858" s="25"/>
      <c r="D858" s="25"/>
      <c r="E858" s="25"/>
      <c r="F858" s="25"/>
      <c r="G858" s="26"/>
      <c r="H858" s="27"/>
      <c r="I858" s="24"/>
      <c r="J858" s="24"/>
      <c r="K858" s="28"/>
      <c r="L858" s="29"/>
      <c r="M858" s="29"/>
      <c r="N858" s="29"/>
      <c r="O858" s="27"/>
      <c r="P858" s="30"/>
      <c r="Q858" s="31"/>
      <c r="R858" s="31"/>
      <c r="S858" s="32"/>
      <c r="T858" s="32"/>
      <c r="U858" s="32"/>
      <c r="V858" s="32"/>
      <c r="W858" s="32"/>
      <c r="X858" s="32"/>
      <c r="Y858" s="32"/>
      <c r="Z858" s="32"/>
      <c r="AA858" s="32"/>
      <c r="AB858" s="32"/>
    </row>
    <row r="859" spans="1:28" ht="15.6" customHeight="1" x14ac:dyDescent="0.25">
      <c r="A859" s="24"/>
      <c r="B859" s="24"/>
      <c r="C859" s="25"/>
      <c r="D859" s="25"/>
      <c r="E859" s="25"/>
      <c r="F859" s="25"/>
      <c r="G859" s="26"/>
      <c r="H859" s="27"/>
      <c r="I859" s="24"/>
      <c r="J859" s="24"/>
      <c r="K859" s="28"/>
      <c r="L859" s="29"/>
      <c r="M859" s="29"/>
      <c r="N859" s="29"/>
      <c r="O859" s="27"/>
      <c r="P859" s="30"/>
      <c r="Q859" s="31"/>
      <c r="R859" s="31"/>
      <c r="S859" s="32"/>
      <c r="T859" s="32"/>
      <c r="U859" s="32"/>
      <c r="V859" s="32"/>
      <c r="W859" s="32"/>
      <c r="X859" s="32"/>
      <c r="Y859" s="32"/>
      <c r="Z859" s="32"/>
      <c r="AA859" s="32"/>
      <c r="AB859" s="32"/>
    </row>
    <row r="860" spans="1:28" ht="15.6" customHeight="1" x14ac:dyDescent="0.25">
      <c r="A860" s="24"/>
      <c r="B860" s="24"/>
      <c r="C860" s="25"/>
      <c r="D860" s="25"/>
      <c r="E860" s="25"/>
      <c r="F860" s="25"/>
      <c r="G860" s="26"/>
      <c r="H860" s="27"/>
      <c r="I860" s="24"/>
      <c r="J860" s="24"/>
      <c r="K860" s="28"/>
      <c r="L860" s="29"/>
      <c r="M860" s="29"/>
      <c r="N860" s="29"/>
      <c r="O860" s="27"/>
      <c r="P860" s="30"/>
      <c r="Q860" s="31"/>
      <c r="R860" s="31"/>
      <c r="S860" s="32"/>
      <c r="T860" s="32"/>
      <c r="U860" s="32"/>
      <c r="V860" s="32"/>
      <c r="W860" s="32"/>
      <c r="X860" s="32"/>
      <c r="Y860" s="32"/>
      <c r="Z860" s="32"/>
      <c r="AA860" s="32"/>
      <c r="AB860" s="32"/>
    </row>
    <row r="861" spans="1:28" ht="15.6" customHeight="1" x14ac:dyDescent="0.25">
      <c r="A861" s="24"/>
      <c r="B861" s="24"/>
      <c r="C861" s="25"/>
      <c r="D861" s="25"/>
      <c r="E861" s="25"/>
      <c r="F861" s="25"/>
      <c r="G861" s="26"/>
      <c r="H861" s="27"/>
      <c r="I861" s="24"/>
      <c r="J861" s="24"/>
      <c r="K861" s="28"/>
      <c r="L861" s="29"/>
      <c r="M861" s="29"/>
      <c r="N861" s="29"/>
      <c r="O861" s="27"/>
      <c r="P861" s="30"/>
      <c r="Q861" s="31"/>
      <c r="R861" s="31"/>
      <c r="S861" s="32"/>
      <c r="T861" s="32"/>
      <c r="U861" s="32"/>
      <c r="V861" s="32"/>
      <c r="W861" s="32"/>
      <c r="X861" s="32"/>
      <c r="Y861" s="32"/>
      <c r="Z861" s="32"/>
      <c r="AA861" s="32"/>
      <c r="AB861" s="32"/>
    </row>
    <row r="862" spans="1:28" ht="15.6" customHeight="1" x14ac:dyDescent="0.25">
      <c r="A862" s="24"/>
      <c r="B862" s="24"/>
      <c r="C862" s="25"/>
      <c r="D862" s="25"/>
      <c r="E862" s="25"/>
      <c r="F862" s="25"/>
      <c r="G862" s="26"/>
      <c r="H862" s="27"/>
      <c r="I862" s="24"/>
      <c r="J862" s="24"/>
      <c r="K862" s="28"/>
      <c r="L862" s="29"/>
      <c r="M862" s="29"/>
      <c r="N862" s="29"/>
      <c r="O862" s="27"/>
      <c r="P862" s="30"/>
      <c r="Q862" s="31"/>
      <c r="R862" s="31"/>
      <c r="S862" s="32"/>
      <c r="T862" s="32"/>
      <c r="U862" s="32"/>
      <c r="V862" s="32"/>
      <c r="W862" s="32"/>
      <c r="X862" s="32"/>
      <c r="Y862" s="32"/>
      <c r="Z862" s="32"/>
      <c r="AA862" s="32"/>
      <c r="AB862" s="32"/>
    </row>
    <row r="863" spans="1:28" ht="15.6" customHeight="1" x14ac:dyDescent="0.25">
      <c r="A863" s="24"/>
      <c r="B863" s="24"/>
      <c r="C863" s="25"/>
      <c r="D863" s="25"/>
      <c r="E863" s="25"/>
      <c r="F863" s="25"/>
      <c r="G863" s="26"/>
      <c r="H863" s="27"/>
      <c r="I863" s="24"/>
      <c r="J863" s="24"/>
      <c r="K863" s="28"/>
      <c r="L863" s="29"/>
      <c r="M863" s="29"/>
      <c r="N863" s="29"/>
      <c r="O863" s="27"/>
      <c r="P863" s="30"/>
      <c r="Q863" s="31"/>
      <c r="R863" s="31"/>
      <c r="S863" s="32"/>
      <c r="T863" s="32"/>
      <c r="U863" s="32"/>
      <c r="V863" s="32"/>
      <c r="W863" s="32"/>
      <c r="X863" s="32"/>
      <c r="Y863" s="32"/>
      <c r="Z863" s="32"/>
      <c r="AA863" s="32"/>
      <c r="AB863" s="32"/>
    </row>
    <row r="864" spans="1:28" ht="15.6" customHeight="1" x14ac:dyDescent="0.25">
      <c r="A864" s="24"/>
      <c r="B864" s="24"/>
      <c r="C864" s="25"/>
      <c r="D864" s="25"/>
      <c r="E864" s="25"/>
      <c r="F864" s="25"/>
      <c r="G864" s="26"/>
      <c r="H864" s="27"/>
      <c r="I864" s="24"/>
      <c r="J864" s="24"/>
      <c r="K864" s="28"/>
      <c r="L864" s="29"/>
      <c r="M864" s="29"/>
      <c r="N864" s="29"/>
      <c r="O864" s="27"/>
      <c r="P864" s="30"/>
      <c r="Q864" s="31"/>
      <c r="R864" s="31"/>
      <c r="S864" s="32"/>
      <c r="T864" s="32"/>
      <c r="U864" s="32"/>
      <c r="V864" s="32"/>
      <c r="W864" s="32"/>
      <c r="X864" s="32"/>
      <c r="Y864" s="32"/>
      <c r="Z864" s="32"/>
      <c r="AA864" s="32"/>
      <c r="AB864" s="32"/>
    </row>
    <row r="865" spans="1:28" ht="15.6" customHeight="1" x14ac:dyDescent="0.25">
      <c r="A865" s="24"/>
      <c r="B865" s="24"/>
      <c r="C865" s="25"/>
      <c r="D865" s="25"/>
      <c r="E865" s="25"/>
      <c r="F865" s="25"/>
      <c r="G865" s="26"/>
      <c r="H865" s="27"/>
      <c r="I865" s="24"/>
      <c r="J865" s="24"/>
      <c r="K865" s="28"/>
      <c r="L865" s="29"/>
      <c r="M865" s="29"/>
      <c r="N865" s="29"/>
      <c r="O865" s="27"/>
      <c r="P865" s="30"/>
      <c r="Q865" s="31"/>
      <c r="R865" s="31"/>
      <c r="S865" s="32"/>
      <c r="T865" s="32"/>
      <c r="U865" s="32"/>
      <c r="V865" s="32"/>
      <c r="W865" s="32"/>
      <c r="X865" s="32"/>
      <c r="Y865" s="32"/>
      <c r="Z865" s="32"/>
      <c r="AA865" s="32"/>
      <c r="AB865" s="32"/>
    </row>
    <row r="866" spans="1:28" ht="15.6" customHeight="1" x14ac:dyDescent="0.25">
      <c r="A866" s="24"/>
      <c r="B866" s="24"/>
      <c r="C866" s="25"/>
      <c r="D866" s="25"/>
      <c r="E866" s="25"/>
      <c r="F866" s="25"/>
      <c r="G866" s="26"/>
      <c r="H866" s="27"/>
      <c r="I866" s="24"/>
      <c r="J866" s="24"/>
      <c r="K866" s="28"/>
      <c r="L866" s="29"/>
      <c r="M866" s="29"/>
      <c r="N866" s="29"/>
      <c r="O866" s="27"/>
      <c r="P866" s="30"/>
      <c r="Q866" s="31"/>
      <c r="R866" s="31"/>
      <c r="S866" s="32"/>
      <c r="T866" s="32"/>
      <c r="U866" s="32"/>
      <c r="V866" s="32"/>
      <c r="W866" s="32"/>
      <c r="X866" s="32"/>
      <c r="Y866" s="32"/>
      <c r="Z866" s="32"/>
      <c r="AA866" s="32"/>
      <c r="AB866" s="32"/>
    </row>
    <row r="867" spans="1:28" ht="15.6" customHeight="1" x14ac:dyDescent="0.25">
      <c r="A867" s="24"/>
      <c r="B867" s="24"/>
      <c r="C867" s="25"/>
      <c r="D867" s="25"/>
      <c r="E867" s="25"/>
      <c r="F867" s="25"/>
      <c r="G867" s="26"/>
      <c r="H867" s="27"/>
      <c r="I867" s="24"/>
      <c r="J867" s="24"/>
      <c r="K867" s="28"/>
      <c r="L867" s="29"/>
      <c r="M867" s="29"/>
      <c r="N867" s="29"/>
      <c r="O867" s="27"/>
      <c r="P867" s="30"/>
      <c r="Q867" s="31"/>
      <c r="R867" s="31"/>
      <c r="S867" s="32"/>
      <c r="T867" s="32"/>
      <c r="U867" s="32"/>
      <c r="V867" s="32"/>
      <c r="W867" s="32"/>
      <c r="X867" s="32"/>
      <c r="Y867" s="32"/>
      <c r="Z867" s="32"/>
      <c r="AA867" s="32"/>
      <c r="AB867" s="32"/>
    </row>
    <row r="868" spans="1:28" ht="15.6" customHeight="1" x14ac:dyDescent="0.25">
      <c r="A868" s="24"/>
      <c r="B868" s="24"/>
      <c r="C868" s="25"/>
      <c r="D868" s="25"/>
      <c r="E868" s="25"/>
      <c r="F868" s="25"/>
      <c r="G868" s="26"/>
      <c r="H868" s="27"/>
      <c r="I868" s="24"/>
      <c r="J868" s="24"/>
      <c r="K868" s="28"/>
      <c r="L868" s="29"/>
      <c r="M868" s="29"/>
      <c r="N868" s="29"/>
      <c r="O868" s="27"/>
      <c r="P868" s="30"/>
      <c r="Q868" s="31"/>
      <c r="R868" s="31"/>
      <c r="S868" s="32"/>
      <c r="T868" s="32"/>
      <c r="U868" s="32"/>
      <c r="V868" s="32"/>
      <c r="W868" s="32"/>
      <c r="X868" s="32"/>
      <c r="Y868" s="32"/>
      <c r="Z868" s="32"/>
      <c r="AA868" s="32"/>
      <c r="AB868" s="32"/>
    </row>
    <row r="869" spans="1:28" ht="15.6" customHeight="1" x14ac:dyDescent="0.25">
      <c r="A869" s="24"/>
      <c r="B869" s="24"/>
      <c r="C869" s="25"/>
      <c r="D869" s="25"/>
      <c r="E869" s="25"/>
      <c r="F869" s="25"/>
      <c r="G869" s="26"/>
      <c r="H869" s="27"/>
      <c r="I869" s="24"/>
      <c r="J869" s="24"/>
      <c r="K869" s="28"/>
      <c r="L869" s="29"/>
      <c r="M869" s="29"/>
      <c r="N869" s="29"/>
      <c r="O869" s="27"/>
      <c r="P869" s="30"/>
      <c r="Q869" s="31"/>
      <c r="R869" s="31"/>
      <c r="S869" s="32"/>
      <c r="T869" s="32"/>
      <c r="U869" s="32"/>
      <c r="V869" s="32"/>
      <c r="W869" s="32"/>
      <c r="X869" s="32"/>
      <c r="Y869" s="32"/>
      <c r="Z869" s="32"/>
      <c r="AA869" s="32"/>
      <c r="AB869" s="32"/>
    </row>
    <row r="870" spans="1:28" ht="15.6" customHeight="1" x14ac:dyDescent="0.25">
      <c r="A870" s="24"/>
      <c r="B870" s="24"/>
      <c r="C870" s="25"/>
      <c r="D870" s="25"/>
      <c r="E870" s="25"/>
      <c r="F870" s="25"/>
      <c r="G870" s="26"/>
      <c r="H870" s="27"/>
      <c r="I870" s="24"/>
      <c r="J870" s="24"/>
      <c r="K870" s="28"/>
      <c r="L870" s="29"/>
      <c r="M870" s="29"/>
      <c r="N870" s="29"/>
      <c r="O870" s="27"/>
      <c r="P870" s="30"/>
      <c r="Q870" s="31"/>
      <c r="R870" s="31"/>
      <c r="S870" s="32"/>
      <c r="T870" s="32"/>
      <c r="U870" s="32"/>
      <c r="V870" s="32"/>
      <c r="W870" s="32"/>
      <c r="X870" s="32"/>
      <c r="Y870" s="32"/>
      <c r="Z870" s="32"/>
      <c r="AA870" s="32"/>
      <c r="AB870" s="32"/>
    </row>
    <row r="871" spans="1:28" ht="15.6" customHeight="1" x14ac:dyDescent="0.25">
      <c r="A871" s="24"/>
      <c r="B871" s="24"/>
      <c r="C871" s="25"/>
      <c r="D871" s="25"/>
      <c r="E871" s="25"/>
      <c r="F871" s="25"/>
      <c r="G871" s="26"/>
      <c r="H871" s="27"/>
      <c r="I871" s="24"/>
      <c r="J871" s="24"/>
      <c r="K871" s="28"/>
      <c r="L871" s="29"/>
      <c r="M871" s="29"/>
      <c r="N871" s="29"/>
      <c r="O871" s="27"/>
      <c r="P871" s="30"/>
      <c r="Q871" s="31"/>
      <c r="R871" s="31"/>
      <c r="S871" s="32"/>
      <c r="T871" s="32"/>
      <c r="U871" s="32"/>
      <c r="V871" s="32"/>
      <c r="W871" s="32"/>
      <c r="X871" s="32"/>
      <c r="Y871" s="32"/>
      <c r="Z871" s="32"/>
      <c r="AA871" s="32"/>
      <c r="AB871" s="32"/>
    </row>
    <row r="872" spans="1:28" ht="15.6" customHeight="1" x14ac:dyDescent="0.25">
      <c r="A872" s="24"/>
      <c r="B872" s="24"/>
      <c r="C872" s="25"/>
      <c r="D872" s="25"/>
      <c r="E872" s="25"/>
      <c r="F872" s="25"/>
      <c r="G872" s="26"/>
      <c r="H872" s="27"/>
      <c r="I872" s="24"/>
      <c r="J872" s="24"/>
      <c r="K872" s="28"/>
      <c r="L872" s="29"/>
      <c r="M872" s="29"/>
      <c r="N872" s="29"/>
      <c r="O872" s="27"/>
      <c r="P872" s="30"/>
      <c r="Q872" s="31"/>
      <c r="R872" s="31"/>
      <c r="S872" s="32"/>
      <c r="T872" s="32"/>
      <c r="U872" s="32"/>
      <c r="V872" s="32"/>
      <c r="W872" s="32"/>
      <c r="X872" s="32"/>
      <c r="Y872" s="32"/>
      <c r="Z872" s="32"/>
      <c r="AA872" s="32"/>
      <c r="AB872" s="32"/>
    </row>
    <row r="873" spans="1:28" ht="15.6" customHeight="1" x14ac:dyDescent="0.25">
      <c r="A873" s="24"/>
      <c r="B873" s="24"/>
      <c r="C873" s="25"/>
      <c r="D873" s="25"/>
      <c r="E873" s="25"/>
      <c r="F873" s="25"/>
      <c r="G873" s="26"/>
      <c r="H873" s="27"/>
      <c r="I873" s="24"/>
      <c r="J873" s="24"/>
      <c r="K873" s="28"/>
      <c r="L873" s="29"/>
      <c r="M873" s="29"/>
      <c r="N873" s="29"/>
      <c r="O873" s="27"/>
      <c r="P873" s="30"/>
      <c r="Q873" s="31"/>
      <c r="R873" s="31"/>
      <c r="S873" s="32"/>
      <c r="T873" s="32"/>
      <c r="U873" s="32"/>
      <c r="V873" s="32"/>
      <c r="W873" s="32"/>
      <c r="X873" s="32"/>
      <c r="Y873" s="32"/>
      <c r="Z873" s="32"/>
      <c r="AA873" s="32"/>
      <c r="AB873" s="32"/>
    </row>
    <row r="874" spans="1:28" ht="15.6" customHeight="1" x14ac:dyDescent="0.25">
      <c r="A874" s="24"/>
      <c r="B874" s="24"/>
      <c r="C874" s="25"/>
      <c r="D874" s="25"/>
      <c r="E874" s="25"/>
      <c r="F874" s="25"/>
      <c r="G874" s="26"/>
      <c r="H874" s="27"/>
      <c r="I874" s="24"/>
      <c r="J874" s="24"/>
      <c r="K874" s="28"/>
      <c r="L874" s="29"/>
      <c r="M874" s="29"/>
      <c r="N874" s="29"/>
      <c r="O874" s="27"/>
      <c r="P874" s="30"/>
      <c r="Q874" s="31"/>
      <c r="R874" s="31"/>
      <c r="S874" s="32"/>
      <c r="T874" s="32"/>
      <c r="U874" s="32"/>
      <c r="V874" s="32"/>
      <c r="W874" s="32"/>
      <c r="X874" s="32"/>
      <c r="Y874" s="32"/>
      <c r="Z874" s="32"/>
      <c r="AA874" s="32"/>
      <c r="AB874" s="32"/>
    </row>
    <row r="875" spans="1:28" ht="15.6" customHeight="1" x14ac:dyDescent="0.25">
      <c r="A875" s="24"/>
      <c r="B875" s="24"/>
      <c r="C875" s="25"/>
      <c r="D875" s="25"/>
      <c r="E875" s="25"/>
      <c r="F875" s="25"/>
      <c r="G875" s="26"/>
      <c r="H875" s="27"/>
      <c r="I875" s="24"/>
      <c r="J875" s="24"/>
      <c r="K875" s="28"/>
      <c r="L875" s="29"/>
      <c r="M875" s="29"/>
      <c r="N875" s="29"/>
      <c r="O875" s="27"/>
      <c r="P875" s="30"/>
      <c r="Q875" s="31"/>
      <c r="R875" s="31"/>
      <c r="S875" s="32"/>
      <c r="T875" s="32"/>
      <c r="U875" s="32"/>
      <c r="V875" s="32"/>
      <c r="W875" s="32"/>
      <c r="X875" s="32"/>
      <c r="Y875" s="32"/>
      <c r="Z875" s="32"/>
      <c r="AA875" s="32"/>
      <c r="AB875" s="32"/>
    </row>
    <row r="876" spans="1:28" ht="15.6" customHeight="1" x14ac:dyDescent="0.25">
      <c r="A876" s="24"/>
      <c r="B876" s="24"/>
      <c r="C876" s="25"/>
      <c r="D876" s="25"/>
      <c r="E876" s="25"/>
      <c r="F876" s="25"/>
      <c r="G876" s="26"/>
      <c r="H876" s="27"/>
      <c r="I876" s="24"/>
      <c r="J876" s="24"/>
      <c r="K876" s="28"/>
      <c r="L876" s="29"/>
      <c r="M876" s="29"/>
      <c r="N876" s="29"/>
      <c r="O876" s="27"/>
      <c r="P876" s="30"/>
      <c r="Q876" s="31"/>
      <c r="R876" s="31"/>
      <c r="S876" s="32"/>
      <c r="T876" s="32"/>
      <c r="U876" s="32"/>
      <c r="V876" s="32"/>
      <c r="W876" s="32"/>
      <c r="X876" s="32"/>
      <c r="Y876" s="32"/>
      <c r="Z876" s="32"/>
      <c r="AA876" s="32"/>
      <c r="AB876" s="32"/>
    </row>
    <row r="877" spans="1:28" ht="15.6" customHeight="1" x14ac:dyDescent="0.25">
      <c r="A877" s="24"/>
      <c r="B877" s="24"/>
      <c r="C877" s="25"/>
      <c r="D877" s="25"/>
      <c r="E877" s="25"/>
      <c r="F877" s="25"/>
      <c r="G877" s="26"/>
      <c r="H877" s="27"/>
      <c r="I877" s="24"/>
      <c r="J877" s="24"/>
      <c r="K877" s="28"/>
      <c r="L877" s="29"/>
      <c r="M877" s="29"/>
      <c r="N877" s="29"/>
      <c r="O877" s="27"/>
      <c r="P877" s="30"/>
      <c r="Q877" s="31"/>
      <c r="R877" s="31"/>
      <c r="S877" s="32"/>
      <c r="T877" s="32"/>
      <c r="U877" s="32"/>
      <c r="V877" s="32"/>
      <c r="W877" s="32"/>
      <c r="X877" s="32"/>
      <c r="Y877" s="32"/>
      <c r="Z877" s="32"/>
      <c r="AA877" s="32"/>
      <c r="AB877" s="32"/>
    </row>
    <row r="878" spans="1:28" ht="15.6" customHeight="1" x14ac:dyDescent="0.25">
      <c r="A878" s="24"/>
      <c r="B878" s="24"/>
      <c r="C878" s="25"/>
      <c r="D878" s="25"/>
      <c r="E878" s="25"/>
      <c r="F878" s="25"/>
      <c r="G878" s="26"/>
      <c r="H878" s="27"/>
      <c r="I878" s="24"/>
      <c r="J878" s="24"/>
      <c r="K878" s="28"/>
      <c r="L878" s="29"/>
      <c r="M878" s="29"/>
      <c r="N878" s="29"/>
      <c r="O878" s="27"/>
      <c r="P878" s="30"/>
      <c r="Q878" s="31"/>
      <c r="R878" s="31"/>
      <c r="S878" s="32"/>
      <c r="T878" s="32"/>
      <c r="U878" s="32"/>
      <c r="V878" s="32"/>
      <c r="W878" s="32"/>
      <c r="X878" s="32"/>
      <c r="Y878" s="32"/>
      <c r="Z878" s="32"/>
      <c r="AA878" s="32"/>
      <c r="AB878" s="32"/>
    </row>
    <row r="879" spans="1:28" ht="15.6" customHeight="1" x14ac:dyDescent="0.25">
      <c r="A879" s="24"/>
      <c r="B879" s="24"/>
      <c r="C879" s="25"/>
      <c r="D879" s="25"/>
      <c r="E879" s="25"/>
      <c r="F879" s="25"/>
      <c r="G879" s="26"/>
      <c r="H879" s="27"/>
      <c r="I879" s="24"/>
      <c r="J879" s="24"/>
      <c r="K879" s="28"/>
      <c r="L879" s="29"/>
      <c r="M879" s="29"/>
      <c r="N879" s="29"/>
      <c r="O879" s="27"/>
      <c r="P879" s="30"/>
      <c r="Q879" s="31"/>
      <c r="R879" s="31"/>
      <c r="S879" s="32"/>
      <c r="T879" s="32"/>
      <c r="U879" s="32"/>
      <c r="V879" s="32"/>
      <c r="W879" s="32"/>
      <c r="X879" s="32"/>
      <c r="Y879" s="32"/>
      <c r="Z879" s="32"/>
      <c r="AA879" s="32"/>
      <c r="AB879" s="32"/>
    </row>
    <row r="880" spans="1:28" ht="15.6" customHeight="1" x14ac:dyDescent="0.25">
      <c r="A880" s="24"/>
      <c r="B880" s="24"/>
      <c r="C880" s="25"/>
      <c r="D880" s="25"/>
      <c r="E880" s="25"/>
      <c r="F880" s="25"/>
      <c r="G880" s="26"/>
      <c r="H880" s="27"/>
      <c r="I880" s="24"/>
      <c r="J880" s="24"/>
      <c r="K880" s="28"/>
      <c r="L880" s="29"/>
      <c r="M880" s="29"/>
      <c r="N880" s="29"/>
      <c r="O880" s="27"/>
      <c r="P880" s="30"/>
      <c r="Q880" s="31"/>
      <c r="R880" s="31"/>
      <c r="S880" s="32"/>
      <c r="T880" s="32"/>
      <c r="U880" s="32"/>
      <c r="V880" s="32"/>
      <c r="W880" s="32"/>
      <c r="X880" s="32"/>
      <c r="Y880" s="32"/>
      <c r="Z880" s="32"/>
      <c r="AA880" s="32"/>
      <c r="AB880" s="32"/>
    </row>
    <row r="881" spans="1:28" ht="15.6" customHeight="1" x14ac:dyDescent="0.25">
      <c r="A881" s="24"/>
      <c r="B881" s="24"/>
      <c r="C881" s="25"/>
      <c r="D881" s="25"/>
      <c r="E881" s="25"/>
      <c r="F881" s="25"/>
      <c r="G881" s="26"/>
      <c r="H881" s="27"/>
      <c r="I881" s="24"/>
      <c r="J881" s="24"/>
      <c r="K881" s="28"/>
      <c r="L881" s="29"/>
      <c r="M881" s="29"/>
      <c r="N881" s="29"/>
      <c r="O881" s="27"/>
      <c r="P881" s="30"/>
      <c r="Q881" s="31"/>
      <c r="R881" s="31"/>
      <c r="S881" s="32"/>
      <c r="T881" s="32"/>
      <c r="U881" s="32"/>
      <c r="V881" s="32"/>
      <c r="W881" s="32"/>
      <c r="X881" s="32"/>
      <c r="Y881" s="32"/>
      <c r="Z881" s="32"/>
      <c r="AA881" s="32"/>
      <c r="AB881" s="32"/>
    </row>
    <row r="882" spans="1:28" ht="15.6" customHeight="1" x14ac:dyDescent="0.25">
      <c r="A882" s="24"/>
      <c r="B882" s="24"/>
      <c r="C882" s="25"/>
      <c r="D882" s="25"/>
      <c r="E882" s="25"/>
      <c r="F882" s="25"/>
      <c r="G882" s="26"/>
      <c r="H882" s="27"/>
      <c r="I882" s="24"/>
      <c r="J882" s="24"/>
      <c r="K882" s="28"/>
      <c r="L882" s="29"/>
      <c r="M882" s="29"/>
      <c r="N882" s="29"/>
      <c r="O882" s="27"/>
      <c r="P882" s="30"/>
      <c r="Q882" s="31"/>
      <c r="R882" s="31"/>
      <c r="S882" s="32"/>
      <c r="T882" s="32"/>
      <c r="U882" s="32"/>
      <c r="V882" s="32"/>
      <c r="W882" s="32"/>
      <c r="X882" s="32"/>
      <c r="Y882" s="32"/>
      <c r="Z882" s="32"/>
      <c r="AA882" s="32"/>
      <c r="AB882" s="32"/>
    </row>
    <row r="883" spans="1:28" ht="15.6" customHeight="1" x14ac:dyDescent="0.25">
      <c r="A883" s="24"/>
      <c r="B883" s="24"/>
      <c r="C883" s="25"/>
      <c r="D883" s="25"/>
      <c r="E883" s="25"/>
      <c r="F883" s="25"/>
      <c r="G883" s="26"/>
      <c r="H883" s="27"/>
      <c r="I883" s="24"/>
      <c r="J883" s="24"/>
      <c r="K883" s="28"/>
      <c r="L883" s="29"/>
      <c r="M883" s="29"/>
      <c r="N883" s="29"/>
      <c r="O883" s="27"/>
      <c r="P883" s="30"/>
      <c r="Q883" s="31"/>
      <c r="R883" s="31"/>
      <c r="S883" s="32"/>
      <c r="T883" s="32"/>
      <c r="U883" s="32"/>
      <c r="V883" s="32"/>
      <c r="W883" s="32"/>
      <c r="X883" s="32"/>
      <c r="Y883" s="32"/>
      <c r="Z883" s="32"/>
      <c r="AA883" s="32"/>
      <c r="AB883" s="32"/>
    </row>
    <row r="884" spans="1:28" ht="15.6" customHeight="1" x14ac:dyDescent="0.25">
      <c r="A884" s="24"/>
      <c r="B884" s="24"/>
      <c r="C884" s="25"/>
      <c r="D884" s="25"/>
      <c r="E884" s="25"/>
      <c r="F884" s="25"/>
      <c r="G884" s="26"/>
      <c r="H884" s="27"/>
      <c r="I884" s="24"/>
      <c r="J884" s="24"/>
      <c r="K884" s="28"/>
      <c r="L884" s="29"/>
      <c r="M884" s="29"/>
      <c r="N884" s="29"/>
      <c r="O884" s="27"/>
      <c r="P884" s="30"/>
      <c r="Q884" s="31"/>
      <c r="R884" s="31"/>
      <c r="S884" s="32"/>
      <c r="T884" s="32"/>
      <c r="U884" s="32"/>
      <c r="V884" s="32"/>
      <c r="W884" s="32"/>
      <c r="X884" s="32"/>
      <c r="Y884" s="32"/>
      <c r="Z884" s="32"/>
      <c r="AA884" s="32"/>
      <c r="AB884" s="32"/>
    </row>
    <row r="885" spans="1:28" ht="15.6" customHeight="1" x14ac:dyDescent="0.25">
      <c r="A885" s="24"/>
      <c r="B885" s="24"/>
      <c r="C885" s="25"/>
      <c r="D885" s="25"/>
      <c r="E885" s="25"/>
      <c r="F885" s="25"/>
      <c r="G885" s="26"/>
      <c r="H885" s="27"/>
      <c r="I885" s="24"/>
      <c r="J885" s="24"/>
      <c r="K885" s="28"/>
      <c r="L885" s="29"/>
      <c r="M885" s="29"/>
      <c r="N885" s="29"/>
      <c r="O885" s="27"/>
      <c r="P885" s="30"/>
      <c r="Q885" s="31"/>
      <c r="R885" s="31"/>
      <c r="S885" s="32"/>
      <c r="T885" s="32"/>
      <c r="U885" s="32"/>
      <c r="V885" s="32"/>
      <c r="W885" s="32"/>
      <c r="X885" s="32"/>
      <c r="Y885" s="32"/>
      <c r="Z885" s="32"/>
      <c r="AA885" s="32"/>
      <c r="AB885" s="32"/>
    </row>
    <row r="886" spans="1:28" ht="15.6" customHeight="1" x14ac:dyDescent="0.25">
      <c r="A886" s="24"/>
      <c r="B886" s="24"/>
      <c r="C886" s="25"/>
      <c r="D886" s="25"/>
      <c r="E886" s="25"/>
      <c r="F886" s="25"/>
      <c r="G886" s="26"/>
      <c r="H886" s="27"/>
      <c r="I886" s="24"/>
      <c r="J886" s="24"/>
      <c r="K886" s="28"/>
      <c r="L886" s="29"/>
      <c r="M886" s="29"/>
      <c r="N886" s="29"/>
      <c r="O886" s="27"/>
      <c r="P886" s="30"/>
      <c r="Q886" s="31"/>
      <c r="R886" s="31"/>
      <c r="S886" s="32"/>
      <c r="T886" s="32"/>
      <c r="U886" s="32"/>
      <c r="V886" s="32"/>
      <c r="W886" s="32"/>
      <c r="X886" s="32"/>
      <c r="Y886" s="32"/>
      <c r="Z886" s="32"/>
      <c r="AA886" s="32"/>
      <c r="AB886" s="32"/>
    </row>
    <row r="887" spans="1:28" ht="15.6" customHeight="1" x14ac:dyDescent="0.25">
      <c r="A887" s="24"/>
      <c r="B887" s="24"/>
      <c r="C887" s="25"/>
      <c r="D887" s="25"/>
      <c r="E887" s="25"/>
      <c r="F887" s="25"/>
      <c r="G887" s="26"/>
      <c r="H887" s="27"/>
      <c r="I887" s="24"/>
      <c r="J887" s="24"/>
      <c r="K887" s="28"/>
      <c r="L887" s="29"/>
      <c r="M887" s="29"/>
      <c r="N887" s="29"/>
      <c r="O887" s="27"/>
      <c r="P887" s="30"/>
      <c r="Q887" s="31"/>
      <c r="R887" s="31"/>
      <c r="S887" s="32"/>
      <c r="T887" s="32"/>
      <c r="U887" s="32"/>
      <c r="V887" s="32"/>
      <c r="W887" s="32"/>
      <c r="X887" s="32"/>
      <c r="Y887" s="32"/>
      <c r="Z887" s="32"/>
      <c r="AA887" s="32"/>
      <c r="AB887" s="32"/>
    </row>
    <row r="888" spans="1:28" ht="15.6" customHeight="1" x14ac:dyDescent="0.25">
      <c r="A888" s="24"/>
      <c r="B888" s="24"/>
      <c r="C888" s="25"/>
      <c r="D888" s="25"/>
      <c r="E888" s="25"/>
      <c r="F888" s="25"/>
      <c r="G888" s="26"/>
      <c r="H888" s="27"/>
      <c r="I888" s="24"/>
      <c r="J888" s="24"/>
      <c r="K888" s="28"/>
      <c r="L888" s="29"/>
      <c r="M888" s="29"/>
      <c r="N888" s="29"/>
      <c r="O888" s="27"/>
      <c r="P888" s="30"/>
      <c r="Q888" s="31"/>
      <c r="R888" s="31"/>
      <c r="S888" s="32"/>
      <c r="T888" s="32"/>
      <c r="U888" s="32"/>
      <c r="V888" s="32"/>
      <c r="W888" s="32"/>
      <c r="X888" s="32"/>
      <c r="Y888" s="32"/>
      <c r="Z888" s="32"/>
      <c r="AA888" s="32"/>
      <c r="AB888" s="32"/>
    </row>
    <row r="889" spans="1:28" ht="15.6" customHeight="1" x14ac:dyDescent="0.25">
      <c r="A889" s="24"/>
      <c r="B889" s="24"/>
      <c r="C889" s="25"/>
      <c r="D889" s="25"/>
      <c r="E889" s="25"/>
      <c r="F889" s="25"/>
      <c r="G889" s="26"/>
      <c r="H889" s="27"/>
      <c r="I889" s="24"/>
      <c r="J889" s="24"/>
      <c r="K889" s="28"/>
      <c r="L889" s="29"/>
      <c r="M889" s="29"/>
      <c r="N889" s="29"/>
      <c r="O889" s="27"/>
      <c r="P889" s="30"/>
      <c r="Q889" s="31"/>
      <c r="R889" s="31"/>
      <c r="S889" s="32"/>
      <c r="T889" s="32"/>
      <c r="U889" s="32"/>
      <c r="V889" s="32"/>
      <c r="W889" s="32"/>
      <c r="X889" s="32"/>
      <c r="Y889" s="32"/>
      <c r="Z889" s="32"/>
      <c r="AA889" s="32"/>
      <c r="AB889" s="32"/>
    </row>
    <row r="890" spans="1:28" ht="15.6" customHeight="1" x14ac:dyDescent="0.25">
      <c r="A890" s="24"/>
      <c r="B890" s="24"/>
      <c r="C890" s="25"/>
      <c r="D890" s="25"/>
      <c r="E890" s="25"/>
      <c r="F890" s="25"/>
      <c r="G890" s="26"/>
      <c r="H890" s="27"/>
      <c r="I890" s="24"/>
      <c r="J890" s="24"/>
      <c r="K890" s="28"/>
      <c r="L890" s="29"/>
      <c r="M890" s="29"/>
      <c r="N890" s="29"/>
      <c r="O890" s="27"/>
      <c r="P890" s="30"/>
      <c r="Q890" s="31"/>
      <c r="R890" s="31"/>
      <c r="S890" s="32"/>
      <c r="T890" s="32"/>
      <c r="U890" s="32"/>
      <c r="V890" s="32"/>
      <c r="W890" s="32"/>
      <c r="X890" s="32"/>
      <c r="Y890" s="32"/>
      <c r="Z890" s="32"/>
      <c r="AA890" s="32"/>
      <c r="AB890" s="32"/>
    </row>
    <row r="891" spans="1:28" ht="15.6" customHeight="1" x14ac:dyDescent="0.25">
      <c r="A891" s="24"/>
      <c r="B891" s="24"/>
      <c r="C891" s="25"/>
      <c r="D891" s="25"/>
      <c r="E891" s="25"/>
      <c r="F891" s="25"/>
      <c r="G891" s="26"/>
      <c r="H891" s="27"/>
      <c r="I891" s="24"/>
      <c r="J891" s="24"/>
      <c r="K891" s="28"/>
      <c r="L891" s="29"/>
      <c r="M891" s="29"/>
      <c r="N891" s="29"/>
      <c r="O891" s="27"/>
      <c r="P891" s="30"/>
      <c r="Q891" s="31"/>
      <c r="R891" s="31"/>
      <c r="S891" s="32"/>
      <c r="T891" s="32"/>
      <c r="U891" s="32"/>
      <c r="V891" s="32"/>
      <c r="W891" s="32"/>
      <c r="X891" s="32"/>
      <c r="Y891" s="32"/>
      <c r="Z891" s="32"/>
      <c r="AA891" s="32"/>
      <c r="AB891" s="32"/>
    </row>
    <row r="892" spans="1:28" ht="15.6" customHeight="1" x14ac:dyDescent="0.25">
      <c r="A892" s="24"/>
      <c r="B892" s="24"/>
      <c r="C892" s="25"/>
      <c r="D892" s="25"/>
      <c r="E892" s="25"/>
      <c r="F892" s="25"/>
      <c r="G892" s="26"/>
      <c r="H892" s="27"/>
      <c r="I892" s="24"/>
      <c r="J892" s="24"/>
      <c r="K892" s="28"/>
      <c r="L892" s="29"/>
      <c r="M892" s="29"/>
      <c r="N892" s="29"/>
      <c r="O892" s="27"/>
      <c r="P892" s="30"/>
      <c r="Q892" s="31"/>
      <c r="R892" s="31"/>
      <c r="S892" s="32"/>
      <c r="T892" s="32"/>
      <c r="U892" s="32"/>
      <c r="V892" s="32"/>
      <c r="W892" s="32"/>
      <c r="X892" s="32"/>
      <c r="Y892" s="32"/>
      <c r="Z892" s="32"/>
      <c r="AA892" s="32"/>
      <c r="AB892" s="32"/>
    </row>
    <row r="893" spans="1:28" ht="15.6" customHeight="1" x14ac:dyDescent="0.25">
      <c r="A893" s="24"/>
      <c r="B893" s="24"/>
      <c r="C893" s="25"/>
      <c r="D893" s="25"/>
      <c r="E893" s="25"/>
      <c r="F893" s="25"/>
      <c r="G893" s="26"/>
      <c r="H893" s="27"/>
      <c r="I893" s="24"/>
      <c r="J893" s="24"/>
      <c r="K893" s="28"/>
      <c r="L893" s="29"/>
      <c r="M893" s="29"/>
      <c r="N893" s="29"/>
      <c r="O893" s="27"/>
      <c r="P893" s="30"/>
      <c r="Q893" s="31"/>
      <c r="R893" s="31"/>
      <c r="S893" s="32"/>
      <c r="T893" s="32"/>
      <c r="U893" s="32"/>
      <c r="V893" s="32"/>
      <c r="W893" s="32"/>
      <c r="X893" s="32"/>
      <c r="Y893" s="32"/>
      <c r="Z893" s="32"/>
      <c r="AA893" s="32"/>
      <c r="AB893" s="32"/>
    </row>
    <row r="894" spans="1:28" ht="15.6" customHeight="1" x14ac:dyDescent="0.25">
      <c r="A894" s="24"/>
      <c r="B894" s="24"/>
      <c r="C894" s="25"/>
      <c r="D894" s="25"/>
      <c r="E894" s="25"/>
      <c r="F894" s="25"/>
      <c r="G894" s="26"/>
      <c r="H894" s="27"/>
      <c r="I894" s="24"/>
      <c r="J894" s="24"/>
      <c r="K894" s="28"/>
      <c r="L894" s="29"/>
      <c r="M894" s="29"/>
      <c r="N894" s="29"/>
      <c r="O894" s="27"/>
      <c r="P894" s="30"/>
      <c r="Q894" s="31"/>
      <c r="R894" s="31"/>
      <c r="S894" s="32"/>
      <c r="T894" s="32"/>
      <c r="U894" s="32"/>
      <c r="V894" s="32"/>
      <c r="W894" s="32"/>
      <c r="X894" s="32"/>
      <c r="Y894" s="32"/>
      <c r="Z894" s="32"/>
      <c r="AA894" s="32"/>
      <c r="AB894" s="32"/>
    </row>
    <row r="895" spans="1:28" ht="15.6" customHeight="1" x14ac:dyDescent="0.25">
      <c r="A895" s="24"/>
      <c r="B895" s="24"/>
      <c r="C895" s="25"/>
      <c r="D895" s="25"/>
      <c r="E895" s="25"/>
      <c r="F895" s="25"/>
      <c r="G895" s="26"/>
      <c r="H895" s="27"/>
      <c r="I895" s="24"/>
      <c r="J895" s="24"/>
      <c r="K895" s="28"/>
      <c r="L895" s="29"/>
      <c r="M895" s="29"/>
      <c r="N895" s="29"/>
      <c r="O895" s="27"/>
      <c r="P895" s="30"/>
      <c r="Q895" s="31"/>
      <c r="R895" s="31"/>
      <c r="S895" s="32"/>
      <c r="T895" s="32"/>
      <c r="U895" s="32"/>
      <c r="V895" s="32"/>
      <c r="W895" s="32"/>
      <c r="X895" s="32"/>
      <c r="Y895" s="32"/>
      <c r="Z895" s="32"/>
      <c r="AA895" s="32"/>
      <c r="AB895" s="32"/>
    </row>
    <row r="896" spans="1:28" ht="15.6" customHeight="1" x14ac:dyDescent="0.25">
      <c r="A896" s="24"/>
      <c r="B896" s="24"/>
      <c r="C896" s="25"/>
      <c r="D896" s="25"/>
      <c r="E896" s="25"/>
      <c r="F896" s="25"/>
      <c r="G896" s="26"/>
      <c r="H896" s="27"/>
      <c r="I896" s="24"/>
      <c r="J896" s="24"/>
      <c r="K896" s="28"/>
      <c r="L896" s="29"/>
      <c r="M896" s="29"/>
      <c r="N896" s="29"/>
      <c r="O896" s="27"/>
      <c r="P896" s="30"/>
      <c r="Q896" s="31"/>
      <c r="R896" s="31"/>
      <c r="S896" s="32"/>
      <c r="T896" s="32"/>
      <c r="U896" s="32"/>
      <c r="V896" s="32"/>
      <c r="W896" s="32"/>
      <c r="X896" s="32"/>
      <c r="Y896" s="32"/>
      <c r="Z896" s="32"/>
      <c r="AA896" s="32"/>
      <c r="AB896" s="32"/>
    </row>
    <row r="897" spans="1:28" ht="15.6" customHeight="1" x14ac:dyDescent="0.25">
      <c r="A897" s="24"/>
      <c r="B897" s="24"/>
      <c r="C897" s="25"/>
      <c r="D897" s="25"/>
      <c r="E897" s="25"/>
      <c r="F897" s="25"/>
      <c r="G897" s="26"/>
      <c r="H897" s="27"/>
      <c r="I897" s="24"/>
      <c r="J897" s="24"/>
      <c r="K897" s="28"/>
      <c r="L897" s="29"/>
      <c r="M897" s="29"/>
      <c r="N897" s="29"/>
      <c r="O897" s="27"/>
      <c r="P897" s="30"/>
      <c r="Q897" s="31"/>
      <c r="R897" s="31"/>
      <c r="S897" s="32"/>
      <c r="T897" s="32"/>
      <c r="U897" s="32"/>
      <c r="V897" s="32"/>
      <c r="W897" s="32"/>
      <c r="X897" s="32"/>
      <c r="Y897" s="32"/>
      <c r="Z897" s="32"/>
      <c r="AA897" s="32"/>
      <c r="AB897" s="32"/>
    </row>
    <row r="898" spans="1:28" ht="15.6" customHeight="1" x14ac:dyDescent="0.25">
      <c r="A898" s="24"/>
      <c r="B898" s="24"/>
      <c r="C898" s="25"/>
      <c r="D898" s="25"/>
      <c r="E898" s="25"/>
      <c r="F898" s="25"/>
      <c r="G898" s="26"/>
      <c r="H898" s="27"/>
      <c r="I898" s="24"/>
      <c r="J898" s="24"/>
      <c r="K898" s="28"/>
      <c r="L898" s="29"/>
      <c r="M898" s="29"/>
      <c r="N898" s="29"/>
      <c r="O898" s="27"/>
      <c r="P898" s="30"/>
      <c r="Q898" s="31"/>
      <c r="R898" s="31"/>
      <c r="S898" s="32"/>
      <c r="T898" s="32"/>
      <c r="U898" s="32"/>
      <c r="V898" s="32"/>
      <c r="W898" s="32"/>
      <c r="X898" s="32"/>
      <c r="Y898" s="32"/>
      <c r="Z898" s="32"/>
      <c r="AA898" s="32"/>
      <c r="AB898" s="32"/>
    </row>
    <row r="899" spans="1:28" ht="15.6" customHeight="1" x14ac:dyDescent="0.25">
      <c r="A899" s="24"/>
      <c r="B899" s="24"/>
      <c r="C899" s="25"/>
      <c r="D899" s="25"/>
      <c r="E899" s="25"/>
      <c r="F899" s="25"/>
      <c r="G899" s="26"/>
      <c r="H899" s="27"/>
      <c r="I899" s="24"/>
      <c r="J899" s="24"/>
      <c r="K899" s="28"/>
      <c r="L899" s="29"/>
      <c r="M899" s="29"/>
      <c r="N899" s="29"/>
      <c r="O899" s="27"/>
      <c r="P899" s="30"/>
      <c r="Q899" s="31"/>
      <c r="R899" s="31"/>
      <c r="S899" s="32"/>
      <c r="T899" s="32"/>
      <c r="U899" s="32"/>
      <c r="V899" s="32"/>
      <c r="W899" s="32"/>
      <c r="X899" s="32"/>
      <c r="Y899" s="32"/>
      <c r="Z899" s="32"/>
      <c r="AA899" s="32"/>
      <c r="AB899" s="32"/>
    </row>
    <row r="900" spans="1:28" ht="15.6" customHeight="1" x14ac:dyDescent="0.25">
      <c r="A900" s="24"/>
      <c r="B900" s="24"/>
      <c r="C900" s="25"/>
      <c r="D900" s="25"/>
      <c r="E900" s="25"/>
      <c r="F900" s="25"/>
      <c r="G900" s="26"/>
      <c r="H900" s="27"/>
      <c r="I900" s="24"/>
      <c r="J900" s="24"/>
      <c r="K900" s="28"/>
      <c r="L900" s="29"/>
      <c r="M900" s="29"/>
      <c r="N900" s="29"/>
      <c r="O900" s="27"/>
      <c r="P900" s="30"/>
      <c r="Q900" s="31"/>
      <c r="R900" s="31"/>
      <c r="S900" s="32"/>
      <c r="T900" s="32"/>
      <c r="U900" s="32"/>
      <c r="V900" s="32"/>
      <c r="W900" s="32"/>
      <c r="X900" s="32"/>
      <c r="Y900" s="32"/>
      <c r="Z900" s="32"/>
      <c r="AA900" s="32"/>
      <c r="AB900" s="32"/>
    </row>
    <row r="901" spans="1:28" ht="15.6" customHeight="1" x14ac:dyDescent="0.25">
      <c r="A901" s="24"/>
      <c r="B901" s="24"/>
      <c r="C901" s="25"/>
      <c r="D901" s="25"/>
      <c r="E901" s="25"/>
      <c r="F901" s="25"/>
      <c r="G901" s="26"/>
      <c r="H901" s="27"/>
      <c r="I901" s="24"/>
      <c r="J901" s="24"/>
      <c r="K901" s="28"/>
      <c r="L901" s="29"/>
      <c r="M901" s="29"/>
      <c r="N901" s="29"/>
      <c r="O901" s="27"/>
      <c r="P901" s="30"/>
      <c r="Q901" s="31"/>
      <c r="R901" s="31"/>
      <c r="S901" s="32"/>
      <c r="T901" s="32"/>
      <c r="U901" s="32"/>
      <c r="V901" s="32"/>
      <c r="W901" s="32"/>
      <c r="X901" s="32"/>
      <c r="Y901" s="32"/>
      <c r="Z901" s="32"/>
      <c r="AA901" s="32"/>
      <c r="AB901" s="32"/>
    </row>
    <row r="902" spans="1:28" ht="15.6" customHeight="1" x14ac:dyDescent="0.25">
      <c r="A902" s="24"/>
      <c r="B902" s="24"/>
      <c r="C902" s="25"/>
      <c r="D902" s="25"/>
      <c r="E902" s="25"/>
      <c r="F902" s="25"/>
      <c r="G902" s="26"/>
      <c r="H902" s="27"/>
      <c r="I902" s="24"/>
      <c r="J902" s="24"/>
      <c r="K902" s="28"/>
      <c r="L902" s="29"/>
      <c r="M902" s="29"/>
      <c r="N902" s="29"/>
      <c r="O902" s="27"/>
      <c r="P902" s="30"/>
      <c r="Q902" s="31"/>
      <c r="R902" s="31"/>
      <c r="S902" s="32"/>
      <c r="T902" s="32"/>
      <c r="U902" s="32"/>
      <c r="V902" s="32"/>
      <c r="W902" s="32"/>
      <c r="X902" s="32"/>
      <c r="Y902" s="32"/>
      <c r="Z902" s="32"/>
      <c r="AA902" s="32"/>
      <c r="AB902" s="32"/>
    </row>
    <row r="903" spans="1:28" ht="15.6" customHeight="1" x14ac:dyDescent="0.25">
      <c r="A903" s="24"/>
      <c r="B903" s="24"/>
      <c r="C903" s="25"/>
      <c r="D903" s="25"/>
      <c r="E903" s="25"/>
      <c r="F903" s="25"/>
      <c r="G903" s="26"/>
      <c r="H903" s="27"/>
      <c r="I903" s="24"/>
      <c r="J903" s="24"/>
      <c r="K903" s="28"/>
      <c r="L903" s="29"/>
      <c r="M903" s="29"/>
      <c r="N903" s="29"/>
      <c r="O903" s="27"/>
      <c r="P903" s="30"/>
      <c r="Q903" s="31"/>
      <c r="R903" s="31"/>
      <c r="S903" s="32"/>
      <c r="T903" s="32"/>
      <c r="U903" s="32"/>
      <c r="V903" s="32"/>
      <c r="W903" s="32"/>
      <c r="X903" s="32"/>
      <c r="Y903" s="32"/>
      <c r="Z903" s="32"/>
      <c r="AA903" s="32"/>
      <c r="AB903" s="32"/>
    </row>
    <row r="904" spans="1:28" ht="15.6" customHeight="1" x14ac:dyDescent="0.25">
      <c r="A904" s="24"/>
      <c r="B904" s="24"/>
      <c r="C904" s="25"/>
      <c r="D904" s="25"/>
      <c r="E904" s="25"/>
      <c r="F904" s="25"/>
      <c r="G904" s="26"/>
      <c r="H904" s="27"/>
      <c r="I904" s="24"/>
      <c r="J904" s="24"/>
      <c r="K904" s="28"/>
      <c r="L904" s="29"/>
      <c r="M904" s="29"/>
      <c r="N904" s="29"/>
      <c r="O904" s="27"/>
      <c r="P904" s="30"/>
      <c r="Q904" s="31"/>
      <c r="R904" s="31"/>
      <c r="S904" s="32"/>
      <c r="T904" s="32"/>
      <c r="U904" s="32"/>
      <c r="V904" s="32"/>
      <c r="W904" s="32"/>
      <c r="X904" s="32"/>
      <c r="Y904" s="32"/>
      <c r="Z904" s="32"/>
      <c r="AA904" s="32"/>
      <c r="AB904" s="32"/>
    </row>
    <row r="905" spans="1:28" ht="15.6" customHeight="1" x14ac:dyDescent="0.25">
      <c r="A905" s="24"/>
      <c r="B905" s="24"/>
      <c r="C905" s="25"/>
      <c r="D905" s="25"/>
      <c r="E905" s="25"/>
      <c r="F905" s="25"/>
      <c r="G905" s="26"/>
      <c r="H905" s="27"/>
      <c r="I905" s="24"/>
      <c r="J905" s="24"/>
      <c r="K905" s="28"/>
      <c r="L905" s="29"/>
      <c r="M905" s="29"/>
      <c r="N905" s="29"/>
      <c r="O905" s="27"/>
      <c r="P905" s="30"/>
      <c r="Q905" s="31"/>
      <c r="R905" s="31"/>
      <c r="S905" s="32"/>
      <c r="T905" s="32"/>
      <c r="U905" s="32"/>
      <c r="V905" s="32"/>
      <c r="W905" s="32"/>
      <c r="X905" s="32"/>
      <c r="Y905" s="32"/>
      <c r="Z905" s="32"/>
      <c r="AA905" s="32"/>
      <c r="AB905" s="32"/>
    </row>
    <row r="906" spans="1:28" ht="15.6" customHeight="1" x14ac:dyDescent="0.25">
      <c r="A906" s="24"/>
      <c r="B906" s="24"/>
      <c r="C906" s="25"/>
      <c r="D906" s="25"/>
      <c r="E906" s="25"/>
      <c r="F906" s="25"/>
      <c r="G906" s="26"/>
      <c r="H906" s="27"/>
      <c r="I906" s="24"/>
      <c r="J906" s="24"/>
      <c r="K906" s="28"/>
      <c r="L906" s="29"/>
      <c r="M906" s="29"/>
      <c r="N906" s="29"/>
      <c r="O906" s="27"/>
      <c r="P906" s="30"/>
      <c r="Q906" s="31"/>
      <c r="R906" s="31"/>
      <c r="S906" s="32"/>
      <c r="T906" s="32"/>
      <c r="U906" s="32"/>
      <c r="V906" s="32"/>
      <c r="W906" s="32"/>
      <c r="X906" s="32"/>
      <c r="Y906" s="32"/>
      <c r="Z906" s="32"/>
      <c r="AA906" s="32"/>
      <c r="AB906" s="32"/>
    </row>
    <row r="907" spans="1:28" ht="15.6" customHeight="1" x14ac:dyDescent="0.25">
      <c r="A907" s="24"/>
      <c r="B907" s="24"/>
      <c r="C907" s="25"/>
      <c r="D907" s="25"/>
      <c r="E907" s="25"/>
      <c r="F907" s="25"/>
      <c r="G907" s="26"/>
      <c r="H907" s="27"/>
      <c r="I907" s="24"/>
      <c r="J907" s="24"/>
      <c r="K907" s="28"/>
      <c r="L907" s="29"/>
      <c r="M907" s="29"/>
      <c r="N907" s="29"/>
      <c r="O907" s="27"/>
      <c r="P907" s="30"/>
      <c r="Q907" s="31"/>
      <c r="R907" s="31"/>
      <c r="S907" s="32"/>
      <c r="T907" s="32"/>
      <c r="U907" s="32"/>
      <c r="V907" s="32"/>
      <c r="W907" s="32"/>
      <c r="X907" s="32"/>
      <c r="Y907" s="32"/>
      <c r="Z907" s="32"/>
      <c r="AA907" s="32"/>
      <c r="AB907" s="32"/>
    </row>
    <row r="908" spans="1:28" ht="15.6" customHeight="1" x14ac:dyDescent="0.25">
      <c r="A908" s="24"/>
      <c r="B908" s="24"/>
      <c r="C908" s="25"/>
      <c r="D908" s="25"/>
      <c r="E908" s="25"/>
      <c r="F908" s="25"/>
      <c r="G908" s="26"/>
      <c r="H908" s="27"/>
      <c r="I908" s="24"/>
      <c r="J908" s="24"/>
      <c r="K908" s="28"/>
      <c r="L908" s="29"/>
      <c r="M908" s="29"/>
      <c r="N908" s="29"/>
      <c r="O908" s="27"/>
      <c r="P908" s="30"/>
      <c r="Q908" s="31"/>
      <c r="R908" s="31"/>
      <c r="S908" s="32"/>
      <c r="T908" s="32"/>
      <c r="U908" s="32"/>
      <c r="V908" s="32"/>
      <c r="W908" s="32"/>
      <c r="X908" s="32"/>
      <c r="Y908" s="32"/>
      <c r="Z908" s="32"/>
      <c r="AA908" s="32"/>
      <c r="AB908" s="32"/>
    </row>
    <row r="909" spans="1:28" ht="15.6" customHeight="1" x14ac:dyDescent="0.25">
      <c r="A909" s="24"/>
      <c r="B909" s="24"/>
      <c r="C909" s="25"/>
      <c r="D909" s="25"/>
      <c r="E909" s="25"/>
      <c r="F909" s="25"/>
      <c r="G909" s="26"/>
      <c r="H909" s="27"/>
      <c r="I909" s="24"/>
      <c r="J909" s="24"/>
      <c r="K909" s="28"/>
      <c r="L909" s="29"/>
      <c r="M909" s="29"/>
      <c r="N909" s="29"/>
      <c r="O909" s="27"/>
      <c r="P909" s="30"/>
      <c r="Q909" s="31"/>
      <c r="R909" s="31"/>
      <c r="S909" s="32"/>
      <c r="T909" s="32"/>
      <c r="U909" s="32"/>
      <c r="V909" s="32"/>
      <c r="W909" s="32"/>
      <c r="X909" s="32"/>
      <c r="Y909" s="32"/>
      <c r="Z909" s="32"/>
      <c r="AA909" s="32"/>
      <c r="AB909" s="32"/>
    </row>
    <row r="910" spans="1:28" ht="15.6" customHeight="1" x14ac:dyDescent="0.25">
      <c r="A910" s="24"/>
      <c r="B910" s="24"/>
      <c r="C910" s="25"/>
      <c r="D910" s="25"/>
      <c r="E910" s="25"/>
      <c r="F910" s="25"/>
      <c r="G910" s="26"/>
      <c r="H910" s="27"/>
      <c r="I910" s="24"/>
      <c r="J910" s="24"/>
      <c r="K910" s="28"/>
      <c r="L910" s="29"/>
      <c r="M910" s="29"/>
      <c r="N910" s="29"/>
      <c r="O910" s="27"/>
      <c r="P910" s="30"/>
      <c r="Q910" s="31"/>
      <c r="R910" s="31"/>
      <c r="S910" s="32"/>
      <c r="T910" s="32"/>
      <c r="U910" s="32"/>
      <c r="V910" s="32"/>
      <c r="W910" s="32"/>
      <c r="X910" s="32"/>
      <c r="Y910" s="32"/>
      <c r="Z910" s="32"/>
      <c r="AA910" s="32"/>
      <c r="AB910" s="32"/>
    </row>
    <row r="911" spans="1:28" ht="15.6" customHeight="1" x14ac:dyDescent="0.25">
      <c r="A911" s="24"/>
      <c r="B911" s="24"/>
      <c r="C911" s="25"/>
      <c r="D911" s="25"/>
      <c r="E911" s="25"/>
      <c r="F911" s="25"/>
      <c r="G911" s="26"/>
      <c r="H911" s="27"/>
      <c r="I911" s="24"/>
      <c r="J911" s="24"/>
      <c r="K911" s="28"/>
      <c r="L911" s="29"/>
      <c r="M911" s="29"/>
      <c r="N911" s="29"/>
      <c r="O911" s="27"/>
      <c r="P911" s="30"/>
      <c r="Q911" s="31"/>
      <c r="R911" s="31"/>
      <c r="S911" s="32"/>
      <c r="T911" s="32"/>
      <c r="U911" s="32"/>
      <c r="V911" s="32"/>
      <c r="W911" s="32"/>
      <c r="X911" s="32"/>
      <c r="Y911" s="32"/>
      <c r="Z911" s="32"/>
      <c r="AA911" s="32"/>
      <c r="AB911" s="32"/>
    </row>
    <row r="912" spans="1:28" ht="15.6" customHeight="1" x14ac:dyDescent="0.25">
      <c r="A912" s="24"/>
      <c r="B912" s="24"/>
      <c r="C912" s="25"/>
      <c r="D912" s="25"/>
      <c r="E912" s="25"/>
      <c r="F912" s="25"/>
      <c r="G912" s="26"/>
      <c r="H912" s="27"/>
      <c r="I912" s="24"/>
      <c r="J912" s="24"/>
      <c r="K912" s="28"/>
      <c r="L912" s="29"/>
      <c r="M912" s="29"/>
      <c r="N912" s="29"/>
      <c r="O912" s="27"/>
      <c r="P912" s="30"/>
      <c r="Q912" s="31"/>
      <c r="R912" s="31"/>
      <c r="S912" s="32"/>
      <c r="T912" s="32"/>
      <c r="U912" s="32"/>
      <c r="V912" s="32"/>
      <c r="W912" s="32"/>
      <c r="X912" s="32"/>
      <c r="Y912" s="32"/>
      <c r="Z912" s="32"/>
      <c r="AA912" s="32"/>
      <c r="AB912" s="32"/>
    </row>
    <row r="913" spans="1:28" ht="15.6" customHeight="1" x14ac:dyDescent="0.25">
      <c r="A913" s="24"/>
      <c r="B913" s="24"/>
      <c r="C913" s="25"/>
      <c r="D913" s="25"/>
      <c r="E913" s="25"/>
      <c r="F913" s="25"/>
      <c r="G913" s="26"/>
      <c r="H913" s="27"/>
      <c r="I913" s="24"/>
      <c r="J913" s="24"/>
      <c r="K913" s="28"/>
      <c r="L913" s="29"/>
      <c r="M913" s="29"/>
      <c r="N913" s="29"/>
      <c r="O913" s="27"/>
      <c r="P913" s="30"/>
      <c r="Q913" s="31"/>
      <c r="R913" s="31"/>
      <c r="S913" s="32"/>
      <c r="T913" s="32"/>
      <c r="U913" s="32"/>
      <c r="V913" s="32"/>
      <c r="W913" s="32"/>
      <c r="X913" s="32"/>
      <c r="Y913" s="32"/>
      <c r="Z913" s="32"/>
      <c r="AA913" s="32"/>
      <c r="AB913" s="32"/>
    </row>
    <row r="914" spans="1:28" ht="15.6" customHeight="1" x14ac:dyDescent="0.25">
      <c r="A914" s="24"/>
      <c r="B914" s="24"/>
      <c r="C914" s="25"/>
      <c r="D914" s="25"/>
      <c r="E914" s="25"/>
      <c r="F914" s="25"/>
      <c r="G914" s="26"/>
      <c r="H914" s="27"/>
      <c r="I914" s="24"/>
      <c r="J914" s="24"/>
      <c r="K914" s="28"/>
      <c r="L914" s="29"/>
      <c r="M914" s="29"/>
      <c r="N914" s="29"/>
      <c r="O914" s="27"/>
      <c r="P914" s="30"/>
      <c r="Q914" s="31"/>
      <c r="R914" s="31"/>
      <c r="S914" s="32"/>
      <c r="T914" s="32"/>
      <c r="U914" s="32"/>
      <c r="V914" s="32"/>
      <c r="W914" s="32"/>
      <c r="X914" s="32"/>
      <c r="Y914" s="32"/>
      <c r="Z914" s="32"/>
      <c r="AA914" s="32"/>
      <c r="AB914" s="32"/>
    </row>
    <row r="915" spans="1:28" ht="15.6" customHeight="1" x14ac:dyDescent="0.25">
      <c r="A915" s="24"/>
      <c r="B915" s="24"/>
      <c r="C915" s="25"/>
      <c r="D915" s="25"/>
      <c r="E915" s="25"/>
      <c r="F915" s="25"/>
      <c r="G915" s="26"/>
      <c r="H915" s="27"/>
      <c r="I915" s="24"/>
      <c r="J915" s="24"/>
      <c r="K915" s="28"/>
      <c r="L915" s="29"/>
      <c r="M915" s="29"/>
      <c r="N915" s="29"/>
      <c r="O915" s="27"/>
      <c r="P915" s="30"/>
      <c r="Q915" s="31"/>
      <c r="R915" s="31"/>
      <c r="S915" s="32"/>
      <c r="T915" s="32"/>
      <c r="U915" s="32"/>
      <c r="V915" s="32"/>
      <c r="W915" s="32"/>
      <c r="X915" s="32"/>
      <c r="Y915" s="32"/>
      <c r="Z915" s="32"/>
      <c r="AA915" s="32"/>
      <c r="AB915" s="32"/>
    </row>
    <row r="916" spans="1:28" ht="15.6" customHeight="1" x14ac:dyDescent="0.25">
      <c r="A916" s="24"/>
      <c r="B916" s="24"/>
      <c r="C916" s="25"/>
      <c r="D916" s="25"/>
      <c r="E916" s="25"/>
      <c r="F916" s="25"/>
      <c r="G916" s="26"/>
      <c r="H916" s="27"/>
      <c r="I916" s="24"/>
      <c r="J916" s="24"/>
      <c r="K916" s="28"/>
      <c r="L916" s="29"/>
      <c r="M916" s="29"/>
      <c r="N916" s="29"/>
      <c r="O916" s="27"/>
      <c r="P916" s="30"/>
      <c r="Q916" s="31"/>
      <c r="R916" s="31"/>
      <c r="S916" s="32"/>
      <c r="T916" s="32"/>
      <c r="U916" s="32"/>
      <c r="V916" s="32"/>
      <c r="W916" s="32"/>
      <c r="X916" s="32"/>
      <c r="Y916" s="32"/>
      <c r="Z916" s="32"/>
      <c r="AA916" s="32"/>
      <c r="AB916" s="32"/>
    </row>
    <row r="917" spans="1:28" ht="15.6" customHeight="1" x14ac:dyDescent="0.25">
      <c r="A917" s="24"/>
      <c r="B917" s="24"/>
      <c r="C917" s="25"/>
      <c r="D917" s="25"/>
      <c r="E917" s="25"/>
      <c r="F917" s="25"/>
      <c r="G917" s="26"/>
      <c r="H917" s="27"/>
      <c r="I917" s="24"/>
      <c r="J917" s="24"/>
      <c r="K917" s="28"/>
      <c r="L917" s="29"/>
      <c r="M917" s="29"/>
      <c r="N917" s="29"/>
      <c r="O917" s="27"/>
      <c r="P917" s="30"/>
      <c r="Q917" s="31"/>
      <c r="R917" s="31"/>
      <c r="S917" s="32"/>
      <c r="T917" s="32"/>
      <c r="U917" s="32"/>
      <c r="V917" s="32"/>
      <c r="W917" s="32"/>
      <c r="X917" s="32"/>
      <c r="Y917" s="32"/>
      <c r="Z917" s="32"/>
      <c r="AA917" s="32"/>
      <c r="AB917" s="32"/>
    </row>
    <row r="918" spans="1:28" ht="15.6" customHeight="1" x14ac:dyDescent="0.25">
      <c r="A918" s="24"/>
      <c r="B918" s="24"/>
      <c r="C918" s="25"/>
      <c r="D918" s="25"/>
      <c r="E918" s="25"/>
      <c r="F918" s="25"/>
      <c r="G918" s="26"/>
      <c r="H918" s="27"/>
      <c r="I918" s="24"/>
      <c r="J918" s="24"/>
      <c r="K918" s="28"/>
      <c r="L918" s="29"/>
      <c r="M918" s="29"/>
      <c r="N918" s="29"/>
      <c r="O918" s="27"/>
      <c r="P918" s="30"/>
      <c r="Q918" s="31"/>
      <c r="R918" s="31"/>
      <c r="S918" s="32"/>
      <c r="T918" s="32"/>
      <c r="U918" s="32"/>
      <c r="V918" s="32"/>
      <c r="W918" s="32"/>
      <c r="X918" s="32"/>
      <c r="Y918" s="32"/>
      <c r="Z918" s="32"/>
      <c r="AA918" s="32"/>
      <c r="AB918" s="32"/>
    </row>
    <row r="919" spans="1:28" ht="15.6" customHeight="1" x14ac:dyDescent="0.25">
      <c r="A919" s="24"/>
      <c r="B919" s="24"/>
      <c r="C919" s="25"/>
      <c r="D919" s="25"/>
      <c r="E919" s="25"/>
      <c r="F919" s="25"/>
      <c r="G919" s="26"/>
      <c r="H919" s="27"/>
      <c r="I919" s="24"/>
      <c r="J919" s="24"/>
      <c r="K919" s="28"/>
      <c r="L919" s="29"/>
      <c r="M919" s="29"/>
      <c r="N919" s="29"/>
      <c r="O919" s="27"/>
      <c r="P919" s="30"/>
      <c r="Q919" s="31"/>
      <c r="R919" s="31"/>
      <c r="S919" s="32"/>
      <c r="T919" s="32"/>
      <c r="U919" s="32"/>
      <c r="V919" s="32"/>
      <c r="W919" s="32"/>
      <c r="X919" s="32"/>
      <c r="Y919" s="32"/>
      <c r="Z919" s="32"/>
      <c r="AA919" s="32"/>
      <c r="AB919" s="32"/>
    </row>
    <row r="920" spans="1:28" ht="15.6" customHeight="1" x14ac:dyDescent="0.25">
      <c r="A920" s="24"/>
      <c r="B920" s="24"/>
      <c r="C920" s="25"/>
      <c r="D920" s="25"/>
      <c r="E920" s="25"/>
      <c r="F920" s="25"/>
      <c r="G920" s="26"/>
      <c r="H920" s="27"/>
      <c r="I920" s="24"/>
      <c r="J920" s="24"/>
      <c r="K920" s="28"/>
      <c r="L920" s="29"/>
      <c r="M920" s="29"/>
      <c r="N920" s="29"/>
      <c r="O920" s="27"/>
      <c r="P920" s="30"/>
      <c r="Q920" s="31"/>
      <c r="R920" s="31"/>
      <c r="S920" s="32"/>
      <c r="T920" s="32"/>
      <c r="U920" s="32"/>
      <c r="V920" s="32"/>
      <c r="W920" s="32"/>
      <c r="X920" s="32"/>
      <c r="Y920" s="32"/>
      <c r="Z920" s="32"/>
      <c r="AA920" s="32"/>
      <c r="AB920" s="32"/>
    </row>
    <row r="921" spans="1:28" ht="15.6" customHeight="1" x14ac:dyDescent="0.25">
      <c r="A921" s="24"/>
      <c r="B921" s="24"/>
      <c r="C921" s="25"/>
      <c r="D921" s="25"/>
      <c r="E921" s="25"/>
      <c r="F921" s="25"/>
      <c r="G921" s="26"/>
      <c r="H921" s="27"/>
      <c r="I921" s="24"/>
      <c r="J921" s="24"/>
      <c r="K921" s="28"/>
      <c r="L921" s="29"/>
      <c r="M921" s="29"/>
      <c r="N921" s="29"/>
      <c r="O921" s="27"/>
      <c r="P921" s="30"/>
      <c r="Q921" s="31"/>
      <c r="R921" s="31"/>
      <c r="S921" s="32"/>
      <c r="T921" s="32"/>
      <c r="U921" s="32"/>
      <c r="V921" s="32"/>
      <c r="W921" s="32"/>
      <c r="X921" s="32"/>
      <c r="Y921" s="32"/>
      <c r="Z921" s="32"/>
      <c r="AA921" s="32"/>
      <c r="AB921" s="32"/>
    </row>
    <row r="922" spans="1:28" ht="15.6" customHeight="1" x14ac:dyDescent="0.25">
      <c r="A922" s="24"/>
      <c r="B922" s="24"/>
      <c r="C922" s="25"/>
      <c r="D922" s="25"/>
      <c r="E922" s="25"/>
      <c r="F922" s="25"/>
      <c r="G922" s="26"/>
      <c r="H922" s="27"/>
      <c r="I922" s="24"/>
      <c r="J922" s="24"/>
      <c r="K922" s="28"/>
      <c r="L922" s="29"/>
      <c r="M922" s="29"/>
      <c r="N922" s="29"/>
      <c r="O922" s="27"/>
      <c r="P922" s="30"/>
      <c r="Q922" s="31"/>
      <c r="R922" s="31"/>
      <c r="S922" s="32"/>
      <c r="T922" s="32"/>
      <c r="U922" s="32"/>
      <c r="V922" s="32"/>
      <c r="W922" s="32"/>
      <c r="X922" s="32"/>
      <c r="Y922" s="32"/>
      <c r="Z922" s="32"/>
      <c r="AA922" s="32"/>
      <c r="AB922" s="32"/>
    </row>
    <row r="923" spans="1:28" ht="15.6" customHeight="1" x14ac:dyDescent="0.25">
      <c r="A923" s="24"/>
      <c r="B923" s="24"/>
      <c r="C923" s="25"/>
      <c r="D923" s="25"/>
      <c r="E923" s="25"/>
      <c r="F923" s="25"/>
      <c r="G923" s="26"/>
      <c r="H923" s="27"/>
      <c r="I923" s="24"/>
      <c r="J923" s="24"/>
      <c r="K923" s="28"/>
      <c r="L923" s="29"/>
      <c r="M923" s="29"/>
      <c r="N923" s="29"/>
      <c r="O923" s="27"/>
      <c r="P923" s="30"/>
      <c r="Q923" s="31"/>
      <c r="R923" s="31"/>
      <c r="S923" s="32"/>
      <c r="T923" s="32"/>
      <c r="U923" s="32"/>
      <c r="V923" s="32"/>
      <c r="W923" s="32"/>
      <c r="X923" s="32"/>
      <c r="Y923" s="32"/>
      <c r="Z923" s="32"/>
      <c r="AA923" s="32"/>
      <c r="AB923" s="32"/>
    </row>
    <row r="924" spans="1:28" ht="15.6" customHeight="1" x14ac:dyDescent="0.25">
      <c r="A924" s="24"/>
      <c r="B924" s="24"/>
      <c r="C924" s="25"/>
      <c r="D924" s="25"/>
      <c r="E924" s="25"/>
      <c r="F924" s="25"/>
      <c r="G924" s="26"/>
      <c r="H924" s="27"/>
      <c r="I924" s="24"/>
      <c r="J924" s="24"/>
      <c r="K924" s="28"/>
      <c r="L924" s="29"/>
      <c r="M924" s="29"/>
      <c r="N924" s="29"/>
      <c r="O924" s="27"/>
      <c r="P924" s="30"/>
      <c r="Q924" s="31"/>
      <c r="R924" s="31"/>
      <c r="S924" s="32"/>
      <c r="T924" s="32"/>
      <c r="U924" s="32"/>
      <c r="V924" s="32"/>
      <c r="W924" s="32"/>
      <c r="X924" s="32"/>
      <c r="Y924" s="32"/>
      <c r="Z924" s="32"/>
      <c r="AA924" s="32"/>
      <c r="AB924" s="32"/>
    </row>
    <row r="925" spans="1:28" ht="15.6" customHeight="1" x14ac:dyDescent="0.25">
      <c r="A925" s="24"/>
      <c r="B925" s="24"/>
      <c r="C925" s="25"/>
      <c r="D925" s="25"/>
      <c r="E925" s="25"/>
      <c r="F925" s="25"/>
      <c r="G925" s="26"/>
      <c r="H925" s="27"/>
      <c r="I925" s="24"/>
      <c r="J925" s="24"/>
      <c r="K925" s="28"/>
      <c r="L925" s="29"/>
      <c r="M925" s="29"/>
      <c r="N925" s="29"/>
      <c r="O925" s="27"/>
      <c r="P925" s="30"/>
      <c r="Q925" s="31"/>
      <c r="R925" s="31"/>
      <c r="S925" s="32"/>
      <c r="T925" s="32"/>
      <c r="U925" s="32"/>
      <c r="V925" s="32"/>
      <c r="W925" s="32"/>
      <c r="X925" s="32"/>
      <c r="Y925" s="32"/>
      <c r="Z925" s="32"/>
      <c r="AA925" s="32"/>
      <c r="AB925" s="32"/>
    </row>
    <row r="926" spans="1:28" ht="15.6" customHeight="1" x14ac:dyDescent="0.25">
      <c r="A926" s="24"/>
      <c r="B926" s="24"/>
      <c r="C926" s="25"/>
      <c r="D926" s="25"/>
      <c r="E926" s="25"/>
      <c r="F926" s="25"/>
      <c r="G926" s="26"/>
      <c r="H926" s="27"/>
      <c r="I926" s="24"/>
      <c r="J926" s="24"/>
      <c r="K926" s="28"/>
      <c r="L926" s="29"/>
      <c r="M926" s="29"/>
      <c r="N926" s="29"/>
      <c r="O926" s="27"/>
      <c r="P926" s="30"/>
      <c r="Q926" s="31"/>
      <c r="R926" s="31"/>
      <c r="S926" s="32"/>
      <c r="T926" s="32"/>
      <c r="U926" s="32"/>
      <c r="V926" s="32"/>
      <c r="W926" s="32"/>
      <c r="X926" s="32"/>
      <c r="Y926" s="32"/>
      <c r="Z926" s="32"/>
      <c r="AA926" s="32"/>
      <c r="AB926" s="32"/>
    </row>
    <row r="927" spans="1:28" ht="15.6" customHeight="1" x14ac:dyDescent="0.25">
      <c r="A927" s="24"/>
      <c r="B927" s="24"/>
      <c r="C927" s="25"/>
      <c r="D927" s="25"/>
      <c r="E927" s="25"/>
      <c r="F927" s="25"/>
      <c r="G927" s="26"/>
      <c r="H927" s="27"/>
      <c r="I927" s="24"/>
      <c r="J927" s="24"/>
      <c r="K927" s="28"/>
      <c r="L927" s="29"/>
      <c r="M927" s="29"/>
      <c r="N927" s="29"/>
      <c r="O927" s="27"/>
      <c r="P927" s="30"/>
      <c r="Q927" s="31"/>
      <c r="R927" s="31"/>
      <c r="S927" s="32"/>
      <c r="T927" s="32"/>
      <c r="U927" s="32"/>
      <c r="V927" s="32"/>
      <c r="W927" s="32"/>
      <c r="X927" s="32"/>
      <c r="Y927" s="32"/>
      <c r="Z927" s="32"/>
      <c r="AA927" s="32"/>
      <c r="AB927" s="32"/>
    </row>
    <row r="928" spans="1:28" ht="15.6" customHeight="1" x14ac:dyDescent="0.25">
      <c r="A928" s="24"/>
      <c r="B928" s="24"/>
      <c r="C928" s="25"/>
      <c r="D928" s="25"/>
      <c r="E928" s="25"/>
      <c r="F928" s="25"/>
      <c r="G928" s="26"/>
      <c r="H928" s="27"/>
      <c r="I928" s="24"/>
      <c r="J928" s="24"/>
      <c r="K928" s="28"/>
      <c r="L928" s="29"/>
      <c r="M928" s="29"/>
      <c r="N928" s="29"/>
      <c r="O928" s="27"/>
      <c r="P928" s="30"/>
      <c r="Q928" s="31"/>
      <c r="R928" s="31"/>
      <c r="S928" s="32"/>
      <c r="T928" s="32"/>
      <c r="U928" s="32"/>
      <c r="V928" s="32"/>
      <c r="W928" s="32"/>
      <c r="X928" s="32"/>
      <c r="Y928" s="32"/>
      <c r="Z928" s="32"/>
      <c r="AA928" s="32"/>
      <c r="AB928" s="32"/>
    </row>
    <row r="929" spans="1:28" ht="15.6" customHeight="1" x14ac:dyDescent="0.25">
      <c r="A929" s="24"/>
      <c r="B929" s="24"/>
      <c r="C929" s="25"/>
      <c r="D929" s="25"/>
      <c r="E929" s="25"/>
      <c r="F929" s="25"/>
      <c r="G929" s="26"/>
      <c r="H929" s="27"/>
      <c r="I929" s="24"/>
      <c r="J929" s="24"/>
      <c r="K929" s="28"/>
      <c r="L929" s="29"/>
      <c r="M929" s="29"/>
      <c r="N929" s="29"/>
      <c r="O929" s="27"/>
      <c r="P929" s="30"/>
      <c r="Q929" s="31"/>
      <c r="R929" s="31"/>
      <c r="S929" s="32"/>
      <c r="T929" s="32"/>
      <c r="U929" s="32"/>
      <c r="V929" s="32"/>
      <c r="W929" s="32"/>
      <c r="X929" s="32"/>
      <c r="Y929" s="32"/>
      <c r="Z929" s="32"/>
      <c r="AA929" s="32"/>
      <c r="AB929" s="32"/>
    </row>
    <row r="930" spans="1:28" ht="15.6" customHeight="1" x14ac:dyDescent="0.25">
      <c r="A930" s="24"/>
      <c r="B930" s="24"/>
      <c r="C930" s="25"/>
      <c r="D930" s="25"/>
      <c r="E930" s="25"/>
      <c r="F930" s="25"/>
      <c r="G930" s="26"/>
      <c r="H930" s="27"/>
      <c r="I930" s="24"/>
      <c r="J930" s="24"/>
      <c r="K930" s="28"/>
      <c r="L930" s="29"/>
      <c r="M930" s="29"/>
      <c r="N930" s="29"/>
      <c r="O930" s="27"/>
      <c r="P930" s="30"/>
      <c r="Q930" s="31"/>
      <c r="R930" s="31"/>
      <c r="S930" s="32"/>
      <c r="T930" s="32"/>
      <c r="U930" s="32"/>
      <c r="V930" s="32"/>
      <c r="W930" s="32"/>
      <c r="X930" s="32"/>
      <c r="Y930" s="32"/>
      <c r="Z930" s="32"/>
      <c r="AA930" s="32"/>
      <c r="AB930" s="32"/>
    </row>
    <row r="931" spans="1:28" ht="15.6" customHeight="1" x14ac:dyDescent="0.25">
      <c r="A931" s="24"/>
      <c r="B931" s="24"/>
      <c r="C931" s="25"/>
      <c r="D931" s="25"/>
      <c r="E931" s="25"/>
      <c r="F931" s="25"/>
      <c r="G931" s="26"/>
      <c r="H931" s="27"/>
      <c r="I931" s="24"/>
      <c r="J931" s="24"/>
      <c r="K931" s="28"/>
      <c r="L931" s="29"/>
      <c r="M931" s="29"/>
      <c r="N931" s="29"/>
      <c r="O931" s="27"/>
      <c r="P931" s="30"/>
      <c r="Q931" s="31"/>
      <c r="R931" s="31"/>
      <c r="S931" s="32"/>
      <c r="T931" s="32"/>
      <c r="U931" s="32"/>
      <c r="V931" s="32"/>
      <c r="W931" s="32"/>
      <c r="X931" s="32"/>
      <c r="Y931" s="32"/>
      <c r="Z931" s="32"/>
      <c r="AA931" s="32"/>
      <c r="AB931" s="32"/>
    </row>
    <row r="932" spans="1:28" ht="15.6" customHeight="1" x14ac:dyDescent="0.25">
      <c r="A932" s="24"/>
      <c r="B932" s="24"/>
      <c r="C932" s="25"/>
      <c r="D932" s="25"/>
      <c r="E932" s="25"/>
      <c r="F932" s="25"/>
      <c r="G932" s="26"/>
      <c r="H932" s="27"/>
      <c r="I932" s="24"/>
      <c r="J932" s="24"/>
      <c r="K932" s="28"/>
      <c r="L932" s="29"/>
      <c r="M932" s="29"/>
      <c r="N932" s="29"/>
      <c r="O932" s="27"/>
      <c r="P932" s="30"/>
      <c r="Q932" s="31"/>
      <c r="R932" s="31"/>
      <c r="S932" s="32"/>
      <c r="T932" s="32"/>
      <c r="U932" s="32"/>
      <c r="V932" s="32"/>
      <c r="W932" s="32"/>
      <c r="X932" s="32"/>
      <c r="Y932" s="32"/>
      <c r="Z932" s="32"/>
      <c r="AA932" s="32"/>
      <c r="AB932" s="32"/>
    </row>
    <row r="933" spans="1:28" ht="15.6" customHeight="1" x14ac:dyDescent="0.25">
      <c r="A933" s="24"/>
      <c r="B933" s="24"/>
      <c r="C933" s="25"/>
      <c r="D933" s="25"/>
      <c r="E933" s="25"/>
      <c r="F933" s="25"/>
      <c r="G933" s="26"/>
      <c r="H933" s="27"/>
      <c r="I933" s="24"/>
      <c r="J933" s="24"/>
      <c r="K933" s="28"/>
      <c r="L933" s="29"/>
      <c r="M933" s="29"/>
      <c r="N933" s="29"/>
      <c r="O933" s="27"/>
      <c r="P933" s="30"/>
      <c r="Q933" s="31"/>
      <c r="R933" s="31"/>
      <c r="S933" s="32"/>
      <c r="T933" s="32"/>
      <c r="U933" s="32"/>
      <c r="V933" s="32"/>
      <c r="W933" s="32"/>
      <c r="X933" s="32"/>
      <c r="Y933" s="32"/>
      <c r="Z933" s="32"/>
      <c r="AA933" s="32"/>
      <c r="AB933" s="32"/>
    </row>
    <row r="934" spans="1:28" ht="15.6" customHeight="1" x14ac:dyDescent="0.25">
      <c r="A934" s="24"/>
      <c r="B934" s="24"/>
      <c r="C934" s="25"/>
      <c r="D934" s="25"/>
      <c r="E934" s="25"/>
      <c r="F934" s="25"/>
      <c r="G934" s="26"/>
      <c r="H934" s="27"/>
      <c r="I934" s="24"/>
      <c r="J934" s="24"/>
      <c r="K934" s="28"/>
      <c r="L934" s="29"/>
      <c r="M934" s="29"/>
      <c r="N934" s="29"/>
      <c r="O934" s="27"/>
      <c r="P934" s="30"/>
      <c r="Q934" s="31"/>
      <c r="R934" s="31"/>
      <c r="S934" s="32"/>
      <c r="T934" s="32"/>
      <c r="U934" s="32"/>
      <c r="V934" s="32"/>
      <c r="W934" s="32"/>
      <c r="X934" s="32"/>
      <c r="Y934" s="32"/>
      <c r="Z934" s="32"/>
      <c r="AA934" s="32"/>
      <c r="AB934" s="32"/>
    </row>
    <row r="935" spans="1:28" ht="15.6" customHeight="1" x14ac:dyDescent="0.25">
      <c r="A935" s="24"/>
      <c r="B935" s="24"/>
      <c r="C935" s="25"/>
      <c r="D935" s="25"/>
      <c r="E935" s="25"/>
      <c r="F935" s="25"/>
      <c r="G935" s="26"/>
      <c r="H935" s="27"/>
      <c r="I935" s="24"/>
      <c r="J935" s="24"/>
      <c r="K935" s="28"/>
      <c r="L935" s="29"/>
      <c r="M935" s="29"/>
      <c r="N935" s="29"/>
      <c r="O935" s="27"/>
      <c r="P935" s="30"/>
      <c r="Q935" s="31"/>
      <c r="R935" s="31"/>
      <c r="S935" s="32"/>
      <c r="T935" s="32"/>
      <c r="U935" s="32"/>
      <c r="V935" s="32"/>
      <c r="W935" s="32"/>
      <c r="X935" s="32"/>
      <c r="Y935" s="32"/>
      <c r="Z935" s="32"/>
      <c r="AA935" s="32"/>
      <c r="AB935" s="32"/>
    </row>
    <row r="936" spans="1:28" ht="15.6" customHeight="1" x14ac:dyDescent="0.25">
      <c r="A936" s="24"/>
      <c r="B936" s="24"/>
      <c r="C936" s="25"/>
      <c r="D936" s="25"/>
      <c r="E936" s="25"/>
      <c r="F936" s="25"/>
      <c r="G936" s="26"/>
      <c r="H936" s="27"/>
      <c r="I936" s="24"/>
      <c r="J936" s="24"/>
      <c r="K936" s="28"/>
      <c r="L936" s="29"/>
      <c r="M936" s="29"/>
      <c r="N936" s="29"/>
      <c r="O936" s="27"/>
      <c r="P936" s="30"/>
      <c r="Q936" s="31"/>
      <c r="R936" s="31"/>
      <c r="S936" s="32"/>
      <c r="T936" s="32"/>
      <c r="U936" s="32"/>
      <c r="V936" s="32"/>
      <c r="W936" s="32"/>
      <c r="X936" s="32"/>
      <c r="Y936" s="32"/>
      <c r="Z936" s="32"/>
      <c r="AA936" s="32"/>
      <c r="AB936" s="32"/>
    </row>
    <row r="937" spans="1:28" ht="15.6" customHeight="1" x14ac:dyDescent="0.25">
      <c r="A937" s="24"/>
      <c r="B937" s="24"/>
      <c r="C937" s="25"/>
      <c r="D937" s="25"/>
      <c r="E937" s="25"/>
      <c r="F937" s="25"/>
      <c r="G937" s="26"/>
      <c r="H937" s="27"/>
      <c r="I937" s="24"/>
      <c r="J937" s="24"/>
      <c r="K937" s="28"/>
      <c r="L937" s="29"/>
      <c r="M937" s="29"/>
      <c r="N937" s="29"/>
      <c r="O937" s="27"/>
      <c r="P937" s="30"/>
      <c r="Q937" s="31"/>
      <c r="R937" s="31"/>
      <c r="S937" s="32"/>
      <c r="T937" s="32"/>
      <c r="U937" s="32"/>
      <c r="V937" s="32"/>
      <c r="W937" s="32"/>
      <c r="X937" s="32"/>
      <c r="Y937" s="32"/>
      <c r="Z937" s="32"/>
      <c r="AA937" s="32"/>
      <c r="AB937" s="32"/>
    </row>
    <row r="938" spans="1:28" ht="15.6" customHeight="1" x14ac:dyDescent="0.25">
      <c r="A938" s="24"/>
      <c r="B938" s="24"/>
      <c r="C938" s="25"/>
      <c r="D938" s="25"/>
      <c r="E938" s="25"/>
      <c r="F938" s="25"/>
      <c r="G938" s="26"/>
      <c r="H938" s="27"/>
      <c r="I938" s="24"/>
      <c r="J938" s="24"/>
      <c r="K938" s="28"/>
      <c r="L938" s="29"/>
      <c r="M938" s="29"/>
      <c r="N938" s="29"/>
      <c r="O938" s="27"/>
      <c r="P938" s="30"/>
      <c r="Q938" s="31"/>
      <c r="R938" s="31"/>
      <c r="S938" s="32"/>
      <c r="T938" s="32"/>
      <c r="U938" s="32"/>
      <c r="V938" s="32"/>
      <c r="W938" s="32"/>
      <c r="X938" s="32"/>
      <c r="Y938" s="32"/>
      <c r="Z938" s="32"/>
      <c r="AA938" s="32"/>
      <c r="AB938" s="32"/>
    </row>
    <row r="939" spans="1:28" ht="15.6" customHeight="1" x14ac:dyDescent="0.25">
      <c r="A939" s="24"/>
      <c r="B939" s="24"/>
      <c r="C939" s="25"/>
      <c r="D939" s="25"/>
      <c r="E939" s="25"/>
      <c r="F939" s="25"/>
      <c r="G939" s="26"/>
      <c r="H939" s="27"/>
      <c r="I939" s="24"/>
      <c r="J939" s="24"/>
      <c r="K939" s="28"/>
      <c r="L939" s="29"/>
      <c r="M939" s="29"/>
      <c r="N939" s="29"/>
      <c r="O939" s="27"/>
      <c r="P939" s="30"/>
      <c r="Q939" s="31"/>
      <c r="R939" s="31"/>
      <c r="S939" s="32"/>
      <c r="T939" s="32"/>
      <c r="U939" s="32"/>
      <c r="V939" s="32"/>
      <c r="W939" s="32"/>
      <c r="X939" s="32"/>
      <c r="Y939" s="32"/>
      <c r="Z939" s="32"/>
      <c r="AA939" s="32"/>
      <c r="AB939" s="32"/>
    </row>
    <row r="940" spans="1:28" ht="15.6" customHeight="1" x14ac:dyDescent="0.25">
      <c r="A940" s="24"/>
      <c r="B940" s="24"/>
      <c r="C940" s="25"/>
      <c r="D940" s="25"/>
      <c r="E940" s="25"/>
      <c r="F940" s="25"/>
      <c r="G940" s="26"/>
      <c r="H940" s="27"/>
      <c r="I940" s="24"/>
      <c r="J940" s="24"/>
      <c r="K940" s="28"/>
      <c r="L940" s="29"/>
      <c r="M940" s="29"/>
      <c r="N940" s="29"/>
      <c r="O940" s="27"/>
      <c r="P940" s="30"/>
      <c r="Q940" s="31"/>
      <c r="R940" s="31"/>
      <c r="S940" s="32"/>
      <c r="T940" s="32"/>
      <c r="U940" s="32"/>
      <c r="V940" s="32"/>
      <c r="W940" s="32"/>
      <c r="X940" s="32"/>
      <c r="Y940" s="32"/>
      <c r="Z940" s="32"/>
      <c r="AA940" s="32"/>
      <c r="AB940" s="32"/>
    </row>
    <row r="941" spans="1:28" ht="15.6" customHeight="1" x14ac:dyDescent="0.25">
      <c r="A941" s="24"/>
      <c r="B941" s="24"/>
      <c r="C941" s="25"/>
      <c r="D941" s="25"/>
      <c r="E941" s="25"/>
      <c r="F941" s="25"/>
      <c r="G941" s="26"/>
      <c r="H941" s="27"/>
      <c r="I941" s="24"/>
      <c r="J941" s="24"/>
      <c r="K941" s="28"/>
      <c r="L941" s="29"/>
      <c r="M941" s="29"/>
      <c r="N941" s="29"/>
      <c r="O941" s="27"/>
      <c r="P941" s="30"/>
      <c r="Q941" s="31"/>
      <c r="R941" s="31"/>
      <c r="S941" s="32"/>
      <c r="T941" s="32"/>
      <c r="U941" s="32"/>
      <c r="V941" s="32"/>
      <c r="W941" s="32"/>
      <c r="X941" s="32"/>
      <c r="Y941" s="32"/>
      <c r="Z941" s="32"/>
      <c r="AA941" s="32"/>
      <c r="AB941" s="32"/>
    </row>
    <row r="942" spans="1:28" ht="15.6" customHeight="1" x14ac:dyDescent="0.25">
      <c r="A942" s="24"/>
      <c r="B942" s="24"/>
      <c r="C942" s="25"/>
      <c r="D942" s="25"/>
      <c r="E942" s="25"/>
      <c r="F942" s="25"/>
      <c r="G942" s="26"/>
      <c r="H942" s="27"/>
      <c r="I942" s="24"/>
      <c r="J942" s="24"/>
      <c r="K942" s="28"/>
      <c r="L942" s="29"/>
      <c r="M942" s="29"/>
      <c r="N942" s="29"/>
      <c r="O942" s="27"/>
      <c r="P942" s="30"/>
      <c r="Q942" s="31"/>
      <c r="R942" s="31"/>
      <c r="S942" s="32"/>
      <c r="T942" s="32"/>
      <c r="U942" s="32"/>
      <c r="V942" s="32"/>
      <c r="W942" s="32"/>
      <c r="X942" s="32"/>
      <c r="Y942" s="32"/>
      <c r="Z942" s="32"/>
      <c r="AA942" s="32"/>
      <c r="AB942" s="32"/>
    </row>
    <row r="943" spans="1:28" ht="15.6" customHeight="1" x14ac:dyDescent="0.25">
      <c r="A943" s="24"/>
      <c r="B943" s="24"/>
      <c r="C943" s="25"/>
      <c r="D943" s="25"/>
      <c r="E943" s="25"/>
      <c r="F943" s="25"/>
      <c r="G943" s="26"/>
      <c r="H943" s="27"/>
      <c r="I943" s="24"/>
      <c r="J943" s="24"/>
      <c r="K943" s="28"/>
      <c r="L943" s="29"/>
      <c r="M943" s="29"/>
      <c r="N943" s="29"/>
      <c r="O943" s="27"/>
      <c r="P943" s="30"/>
      <c r="Q943" s="31"/>
      <c r="R943" s="31"/>
      <c r="S943" s="32"/>
      <c r="T943" s="32"/>
      <c r="U943" s="32"/>
      <c r="V943" s="32"/>
      <c r="W943" s="32"/>
      <c r="X943" s="32"/>
      <c r="Y943" s="32"/>
      <c r="Z943" s="32"/>
      <c r="AA943" s="32"/>
      <c r="AB943" s="32"/>
    </row>
    <row r="944" spans="1:28" ht="15.6" customHeight="1" x14ac:dyDescent="0.25">
      <c r="A944" s="24"/>
      <c r="B944" s="24"/>
      <c r="C944" s="25"/>
      <c r="D944" s="25"/>
      <c r="E944" s="25"/>
      <c r="F944" s="25"/>
      <c r="G944" s="26"/>
      <c r="H944" s="27"/>
      <c r="I944" s="24"/>
      <c r="J944" s="24"/>
      <c r="K944" s="28"/>
      <c r="L944" s="29"/>
      <c r="M944" s="29"/>
      <c r="N944" s="29"/>
      <c r="O944" s="27"/>
      <c r="P944" s="30"/>
      <c r="Q944" s="31"/>
      <c r="R944" s="31"/>
      <c r="S944" s="32"/>
      <c r="T944" s="32"/>
      <c r="U944" s="32"/>
      <c r="V944" s="32"/>
      <c r="W944" s="32"/>
      <c r="X944" s="32"/>
      <c r="Y944" s="32"/>
      <c r="Z944" s="32"/>
      <c r="AA944" s="32"/>
      <c r="AB944" s="32"/>
    </row>
    <row r="945" spans="1:28" ht="15.6" customHeight="1" x14ac:dyDescent="0.25">
      <c r="A945" s="24"/>
      <c r="B945" s="24"/>
      <c r="C945" s="25"/>
      <c r="D945" s="25"/>
      <c r="E945" s="25"/>
      <c r="F945" s="25"/>
      <c r="G945" s="26"/>
      <c r="H945" s="27"/>
      <c r="I945" s="24"/>
      <c r="J945" s="24"/>
      <c r="K945" s="28"/>
      <c r="L945" s="29"/>
      <c r="M945" s="29"/>
      <c r="N945" s="29"/>
      <c r="O945" s="27"/>
      <c r="P945" s="30"/>
      <c r="Q945" s="31"/>
      <c r="R945" s="31"/>
      <c r="S945" s="32"/>
      <c r="T945" s="32"/>
      <c r="U945" s="32"/>
      <c r="V945" s="32"/>
      <c r="W945" s="32"/>
      <c r="X945" s="32"/>
      <c r="Y945" s="32"/>
      <c r="Z945" s="32"/>
      <c r="AA945" s="32"/>
      <c r="AB945" s="32"/>
    </row>
    <row r="946" spans="1:28" ht="15.6" customHeight="1" x14ac:dyDescent="0.25">
      <c r="A946" s="24"/>
      <c r="B946" s="24"/>
      <c r="C946" s="25"/>
      <c r="D946" s="25"/>
      <c r="E946" s="25"/>
      <c r="F946" s="25"/>
      <c r="G946" s="26"/>
      <c r="H946" s="27"/>
      <c r="I946" s="24"/>
      <c r="J946" s="24"/>
      <c r="K946" s="28"/>
      <c r="L946" s="29"/>
      <c r="M946" s="29"/>
      <c r="N946" s="29"/>
      <c r="O946" s="27"/>
      <c r="P946" s="30"/>
      <c r="Q946" s="31"/>
      <c r="R946" s="31"/>
      <c r="S946" s="32"/>
      <c r="T946" s="32"/>
      <c r="U946" s="32"/>
      <c r="V946" s="32"/>
      <c r="W946" s="32"/>
      <c r="X946" s="32"/>
      <c r="Y946" s="32"/>
      <c r="Z946" s="32"/>
      <c r="AA946" s="32"/>
      <c r="AB946" s="32"/>
    </row>
    <row r="947" spans="1:28" ht="15.6" customHeight="1" x14ac:dyDescent="0.25">
      <c r="A947" s="24"/>
      <c r="B947" s="24"/>
      <c r="C947" s="25"/>
      <c r="D947" s="25"/>
      <c r="E947" s="25"/>
      <c r="F947" s="25"/>
      <c r="G947" s="26"/>
      <c r="H947" s="27"/>
      <c r="I947" s="24"/>
      <c r="J947" s="24"/>
      <c r="K947" s="28"/>
      <c r="L947" s="29"/>
      <c r="M947" s="29"/>
      <c r="N947" s="29"/>
      <c r="O947" s="27"/>
      <c r="P947" s="30"/>
      <c r="Q947" s="31"/>
      <c r="R947" s="31"/>
      <c r="S947" s="32"/>
      <c r="T947" s="32"/>
      <c r="U947" s="32"/>
      <c r="V947" s="32"/>
      <c r="W947" s="32"/>
      <c r="X947" s="32"/>
      <c r="Y947" s="32"/>
      <c r="Z947" s="32"/>
      <c r="AA947" s="32"/>
      <c r="AB947" s="32"/>
    </row>
    <row r="948" spans="1:28" ht="15.6" customHeight="1" x14ac:dyDescent="0.25">
      <c r="A948" s="24"/>
      <c r="B948" s="24"/>
      <c r="C948" s="25"/>
      <c r="D948" s="25"/>
      <c r="E948" s="25"/>
      <c r="F948" s="25"/>
      <c r="G948" s="26"/>
      <c r="H948" s="27"/>
      <c r="I948" s="24"/>
      <c r="J948" s="24"/>
      <c r="K948" s="28"/>
      <c r="L948" s="29"/>
      <c r="M948" s="29"/>
      <c r="N948" s="29"/>
      <c r="O948" s="27"/>
      <c r="P948" s="30"/>
      <c r="Q948" s="31"/>
      <c r="R948" s="31"/>
      <c r="S948" s="32"/>
      <c r="T948" s="32"/>
      <c r="U948" s="32"/>
      <c r="V948" s="32"/>
      <c r="W948" s="32"/>
      <c r="X948" s="32"/>
      <c r="Y948" s="32"/>
      <c r="Z948" s="32"/>
      <c r="AA948" s="32"/>
      <c r="AB948" s="32"/>
    </row>
    <row r="949" spans="1:28" ht="15.6" customHeight="1" x14ac:dyDescent="0.25">
      <c r="A949" s="24"/>
      <c r="B949" s="24"/>
      <c r="C949" s="25"/>
      <c r="D949" s="25"/>
      <c r="E949" s="25"/>
      <c r="F949" s="25"/>
      <c r="G949" s="26"/>
      <c r="H949" s="27"/>
      <c r="I949" s="24"/>
      <c r="J949" s="24"/>
      <c r="K949" s="28"/>
      <c r="L949" s="29"/>
      <c r="M949" s="29"/>
      <c r="N949" s="29"/>
      <c r="O949" s="27"/>
      <c r="P949" s="30"/>
      <c r="Q949" s="31"/>
      <c r="R949" s="31"/>
      <c r="S949" s="32"/>
      <c r="T949" s="32"/>
      <c r="U949" s="32"/>
      <c r="V949" s="32"/>
      <c r="W949" s="32"/>
      <c r="X949" s="32"/>
      <c r="Y949" s="32"/>
      <c r="Z949" s="32"/>
      <c r="AA949" s="32"/>
      <c r="AB949" s="32"/>
    </row>
    <row r="950" spans="1:28" ht="15.6" customHeight="1" x14ac:dyDescent="0.25">
      <c r="A950" s="24"/>
      <c r="B950" s="24"/>
      <c r="C950" s="25"/>
      <c r="D950" s="25"/>
      <c r="E950" s="25"/>
      <c r="F950" s="25"/>
      <c r="G950" s="26"/>
      <c r="H950" s="27"/>
      <c r="I950" s="24"/>
      <c r="J950" s="24"/>
      <c r="K950" s="28"/>
      <c r="L950" s="29"/>
      <c r="M950" s="29"/>
      <c r="N950" s="29"/>
      <c r="O950" s="27"/>
      <c r="P950" s="30"/>
      <c r="Q950" s="31"/>
      <c r="R950" s="31"/>
      <c r="S950" s="32"/>
      <c r="T950" s="32"/>
      <c r="U950" s="32"/>
      <c r="V950" s="32"/>
      <c r="W950" s="32"/>
      <c r="X950" s="32"/>
      <c r="Y950" s="32"/>
      <c r="Z950" s="32"/>
      <c r="AA950" s="32"/>
      <c r="AB950" s="32"/>
    </row>
    <row r="951" spans="1:28" ht="15.6" customHeight="1" x14ac:dyDescent="0.25">
      <c r="A951" s="24"/>
      <c r="B951" s="24"/>
      <c r="C951" s="25"/>
      <c r="D951" s="25"/>
      <c r="E951" s="25"/>
      <c r="F951" s="25"/>
      <c r="G951" s="26"/>
      <c r="H951" s="27"/>
      <c r="I951" s="24"/>
      <c r="J951" s="24"/>
      <c r="K951" s="28"/>
      <c r="L951" s="29"/>
      <c r="M951" s="29"/>
      <c r="N951" s="29"/>
      <c r="O951" s="27"/>
      <c r="P951" s="30"/>
      <c r="Q951" s="31"/>
      <c r="R951" s="31"/>
      <c r="S951" s="32"/>
      <c r="T951" s="32"/>
      <c r="U951" s="32"/>
      <c r="V951" s="32"/>
      <c r="W951" s="32"/>
      <c r="X951" s="32"/>
      <c r="Y951" s="32"/>
      <c r="Z951" s="32"/>
      <c r="AA951" s="32"/>
      <c r="AB951" s="32"/>
    </row>
    <row r="952" spans="1:28" ht="15.6" customHeight="1" x14ac:dyDescent="0.25">
      <c r="A952" s="24"/>
      <c r="B952" s="24"/>
      <c r="C952" s="25"/>
      <c r="D952" s="25"/>
      <c r="E952" s="25"/>
      <c r="F952" s="25"/>
      <c r="G952" s="26"/>
      <c r="H952" s="27"/>
      <c r="I952" s="24"/>
      <c r="J952" s="24"/>
      <c r="K952" s="28"/>
      <c r="L952" s="29"/>
      <c r="M952" s="29"/>
      <c r="N952" s="29"/>
      <c r="O952" s="27"/>
      <c r="P952" s="30"/>
      <c r="Q952" s="31"/>
      <c r="R952" s="31"/>
      <c r="S952" s="32"/>
      <c r="T952" s="32"/>
      <c r="U952" s="32"/>
      <c r="V952" s="32"/>
      <c r="W952" s="32"/>
      <c r="X952" s="32"/>
      <c r="Y952" s="32"/>
      <c r="Z952" s="32"/>
      <c r="AA952" s="32"/>
      <c r="AB952" s="32"/>
    </row>
    <row r="953" spans="1:28" ht="15.6" customHeight="1" x14ac:dyDescent="0.25">
      <c r="A953" s="24"/>
      <c r="B953" s="24"/>
      <c r="C953" s="25"/>
      <c r="D953" s="25"/>
      <c r="E953" s="25"/>
      <c r="F953" s="25"/>
      <c r="G953" s="26"/>
      <c r="H953" s="27"/>
      <c r="I953" s="24"/>
      <c r="J953" s="24"/>
      <c r="K953" s="28"/>
      <c r="L953" s="29"/>
      <c r="M953" s="29"/>
      <c r="N953" s="29"/>
      <c r="O953" s="27"/>
      <c r="P953" s="30"/>
      <c r="Q953" s="31"/>
      <c r="R953" s="31"/>
      <c r="S953" s="32"/>
      <c r="T953" s="32"/>
      <c r="U953" s="32"/>
      <c r="V953" s="32"/>
      <c r="W953" s="32"/>
      <c r="X953" s="32"/>
      <c r="Y953" s="32"/>
      <c r="Z953" s="32"/>
      <c r="AA953" s="32"/>
      <c r="AB953" s="32"/>
    </row>
    <row r="954" spans="1:28" ht="15.6" customHeight="1" x14ac:dyDescent="0.25">
      <c r="A954" s="24"/>
      <c r="B954" s="24"/>
      <c r="C954" s="25"/>
      <c r="D954" s="25"/>
      <c r="E954" s="25"/>
      <c r="F954" s="25"/>
      <c r="G954" s="26"/>
      <c r="H954" s="27"/>
      <c r="I954" s="24"/>
      <c r="J954" s="24"/>
      <c r="K954" s="28"/>
      <c r="L954" s="29"/>
      <c r="M954" s="29"/>
      <c r="N954" s="29"/>
      <c r="O954" s="27"/>
      <c r="P954" s="30"/>
      <c r="Q954" s="31"/>
      <c r="R954" s="31"/>
      <c r="S954" s="32"/>
      <c r="T954" s="32"/>
      <c r="U954" s="32"/>
      <c r="V954" s="32"/>
      <c r="W954" s="32"/>
      <c r="X954" s="32"/>
      <c r="Y954" s="32"/>
      <c r="Z954" s="32"/>
      <c r="AA954" s="32"/>
      <c r="AB954" s="32"/>
    </row>
    <row r="955" spans="1:28" ht="15.6" customHeight="1" x14ac:dyDescent="0.25">
      <c r="A955" s="24"/>
      <c r="B955" s="24"/>
      <c r="C955" s="25"/>
      <c r="D955" s="25"/>
      <c r="E955" s="25"/>
      <c r="F955" s="25"/>
      <c r="G955" s="26"/>
      <c r="H955" s="27"/>
      <c r="I955" s="24"/>
      <c r="J955" s="24"/>
      <c r="K955" s="28"/>
      <c r="L955" s="29"/>
      <c r="M955" s="29"/>
      <c r="N955" s="29"/>
      <c r="O955" s="27"/>
      <c r="P955" s="30"/>
      <c r="Q955" s="31"/>
      <c r="R955" s="31"/>
      <c r="S955" s="32"/>
      <c r="T955" s="32"/>
      <c r="U955" s="32"/>
      <c r="V955" s="32"/>
      <c r="W955" s="32"/>
      <c r="X955" s="32"/>
      <c r="Y955" s="32"/>
      <c r="Z955" s="32"/>
      <c r="AA955" s="32"/>
      <c r="AB955" s="32"/>
    </row>
    <row r="956" spans="1:28" ht="15.6" customHeight="1" x14ac:dyDescent="0.25">
      <c r="A956" s="24"/>
      <c r="B956" s="24"/>
      <c r="C956" s="25"/>
      <c r="D956" s="25"/>
      <c r="E956" s="25"/>
      <c r="F956" s="25"/>
      <c r="G956" s="26"/>
      <c r="H956" s="27"/>
      <c r="I956" s="24"/>
      <c r="J956" s="24"/>
      <c r="K956" s="28"/>
      <c r="L956" s="29"/>
      <c r="M956" s="29"/>
      <c r="N956" s="29"/>
      <c r="O956" s="27"/>
      <c r="P956" s="30"/>
      <c r="Q956" s="31"/>
      <c r="R956" s="31"/>
      <c r="S956" s="32"/>
      <c r="T956" s="32"/>
      <c r="U956" s="32"/>
      <c r="V956" s="32"/>
      <c r="W956" s="32"/>
      <c r="X956" s="32"/>
      <c r="Y956" s="32"/>
      <c r="Z956" s="32"/>
      <c r="AA956" s="32"/>
      <c r="AB956" s="32"/>
    </row>
    <row r="957" spans="1:28" ht="15.6" customHeight="1" x14ac:dyDescent="0.25">
      <c r="A957" s="24"/>
      <c r="B957" s="24"/>
      <c r="C957" s="25"/>
      <c r="D957" s="25"/>
      <c r="E957" s="25"/>
      <c r="F957" s="25"/>
      <c r="G957" s="26"/>
      <c r="H957" s="27"/>
      <c r="I957" s="24"/>
      <c r="J957" s="24"/>
      <c r="K957" s="28"/>
      <c r="L957" s="29"/>
      <c r="M957" s="29"/>
      <c r="N957" s="29"/>
      <c r="O957" s="27"/>
      <c r="P957" s="30"/>
      <c r="Q957" s="31"/>
      <c r="R957" s="31"/>
      <c r="S957" s="32"/>
      <c r="T957" s="32"/>
      <c r="U957" s="32"/>
      <c r="V957" s="32"/>
      <c r="W957" s="32"/>
      <c r="X957" s="32"/>
      <c r="Y957" s="32"/>
      <c r="Z957" s="32"/>
      <c r="AA957" s="32"/>
      <c r="AB957" s="32"/>
    </row>
    <row r="958" spans="1:28" ht="15.6" customHeight="1" x14ac:dyDescent="0.25">
      <c r="A958" s="24"/>
      <c r="B958" s="24"/>
      <c r="C958" s="25"/>
      <c r="D958" s="25"/>
      <c r="E958" s="25"/>
      <c r="F958" s="25"/>
      <c r="G958" s="26"/>
      <c r="H958" s="27"/>
      <c r="I958" s="24"/>
      <c r="J958" s="24"/>
      <c r="K958" s="28"/>
      <c r="L958" s="29"/>
      <c r="M958" s="29"/>
      <c r="N958" s="29"/>
      <c r="O958" s="27"/>
      <c r="P958" s="30"/>
      <c r="Q958" s="31"/>
      <c r="R958" s="31"/>
      <c r="S958" s="32"/>
      <c r="T958" s="32"/>
      <c r="U958" s="32"/>
      <c r="V958" s="32"/>
      <c r="W958" s="32"/>
      <c r="X958" s="32"/>
      <c r="Y958" s="32"/>
      <c r="Z958" s="32"/>
      <c r="AA958" s="32"/>
      <c r="AB958" s="32"/>
    </row>
    <row r="959" spans="1:28" ht="15.6" customHeight="1" x14ac:dyDescent="0.25">
      <c r="A959" s="24"/>
      <c r="B959" s="24"/>
      <c r="C959" s="25"/>
      <c r="D959" s="25"/>
      <c r="E959" s="25"/>
      <c r="F959" s="25"/>
      <c r="G959" s="26"/>
      <c r="H959" s="27"/>
      <c r="I959" s="24"/>
      <c r="J959" s="24"/>
      <c r="K959" s="28"/>
      <c r="L959" s="29"/>
      <c r="M959" s="29"/>
      <c r="N959" s="29"/>
      <c r="O959" s="27"/>
      <c r="P959" s="30"/>
      <c r="Q959" s="31"/>
      <c r="R959" s="31"/>
      <c r="S959" s="32"/>
      <c r="T959" s="32"/>
      <c r="U959" s="32"/>
      <c r="V959" s="32"/>
      <c r="W959" s="32"/>
      <c r="X959" s="32"/>
      <c r="Y959" s="32"/>
      <c r="Z959" s="32"/>
      <c r="AA959" s="32"/>
      <c r="AB959" s="32"/>
    </row>
    <row r="960" spans="1:28" ht="15.6" customHeight="1" x14ac:dyDescent="0.25">
      <c r="A960" s="24"/>
      <c r="B960" s="24"/>
      <c r="C960" s="25"/>
      <c r="D960" s="25"/>
      <c r="E960" s="25"/>
      <c r="F960" s="25"/>
      <c r="G960" s="26"/>
      <c r="H960" s="27"/>
      <c r="I960" s="24"/>
      <c r="J960" s="24"/>
      <c r="K960" s="28"/>
      <c r="L960" s="29"/>
      <c r="M960" s="29"/>
      <c r="N960" s="29"/>
      <c r="O960" s="27"/>
      <c r="P960" s="30"/>
      <c r="Q960" s="31"/>
      <c r="R960" s="31"/>
      <c r="S960" s="32"/>
      <c r="T960" s="32"/>
      <c r="U960" s="32"/>
      <c r="V960" s="32"/>
      <c r="W960" s="32"/>
      <c r="X960" s="32"/>
      <c r="Y960" s="32"/>
      <c r="Z960" s="32"/>
      <c r="AA960" s="32"/>
      <c r="AB960" s="32"/>
    </row>
    <row r="961" spans="1:28" ht="15.6" customHeight="1" x14ac:dyDescent="0.25">
      <c r="A961" s="24"/>
      <c r="B961" s="24"/>
      <c r="C961" s="25"/>
      <c r="D961" s="25"/>
      <c r="E961" s="25"/>
      <c r="F961" s="25"/>
      <c r="G961" s="26"/>
      <c r="H961" s="27"/>
      <c r="I961" s="24"/>
      <c r="J961" s="24"/>
      <c r="K961" s="28"/>
      <c r="L961" s="29"/>
      <c r="M961" s="29"/>
      <c r="N961" s="29"/>
      <c r="O961" s="27"/>
      <c r="P961" s="30"/>
      <c r="Q961" s="31"/>
      <c r="R961" s="31"/>
      <c r="S961" s="32"/>
      <c r="T961" s="32"/>
      <c r="U961" s="32"/>
      <c r="V961" s="32"/>
      <c r="W961" s="32"/>
      <c r="X961" s="32"/>
      <c r="Y961" s="32"/>
      <c r="Z961" s="32"/>
      <c r="AA961" s="32"/>
      <c r="AB961" s="32"/>
    </row>
    <row r="962" spans="1:28" ht="15.6" customHeight="1" x14ac:dyDescent="0.25">
      <c r="A962" s="24"/>
      <c r="B962" s="24"/>
      <c r="C962" s="25"/>
      <c r="D962" s="25"/>
      <c r="E962" s="25"/>
      <c r="F962" s="25"/>
      <c r="G962" s="26"/>
      <c r="H962" s="27"/>
      <c r="I962" s="24"/>
      <c r="J962" s="24"/>
      <c r="K962" s="28"/>
      <c r="L962" s="29"/>
      <c r="M962" s="29"/>
      <c r="N962" s="29"/>
      <c r="O962" s="27"/>
      <c r="P962" s="30"/>
      <c r="Q962" s="31"/>
      <c r="R962" s="31"/>
      <c r="S962" s="32"/>
      <c r="T962" s="32"/>
      <c r="U962" s="32"/>
      <c r="V962" s="32"/>
      <c r="W962" s="32"/>
      <c r="X962" s="32"/>
      <c r="Y962" s="32"/>
      <c r="Z962" s="32"/>
      <c r="AA962" s="32"/>
      <c r="AB962" s="32"/>
    </row>
    <row r="963" spans="1:28" ht="15.6" customHeight="1" x14ac:dyDescent="0.25">
      <c r="A963" s="24"/>
      <c r="B963" s="24"/>
      <c r="C963" s="25"/>
      <c r="D963" s="25"/>
      <c r="E963" s="25"/>
      <c r="F963" s="25"/>
      <c r="G963" s="26"/>
      <c r="H963" s="27"/>
      <c r="I963" s="24"/>
      <c r="J963" s="24"/>
      <c r="K963" s="28"/>
      <c r="L963" s="29"/>
      <c r="M963" s="29"/>
      <c r="N963" s="29"/>
      <c r="O963" s="27"/>
      <c r="P963" s="30"/>
      <c r="Q963" s="31"/>
      <c r="R963" s="31"/>
      <c r="S963" s="32"/>
      <c r="T963" s="32"/>
      <c r="U963" s="32"/>
      <c r="V963" s="32"/>
      <c r="W963" s="32"/>
      <c r="X963" s="32"/>
      <c r="Y963" s="32"/>
      <c r="Z963" s="32"/>
      <c r="AA963" s="32"/>
      <c r="AB963" s="32"/>
    </row>
    <row r="964" spans="1:28" ht="15.6" customHeight="1" x14ac:dyDescent="0.25">
      <c r="A964" s="24"/>
      <c r="B964" s="24"/>
      <c r="C964" s="25"/>
      <c r="D964" s="25"/>
      <c r="E964" s="25"/>
      <c r="F964" s="25"/>
      <c r="G964" s="26"/>
      <c r="H964" s="27"/>
      <c r="I964" s="24"/>
      <c r="J964" s="24"/>
      <c r="K964" s="28"/>
      <c r="L964" s="29"/>
      <c r="M964" s="29"/>
      <c r="N964" s="29"/>
      <c r="O964" s="27"/>
      <c r="P964" s="30"/>
      <c r="Q964" s="31"/>
      <c r="R964" s="31"/>
      <c r="S964" s="32"/>
      <c r="T964" s="32"/>
      <c r="U964" s="32"/>
      <c r="V964" s="32"/>
      <c r="W964" s="32"/>
      <c r="X964" s="32"/>
      <c r="Y964" s="32"/>
      <c r="Z964" s="32"/>
      <c r="AA964" s="32"/>
      <c r="AB964" s="32"/>
    </row>
    <row r="965" spans="1:28" ht="15.6" customHeight="1" x14ac:dyDescent="0.25">
      <c r="A965" s="24"/>
      <c r="B965" s="24"/>
      <c r="C965" s="25"/>
      <c r="D965" s="25"/>
      <c r="E965" s="25"/>
      <c r="F965" s="25"/>
      <c r="G965" s="26"/>
      <c r="H965" s="27"/>
      <c r="I965" s="24"/>
      <c r="J965" s="24"/>
      <c r="K965" s="28"/>
      <c r="L965" s="29"/>
      <c r="M965" s="29"/>
      <c r="N965" s="29"/>
      <c r="O965" s="27"/>
      <c r="P965" s="30"/>
      <c r="Q965" s="31"/>
      <c r="R965" s="31"/>
      <c r="S965" s="32"/>
      <c r="T965" s="32"/>
      <c r="U965" s="32"/>
      <c r="V965" s="32"/>
      <c r="W965" s="32"/>
      <c r="X965" s="32"/>
      <c r="Y965" s="32"/>
      <c r="Z965" s="32"/>
      <c r="AA965" s="32"/>
      <c r="AB965" s="32"/>
    </row>
    <row r="966" spans="1:28" ht="15.6" customHeight="1" x14ac:dyDescent="0.25">
      <c r="A966" s="24"/>
      <c r="B966" s="24"/>
      <c r="C966" s="25"/>
      <c r="D966" s="25"/>
      <c r="E966" s="25"/>
      <c r="F966" s="25"/>
      <c r="G966" s="26"/>
      <c r="H966" s="27"/>
      <c r="I966" s="24"/>
      <c r="J966" s="24"/>
      <c r="K966" s="28"/>
      <c r="L966" s="29"/>
      <c r="M966" s="29"/>
      <c r="N966" s="29"/>
      <c r="O966" s="27"/>
      <c r="P966" s="30"/>
      <c r="Q966" s="31"/>
      <c r="R966" s="31"/>
      <c r="S966" s="32"/>
      <c r="T966" s="32"/>
      <c r="U966" s="32"/>
      <c r="V966" s="32"/>
      <c r="W966" s="32"/>
      <c r="X966" s="32"/>
      <c r="Y966" s="32"/>
      <c r="Z966" s="32"/>
      <c r="AA966" s="32"/>
      <c r="AB966" s="32"/>
    </row>
    <row r="967" spans="1:28" ht="15.6" customHeight="1" x14ac:dyDescent="0.25">
      <c r="A967" s="24"/>
      <c r="B967" s="24"/>
      <c r="C967" s="25"/>
      <c r="D967" s="25"/>
      <c r="E967" s="25"/>
      <c r="F967" s="25"/>
      <c r="G967" s="26"/>
      <c r="H967" s="27"/>
      <c r="I967" s="24"/>
      <c r="J967" s="24"/>
      <c r="K967" s="28"/>
      <c r="L967" s="29"/>
      <c r="M967" s="29"/>
      <c r="N967" s="29"/>
      <c r="O967" s="27"/>
      <c r="P967" s="30"/>
      <c r="Q967" s="31"/>
      <c r="R967" s="31"/>
      <c r="S967" s="32"/>
      <c r="T967" s="32"/>
      <c r="U967" s="32"/>
      <c r="V967" s="32"/>
      <c r="W967" s="32"/>
      <c r="X967" s="32"/>
      <c r="Y967" s="32"/>
      <c r="Z967" s="32"/>
      <c r="AA967" s="32"/>
      <c r="AB967" s="32"/>
    </row>
    <row r="968" spans="1:28" ht="15.6" customHeight="1" x14ac:dyDescent="0.25">
      <c r="A968" s="24"/>
      <c r="B968" s="24"/>
      <c r="C968" s="25"/>
      <c r="D968" s="25"/>
      <c r="E968" s="25"/>
      <c r="F968" s="25"/>
      <c r="G968" s="26"/>
      <c r="H968" s="27"/>
      <c r="I968" s="24"/>
      <c r="J968" s="24"/>
      <c r="K968" s="28"/>
      <c r="L968" s="29"/>
      <c r="M968" s="29"/>
      <c r="N968" s="29"/>
      <c r="O968" s="27"/>
      <c r="P968" s="30"/>
      <c r="Q968" s="31"/>
      <c r="R968" s="31"/>
      <c r="S968" s="32"/>
      <c r="T968" s="32"/>
      <c r="U968" s="32"/>
      <c r="V968" s="32"/>
      <c r="W968" s="32"/>
      <c r="X968" s="32"/>
      <c r="Y968" s="32"/>
      <c r="Z968" s="32"/>
      <c r="AA968" s="32"/>
      <c r="AB968" s="32"/>
    </row>
    <row r="969" spans="1:28" ht="15.6" customHeight="1" x14ac:dyDescent="0.25">
      <c r="A969" s="24"/>
      <c r="B969" s="24"/>
      <c r="C969" s="25"/>
      <c r="D969" s="25"/>
      <c r="E969" s="25"/>
      <c r="F969" s="25"/>
      <c r="G969" s="26"/>
      <c r="H969" s="27"/>
      <c r="I969" s="24"/>
      <c r="J969" s="24"/>
      <c r="K969" s="28"/>
      <c r="L969" s="29"/>
      <c r="M969" s="29"/>
      <c r="N969" s="29"/>
      <c r="O969" s="27"/>
      <c r="P969" s="30"/>
      <c r="Q969" s="31"/>
      <c r="R969" s="31"/>
      <c r="S969" s="32"/>
      <c r="T969" s="32"/>
      <c r="U969" s="32"/>
      <c r="V969" s="32"/>
      <c r="W969" s="32"/>
      <c r="X969" s="32"/>
      <c r="Y969" s="32"/>
      <c r="Z969" s="32"/>
      <c r="AA969" s="32"/>
      <c r="AB969" s="32"/>
    </row>
    <row r="970" spans="1:28" ht="15.6" customHeight="1" x14ac:dyDescent="0.25">
      <c r="A970" s="24"/>
      <c r="B970" s="24"/>
      <c r="C970" s="25"/>
      <c r="D970" s="25"/>
      <c r="E970" s="25"/>
      <c r="F970" s="25"/>
      <c r="G970" s="26"/>
      <c r="H970" s="27"/>
      <c r="I970" s="24"/>
      <c r="J970" s="24"/>
      <c r="K970" s="28"/>
      <c r="L970" s="29"/>
      <c r="M970" s="29"/>
      <c r="N970" s="29"/>
      <c r="O970" s="27"/>
      <c r="P970" s="30"/>
      <c r="Q970" s="31"/>
      <c r="R970" s="31"/>
      <c r="S970" s="32"/>
      <c r="T970" s="32"/>
      <c r="U970" s="32"/>
      <c r="V970" s="32"/>
      <c r="W970" s="32"/>
      <c r="X970" s="32"/>
      <c r="Y970" s="32"/>
      <c r="Z970" s="32"/>
      <c r="AA970" s="32"/>
      <c r="AB970" s="32"/>
    </row>
    <row r="971" spans="1:28" ht="15.6" customHeight="1" x14ac:dyDescent="0.25">
      <c r="A971" s="24"/>
      <c r="B971" s="24"/>
      <c r="C971" s="25"/>
      <c r="D971" s="25"/>
      <c r="E971" s="25"/>
      <c r="F971" s="25"/>
      <c r="G971" s="26"/>
      <c r="H971" s="27"/>
      <c r="I971" s="24"/>
      <c r="J971" s="24"/>
      <c r="K971" s="28"/>
      <c r="L971" s="29"/>
      <c r="M971" s="29"/>
      <c r="N971" s="29"/>
      <c r="O971" s="27"/>
      <c r="P971" s="30"/>
      <c r="Q971" s="31"/>
      <c r="R971" s="31"/>
      <c r="S971" s="32"/>
      <c r="T971" s="32"/>
      <c r="U971" s="32"/>
      <c r="V971" s="32"/>
      <c r="W971" s="32"/>
      <c r="X971" s="32"/>
      <c r="Y971" s="32"/>
      <c r="Z971" s="32"/>
      <c r="AA971" s="32"/>
      <c r="AB971" s="32"/>
    </row>
    <row r="972" spans="1:28" ht="15.6" customHeight="1" x14ac:dyDescent="0.25">
      <c r="A972" s="24"/>
      <c r="B972" s="24"/>
      <c r="C972" s="25"/>
      <c r="D972" s="25"/>
      <c r="E972" s="25"/>
      <c r="F972" s="25"/>
      <c r="G972" s="26"/>
      <c r="H972" s="27"/>
      <c r="I972" s="24"/>
      <c r="J972" s="24"/>
      <c r="K972" s="28"/>
      <c r="L972" s="29"/>
      <c r="M972" s="29"/>
      <c r="N972" s="29"/>
      <c r="O972" s="27"/>
      <c r="P972" s="30"/>
      <c r="Q972" s="31"/>
      <c r="R972" s="31"/>
      <c r="S972" s="32"/>
      <c r="T972" s="32"/>
      <c r="U972" s="32"/>
      <c r="V972" s="32"/>
      <c r="W972" s="32"/>
      <c r="X972" s="32"/>
      <c r="Y972" s="32"/>
      <c r="Z972" s="32"/>
      <c r="AA972" s="32"/>
      <c r="AB972" s="32"/>
    </row>
    <row r="973" spans="1:28" ht="15.6" customHeight="1" x14ac:dyDescent="0.25">
      <c r="A973" s="24"/>
      <c r="B973" s="24"/>
      <c r="C973" s="25"/>
      <c r="D973" s="25"/>
      <c r="E973" s="25"/>
      <c r="F973" s="25"/>
      <c r="G973" s="26"/>
      <c r="H973" s="27"/>
      <c r="I973" s="24"/>
      <c r="J973" s="24"/>
      <c r="K973" s="28"/>
      <c r="L973" s="29"/>
      <c r="M973" s="29"/>
      <c r="N973" s="29"/>
      <c r="O973" s="27"/>
      <c r="P973" s="30"/>
      <c r="Q973" s="31"/>
      <c r="R973" s="31"/>
      <c r="S973" s="32"/>
      <c r="T973" s="32"/>
      <c r="U973" s="32"/>
      <c r="V973" s="32"/>
      <c r="W973" s="32"/>
      <c r="X973" s="32"/>
      <c r="Y973" s="32"/>
      <c r="Z973" s="32"/>
      <c r="AA973" s="32"/>
      <c r="AB973" s="32"/>
    </row>
    <row r="974" spans="1:28" ht="15.6" customHeight="1" x14ac:dyDescent="0.25">
      <c r="A974" s="24"/>
      <c r="B974" s="24"/>
      <c r="C974" s="25"/>
      <c r="D974" s="25"/>
      <c r="E974" s="25"/>
      <c r="F974" s="25"/>
      <c r="G974" s="26"/>
      <c r="H974" s="27"/>
      <c r="I974" s="24"/>
      <c r="J974" s="24"/>
      <c r="K974" s="28"/>
      <c r="L974" s="29"/>
      <c r="M974" s="29"/>
      <c r="N974" s="29"/>
      <c r="O974" s="27"/>
      <c r="P974" s="30"/>
      <c r="Q974" s="31"/>
      <c r="R974" s="31"/>
      <c r="S974" s="32"/>
      <c r="T974" s="32"/>
      <c r="U974" s="32"/>
      <c r="V974" s="32"/>
      <c r="W974" s="32"/>
      <c r="X974" s="32"/>
      <c r="Y974" s="32"/>
      <c r="Z974" s="32"/>
      <c r="AA974" s="32"/>
      <c r="AB974" s="32"/>
    </row>
    <row r="975" spans="1:28" ht="15.6" customHeight="1" x14ac:dyDescent="0.25">
      <c r="A975" s="24"/>
      <c r="B975" s="24"/>
      <c r="C975" s="25"/>
      <c r="D975" s="25"/>
      <c r="E975" s="25"/>
      <c r="F975" s="25"/>
      <c r="G975" s="26"/>
      <c r="H975" s="27"/>
      <c r="I975" s="24"/>
      <c r="J975" s="24"/>
      <c r="K975" s="28"/>
      <c r="L975" s="29"/>
      <c r="M975" s="29"/>
      <c r="N975" s="29"/>
      <c r="O975" s="27"/>
      <c r="P975" s="30"/>
      <c r="Q975" s="31"/>
      <c r="R975" s="31"/>
      <c r="S975" s="32"/>
      <c r="T975" s="32"/>
      <c r="U975" s="32"/>
      <c r="V975" s="32"/>
      <c r="W975" s="32"/>
      <c r="X975" s="32"/>
      <c r="Y975" s="32"/>
      <c r="Z975" s="32"/>
      <c r="AA975" s="32"/>
      <c r="AB975" s="32"/>
    </row>
    <row r="976" spans="1:28" ht="15.6" customHeight="1" x14ac:dyDescent="0.25">
      <c r="A976" s="24"/>
      <c r="B976" s="24"/>
      <c r="C976" s="25"/>
      <c r="D976" s="25"/>
      <c r="E976" s="25"/>
      <c r="F976" s="25"/>
      <c r="G976" s="26"/>
      <c r="H976" s="27"/>
      <c r="I976" s="24"/>
      <c r="J976" s="24"/>
      <c r="K976" s="28"/>
      <c r="L976" s="29"/>
      <c r="M976" s="29"/>
      <c r="N976" s="29"/>
      <c r="O976" s="27"/>
      <c r="P976" s="30"/>
      <c r="Q976" s="31"/>
      <c r="R976" s="31"/>
      <c r="S976" s="32"/>
      <c r="T976" s="32"/>
      <c r="U976" s="32"/>
      <c r="V976" s="32"/>
      <c r="W976" s="32"/>
      <c r="X976" s="32"/>
      <c r="Y976" s="32"/>
      <c r="Z976" s="32"/>
      <c r="AA976" s="32"/>
      <c r="AB976" s="32"/>
    </row>
    <row r="977" spans="1:28" ht="15.6" customHeight="1" x14ac:dyDescent="0.25">
      <c r="A977" s="24"/>
      <c r="B977" s="24"/>
      <c r="C977" s="25"/>
      <c r="D977" s="25"/>
      <c r="E977" s="25"/>
      <c r="F977" s="25"/>
      <c r="G977" s="26"/>
      <c r="H977" s="27"/>
      <c r="I977" s="24"/>
      <c r="J977" s="24"/>
      <c r="K977" s="28"/>
      <c r="L977" s="29"/>
      <c r="M977" s="29"/>
      <c r="N977" s="29"/>
      <c r="O977" s="27"/>
      <c r="P977" s="30"/>
      <c r="Q977" s="31"/>
      <c r="R977" s="31"/>
      <c r="S977" s="32"/>
      <c r="T977" s="32"/>
      <c r="U977" s="32"/>
      <c r="V977" s="32"/>
      <c r="W977" s="32"/>
      <c r="X977" s="32"/>
      <c r="Y977" s="32"/>
      <c r="Z977" s="32"/>
      <c r="AA977" s="32"/>
      <c r="AB977" s="32"/>
    </row>
    <row r="978" spans="1:28" ht="15.6" customHeight="1" x14ac:dyDescent="0.25">
      <c r="A978" s="24"/>
      <c r="B978" s="24"/>
      <c r="C978" s="25"/>
      <c r="D978" s="25"/>
      <c r="E978" s="25"/>
      <c r="F978" s="25"/>
      <c r="G978" s="26"/>
      <c r="H978" s="27"/>
      <c r="I978" s="24"/>
      <c r="J978" s="24"/>
      <c r="K978" s="28"/>
      <c r="L978" s="29"/>
      <c r="M978" s="29"/>
      <c r="N978" s="29"/>
      <c r="O978" s="27"/>
      <c r="P978" s="30"/>
      <c r="Q978" s="31"/>
      <c r="R978" s="31"/>
      <c r="S978" s="32"/>
      <c r="T978" s="32"/>
      <c r="U978" s="32"/>
      <c r="V978" s="32"/>
      <c r="W978" s="32"/>
      <c r="X978" s="32"/>
      <c r="Y978" s="32"/>
      <c r="Z978" s="32"/>
      <c r="AA978" s="32"/>
      <c r="AB978" s="32"/>
    </row>
    <row r="979" spans="1:28" ht="15.6" customHeight="1" x14ac:dyDescent="0.25">
      <c r="A979" s="24"/>
      <c r="B979" s="24"/>
      <c r="C979" s="25"/>
      <c r="D979" s="25"/>
      <c r="E979" s="25"/>
      <c r="F979" s="25"/>
      <c r="G979" s="26"/>
      <c r="H979" s="27"/>
      <c r="I979" s="24"/>
      <c r="J979" s="24"/>
      <c r="K979" s="28"/>
      <c r="L979" s="29"/>
      <c r="M979" s="29"/>
      <c r="N979" s="29"/>
      <c r="O979" s="27"/>
      <c r="P979" s="30"/>
      <c r="Q979" s="31"/>
      <c r="R979" s="31"/>
      <c r="S979" s="32"/>
      <c r="T979" s="32"/>
      <c r="U979" s="32"/>
      <c r="V979" s="32"/>
      <c r="W979" s="32"/>
      <c r="X979" s="32"/>
      <c r="Y979" s="32"/>
      <c r="Z979" s="32"/>
      <c r="AA979" s="32"/>
      <c r="AB979" s="32"/>
    </row>
    <row r="980" spans="1:28" ht="15.6" customHeight="1" x14ac:dyDescent="0.25">
      <c r="A980" s="24"/>
      <c r="B980" s="24"/>
      <c r="C980" s="25"/>
      <c r="D980" s="25"/>
      <c r="E980" s="25"/>
      <c r="F980" s="25"/>
      <c r="G980" s="26"/>
      <c r="H980" s="27"/>
      <c r="I980" s="24"/>
      <c r="J980" s="24"/>
      <c r="K980" s="28"/>
      <c r="L980" s="29"/>
      <c r="M980" s="29"/>
      <c r="N980" s="29"/>
      <c r="O980" s="27"/>
      <c r="P980" s="30"/>
      <c r="Q980" s="31"/>
      <c r="R980" s="31"/>
      <c r="S980" s="32"/>
      <c r="T980" s="32"/>
      <c r="U980" s="32"/>
      <c r="V980" s="32"/>
      <c r="W980" s="32"/>
      <c r="X980" s="32"/>
      <c r="Y980" s="32"/>
      <c r="Z980" s="32"/>
      <c r="AA980" s="32"/>
      <c r="AB980" s="32"/>
    </row>
    <row r="981" spans="1:28" ht="15.6" customHeight="1" x14ac:dyDescent="0.25">
      <c r="A981" s="24"/>
      <c r="B981" s="24"/>
      <c r="C981" s="25"/>
      <c r="D981" s="25"/>
      <c r="E981" s="25"/>
      <c r="F981" s="25"/>
      <c r="G981" s="26"/>
      <c r="H981" s="27"/>
      <c r="I981" s="24"/>
      <c r="J981" s="24"/>
      <c r="K981" s="28"/>
      <c r="L981" s="29"/>
      <c r="M981" s="29"/>
      <c r="N981" s="29"/>
      <c r="O981" s="27"/>
      <c r="P981" s="30"/>
      <c r="Q981" s="31"/>
      <c r="R981" s="31"/>
      <c r="S981" s="32"/>
      <c r="T981" s="32"/>
      <c r="U981" s="32"/>
      <c r="V981" s="32"/>
      <c r="W981" s="32"/>
      <c r="X981" s="32"/>
      <c r="Y981" s="32"/>
      <c r="Z981" s="32"/>
      <c r="AA981" s="32"/>
      <c r="AB981" s="32"/>
    </row>
    <row r="982" spans="1:28" ht="15.6" customHeight="1" x14ac:dyDescent="0.25">
      <c r="A982" s="24"/>
      <c r="B982" s="24"/>
      <c r="C982" s="25"/>
      <c r="D982" s="25"/>
      <c r="E982" s="25"/>
      <c r="F982" s="25"/>
      <c r="G982" s="26"/>
      <c r="H982" s="27"/>
      <c r="I982" s="24"/>
      <c r="J982" s="24"/>
      <c r="K982" s="28"/>
      <c r="L982" s="29"/>
      <c r="M982" s="29"/>
      <c r="N982" s="29"/>
      <c r="O982" s="27"/>
      <c r="P982" s="30"/>
      <c r="Q982" s="31"/>
      <c r="R982" s="31"/>
      <c r="S982" s="32"/>
      <c r="T982" s="32"/>
      <c r="U982" s="32"/>
      <c r="V982" s="32"/>
      <c r="W982" s="32"/>
      <c r="X982" s="32"/>
      <c r="Y982" s="32"/>
      <c r="Z982" s="32"/>
      <c r="AA982" s="32"/>
      <c r="AB982" s="32"/>
    </row>
    <row r="983" spans="1:28" ht="15.6" customHeight="1" x14ac:dyDescent="0.25">
      <c r="A983" s="24"/>
      <c r="B983" s="24"/>
      <c r="C983" s="25"/>
      <c r="D983" s="25"/>
      <c r="E983" s="25"/>
      <c r="F983" s="25"/>
      <c r="G983" s="26"/>
      <c r="H983" s="27"/>
      <c r="I983" s="24"/>
      <c r="J983" s="24"/>
      <c r="K983" s="28"/>
      <c r="L983" s="29"/>
      <c r="M983" s="29"/>
      <c r="N983" s="29"/>
      <c r="O983" s="27"/>
      <c r="P983" s="30"/>
      <c r="Q983" s="31"/>
      <c r="R983" s="31"/>
      <c r="S983" s="32"/>
      <c r="T983" s="32"/>
      <c r="U983" s="32"/>
      <c r="V983" s="32"/>
      <c r="W983" s="32"/>
      <c r="X983" s="32"/>
      <c r="Y983" s="32"/>
      <c r="Z983" s="32"/>
      <c r="AA983" s="32"/>
      <c r="AB983" s="32"/>
    </row>
    <row r="984" spans="1:28" ht="15.6" customHeight="1" x14ac:dyDescent="0.25">
      <c r="A984" s="24"/>
      <c r="B984" s="24"/>
      <c r="C984" s="25"/>
      <c r="D984" s="25"/>
      <c r="E984" s="25"/>
      <c r="F984" s="25"/>
      <c r="G984" s="26"/>
      <c r="H984" s="27"/>
      <c r="I984" s="24"/>
      <c r="J984" s="24"/>
      <c r="K984" s="28"/>
      <c r="L984" s="29"/>
      <c r="M984" s="29"/>
      <c r="N984" s="29"/>
      <c r="O984" s="27"/>
      <c r="P984" s="30"/>
      <c r="Q984" s="31"/>
      <c r="R984" s="31"/>
      <c r="S984" s="32"/>
      <c r="T984" s="32"/>
      <c r="U984" s="32"/>
      <c r="V984" s="32"/>
      <c r="W984" s="32"/>
      <c r="X984" s="32"/>
      <c r="Y984" s="32"/>
      <c r="Z984" s="32"/>
      <c r="AA984" s="32"/>
      <c r="AB984" s="32"/>
    </row>
    <row r="985" spans="1:28" ht="15.6" customHeight="1" x14ac:dyDescent="0.25">
      <c r="A985" s="24"/>
      <c r="B985" s="24"/>
      <c r="C985" s="25"/>
      <c r="D985" s="25"/>
      <c r="E985" s="25"/>
      <c r="F985" s="25"/>
      <c r="G985" s="26"/>
      <c r="H985" s="27"/>
      <c r="I985" s="24"/>
      <c r="J985" s="24"/>
      <c r="K985" s="28"/>
      <c r="L985" s="29"/>
      <c r="M985" s="29"/>
      <c r="N985" s="29"/>
      <c r="O985" s="27"/>
      <c r="P985" s="30"/>
      <c r="Q985" s="31"/>
      <c r="R985" s="31"/>
      <c r="S985" s="32"/>
      <c r="T985" s="32"/>
      <c r="U985" s="32"/>
      <c r="V985" s="32"/>
      <c r="W985" s="32"/>
      <c r="X985" s="32"/>
      <c r="Y985" s="32"/>
      <c r="Z985" s="32"/>
      <c r="AA985" s="32"/>
      <c r="AB985" s="32"/>
    </row>
    <row r="986" spans="1:28" ht="15.6" customHeight="1" x14ac:dyDescent="0.25">
      <c r="A986" s="24"/>
      <c r="B986" s="24"/>
      <c r="C986" s="25"/>
      <c r="D986" s="25"/>
      <c r="E986" s="25"/>
      <c r="F986" s="25"/>
      <c r="G986" s="26"/>
      <c r="H986" s="27"/>
      <c r="I986" s="24"/>
      <c r="J986" s="24"/>
      <c r="K986" s="28"/>
      <c r="L986" s="29"/>
      <c r="M986" s="29"/>
      <c r="N986" s="29"/>
      <c r="O986" s="27"/>
      <c r="P986" s="30"/>
      <c r="Q986" s="31"/>
      <c r="R986" s="31"/>
      <c r="S986" s="32"/>
      <c r="T986" s="32"/>
      <c r="U986" s="32"/>
      <c r="V986" s="32"/>
      <c r="W986" s="32"/>
      <c r="X986" s="32"/>
      <c r="Y986" s="32"/>
      <c r="Z986" s="32"/>
      <c r="AA986" s="32"/>
      <c r="AB986" s="32"/>
    </row>
    <row r="987" spans="1:28" ht="15.6" customHeight="1" x14ac:dyDescent="0.25">
      <c r="A987" s="24"/>
      <c r="B987" s="24"/>
      <c r="C987" s="25"/>
      <c r="D987" s="25"/>
      <c r="E987" s="25"/>
      <c r="F987" s="25"/>
      <c r="G987" s="26"/>
      <c r="H987" s="27"/>
      <c r="I987" s="24"/>
      <c r="J987" s="24"/>
      <c r="K987" s="28"/>
      <c r="L987" s="29"/>
      <c r="M987" s="29"/>
      <c r="N987" s="29"/>
      <c r="O987" s="27"/>
      <c r="P987" s="30"/>
      <c r="Q987" s="31"/>
      <c r="R987" s="31"/>
      <c r="S987" s="32"/>
      <c r="T987" s="32"/>
      <c r="U987" s="32"/>
      <c r="V987" s="32"/>
      <c r="W987" s="32"/>
      <c r="X987" s="32"/>
      <c r="Y987" s="32"/>
      <c r="Z987" s="32"/>
      <c r="AA987" s="32"/>
      <c r="AB987" s="32"/>
    </row>
    <row r="988" spans="1:28" ht="15.6" customHeight="1" x14ac:dyDescent="0.25">
      <c r="A988" s="24"/>
      <c r="B988" s="24"/>
      <c r="C988" s="25"/>
      <c r="D988" s="25"/>
      <c r="E988" s="25"/>
      <c r="F988" s="25"/>
      <c r="G988" s="26"/>
      <c r="H988" s="27"/>
      <c r="I988" s="24"/>
      <c r="J988" s="24"/>
      <c r="K988" s="28"/>
      <c r="L988" s="29"/>
      <c r="M988" s="29"/>
      <c r="N988" s="29"/>
      <c r="O988" s="27"/>
      <c r="P988" s="30"/>
      <c r="Q988" s="31"/>
      <c r="R988" s="31"/>
      <c r="S988" s="32"/>
      <c r="T988" s="32"/>
      <c r="U988" s="32"/>
      <c r="V988" s="32"/>
      <c r="W988" s="32"/>
      <c r="X988" s="32"/>
      <c r="Y988" s="32"/>
      <c r="Z988" s="32"/>
      <c r="AA988" s="32"/>
      <c r="AB988" s="32"/>
    </row>
    <row r="989" spans="1:28" ht="15.6" customHeight="1" x14ac:dyDescent="0.25">
      <c r="A989" s="24"/>
      <c r="B989" s="24"/>
      <c r="C989" s="25"/>
      <c r="D989" s="25"/>
      <c r="E989" s="25"/>
      <c r="F989" s="25"/>
      <c r="G989" s="26"/>
      <c r="H989" s="27"/>
      <c r="I989" s="24"/>
      <c r="J989" s="24"/>
      <c r="K989" s="28"/>
      <c r="L989" s="29"/>
      <c r="M989" s="29"/>
      <c r="N989" s="29"/>
      <c r="O989" s="27"/>
      <c r="P989" s="30"/>
      <c r="Q989" s="31"/>
      <c r="R989" s="31"/>
      <c r="S989" s="32"/>
      <c r="T989" s="32"/>
      <c r="U989" s="32"/>
      <c r="V989" s="32"/>
      <c r="W989" s="32"/>
      <c r="X989" s="32"/>
      <c r="Y989" s="32"/>
      <c r="Z989" s="32"/>
      <c r="AA989" s="32"/>
      <c r="AB989" s="32"/>
    </row>
    <row r="990" spans="1:28" ht="15.6" customHeight="1" x14ac:dyDescent="0.25">
      <c r="A990" s="24"/>
      <c r="B990" s="24"/>
      <c r="C990" s="25"/>
      <c r="D990" s="25"/>
      <c r="E990" s="25"/>
      <c r="F990" s="25"/>
      <c r="G990" s="26"/>
      <c r="H990" s="27"/>
      <c r="I990" s="24"/>
      <c r="J990" s="24"/>
      <c r="K990" s="28"/>
      <c r="L990" s="29"/>
      <c r="M990" s="29"/>
      <c r="N990" s="29"/>
      <c r="O990" s="27"/>
      <c r="P990" s="30"/>
      <c r="Q990" s="31"/>
      <c r="R990" s="31"/>
      <c r="S990" s="32"/>
      <c r="T990" s="32"/>
      <c r="U990" s="32"/>
      <c r="V990" s="32"/>
      <c r="W990" s="32"/>
      <c r="X990" s="32"/>
      <c r="Y990" s="32"/>
      <c r="Z990" s="32"/>
      <c r="AA990" s="32"/>
      <c r="AB990" s="32"/>
    </row>
    <row r="991" spans="1:28" ht="15.6" customHeight="1" x14ac:dyDescent="0.25">
      <c r="A991" s="24"/>
      <c r="B991" s="24"/>
      <c r="C991" s="25"/>
      <c r="D991" s="25"/>
      <c r="E991" s="25"/>
      <c r="F991" s="25"/>
      <c r="G991" s="26"/>
      <c r="H991" s="27"/>
      <c r="I991" s="24"/>
      <c r="J991" s="24"/>
      <c r="K991" s="28"/>
      <c r="L991" s="29"/>
      <c r="M991" s="29"/>
      <c r="N991" s="29"/>
      <c r="O991" s="27"/>
      <c r="P991" s="30"/>
      <c r="Q991" s="31"/>
      <c r="R991" s="31"/>
      <c r="S991" s="32"/>
      <c r="T991" s="32"/>
      <c r="U991" s="32"/>
      <c r="V991" s="32"/>
      <c r="W991" s="32"/>
      <c r="X991" s="32"/>
      <c r="Y991" s="32"/>
      <c r="Z991" s="32"/>
      <c r="AA991" s="32"/>
      <c r="AB991" s="32"/>
    </row>
    <row r="992" spans="1:28" ht="15.6" customHeight="1" x14ac:dyDescent="0.25">
      <c r="A992" s="24"/>
      <c r="B992" s="24"/>
      <c r="C992" s="25"/>
      <c r="D992" s="25"/>
      <c r="E992" s="25"/>
      <c r="F992" s="25"/>
      <c r="G992" s="26"/>
      <c r="H992" s="27"/>
      <c r="I992" s="24"/>
      <c r="J992" s="24"/>
      <c r="K992" s="28"/>
      <c r="L992" s="29"/>
      <c r="M992" s="29"/>
      <c r="N992" s="29"/>
      <c r="O992" s="27"/>
      <c r="P992" s="30"/>
      <c r="Q992" s="31"/>
      <c r="R992" s="31"/>
      <c r="S992" s="32"/>
      <c r="T992" s="32"/>
      <c r="U992" s="32"/>
      <c r="V992" s="32"/>
      <c r="W992" s="32"/>
      <c r="X992" s="32"/>
      <c r="Y992" s="32"/>
      <c r="Z992" s="32"/>
      <c r="AA992" s="32"/>
      <c r="AB992" s="32"/>
    </row>
    <row r="993" spans="1:28" ht="15.6" customHeight="1" x14ac:dyDescent="0.25">
      <c r="A993" s="24"/>
      <c r="B993" s="24"/>
      <c r="C993" s="25"/>
      <c r="D993" s="25"/>
      <c r="E993" s="25"/>
      <c r="F993" s="25"/>
      <c r="G993" s="26"/>
      <c r="H993" s="27"/>
      <c r="I993" s="24"/>
      <c r="J993" s="24"/>
      <c r="K993" s="28"/>
      <c r="L993" s="29"/>
      <c r="M993" s="29"/>
      <c r="N993" s="29"/>
      <c r="O993" s="27"/>
      <c r="P993" s="30"/>
      <c r="Q993" s="31"/>
      <c r="R993" s="31"/>
      <c r="S993" s="32"/>
      <c r="T993" s="32"/>
      <c r="U993" s="32"/>
      <c r="V993" s="32"/>
      <c r="W993" s="32"/>
      <c r="X993" s="32"/>
      <c r="Y993" s="32"/>
      <c r="Z993" s="32"/>
      <c r="AA993" s="32"/>
      <c r="AB993" s="32"/>
    </row>
    <row r="994" spans="1:28" ht="15.6" customHeight="1" x14ac:dyDescent="0.25">
      <c r="A994" s="24"/>
      <c r="B994" s="24"/>
      <c r="C994" s="25"/>
      <c r="D994" s="25"/>
      <c r="E994" s="25"/>
      <c r="F994" s="25"/>
      <c r="G994" s="26"/>
      <c r="H994" s="27"/>
      <c r="I994" s="24"/>
      <c r="J994" s="24"/>
      <c r="K994" s="28"/>
      <c r="L994" s="29"/>
      <c r="M994" s="29"/>
      <c r="N994" s="29"/>
      <c r="O994" s="27"/>
      <c r="P994" s="30"/>
      <c r="Q994" s="31"/>
      <c r="R994" s="31"/>
      <c r="S994" s="32"/>
      <c r="T994" s="32"/>
      <c r="U994" s="32"/>
      <c r="V994" s="32"/>
      <c r="W994" s="32"/>
      <c r="X994" s="32"/>
      <c r="Y994" s="32"/>
      <c r="Z994" s="32"/>
      <c r="AA994" s="32"/>
      <c r="AB994" s="32"/>
    </row>
    <row r="995" spans="1:28" ht="15.6" customHeight="1" x14ac:dyDescent="0.25">
      <c r="A995" s="24"/>
      <c r="B995" s="24"/>
      <c r="C995" s="25"/>
      <c r="D995" s="25"/>
      <c r="E995" s="25"/>
      <c r="F995" s="25"/>
      <c r="G995" s="26"/>
      <c r="H995" s="27"/>
      <c r="I995" s="24"/>
      <c r="J995" s="24"/>
      <c r="K995" s="28"/>
      <c r="L995" s="29"/>
      <c r="M995" s="29"/>
      <c r="N995" s="29"/>
      <c r="O995" s="27"/>
      <c r="P995" s="30"/>
      <c r="Q995" s="31"/>
      <c r="R995" s="31"/>
      <c r="S995" s="32"/>
      <c r="T995" s="32"/>
      <c r="U995" s="32"/>
      <c r="V995" s="32"/>
      <c r="W995" s="32"/>
      <c r="X995" s="32"/>
      <c r="Y995" s="32"/>
      <c r="Z995" s="32"/>
      <c r="AA995" s="32"/>
      <c r="AB995" s="32"/>
    </row>
    <row r="996" spans="1:28" ht="15.6" customHeight="1" x14ac:dyDescent="0.25">
      <c r="A996" s="24"/>
      <c r="B996" s="24"/>
      <c r="C996" s="25"/>
      <c r="D996" s="25"/>
      <c r="E996" s="25"/>
      <c r="F996" s="25"/>
      <c r="G996" s="26"/>
      <c r="H996" s="27"/>
      <c r="I996" s="24"/>
      <c r="J996" s="24"/>
      <c r="K996" s="28"/>
      <c r="L996" s="29"/>
      <c r="M996" s="29"/>
      <c r="N996" s="29"/>
      <c r="O996" s="27"/>
      <c r="P996" s="30"/>
      <c r="Q996" s="31"/>
      <c r="R996" s="31"/>
      <c r="S996" s="32"/>
      <c r="T996" s="32"/>
      <c r="U996" s="32"/>
      <c r="V996" s="32"/>
      <c r="W996" s="32"/>
      <c r="X996" s="32"/>
      <c r="Y996" s="32"/>
      <c r="Z996" s="32"/>
      <c r="AA996" s="32"/>
      <c r="AB996" s="32"/>
    </row>
    <row r="997" spans="1:28" ht="15.6" customHeight="1" x14ac:dyDescent="0.25">
      <c r="A997" s="24"/>
      <c r="B997" s="24"/>
      <c r="C997" s="25"/>
      <c r="D997" s="25"/>
      <c r="E997" s="25"/>
      <c r="F997" s="25"/>
      <c r="G997" s="26"/>
      <c r="H997" s="27"/>
      <c r="I997" s="24"/>
      <c r="J997" s="24"/>
      <c r="K997" s="28"/>
      <c r="L997" s="29"/>
      <c r="M997" s="29"/>
      <c r="N997" s="29"/>
      <c r="O997" s="27"/>
      <c r="P997" s="30"/>
      <c r="Q997" s="31"/>
      <c r="R997" s="31"/>
      <c r="S997" s="32"/>
      <c r="T997" s="32"/>
      <c r="U997" s="32"/>
      <c r="V997" s="32"/>
      <c r="W997" s="32"/>
      <c r="X997" s="32"/>
      <c r="Y997" s="32"/>
      <c r="Z997" s="32"/>
      <c r="AA997" s="32"/>
      <c r="AB997" s="32"/>
    </row>
    <row r="998" spans="1:28" ht="15.6" customHeight="1" x14ac:dyDescent="0.25">
      <c r="A998" s="24"/>
      <c r="B998" s="24"/>
      <c r="C998" s="25"/>
      <c r="D998" s="25"/>
      <c r="E998" s="25"/>
      <c r="F998" s="25"/>
      <c r="G998" s="26"/>
      <c r="H998" s="27"/>
      <c r="I998" s="24"/>
      <c r="J998" s="24"/>
      <c r="K998" s="28"/>
      <c r="L998" s="29"/>
      <c r="M998" s="29"/>
      <c r="N998" s="29"/>
      <c r="O998" s="27"/>
      <c r="P998" s="30"/>
      <c r="Q998" s="31"/>
      <c r="R998" s="31"/>
      <c r="S998" s="32"/>
      <c r="T998" s="32"/>
      <c r="U998" s="32"/>
      <c r="V998" s="32"/>
      <c r="W998" s="32"/>
      <c r="X998" s="32"/>
      <c r="Y998" s="32"/>
      <c r="Z998" s="32"/>
      <c r="AA998" s="32"/>
      <c r="AB998" s="32"/>
    </row>
    <row r="999" spans="1:28" ht="15.6" customHeight="1" x14ac:dyDescent="0.25">
      <c r="A999" s="24"/>
      <c r="B999" s="24"/>
      <c r="C999" s="25"/>
      <c r="D999" s="25"/>
      <c r="E999" s="25"/>
      <c r="F999" s="25"/>
      <c r="G999" s="26"/>
      <c r="H999" s="27"/>
      <c r="I999" s="24"/>
      <c r="J999" s="24"/>
      <c r="K999" s="28"/>
      <c r="L999" s="29"/>
      <c r="M999" s="29"/>
      <c r="N999" s="29"/>
      <c r="O999" s="27"/>
      <c r="P999" s="30"/>
      <c r="Q999" s="31"/>
      <c r="R999" s="31"/>
      <c r="S999" s="32"/>
      <c r="T999" s="32"/>
      <c r="U999" s="32"/>
      <c r="V999" s="32"/>
      <c r="W999" s="32"/>
      <c r="X999" s="32"/>
      <c r="Y999" s="32"/>
      <c r="Z999" s="32"/>
      <c r="AA999" s="32"/>
      <c r="AB999" s="32"/>
    </row>
    <row r="1000" spans="1:28" ht="15.6" customHeight="1" x14ac:dyDescent="0.25">
      <c r="A1000" s="34"/>
      <c r="B1000" s="34"/>
      <c r="C1000" s="35"/>
      <c r="D1000" s="35"/>
      <c r="E1000" s="35"/>
      <c r="F1000" s="35"/>
      <c r="G1000" s="36"/>
      <c r="H1000" s="37"/>
      <c r="I1000" s="34"/>
      <c r="J1000" s="34"/>
      <c r="K1000" s="38"/>
      <c r="L1000" s="39"/>
      <c r="M1000" s="39"/>
      <c r="N1000" s="39"/>
      <c r="O1000" s="37"/>
      <c r="P1000" s="40"/>
      <c r="Q1000" s="41"/>
      <c r="R1000" s="41"/>
      <c r="S1000" s="42"/>
      <c r="T1000" s="42"/>
      <c r="U1000" s="42"/>
      <c r="V1000" s="42"/>
      <c r="W1000" s="42"/>
      <c r="X1000" s="42"/>
      <c r="Y1000" s="42"/>
      <c r="Z1000" s="42"/>
      <c r="AA1000" s="42"/>
      <c r="AB1000" s="42"/>
    </row>
    <row r="1001" spans="1:28" ht="15.6" customHeight="1" x14ac:dyDescent="0.25">
      <c r="A1001" s="24"/>
      <c r="B1001" s="24"/>
      <c r="C1001" s="25"/>
      <c r="D1001" s="25"/>
      <c r="E1001" s="25"/>
      <c r="F1001" s="25"/>
      <c r="G1001" s="26"/>
      <c r="H1001" s="27"/>
      <c r="I1001" s="24"/>
      <c r="J1001" s="24"/>
      <c r="K1001" s="28"/>
      <c r="L1001" s="29"/>
      <c r="M1001" s="29"/>
      <c r="N1001" s="29"/>
      <c r="O1001" s="27"/>
      <c r="P1001" s="30"/>
      <c r="Q1001" s="31"/>
      <c r="R1001" s="31"/>
      <c r="S1001" s="32"/>
      <c r="T1001" s="32"/>
      <c r="U1001" s="32"/>
      <c r="V1001" s="32"/>
      <c r="W1001" s="32"/>
      <c r="X1001" s="32"/>
      <c r="Y1001" s="32"/>
      <c r="Z1001" s="32"/>
      <c r="AA1001" s="32"/>
      <c r="AB1001" s="32"/>
    </row>
    <row r="1002" spans="1:28" ht="15.6" customHeight="1" x14ac:dyDescent="0.25">
      <c r="A1002" s="34"/>
      <c r="B1002" s="34"/>
      <c r="C1002" s="35"/>
      <c r="D1002" s="35"/>
      <c r="E1002" s="35"/>
      <c r="F1002" s="35"/>
      <c r="G1002" s="36"/>
      <c r="H1002" s="37"/>
      <c r="I1002" s="34"/>
      <c r="J1002" s="34"/>
      <c r="K1002" s="38"/>
      <c r="L1002" s="39"/>
      <c r="M1002" s="39"/>
      <c r="N1002" s="39"/>
      <c r="O1002" s="37"/>
      <c r="P1002" s="40"/>
      <c r="Q1002" s="41"/>
      <c r="R1002" s="41"/>
      <c r="S1002" s="42"/>
      <c r="T1002" s="42"/>
      <c r="U1002" s="42"/>
      <c r="V1002" s="42"/>
      <c r="W1002" s="42"/>
      <c r="X1002" s="42"/>
      <c r="Y1002" s="42"/>
      <c r="Z1002" s="42"/>
      <c r="AA1002" s="42"/>
      <c r="AB1002" s="42"/>
    </row>
  </sheetData>
  <mergeCells count="1">
    <mergeCell ref="A1:AB1"/>
  </mergeCells>
  <conditionalFormatting sqref="U4:U1002">
    <cfRule type="cellIs" dxfId="5" priority="1" stopIfTrue="1" operator="between">
      <formula>0</formula>
      <formula>0.004</formula>
    </cfRule>
  </conditionalFormatting>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6099-5665-487D-AB4A-5B527A452B44}">
  <dimension ref="A1:AB1002"/>
  <sheetViews>
    <sheetView topLeftCell="L613" workbookViewId="0">
      <selection activeCell="B3" sqref="B3:C629"/>
    </sheetView>
  </sheetViews>
  <sheetFormatPr baseColWidth="10" defaultRowHeight="21.75" x14ac:dyDescent="0.6"/>
  <cols>
    <col min="1" max="1" width="13.85546875" bestFit="1" customWidth="1"/>
    <col min="2" max="2" width="19" style="43" customWidth="1"/>
    <col min="3" max="3" width="40.42578125" style="44" bestFit="1" customWidth="1"/>
    <col min="4" max="4" width="25.85546875" style="45" bestFit="1" customWidth="1"/>
    <col min="5" max="5" width="20" style="46" customWidth="1"/>
    <col min="6" max="6" width="17.42578125" style="46" customWidth="1"/>
    <col min="7" max="7" width="20.140625" style="46" customWidth="1"/>
    <col min="8" max="8" width="42" style="46" customWidth="1"/>
    <col min="9" max="9" width="17.140625" style="47" customWidth="1"/>
    <col min="10" max="10" width="17.42578125" style="48" customWidth="1"/>
    <col min="11" max="11" width="27" style="48" customWidth="1"/>
    <col min="12" max="12" width="30.140625" style="48" customWidth="1"/>
    <col min="13" max="13" width="25.5703125" style="46" customWidth="1"/>
    <col min="14" max="14" width="19.140625" style="46" customWidth="1"/>
    <col min="15" max="15" width="18.85546875" style="46" customWidth="1"/>
    <col min="16" max="16" width="44.28515625" style="45" customWidth="1"/>
    <col min="17" max="17" width="15.28515625" style="46" bestFit="1" customWidth="1"/>
    <col min="18" max="18" width="13.140625" style="46" bestFit="1" customWidth="1"/>
    <col min="19" max="20" width="12.42578125" style="46" bestFit="1" customWidth="1"/>
    <col min="21" max="21" width="13" style="49" bestFit="1" customWidth="1"/>
    <col min="22" max="24" width="10.42578125" style="46" bestFit="1" customWidth="1"/>
    <col min="25" max="25" width="9" style="46" bestFit="1" customWidth="1"/>
    <col min="26" max="27" width="9.85546875" style="46" bestFit="1" customWidth="1"/>
    <col min="28" max="28" width="11.5703125" style="46" bestFit="1" customWidth="1"/>
  </cols>
  <sheetData>
    <row r="1" spans="1:28" ht="24" customHeight="1" x14ac:dyDescent="0.6">
      <c r="A1" s="85" t="s">
        <v>995</v>
      </c>
      <c r="B1" s="86"/>
      <c r="C1" s="87"/>
      <c r="D1" s="88"/>
      <c r="E1" s="89"/>
      <c r="F1" s="89"/>
      <c r="G1" s="89"/>
      <c r="H1" s="89"/>
      <c r="I1" s="90"/>
      <c r="J1" s="91"/>
      <c r="K1" s="91"/>
      <c r="L1" s="91"/>
      <c r="M1" s="89"/>
      <c r="N1" s="89"/>
      <c r="O1" s="89"/>
      <c r="P1" s="88"/>
      <c r="Q1" s="89"/>
      <c r="R1" s="89"/>
      <c r="S1" s="89"/>
      <c r="T1" s="89"/>
      <c r="U1" s="92"/>
      <c r="V1" s="89"/>
      <c r="W1" s="89"/>
      <c r="X1" s="89"/>
      <c r="Y1" s="89"/>
      <c r="Z1" s="89"/>
      <c r="AA1" s="89"/>
      <c r="AB1" s="89"/>
    </row>
    <row r="2" spans="1:28" s="23" customFormat="1" ht="15" customHeight="1" x14ac:dyDescent="0.25">
      <c r="A2" s="52" t="s">
        <v>72</v>
      </c>
      <c r="B2" s="52" t="s">
        <v>73</v>
      </c>
      <c r="C2" s="53" t="s">
        <v>74</v>
      </c>
      <c r="D2" s="52" t="s">
        <v>75</v>
      </c>
      <c r="E2" s="52" t="s">
        <v>76</v>
      </c>
      <c r="F2" s="52" t="s">
        <v>77</v>
      </c>
      <c r="G2" s="52" t="s">
        <v>78</v>
      </c>
      <c r="H2" s="52" t="s">
        <v>79</v>
      </c>
      <c r="I2" s="52" t="s">
        <v>80</v>
      </c>
      <c r="J2" s="52" t="s">
        <v>81</v>
      </c>
      <c r="K2" s="52" t="s">
        <v>82</v>
      </c>
      <c r="L2" s="52" t="s">
        <v>83</v>
      </c>
      <c r="M2" s="52" t="s">
        <v>84</v>
      </c>
      <c r="N2" s="52" t="s">
        <v>85</v>
      </c>
      <c r="O2" s="52" t="s">
        <v>86</v>
      </c>
      <c r="P2" s="52" t="s">
        <v>87</v>
      </c>
      <c r="Q2" s="54" t="s">
        <v>88</v>
      </c>
      <c r="R2" s="54" t="s">
        <v>17</v>
      </c>
      <c r="S2" s="53" t="s">
        <v>89</v>
      </c>
      <c r="T2" s="53" t="s">
        <v>90</v>
      </c>
      <c r="U2" s="53" t="s">
        <v>91</v>
      </c>
      <c r="V2" s="53" t="s">
        <v>92</v>
      </c>
      <c r="W2" s="53" t="s">
        <v>93</v>
      </c>
      <c r="X2" s="53" t="s">
        <v>94</v>
      </c>
      <c r="Y2" s="53" t="s">
        <v>95</v>
      </c>
      <c r="Z2" s="53" t="s">
        <v>96</v>
      </c>
      <c r="AA2" s="53" t="s">
        <v>97</v>
      </c>
      <c r="AB2" s="53" t="s">
        <v>98</v>
      </c>
    </row>
    <row r="3" spans="1:28" s="33" customFormat="1" ht="15.6" customHeight="1" x14ac:dyDescent="0.25">
      <c r="A3" s="24" t="s">
        <v>996</v>
      </c>
      <c r="B3" s="50">
        <v>3005</v>
      </c>
      <c r="C3" s="25" t="s">
        <v>997</v>
      </c>
      <c r="D3" s="25" t="s">
        <v>101</v>
      </c>
      <c r="E3" s="25" t="s">
        <v>102</v>
      </c>
      <c r="F3" s="25" t="s">
        <v>155</v>
      </c>
      <c r="G3" s="26" t="s">
        <v>139</v>
      </c>
      <c r="H3" s="27" t="s">
        <v>156</v>
      </c>
      <c r="I3" s="24" t="s">
        <v>998</v>
      </c>
      <c r="J3" s="24" t="s">
        <v>107</v>
      </c>
      <c r="K3" s="28" t="s">
        <v>108</v>
      </c>
      <c r="L3" s="29">
        <v>0.02</v>
      </c>
      <c r="M3" s="29">
        <v>7.4999999999999997E-3</v>
      </c>
      <c r="N3" s="29">
        <v>0.02</v>
      </c>
      <c r="O3" s="27" t="s">
        <v>109</v>
      </c>
      <c r="P3" s="30" t="s">
        <v>101</v>
      </c>
      <c r="Q3" s="31">
        <v>30059592.469999999</v>
      </c>
      <c r="R3" s="31">
        <v>448.19</v>
      </c>
      <c r="S3" s="32">
        <v>2.7841000000000001E-2</v>
      </c>
      <c r="T3" s="32" t="s">
        <v>139</v>
      </c>
      <c r="U3" s="32">
        <v>-9.8750000000000001E-3</v>
      </c>
      <c r="V3" s="32">
        <v>6.2136999999999998E-2</v>
      </c>
      <c r="W3" s="32">
        <v>2.5395000000000001E-2</v>
      </c>
      <c r="X3" s="32">
        <v>5.9200000000000003E-2</v>
      </c>
      <c r="Y3" s="32">
        <v>-7.7911999999999995E-2</v>
      </c>
      <c r="Z3" s="32">
        <v>0.36964799999999998</v>
      </c>
      <c r="AA3" s="32">
        <v>0.59084899999999996</v>
      </c>
      <c r="AB3" s="32">
        <v>0.523316</v>
      </c>
    </row>
    <row r="4" spans="1:28" ht="15.6" customHeight="1" x14ac:dyDescent="0.25">
      <c r="A4" s="24" t="s">
        <v>999</v>
      </c>
      <c r="B4" s="50">
        <v>3006</v>
      </c>
      <c r="C4" s="25" t="s">
        <v>1000</v>
      </c>
      <c r="D4" s="25" t="s">
        <v>101</v>
      </c>
      <c r="E4" s="25" t="s">
        <v>102</v>
      </c>
      <c r="F4" s="25" t="s">
        <v>113</v>
      </c>
      <c r="G4" s="26" t="s">
        <v>114</v>
      </c>
      <c r="H4" s="27" t="s">
        <v>327</v>
      </c>
      <c r="I4" s="24" t="s">
        <v>998</v>
      </c>
      <c r="J4" s="24" t="s">
        <v>107</v>
      </c>
      <c r="K4" s="28" t="s">
        <v>108</v>
      </c>
      <c r="L4" s="29">
        <v>5.0000000000000001E-3</v>
      </c>
      <c r="M4" s="29">
        <v>2.5000000000000001E-3</v>
      </c>
      <c r="N4" s="29">
        <v>9.300000000000001E-3</v>
      </c>
      <c r="O4" s="27" t="s">
        <v>109</v>
      </c>
      <c r="P4" s="30" t="s">
        <v>101</v>
      </c>
      <c r="Q4" s="31">
        <v>116303015.58</v>
      </c>
      <c r="R4" s="31">
        <v>274.67</v>
      </c>
      <c r="S4" s="32">
        <v>-7.3010000000000002E-3</v>
      </c>
      <c r="T4" s="32" t="s">
        <v>139</v>
      </c>
      <c r="U4" s="32">
        <v>6.9200000000000002E-4</v>
      </c>
      <c r="V4" s="32">
        <v>4.4619999999999998E-3</v>
      </c>
      <c r="W4" s="32">
        <v>1.1659999999999999E-3</v>
      </c>
      <c r="X4" s="32">
        <v>-5.8269999999999997E-3</v>
      </c>
      <c r="Y4" s="32">
        <v>-1.0519000000000001E-2</v>
      </c>
      <c r="Z4" s="32">
        <v>6.7757999999999999E-2</v>
      </c>
      <c r="AA4" s="32">
        <v>0.16070799999999999</v>
      </c>
      <c r="AB4" s="32">
        <v>9.2952999999999994E-2</v>
      </c>
    </row>
    <row r="5" spans="1:28" ht="15.6" customHeight="1" x14ac:dyDescent="0.25">
      <c r="A5" s="24" t="s">
        <v>99</v>
      </c>
      <c r="B5" s="50">
        <v>3013</v>
      </c>
      <c r="C5" s="25" t="s">
        <v>100</v>
      </c>
      <c r="D5" s="25" t="s">
        <v>101</v>
      </c>
      <c r="E5" s="25" t="s">
        <v>102</v>
      </c>
      <c r="F5" s="25" t="s">
        <v>103</v>
      </c>
      <c r="G5" s="26" t="s">
        <v>104</v>
      </c>
      <c r="H5" s="27" t="s">
        <v>105</v>
      </c>
      <c r="I5" s="24" t="s">
        <v>106</v>
      </c>
      <c r="J5" s="24" t="s">
        <v>107</v>
      </c>
      <c r="K5" s="28" t="s">
        <v>108</v>
      </c>
      <c r="L5" s="29">
        <v>1.2500000000000001E-2</v>
      </c>
      <c r="M5" s="29">
        <v>5.0000000000000001E-3</v>
      </c>
      <c r="N5" s="29">
        <v>1.95E-2</v>
      </c>
      <c r="O5" s="27" t="s">
        <v>109</v>
      </c>
      <c r="P5" s="30" t="s">
        <v>101</v>
      </c>
      <c r="Q5" s="31">
        <v>166722224.22</v>
      </c>
      <c r="R5" s="31">
        <v>123497.94</v>
      </c>
      <c r="S5" s="32">
        <v>1.0330000000000001E-2</v>
      </c>
      <c r="T5" s="32" t="s">
        <v>139</v>
      </c>
      <c r="U5" s="32">
        <v>1.54E-4</v>
      </c>
      <c r="V5" s="32">
        <v>1.165E-3</v>
      </c>
      <c r="W5" s="32">
        <v>3.663E-3</v>
      </c>
      <c r="X5" s="32">
        <v>7.6569999999999997E-3</v>
      </c>
      <c r="Y5" s="32">
        <v>1.5108E-2</v>
      </c>
      <c r="Z5" s="32">
        <v>3.3071000000000003E-2</v>
      </c>
      <c r="AA5" s="32">
        <v>5.6926999999999998E-2</v>
      </c>
      <c r="AB5" s="32">
        <v>8.3850999999999995E-2</v>
      </c>
    </row>
    <row r="6" spans="1:28" ht="15.6" customHeight="1" x14ac:dyDescent="0.25">
      <c r="A6" s="24" t="s">
        <v>1001</v>
      </c>
      <c r="B6" s="50">
        <v>3021</v>
      </c>
      <c r="C6" s="25" t="s">
        <v>1002</v>
      </c>
      <c r="D6" s="25" t="s">
        <v>112</v>
      </c>
      <c r="E6" s="25" t="s">
        <v>102</v>
      </c>
      <c r="F6" s="25" t="s">
        <v>138</v>
      </c>
      <c r="G6" s="26" t="s">
        <v>139</v>
      </c>
      <c r="H6" s="27" t="s">
        <v>1003</v>
      </c>
      <c r="I6" s="24" t="s">
        <v>998</v>
      </c>
      <c r="J6" s="24" t="s">
        <v>107</v>
      </c>
      <c r="K6" s="28" t="s">
        <v>108</v>
      </c>
      <c r="L6" s="29">
        <v>3.0000000000000001E-3</v>
      </c>
      <c r="M6" s="29">
        <v>2.5000000000000001E-3</v>
      </c>
      <c r="N6" s="29">
        <v>0.02</v>
      </c>
      <c r="O6" s="27" t="s">
        <v>116</v>
      </c>
      <c r="P6" s="30" t="s">
        <v>112</v>
      </c>
      <c r="Q6" s="31">
        <v>1311156174.54</v>
      </c>
      <c r="R6" s="31">
        <v>4148.32</v>
      </c>
      <c r="S6" s="32">
        <v>-3.3919999999999999E-2</v>
      </c>
      <c r="T6" s="32" t="s">
        <v>139</v>
      </c>
      <c r="U6" s="32">
        <v>-3.3300000000000001E-3</v>
      </c>
      <c r="V6" s="32">
        <v>2.9822000000000001E-2</v>
      </c>
      <c r="W6" s="32">
        <v>6.862E-3</v>
      </c>
      <c r="X6" s="32">
        <v>-1.9269999999999999E-2</v>
      </c>
      <c r="Y6" s="32">
        <v>-9.4073000000000004E-2</v>
      </c>
      <c r="Z6" s="32">
        <v>0.13058800000000001</v>
      </c>
      <c r="AA6" s="32">
        <v>0.27381100000000003</v>
      </c>
      <c r="AB6" s="32">
        <v>0.18226800000000001</v>
      </c>
    </row>
    <row r="7" spans="1:28" ht="15.6" customHeight="1" x14ac:dyDescent="0.25">
      <c r="A7" s="24" t="s">
        <v>110</v>
      </c>
      <c r="B7" s="50">
        <v>3028</v>
      </c>
      <c r="C7" s="25" t="s">
        <v>111</v>
      </c>
      <c r="D7" s="25" t="s">
        <v>112</v>
      </c>
      <c r="E7" s="25" t="s">
        <v>102</v>
      </c>
      <c r="F7" s="25" t="s">
        <v>113</v>
      </c>
      <c r="G7" s="26" t="s">
        <v>114</v>
      </c>
      <c r="H7" s="27" t="s">
        <v>115</v>
      </c>
      <c r="I7" s="24" t="s">
        <v>106</v>
      </c>
      <c r="J7" s="24" t="s">
        <v>107</v>
      </c>
      <c r="K7" s="28" t="s">
        <v>108</v>
      </c>
      <c r="L7" s="29">
        <v>5.0000000000000001E-3</v>
      </c>
      <c r="M7" s="29">
        <v>0</v>
      </c>
      <c r="N7" s="29">
        <v>0.02</v>
      </c>
      <c r="O7" s="27" t="s">
        <v>116</v>
      </c>
      <c r="P7" s="30" t="s">
        <v>112</v>
      </c>
      <c r="Q7" s="31">
        <v>1786281800.3499999</v>
      </c>
      <c r="R7" s="31">
        <v>3480.13</v>
      </c>
      <c r="S7" s="32">
        <v>7.2499999999999995E-4</v>
      </c>
      <c r="T7" s="32" t="s">
        <v>139</v>
      </c>
      <c r="U7" s="32">
        <v>1.059E-3</v>
      </c>
      <c r="V7" s="32">
        <v>7.8250000000000004E-3</v>
      </c>
      <c r="W7" s="32">
        <v>4.9789999999999999E-3</v>
      </c>
      <c r="X7" s="32">
        <v>1.06E-4</v>
      </c>
      <c r="Y7" s="32">
        <v>-5.0010000000000002E-3</v>
      </c>
      <c r="Z7" s="32">
        <v>8.0306000000000002E-2</v>
      </c>
      <c r="AA7" s="32">
        <v>0.17143800000000001</v>
      </c>
      <c r="AB7" s="32">
        <v>0.10606</v>
      </c>
    </row>
    <row r="8" spans="1:28" ht="15.6" customHeight="1" x14ac:dyDescent="0.25">
      <c r="A8" s="24" t="s">
        <v>117</v>
      </c>
      <c r="B8" s="50">
        <v>3029</v>
      </c>
      <c r="C8" s="25" t="s">
        <v>118</v>
      </c>
      <c r="D8" s="25" t="s">
        <v>112</v>
      </c>
      <c r="E8" s="25" t="s">
        <v>102</v>
      </c>
      <c r="F8" s="25" t="s">
        <v>113</v>
      </c>
      <c r="G8" s="26" t="s">
        <v>119</v>
      </c>
      <c r="H8" s="27" t="s">
        <v>120</v>
      </c>
      <c r="I8" s="24" t="s">
        <v>106</v>
      </c>
      <c r="J8" s="24" t="s">
        <v>121</v>
      </c>
      <c r="K8" s="28" t="s">
        <v>108</v>
      </c>
      <c r="L8" s="29">
        <v>0.03</v>
      </c>
      <c r="M8" s="29">
        <v>1.4999999999999999E-2</v>
      </c>
      <c r="N8" s="29">
        <v>0.02</v>
      </c>
      <c r="O8" s="27" t="s">
        <v>116</v>
      </c>
      <c r="P8" s="30" t="s">
        <v>112</v>
      </c>
      <c r="Q8" s="31">
        <v>7648215302.6599998</v>
      </c>
      <c r="R8" s="31">
        <v>3303.39</v>
      </c>
      <c r="S8" s="32">
        <v>-3.7309999999999999E-3</v>
      </c>
      <c r="T8" s="32" t="s">
        <v>139</v>
      </c>
      <c r="U8" s="32">
        <v>1.382E-3</v>
      </c>
      <c r="V8" s="32">
        <v>3.5729999999999998E-3</v>
      </c>
      <c r="W8" s="32">
        <v>5.574E-3</v>
      </c>
      <c r="X8" s="32">
        <v>6.0239999999999998E-3</v>
      </c>
      <c r="Y8" s="32">
        <v>-2.2109999999999999E-3</v>
      </c>
      <c r="Z8" s="32">
        <v>5.1880999999999997E-2</v>
      </c>
      <c r="AA8" s="32">
        <v>0.106567</v>
      </c>
      <c r="AB8" s="32">
        <v>0.120351</v>
      </c>
    </row>
    <row r="9" spans="1:28" ht="15.6" customHeight="1" x14ac:dyDescent="0.25">
      <c r="A9" s="24" t="s">
        <v>122</v>
      </c>
      <c r="B9" s="50">
        <v>3030</v>
      </c>
      <c r="C9" s="25" t="s">
        <v>123</v>
      </c>
      <c r="D9" s="25" t="s">
        <v>112</v>
      </c>
      <c r="E9" s="25" t="s">
        <v>102</v>
      </c>
      <c r="F9" s="25" t="s">
        <v>103</v>
      </c>
      <c r="G9" s="26" t="s">
        <v>104</v>
      </c>
      <c r="H9" s="27" t="s">
        <v>124</v>
      </c>
      <c r="I9" s="24" t="s">
        <v>106</v>
      </c>
      <c r="J9" s="24" t="s">
        <v>107</v>
      </c>
      <c r="K9" s="28" t="s">
        <v>108</v>
      </c>
      <c r="L9" s="29">
        <v>0</v>
      </c>
      <c r="M9" s="29">
        <v>0</v>
      </c>
      <c r="N9" s="29">
        <v>0.02</v>
      </c>
      <c r="O9" s="27" t="s">
        <v>116</v>
      </c>
      <c r="P9" s="30" t="s">
        <v>112</v>
      </c>
      <c r="Q9" s="31">
        <v>4955796422.6999998</v>
      </c>
      <c r="R9" s="31">
        <v>2279.19</v>
      </c>
      <c r="S9" s="32">
        <v>1.8387000000000001E-2</v>
      </c>
      <c r="T9" s="32" t="s">
        <v>139</v>
      </c>
      <c r="U9" s="32">
        <v>2.72E-4</v>
      </c>
      <c r="V9" s="32">
        <v>2.362E-3</v>
      </c>
      <c r="W9" s="32">
        <v>6.6160000000000004E-3</v>
      </c>
      <c r="X9" s="32">
        <v>1.405E-2</v>
      </c>
      <c r="Y9" s="32">
        <v>2.6792E-2</v>
      </c>
      <c r="Z9" s="32">
        <v>5.6952000000000003E-2</v>
      </c>
      <c r="AA9" s="32">
        <v>9.3987000000000001E-2</v>
      </c>
      <c r="AB9" s="32">
        <v>0.138292</v>
      </c>
    </row>
    <row r="10" spans="1:28" ht="15.6" customHeight="1" x14ac:dyDescent="0.25">
      <c r="A10" s="24" t="s">
        <v>1004</v>
      </c>
      <c r="B10" s="50">
        <v>3036</v>
      </c>
      <c r="C10" s="25" t="s">
        <v>1005</v>
      </c>
      <c r="D10" s="25" t="s">
        <v>101</v>
      </c>
      <c r="E10" s="25" t="s">
        <v>102</v>
      </c>
      <c r="F10" s="25" t="s">
        <v>138</v>
      </c>
      <c r="G10" s="26" t="s">
        <v>139</v>
      </c>
      <c r="H10" s="27" t="s">
        <v>1006</v>
      </c>
      <c r="I10" s="24" t="s">
        <v>998</v>
      </c>
      <c r="J10" s="24" t="s">
        <v>107</v>
      </c>
      <c r="K10" s="28" t="s">
        <v>108</v>
      </c>
      <c r="L10" s="29">
        <v>1.2500000000000001E-2</v>
      </c>
      <c r="M10" s="29">
        <v>5.0000000000000001E-3</v>
      </c>
      <c r="N10" s="29">
        <v>1.95E-2</v>
      </c>
      <c r="O10" s="27" t="s">
        <v>109</v>
      </c>
      <c r="P10" s="30" t="s">
        <v>101</v>
      </c>
      <c r="Q10" s="31">
        <v>269223230.10000002</v>
      </c>
      <c r="R10" s="31">
        <v>165.44</v>
      </c>
      <c r="S10" s="32">
        <v>-1.6057999999999999E-2</v>
      </c>
      <c r="T10" s="32" t="s">
        <v>139</v>
      </c>
      <c r="U10" s="32">
        <v>-2.2920000000000002E-3</v>
      </c>
      <c r="V10" s="32">
        <v>2.0353E-2</v>
      </c>
      <c r="W10" s="32">
        <v>9.3340000000000003E-3</v>
      </c>
      <c r="X10" s="32">
        <v>-1.268E-3</v>
      </c>
      <c r="Y10" s="32">
        <v>-4.6455000000000003E-2</v>
      </c>
      <c r="Z10" s="32">
        <v>0.13712299999999999</v>
      </c>
      <c r="AA10" s="32">
        <v>0.26919799999999999</v>
      </c>
      <c r="AB10" s="32">
        <v>0.27428200000000003</v>
      </c>
    </row>
    <row r="11" spans="1:28" ht="15.6" customHeight="1" x14ac:dyDescent="0.25">
      <c r="A11" s="24" t="s">
        <v>125</v>
      </c>
      <c r="B11" s="50">
        <v>3037</v>
      </c>
      <c r="C11" s="25" t="s">
        <v>126</v>
      </c>
      <c r="D11" s="25" t="s">
        <v>127</v>
      </c>
      <c r="E11" s="25" t="s">
        <v>102</v>
      </c>
      <c r="F11" s="25" t="s">
        <v>128</v>
      </c>
      <c r="G11" s="26" t="s">
        <v>129</v>
      </c>
      <c r="H11" s="27" t="s">
        <v>130</v>
      </c>
      <c r="I11" s="24" t="s">
        <v>106</v>
      </c>
      <c r="J11" s="24" t="s">
        <v>121</v>
      </c>
      <c r="K11" s="28" t="s">
        <v>108</v>
      </c>
      <c r="L11" s="29">
        <v>0</v>
      </c>
      <c r="M11" s="29">
        <v>0</v>
      </c>
      <c r="N11" s="29">
        <v>0.02</v>
      </c>
      <c r="O11" s="27" t="s">
        <v>131</v>
      </c>
      <c r="P11" s="30" t="s">
        <v>131</v>
      </c>
      <c r="Q11" s="31">
        <v>137089452.63</v>
      </c>
      <c r="R11" s="31">
        <v>403204.27</v>
      </c>
      <c r="S11" s="32">
        <v>1.6246E-2</v>
      </c>
      <c r="T11" s="32" t="s">
        <v>139</v>
      </c>
      <c r="U11" s="32">
        <v>2.7799999999999998E-4</v>
      </c>
      <c r="V11" s="32">
        <v>1.9970000000000001E-3</v>
      </c>
      <c r="W11" s="32">
        <v>5.8770000000000003E-3</v>
      </c>
      <c r="X11" s="32">
        <v>1.2101000000000001E-2</v>
      </c>
      <c r="Y11" s="32">
        <v>2.1817E-2</v>
      </c>
      <c r="Z11" s="32">
        <v>5.1166000000000003E-2</v>
      </c>
      <c r="AA11" s="32">
        <v>8.9102000000000001E-2</v>
      </c>
      <c r="AB11" s="32">
        <v>0.132216</v>
      </c>
    </row>
    <row r="12" spans="1:28" ht="15.6" customHeight="1" x14ac:dyDescent="0.25">
      <c r="A12" s="24" t="s">
        <v>1007</v>
      </c>
      <c r="B12" s="50">
        <v>3039</v>
      </c>
      <c r="C12" s="25" t="s">
        <v>1008</v>
      </c>
      <c r="D12" s="25" t="s">
        <v>112</v>
      </c>
      <c r="E12" s="25" t="s">
        <v>102</v>
      </c>
      <c r="F12" s="25" t="s">
        <v>113</v>
      </c>
      <c r="G12" s="26" t="s">
        <v>114</v>
      </c>
      <c r="H12" s="27" t="s">
        <v>139</v>
      </c>
      <c r="I12" s="24" t="s">
        <v>998</v>
      </c>
      <c r="J12" s="24" t="s">
        <v>121</v>
      </c>
      <c r="K12" s="28" t="s">
        <v>108</v>
      </c>
      <c r="L12" s="29">
        <v>5.0000000000000001E-3</v>
      </c>
      <c r="M12" s="29">
        <v>0</v>
      </c>
      <c r="N12" s="29">
        <v>0.02</v>
      </c>
      <c r="O12" s="27" t="s">
        <v>548</v>
      </c>
      <c r="P12" s="30" t="s">
        <v>112</v>
      </c>
      <c r="Q12" s="31">
        <v>3404328173</v>
      </c>
      <c r="R12" s="31">
        <v>3736.34</v>
      </c>
      <c r="S12" s="32">
        <v>-5.025E-3</v>
      </c>
      <c r="T12" s="32" t="s">
        <v>139</v>
      </c>
      <c r="U12" s="32">
        <v>7.5299999999999998E-4</v>
      </c>
      <c r="V12" s="32">
        <v>7.6080000000000002E-3</v>
      </c>
      <c r="W12" s="32">
        <v>4.6109999999999996E-3</v>
      </c>
      <c r="X12" s="32">
        <v>-2.5869999999999999E-3</v>
      </c>
      <c r="Y12" s="32">
        <v>-1.5569E-2</v>
      </c>
      <c r="Z12" s="32">
        <v>8.0082E-2</v>
      </c>
      <c r="AA12" s="32">
        <v>0.18560099999999999</v>
      </c>
      <c r="AB12" s="32">
        <v>7.7379000000000003E-2</v>
      </c>
    </row>
    <row r="13" spans="1:28" ht="15.6" customHeight="1" x14ac:dyDescent="0.25">
      <c r="A13" s="24" t="s">
        <v>1009</v>
      </c>
      <c r="B13" s="50">
        <v>3040</v>
      </c>
      <c r="C13" s="25" t="s">
        <v>1010</v>
      </c>
      <c r="D13" s="25" t="s">
        <v>261</v>
      </c>
      <c r="E13" s="25" t="s">
        <v>102</v>
      </c>
      <c r="F13" s="25" t="s">
        <v>138</v>
      </c>
      <c r="G13" s="26" t="s">
        <v>139</v>
      </c>
      <c r="H13" s="27" t="s">
        <v>139</v>
      </c>
      <c r="I13" s="24" t="s">
        <v>998</v>
      </c>
      <c r="J13" s="24" t="s">
        <v>107</v>
      </c>
      <c r="K13" s="28" t="s">
        <v>108</v>
      </c>
      <c r="L13" s="29">
        <v>0.02</v>
      </c>
      <c r="M13" s="29">
        <v>5.0000000000000001E-3</v>
      </c>
      <c r="N13" s="29">
        <v>0.02</v>
      </c>
      <c r="O13" s="27" t="s">
        <v>262</v>
      </c>
      <c r="P13" s="30" t="s">
        <v>261</v>
      </c>
      <c r="Q13" s="31">
        <v>305936415.20999998</v>
      </c>
      <c r="R13" s="31">
        <v>5213.6400000000003</v>
      </c>
      <c r="S13" s="32">
        <v>-3.8709E-2</v>
      </c>
      <c r="T13" s="32" t="s">
        <v>139</v>
      </c>
      <c r="U13" s="32">
        <v>-3.4919999999999999E-3</v>
      </c>
      <c r="V13" s="32">
        <v>2.7268000000000001E-2</v>
      </c>
      <c r="W13" s="32">
        <v>1.9782999999999999E-2</v>
      </c>
      <c r="X13" s="32">
        <v>-1.5609E-2</v>
      </c>
      <c r="Y13" s="32">
        <v>-9.9283999999999997E-2</v>
      </c>
      <c r="Z13" s="32">
        <v>0.14902399999999999</v>
      </c>
      <c r="AA13" s="32">
        <v>0.35123399999999999</v>
      </c>
      <c r="AB13" s="32">
        <v>0.33887</v>
      </c>
    </row>
    <row r="14" spans="1:28" ht="15.6" customHeight="1" x14ac:dyDescent="0.25">
      <c r="A14" s="24" t="s">
        <v>132</v>
      </c>
      <c r="B14" s="50">
        <v>3041</v>
      </c>
      <c r="C14" s="25" t="s">
        <v>133</v>
      </c>
      <c r="D14" s="25" t="s">
        <v>101</v>
      </c>
      <c r="E14" s="25" t="s">
        <v>102</v>
      </c>
      <c r="F14" s="25" t="s">
        <v>128</v>
      </c>
      <c r="G14" s="26" t="s">
        <v>134</v>
      </c>
      <c r="H14" s="27" t="s">
        <v>130</v>
      </c>
      <c r="I14" s="24" t="s">
        <v>106</v>
      </c>
      <c r="J14" s="24" t="s">
        <v>107</v>
      </c>
      <c r="K14" s="28" t="s">
        <v>108</v>
      </c>
      <c r="L14" s="29">
        <v>0</v>
      </c>
      <c r="M14" s="29">
        <v>0</v>
      </c>
      <c r="N14" s="29">
        <v>6.7000000000000002E-3</v>
      </c>
      <c r="O14" s="27" t="s">
        <v>109</v>
      </c>
      <c r="P14" s="30" t="s">
        <v>101</v>
      </c>
      <c r="Q14" s="31">
        <v>31370990.359999999</v>
      </c>
      <c r="R14" s="31">
        <v>196.53</v>
      </c>
      <c r="S14" s="32">
        <v>2.1360000000000001E-2</v>
      </c>
      <c r="T14" s="32" t="s">
        <v>139</v>
      </c>
      <c r="U14" s="32">
        <v>4.0700000000000003E-4</v>
      </c>
      <c r="V14" s="32">
        <v>4.8570000000000002E-3</v>
      </c>
      <c r="W14" s="32">
        <v>7.7429999999999999E-3</v>
      </c>
      <c r="X14" s="32">
        <v>1.8395999999999999E-2</v>
      </c>
      <c r="Y14" s="32">
        <v>3.2086999999999997E-2</v>
      </c>
      <c r="Z14" s="32">
        <v>6.3300999999999996E-2</v>
      </c>
      <c r="AA14" s="32">
        <v>9.4020999999999993E-2</v>
      </c>
      <c r="AB14" s="32">
        <v>0.116077</v>
      </c>
    </row>
    <row r="15" spans="1:28" ht="15.6" customHeight="1" x14ac:dyDescent="0.25">
      <c r="A15" s="24" t="s">
        <v>135</v>
      </c>
      <c r="B15" s="50">
        <v>3047</v>
      </c>
      <c r="C15" s="25" t="s">
        <v>136</v>
      </c>
      <c r="D15" s="25" t="s">
        <v>137</v>
      </c>
      <c r="E15" s="25" t="s">
        <v>102</v>
      </c>
      <c r="F15" s="25" t="s">
        <v>138</v>
      </c>
      <c r="G15" s="26" t="s">
        <v>139</v>
      </c>
      <c r="H15" s="27" t="s">
        <v>140</v>
      </c>
      <c r="I15" s="24" t="s">
        <v>106</v>
      </c>
      <c r="J15" s="24" t="s">
        <v>107</v>
      </c>
      <c r="K15" s="28" t="s">
        <v>108</v>
      </c>
      <c r="L15" s="29">
        <v>2E-3</v>
      </c>
      <c r="M15" s="29">
        <v>2E-3</v>
      </c>
      <c r="N15" s="29">
        <v>1.4999999999999999E-2</v>
      </c>
      <c r="O15" s="27" t="s">
        <v>141</v>
      </c>
      <c r="P15" s="30" t="s">
        <v>142</v>
      </c>
      <c r="Q15" s="31">
        <v>1738748414.544924</v>
      </c>
      <c r="R15" s="31">
        <v>9683.44</v>
      </c>
      <c r="S15" s="32">
        <v>-9.7479999999999997E-3</v>
      </c>
      <c r="T15" s="32" t="s">
        <v>139</v>
      </c>
      <c r="U15" s="32">
        <v>-5.0930000000000003E-3</v>
      </c>
      <c r="V15" s="32">
        <v>3.2760999999999998E-2</v>
      </c>
      <c r="W15" s="32">
        <v>4.3229999999999996E-3</v>
      </c>
      <c r="X15" s="32">
        <v>1.1894999999999999E-2</v>
      </c>
      <c r="Y15" s="32">
        <v>-8.6059999999999998E-2</v>
      </c>
      <c r="Z15" s="32">
        <v>0.182811</v>
      </c>
      <c r="AA15" s="32">
        <v>0.33006799999999997</v>
      </c>
      <c r="AB15" s="32">
        <v>0.254276</v>
      </c>
    </row>
    <row r="16" spans="1:28" ht="15.6" customHeight="1" x14ac:dyDescent="0.25">
      <c r="A16" s="24" t="s">
        <v>143</v>
      </c>
      <c r="B16" s="50">
        <v>3048</v>
      </c>
      <c r="C16" s="25" t="s">
        <v>144</v>
      </c>
      <c r="D16" s="25" t="s">
        <v>145</v>
      </c>
      <c r="E16" s="25" t="s">
        <v>102</v>
      </c>
      <c r="F16" s="25" t="s">
        <v>103</v>
      </c>
      <c r="G16" s="26" t="s">
        <v>146</v>
      </c>
      <c r="H16" s="27" t="s">
        <v>147</v>
      </c>
      <c r="I16" s="24" t="s">
        <v>106</v>
      </c>
      <c r="J16" s="24" t="s">
        <v>107</v>
      </c>
      <c r="K16" s="28" t="s">
        <v>108</v>
      </c>
      <c r="L16" s="29">
        <v>0</v>
      </c>
      <c r="M16" s="29">
        <v>0</v>
      </c>
      <c r="N16" s="29">
        <v>1.4999999999999999E-2</v>
      </c>
      <c r="O16" s="27" t="s">
        <v>148</v>
      </c>
      <c r="P16" s="30" t="s">
        <v>145</v>
      </c>
      <c r="Q16" s="31">
        <v>4708638653.4399996</v>
      </c>
      <c r="R16" s="31">
        <v>2797.55</v>
      </c>
      <c r="S16" s="32">
        <v>1.9061999999999999E-2</v>
      </c>
      <c r="T16" s="32" t="s">
        <v>139</v>
      </c>
      <c r="U16" s="32">
        <v>2.9300000000000002E-4</v>
      </c>
      <c r="V16" s="32">
        <v>2.081E-3</v>
      </c>
      <c r="W16" s="32">
        <v>7.6870000000000003E-3</v>
      </c>
      <c r="X16" s="32">
        <v>1.4726E-2</v>
      </c>
      <c r="Y16" s="32">
        <v>2.725E-2</v>
      </c>
      <c r="Z16" s="32">
        <v>5.8298999999999997E-2</v>
      </c>
      <c r="AA16" s="32">
        <v>9.6024999999999999E-2</v>
      </c>
      <c r="AB16" s="32">
        <v>0.14474500000000001</v>
      </c>
    </row>
    <row r="17" spans="1:28" ht="15.6" customHeight="1" x14ac:dyDescent="0.25">
      <c r="A17" s="24" t="s">
        <v>149</v>
      </c>
      <c r="B17" s="50">
        <v>3049</v>
      </c>
      <c r="C17" s="25" t="s">
        <v>150</v>
      </c>
      <c r="D17" s="25" t="s">
        <v>145</v>
      </c>
      <c r="E17" s="25" t="s">
        <v>102</v>
      </c>
      <c r="F17" s="25" t="s">
        <v>113</v>
      </c>
      <c r="G17" s="26" t="s">
        <v>151</v>
      </c>
      <c r="H17" s="27" t="s">
        <v>152</v>
      </c>
      <c r="I17" s="24" t="s">
        <v>106</v>
      </c>
      <c r="J17" s="24" t="s">
        <v>107</v>
      </c>
      <c r="K17" s="28" t="s">
        <v>108</v>
      </c>
      <c r="L17" s="29">
        <v>0.02</v>
      </c>
      <c r="M17" s="29">
        <v>0.02</v>
      </c>
      <c r="N17" s="29">
        <v>0.02</v>
      </c>
      <c r="O17" s="27" t="s">
        <v>148</v>
      </c>
      <c r="P17" s="30" t="s">
        <v>145</v>
      </c>
      <c r="Q17" s="31">
        <v>126670069.5</v>
      </c>
      <c r="R17" s="31">
        <v>4942.6400000000003</v>
      </c>
      <c r="S17" s="32">
        <v>-4.9700000000000005E-4</v>
      </c>
      <c r="T17" s="32" t="s">
        <v>139</v>
      </c>
      <c r="U17" s="32">
        <v>3.4200000000000002E-4</v>
      </c>
      <c r="V17" s="32">
        <v>5.6010000000000001E-3</v>
      </c>
      <c r="W17" s="32">
        <v>2.9480000000000001E-3</v>
      </c>
      <c r="X17" s="32">
        <v>-1.438E-3</v>
      </c>
      <c r="Y17" s="32">
        <v>2.7000000000000001E-3</v>
      </c>
      <c r="Z17" s="32">
        <v>8.0928E-2</v>
      </c>
      <c r="AA17" s="32">
        <v>0.17838699999999999</v>
      </c>
      <c r="AB17" s="32">
        <v>9.1826000000000005E-2</v>
      </c>
    </row>
    <row r="18" spans="1:28" ht="15.6" customHeight="1" x14ac:dyDescent="0.25">
      <c r="A18" s="24" t="s">
        <v>153</v>
      </c>
      <c r="B18" s="50">
        <v>3050</v>
      </c>
      <c r="C18" s="25" t="s">
        <v>154</v>
      </c>
      <c r="D18" s="25" t="s">
        <v>145</v>
      </c>
      <c r="E18" s="25" t="s">
        <v>102</v>
      </c>
      <c r="F18" s="25" t="s">
        <v>155</v>
      </c>
      <c r="G18" s="26" t="s">
        <v>139</v>
      </c>
      <c r="H18" s="27" t="s">
        <v>156</v>
      </c>
      <c r="I18" s="24" t="s">
        <v>106</v>
      </c>
      <c r="J18" s="24" t="s">
        <v>107</v>
      </c>
      <c r="K18" s="28" t="s">
        <v>108</v>
      </c>
      <c r="L18" s="29">
        <v>0.02</v>
      </c>
      <c r="M18" s="29">
        <v>0.01</v>
      </c>
      <c r="N18" s="29">
        <v>0.02</v>
      </c>
      <c r="O18" s="27" t="s">
        <v>148</v>
      </c>
      <c r="P18" s="30" t="s">
        <v>145</v>
      </c>
      <c r="Q18" s="31">
        <v>618787508.74000001</v>
      </c>
      <c r="R18" s="31">
        <v>7908.02</v>
      </c>
      <c r="S18" s="32">
        <v>7.0179999999999999E-3</v>
      </c>
      <c r="T18" s="32" t="s">
        <v>139</v>
      </c>
      <c r="U18" s="32">
        <v>-9.5350000000000001E-3</v>
      </c>
      <c r="V18" s="32">
        <v>5.8132000000000003E-2</v>
      </c>
      <c r="W18" s="32">
        <v>1.6188999999999999E-2</v>
      </c>
      <c r="X18" s="32">
        <v>4.3492999999999997E-2</v>
      </c>
      <c r="Y18" s="32">
        <v>-9.8288E-2</v>
      </c>
      <c r="Z18" s="32">
        <v>0.283001</v>
      </c>
      <c r="AA18" s="32">
        <v>0.51528300000000005</v>
      </c>
      <c r="AB18" s="32">
        <v>0.48922399999999999</v>
      </c>
    </row>
    <row r="19" spans="1:28" ht="15.6" customHeight="1" x14ac:dyDescent="0.25">
      <c r="A19" s="24" t="s">
        <v>157</v>
      </c>
      <c r="B19" s="50">
        <v>3051</v>
      </c>
      <c r="C19" s="25" t="s">
        <v>158</v>
      </c>
      <c r="D19" s="25" t="s">
        <v>159</v>
      </c>
      <c r="E19" s="25" t="s">
        <v>102</v>
      </c>
      <c r="F19" s="25" t="s">
        <v>138</v>
      </c>
      <c r="G19" s="26" t="s">
        <v>139</v>
      </c>
      <c r="H19" s="27" t="s">
        <v>160</v>
      </c>
      <c r="I19" s="24" t="s">
        <v>106</v>
      </c>
      <c r="J19" s="24" t="s">
        <v>107</v>
      </c>
      <c r="K19" s="28" t="s">
        <v>108</v>
      </c>
      <c r="L19" s="29">
        <v>0.01</v>
      </c>
      <c r="M19" s="29">
        <v>5.0000000000000001E-3</v>
      </c>
      <c r="N19" s="29">
        <v>0.02</v>
      </c>
      <c r="O19" s="27" t="s">
        <v>161</v>
      </c>
      <c r="P19" s="30" t="s">
        <v>159</v>
      </c>
      <c r="Q19" s="31">
        <v>4735947.75</v>
      </c>
      <c r="R19" s="31">
        <v>43054.07</v>
      </c>
      <c r="S19" s="32">
        <v>1.3188999999999999E-2</v>
      </c>
      <c r="T19" s="32" t="s">
        <v>139</v>
      </c>
      <c r="U19" s="32">
        <v>-5.1739999999999998E-3</v>
      </c>
      <c r="V19" s="32">
        <v>3.4190999999999999E-2</v>
      </c>
      <c r="W19" s="32">
        <v>9.1140000000000006E-3</v>
      </c>
      <c r="X19" s="32">
        <v>2.6551000000000002E-2</v>
      </c>
      <c r="Y19" s="32">
        <v>-4.1766999999999999E-2</v>
      </c>
      <c r="Z19" s="32">
        <v>0.19612399999999999</v>
      </c>
      <c r="AA19" s="32">
        <v>0.320934</v>
      </c>
      <c r="AB19" s="32">
        <v>0.30064200000000002</v>
      </c>
    </row>
    <row r="20" spans="1:28" ht="15.6" customHeight="1" x14ac:dyDescent="0.25">
      <c r="A20" s="24" t="s">
        <v>162</v>
      </c>
      <c r="B20" s="50">
        <v>3052</v>
      </c>
      <c r="C20" s="25" t="s">
        <v>163</v>
      </c>
      <c r="D20" s="25" t="s">
        <v>164</v>
      </c>
      <c r="E20" s="25" t="s">
        <v>102</v>
      </c>
      <c r="F20" s="25" t="s">
        <v>138</v>
      </c>
      <c r="G20" s="26" t="s">
        <v>139</v>
      </c>
      <c r="H20" s="27" t="s">
        <v>165</v>
      </c>
      <c r="I20" s="24" t="s">
        <v>106</v>
      </c>
      <c r="J20" s="24" t="s">
        <v>107</v>
      </c>
      <c r="K20" s="28" t="s">
        <v>108</v>
      </c>
      <c r="L20" s="29">
        <v>0.03</v>
      </c>
      <c r="M20" s="29">
        <v>1.4999999999999999E-2</v>
      </c>
      <c r="N20" s="29">
        <v>0.02</v>
      </c>
      <c r="O20" s="27" t="s">
        <v>166</v>
      </c>
      <c r="P20" s="30" t="s">
        <v>164</v>
      </c>
      <c r="Q20" s="31">
        <v>5161568651.75</v>
      </c>
      <c r="R20" s="31">
        <v>788.7</v>
      </c>
      <c r="S20" s="32">
        <v>9.6604999999999996E-2</v>
      </c>
      <c r="T20" s="32" t="s">
        <v>139</v>
      </c>
      <c r="U20" s="32">
        <v>-6.1989999999999996E-3</v>
      </c>
      <c r="V20" s="32">
        <v>4.7772000000000002E-2</v>
      </c>
      <c r="W20" s="32">
        <v>3.908E-3</v>
      </c>
      <c r="X20" s="32">
        <v>8.0425999999999997E-2</v>
      </c>
      <c r="Y20" s="32">
        <v>4.7077000000000001E-2</v>
      </c>
      <c r="Z20" s="32">
        <v>0.26177899999999998</v>
      </c>
      <c r="AA20" s="32">
        <v>0.41255500000000001</v>
      </c>
      <c r="AB20" s="32">
        <v>0.37043700000000002</v>
      </c>
    </row>
    <row r="21" spans="1:28" ht="15.6" customHeight="1" x14ac:dyDescent="0.25">
      <c r="A21" s="24" t="s">
        <v>1011</v>
      </c>
      <c r="B21" s="50">
        <v>3053</v>
      </c>
      <c r="C21" s="25" t="s">
        <v>1012</v>
      </c>
      <c r="D21" s="25" t="s">
        <v>164</v>
      </c>
      <c r="E21" s="25" t="s">
        <v>102</v>
      </c>
      <c r="F21" s="25" t="s">
        <v>138</v>
      </c>
      <c r="G21" s="26" t="s">
        <v>139</v>
      </c>
      <c r="H21" s="27" t="s">
        <v>1013</v>
      </c>
      <c r="I21" s="24" t="s">
        <v>998</v>
      </c>
      <c r="J21" s="24" t="s">
        <v>107</v>
      </c>
      <c r="K21" s="28" t="s">
        <v>108</v>
      </c>
      <c r="L21" s="29">
        <v>0.03</v>
      </c>
      <c r="M21" s="29">
        <v>1.4999999999999999E-2</v>
      </c>
      <c r="N21" s="29">
        <v>0.02</v>
      </c>
      <c r="O21" s="27" t="s">
        <v>166</v>
      </c>
      <c r="P21" s="30" t="s">
        <v>164</v>
      </c>
      <c r="Q21" s="31">
        <v>22979764.57</v>
      </c>
      <c r="R21" s="31">
        <v>4918.6099999999997</v>
      </c>
      <c r="S21" s="32">
        <v>5.6466000000000002E-2</v>
      </c>
      <c r="T21" s="32" t="s">
        <v>139</v>
      </c>
      <c r="U21" s="32">
        <v>-7.3819999999999997E-3</v>
      </c>
      <c r="V21" s="32">
        <v>4.7112000000000001E-2</v>
      </c>
      <c r="W21" s="32">
        <v>1.4374E-2</v>
      </c>
      <c r="X21" s="32">
        <v>6.2345999999999999E-2</v>
      </c>
      <c r="Y21" s="32">
        <v>-1.1686E-2</v>
      </c>
      <c r="Z21" s="32">
        <v>0.26390799999999998</v>
      </c>
      <c r="AA21" s="32">
        <v>0.39358300000000002</v>
      </c>
      <c r="AB21" s="32">
        <v>0.32697999999999999</v>
      </c>
    </row>
    <row r="22" spans="1:28" ht="15.6" customHeight="1" x14ac:dyDescent="0.25">
      <c r="A22" s="24" t="s">
        <v>1014</v>
      </c>
      <c r="B22" s="50">
        <v>3054</v>
      </c>
      <c r="C22" s="25" t="s">
        <v>1015</v>
      </c>
      <c r="D22" s="25" t="s">
        <v>164</v>
      </c>
      <c r="E22" s="25" t="s">
        <v>102</v>
      </c>
      <c r="F22" s="25" t="s">
        <v>113</v>
      </c>
      <c r="G22" s="26" t="s">
        <v>1016</v>
      </c>
      <c r="H22" s="27" t="s">
        <v>120</v>
      </c>
      <c r="I22" s="24" t="s">
        <v>998</v>
      </c>
      <c r="J22" s="24" t="s">
        <v>107</v>
      </c>
      <c r="K22" s="28" t="s">
        <v>108</v>
      </c>
      <c r="L22" s="29">
        <v>0.03</v>
      </c>
      <c r="M22" s="29">
        <v>1.4999999999999999E-2</v>
      </c>
      <c r="N22" s="29">
        <v>0.02</v>
      </c>
      <c r="O22" s="27" t="s">
        <v>166</v>
      </c>
      <c r="P22" s="30" t="s">
        <v>164</v>
      </c>
      <c r="Q22" s="31">
        <v>377419330.31</v>
      </c>
      <c r="R22" s="31">
        <v>318.83</v>
      </c>
      <c r="S22" s="32">
        <v>1.0201999999999999E-2</v>
      </c>
      <c r="T22" s="32" t="s">
        <v>139</v>
      </c>
      <c r="U22" s="32">
        <v>8.1599999999999999E-4</v>
      </c>
      <c r="V22" s="32">
        <v>7.1069999999999996E-3</v>
      </c>
      <c r="W22" s="32">
        <v>8.1580000000000003E-3</v>
      </c>
      <c r="X22" s="32">
        <v>8.4770000000000002E-3</v>
      </c>
      <c r="Y22" s="32">
        <v>1.1067E-2</v>
      </c>
      <c r="Z22" s="32">
        <v>7.1264999999999995E-2</v>
      </c>
      <c r="AA22" s="32">
        <v>0.12529599999999999</v>
      </c>
      <c r="AB22" s="32">
        <v>0.127724</v>
      </c>
    </row>
    <row r="23" spans="1:28" ht="15.6" customHeight="1" x14ac:dyDescent="0.25">
      <c r="A23" s="24" t="s">
        <v>167</v>
      </c>
      <c r="B23" s="50">
        <v>3055</v>
      </c>
      <c r="C23" s="25" t="s">
        <v>168</v>
      </c>
      <c r="D23" s="25" t="s">
        <v>164</v>
      </c>
      <c r="E23" s="25" t="s">
        <v>102</v>
      </c>
      <c r="F23" s="25" t="s">
        <v>103</v>
      </c>
      <c r="G23" s="26" t="s">
        <v>104</v>
      </c>
      <c r="H23" s="27" t="s">
        <v>169</v>
      </c>
      <c r="I23" s="24" t="s">
        <v>106</v>
      </c>
      <c r="J23" s="24" t="s">
        <v>107</v>
      </c>
      <c r="K23" s="28" t="s">
        <v>108</v>
      </c>
      <c r="L23" s="29">
        <v>0</v>
      </c>
      <c r="M23" s="29">
        <v>0</v>
      </c>
      <c r="N23" s="29">
        <v>0.02</v>
      </c>
      <c r="O23" s="27" t="s">
        <v>166</v>
      </c>
      <c r="P23" s="30" t="s">
        <v>164</v>
      </c>
      <c r="Q23" s="31">
        <v>3789268838.5700002</v>
      </c>
      <c r="R23" s="31">
        <v>5692.66</v>
      </c>
      <c r="S23" s="32">
        <v>1.4107E-2</v>
      </c>
      <c r="T23" s="32" t="s">
        <v>139</v>
      </c>
      <c r="U23" s="32">
        <v>2.23E-4</v>
      </c>
      <c r="V23" s="32">
        <v>1.647E-3</v>
      </c>
      <c r="W23" s="32">
        <v>4.9699999999999996E-3</v>
      </c>
      <c r="X23" s="32">
        <v>1.0553E-2</v>
      </c>
      <c r="Y23" s="32">
        <v>2.0323000000000001E-2</v>
      </c>
      <c r="Z23" s="32">
        <v>4.4257999999999999E-2</v>
      </c>
      <c r="AA23" s="32">
        <v>7.3953000000000005E-2</v>
      </c>
      <c r="AB23" s="32">
        <v>0.107881</v>
      </c>
    </row>
    <row r="24" spans="1:28" ht="15.6" customHeight="1" x14ac:dyDescent="0.25">
      <c r="A24" s="24" t="s">
        <v>1017</v>
      </c>
      <c r="B24" s="50">
        <v>3056</v>
      </c>
      <c r="C24" s="25" t="s">
        <v>1018</v>
      </c>
      <c r="D24" s="25" t="s">
        <v>159</v>
      </c>
      <c r="E24" s="25" t="s">
        <v>102</v>
      </c>
      <c r="F24" s="25" t="s">
        <v>113</v>
      </c>
      <c r="G24" s="26" t="s">
        <v>531</v>
      </c>
      <c r="H24" s="27" t="s">
        <v>115</v>
      </c>
      <c r="I24" s="24" t="s">
        <v>998</v>
      </c>
      <c r="J24" s="24" t="s">
        <v>121</v>
      </c>
      <c r="K24" s="28" t="s">
        <v>108</v>
      </c>
      <c r="L24" s="29">
        <v>0</v>
      </c>
      <c r="M24" s="29">
        <v>0</v>
      </c>
      <c r="N24" s="29">
        <v>0.02</v>
      </c>
      <c r="O24" s="27" t="s">
        <v>173</v>
      </c>
      <c r="P24" s="30" t="s">
        <v>159</v>
      </c>
      <c r="Q24" s="31">
        <v>6942396439.3000002</v>
      </c>
      <c r="R24" s="31">
        <v>962483.91</v>
      </c>
      <c r="S24" s="32">
        <v>-4.2400000000000001E-4</v>
      </c>
      <c r="T24" s="32" t="s">
        <v>139</v>
      </c>
      <c r="U24" s="32">
        <v>9.7799999999999992E-4</v>
      </c>
      <c r="V24" s="32">
        <v>3.7529999999999998E-3</v>
      </c>
      <c r="W24" s="32">
        <v>3.104E-3</v>
      </c>
      <c r="X24" s="32">
        <v>-1.5989999999999999E-3</v>
      </c>
      <c r="Y24" s="32">
        <v>-5.2500000000000003E-3</v>
      </c>
      <c r="Z24" s="32">
        <v>8.9358000000000007E-2</v>
      </c>
      <c r="AA24" s="32">
        <v>0.19619600000000001</v>
      </c>
      <c r="AB24" s="32">
        <v>0.15215999999999999</v>
      </c>
    </row>
    <row r="25" spans="1:28" ht="15.6" customHeight="1" x14ac:dyDescent="0.25">
      <c r="A25" s="24" t="s">
        <v>170</v>
      </c>
      <c r="B25" s="50">
        <v>3057</v>
      </c>
      <c r="C25" s="25" t="s">
        <v>171</v>
      </c>
      <c r="D25" s="25" t="s">
        <v>164</v>
      </c>
      <c r="E25" s="25" t="s">
        <v>102</v>
      </c>
      <c r="F25" s="25" t="s">
        <v>138</v>
      </c>
      <c r="G25" s="26" t="s">
        <v>139</v>
      </c>
      <c r="H25" s="27" t="s">
        <v>172</v>
      </c>
      <c r="I25" s="24" t="s">
        <v>106</v>
      </c>
      <c r="J25" s="24" t="s">
        <v>107</v>
      </c>
      <c r="K25" s="28" t="s">
        <v>108</v>
      </c>
      <c r="L25" s="29">
        <v>0.03</v>
      </c>
      <c r="M25" s="29">
        <v>1.4999999999999999E-2</v>
      </c>
      <c r="N25" s="29">
        <v>0.02</v>
      </c>
      <c r="O25" s="27" t="s">
        <v>173</v>
      </c>
      <c r="P25" s="30" t="s">
        <v>164</v>
      </c>
      <c r="Q25" s="31">
        <v>565825036.69000006</v>
      </c>
      <c r="R25" s="31">
        <v>7242.38</v>
      </c>
      <c r="S25" s="32">
        <v>5.5559999999999998E-2</v>
      </c>
      <c r="T25" s="32" t="s">
        <v>139</v>
      </c>
      <c r="U25" s="32">
        <v>-6.8799999999999998E-3</v>
      </c>
      <c r="V25" s="32">
        <v>5.0179000000000001E-2</v>
      </c>
      <c r="W25" s="32">
        <v>1.4401000000000001E-2</v>
      </c>
      <c r="X25" s="32">
        <v>6.2604000000000007E-2</v>
      </c>
      <c r="Y25" s="32">
        <v>1.95E-4</v>
      </c>
      <c r="Z25" s="32">
        <v>0.25333699999999998</v>
      </c>
      <c r="AA25" s="32">
        <v>0.41349999999999998</v>
      </c>
      <c r="AB25" s="32">
        <v>0.34570000000000001</v>
      </c>
    </row>
    <row r="26" spans="1:28" ht="15.6" customHeight="1" x14ac:dyDescent="0.25">
      <c r="A26" s="24" t="s">
        <v>174</v>
      </c>
      <c r="B26" s="50">
        <v>3058</v>
      </c>
      <c r="C26" s="25" t="s">
        <v>175</v>
      </c>
      <c r="D26" s="25" t="s">
        <v>164</v>
      </c>
      <c r="E26" s="25" t="s">
        <v>102</v>
      </c>
      <c r="F26" s="25" t="s">
        <v>113</v>
      </c>
      <c r="G26" s="26" t="s">
        <v>176</v>
      </c>
      <c r="H26" s="27" t="s">
        <v>177</v>
      </c>
      <c r="I26" s="24" t="s">
        <v>106</v>
      </c>
      <c r="J26" s="24" t="s">
        <v>107</v>
      </c>
      <c r="K26" s="28" t="s">
        <v>108</v>
      </c>
      <c r="L26" s="29">
        <v>0.03</v>
      </c>
      <c r="M26" s="29">
        <v>1.4999999999999999E-2</v>
      </c>
      <c r="N26" s="29">
        <v>0.02</v>
      </c>
      <c r="O26" s="27" t="s">
        <v>173</v>
      </c>
      <c r="P26" s="30" t="s">
        <v>164</v>
      </c>
      <c r="Q26" s="31">
        <v>983895550.42999995</v>
      </c>
      <c r="R26" s="31">
        <v>3629.58</v>
      </c>
      <c r="S26" s="32">
        <v>6.1149999999999998E-3</v>
      </c>
      <c r="T26" s="32" t="s">
        <v>139</v>
      </c>
      <c r="U26" s="32">
        <v>4.08E-4</v>
      </c>
      <c r="V26" s="32">
        <v>9.4590000000000004E-3</v>
      </c>
      <c r="W26" s="32">
        <v>6.1120000000000002E-3</v>
      </c>
      <c r="X26" s="32">
        <v>5.195E-3</v>
      </c>
      <c r="Y26" s="32">
        <v>-2.4789999999999999E-3</v>
      </c>
      <c r="Z26" s="32">
        <v>7.1281999999999998E-2</v>
      </c>
      <c r="AA26" s="32">
        <v>0.16320799999999999</v>
      </c>
      <c r="AB26" s="32">
        <v>0.11887</v>
      </c>
    </row>
    <row r="27" spans="1:28" ht="15.6" customHeight="1" x14ac:dyDescent="0.25">
      <c r="A27" s="24" t="s">
        <v>178</v>
      </c>
      <c r="B27" s="50">
        <v>3059</v>
      </c>
      <c r="C27" s="25" t="s">
        <v>179</v>
      </c>
      <c r="D27" s="25" t="s">
        <v>164</v>
      </c>
      <c r="E27" s="25" t="s">
        <v>102</v>
      </c>
      <c r="F27" s="25" t="s">
        <v>128</v>
      </c>
      <c r="G27" s="26" t="s">
        <v>129</v>
      </c>
      <c r="H27" s="27" t="s">
        <v>130</v>
      </c>
      <c r="I27" s="24" t="s">
        <v>106</v>
      </c>
      <c r="J27" s="24" t="s">
        <v>107</v>
      </c>
      <c r="K27" s="28" t="s">
        <v>180</v>
      </c>
      <c r="L27" s="29">
        <v>0.03</v>
      </c>
      <c r="M27" s="29">
        <v>1.4999999999999999E-2</v>
      </c>
      <c r="N27" s="29">
        <v>0.02</v>
      </c>
      <c r="O27" s="27" t="s">
        <v>173</v>
      </c>
      <c r="P27" s="30" t="s">
        <v>164</v>
      </c>
      <c r="Q27" s="31">
        <v>236521602.27000001</v>
      </c>
      <c r="R27" s="31">
        <v>1746.29</v>
      </c>
      <c r="S27" s="32">
        <v>1.8589000000000001E-2</v>
      </c>
      <c r="T27" s="32" t="s">
        <v>139</v>
      </c>
      <c r="U27" s="32">
        <v>3.4900000000000003E-4</v>
      </c>
      <c r="V27" s="32">
        <v>2.4109999999999999E-3</v>
      </c>
      <c r="W27" s="32">
        <v>7.0299999999999998E-3</v>
      </c>
      <c r="X27" s="32">
        <v>1.43E-2</v>
      </c>
      <c r="Y27" s="32">
        <v>2.5569999999999999E-2</v>
      </c>
      <c r="Z27" s="32">
        <v>5.7690999999999999E-2</v>
      </c>
      <c r="AA27" s="32">
        <v>9.9200999999999998E-2</v>
      </c>
      <c r="AB27" s="32">
        <v>0.140762</v>
      </c>
    </row>
    <row r="28" spans="1:28" ht="15.6" customHeight="1" x14ac:dyDescent="0.25">
      <c r="A28" s="24" t="s">
        <v>181</v>
      </c>
      <c r="B28" s="50">
        <v>3060</v>
      </c>
      <c r="C28" s="25" t="s">
        <v>182</v>
      </c>
      <c r="D28" s="25" t="s">
        <v>164</v>
      </c>
      <c r="E28" s="25" t="s">
        <v>102</v>
      </c>
      <c r="F28" s="25" t="s">
        <v>103</v>
      </c>
      <c r="G28" s="26" t="s">
        <v>104</v>
      </c>
      <c r="H28" s="27" t="s">
        <v>183</v>
      </c>
      <c r="I28" s="24" t="s">
        <v>106</v>
      </c>
      <c r="J28" s="24" t="s">
        <v>107</v>
      </c>
      <c r="K28" s="28" t="s">
        <v>108</v>
      </c>
      <c r="L28" s="29">
        <v>0.03</v>
      </c>
      <c r="M28" s="29">
        <v>1.4999999999999999E-2</v>
      </c>
      <c r="N28" s="29">
        <v>1.4999999999999999E-2</v>
      </c>
      <c r="O28" s="27" t="s">
        <v>173</v>
      </c>
      <c r="P28" s="30" t="s">
        <v>164</v>
      </c>
      <c r="Q28" s="31">
        <v>1787185777.5599999</v>
      </c>
      <c r="R28" s="31">
        <v>6000.65</v>
      </c>
      <c r="S28" s="32">
        <v>1.4834E-2</v>
      </c>
      <c r="T28" s="32" t="s">
        <v>139</v>
      </c>
      <c r="U28" s="32">
        <v>2.3800000000000001E-4</v>
      </c>
      <c r="V28" s="32">
        <v>1.696E-3</v>
      </c>
      <c r="W28" s="32">
        <v>5.195E-3</v>
      </c>
      <c r="X28" s="32">
        <v>1.1067E-2</v>
      </c>
      <c r="Y28" s="32">
        <v>2.1610000000000001E-2</v>
      </c>
      <c r="Z28" s="32">
        <v>4.7508000000000002E-2</v>
      </c>
      <c r="AA28" s="32">
        <v>7.9616999999999993E-2</v>
      </c>
      <c r="AB28" s="32">
        <v>0.117198</v>
      </c>
    </row>
    <row r="29" spans="1:28" ht="15.6" customHeight="1" x14ac:dyDescent="0.25">
      <c r="A29" s="24" t="s">
        <v>1019</v>
      </c>
      <c r="B29" s="50">
        <v>3061</v>
      </c>
      <c r="C29" s="25" t="s">
        <v>1020</v>
      </c>
      <c r="D29" s="25" t="s">
        <v>164</v>
      </c>
      <c r="E29" s="25" t="s">
        <v>102</v>
      </c>
      <c r="F29" s="25" t="s">
        <v>155</v>
      </c>
      <c r="G29" s="26" t="s">
        <v>139</v>
      </c>
      <c r="H29" s="27" t="s">
        <v>280</v>
      </c>
      <c r="I29" s="24" t="s">
        <v>998</v>
      </c>
      <c r="J29" s="24" t="s">
        <v>107</v>
      </c>
      <c r="K29" s="28" t="s">
        <v>108</v>
      </c>
      <c r="L29" s="29">
        <v>0.03</v>
      </c>
      <c r="M29" s="29">
        <v>1.4999999999999999E-2</v>
      </c>
      <c r="N29" s="29">
        <v>0.02</v>
      </c>
      <c r="O29" s="27" t="s">
        <v>173</v>
      </c>
      <c r="P29" s="30" t="s">
        <v>164</v>
      </c>
      <c r="Q29" s="31">
        <v>459667666.76999998</v>
      </c>
      <c r="R29" s="31">
        <v>8182.34</v>
      </c>
      <c r="S29" s="32">
        <v>6.9463999999999998E-2</v>
      </c>
      <c r="T29" s="32" t="s">
        <v>139</v>
      </c>
      <c r="U29" s="32">
        <v>-1.0423E-2</v>
      </c>
      <c r="V29" s="32">
        <v>6.4001000000000002E-2</v>
      </c>
      <c r="W29" s="32">
        <v>2.4865000000000002E-2</v>
      </c>
      <c r="X29" s="32">
        <v>8.5944000000000007E-2</v>
      </c>
      <c r="Y29" s="32">
        <v>-2.7415999999999999E-2</v>
      </c>
      <c r="Z29" s="32">
        <v>0.382631</v>
      </c>
      <c r="AA29" s="32">
        <v>0.59781399999999996</v>
      </c>
      <c r="AB29" s="32">
        <v>0.50907500000000006</v>
      </c>
    </row>
    <row r="30" spans="1:28" ht="15.6" customHeight="1" x14ac:dyDescent="0.25">
      <c r="A30" s="24" t="s">
        <v>1021</v>
      </c>
      <c r="B30" s="50">
        <v>3062</v>
      </c>
      <c r="C30" s="25" t="s">
        <v>1022</v>
      </c>
      <c r="D30" s="25" t="s">
        <v>127</v>
      </c>
      <c r="E30" s="25" t="s">
        <v>102</v>
      </c>
      <c r="F30" s="25" t="s">
        <v>113</v>
      </c>
      <c r="G30" s="26" t="s">
        <v>531</v>
      </c>
      <c r="H30" s="27" t="s">
        <v>327</v>
      </c>
      <c r="I30" s="24" t="s">
        <v>998</v>
      </c>
      <c r="J30" s="24" t="s">
        <v>121</v>
      </c>
      <c r="K30" s="28" t="s">
        <v>108</v>
      </c>
      <c r="L30" s="29">
        <v>0.03</v>
      </c>
      <c r="M30" s="29">
        <v>1.4999999999999999E-2</v>
      </c>
      <c r="N30" s="29">
        <v>0.02</v>
      </c>
      <c r="O30" s="27" t="s">
        <v>131</v>
      </c>
      <c r="P30" s="30" t="s">
        <v>131</v>
      </c>
      <c r="Q30" s="31">
        <v>6191838535.21</v>
      </c>
      <c r="R30" s="31">
        <v>987691.58</v>
      </c>
      <c r="S30" s="32">
        <v>1.16E-4</v>
      </c>
      <c r="T30" s="32" t="s">
        <v>139</v>
      </c>
      <c r="U30" s="32">
        <v>1.088E-3</v>
      </c>
      <c r="V30" s="32">
        <v>3.895E-3</v>
      </c>
      <c r="W30" s="32">
        <v>3.241E-3</v>
      </c>
      <c r="X30" s="32">
        <v>-1.3849999999999999E-3</v>
      </c>
      <c r="Y30" s="32">
        <v>-5.0920000000000002E-3</v>
      </c>
      <c r="Z30" s="32">
        <v>7.8817999999999999E-2</v>
      </c>
      <c r="AA30" s="32">
        <v>0.177948</v>
      </c>
      <c r="AB30" s="32">
        <v>0.15163499999999999</v>
      </c>
    </row>
    <row r="31" spans="1:28" ht="15.6" customHeight="1" x14ac:dyDescent="0.25">
      <c r="A31" s="24" t="s">
        <v>1023</v>
      </c>
      <c r="B31" s="50">
        <v>3063</v>
      </c>
      <c r="C31" s="25" t="s">
        <v>1024</v>
      </c>
      <c r="D31" s="25" t="s">
        <v>164</v>
      </c>
      <c r="E31" s="25" t="s">
        <v>102</v>
      </c>
      <c r="F31" s="25" t="s">
        <v>113</v>
      </c>
      <c r="G31" s="26" t="s">
        <v>1025</v>
      </c>
      <c r="H31" s="27" t="s">
        <v>789</v>
      </c>
      <c r="I31" s="24" t="s">
        <v>998</v>
      </c>
      <c r="J31" s="24" t="s">
        <v>121</v>
      </c>
      <c r="K31" s="28" t="s">
        <v>108</v>
      </c>
      <c r="L31" s="29">
        <v>0.03</v>
      </c>
      <c r="M31" s="29">
        <v>1.4999999999999999E-2</v>
      </c>
      <c r="N31" s="29">
        <v>0.02</v>
      </c>
      <c r="O31" s="27" t="s">
        <v>148</v>
      </c>
      <c r="P31" s="30" t="s">
        <v>164</v>
      </c>
      <c r="Q31" s="31">
        <v>4019797657.8200002</v>
      </c>
      <c r="R31" s="31">
        <v>1048187.13</v>
      </c>
      <c r="S31" s="32">
        <v>3.1649999999999998E-3</v>
      </c>
      <c r="T31" s="32" t="s">
        <v>139</v>
      </c>
      <c r="U31" s="32">
        <v>1.4100000000000001E-4</v>
      </c>
      <c r="V31" s="32">
        <v>6.6490000000000004E-3</v>
      </c>
      <c r="W31" s="32">
        <v>6.0599999999999998E-4</v>
      </c>
      <c r="X31" s="32">
        <v>-1.748E-3</v>
      </c>
      <c r="Y31" s="32">
        <v>2.4996000000000001E-2</v>
      </c>
      <c r="Z31" s="32">
        <v>9.3191999999999997E-2</v>
      </c>
      <c r="AA31" s="32">
        <v>0.189392</v>
      </c>
      <c r="AB31" s="32">
        <v>0.20483799999999999</v>
      </c>
    </row>
    <row r="32" spans="1:28" ht="15.6" customHeight="1" x14ac:dyDescent="0.25">
      <c r="A32" s="24" t="s">
        <v>1026</v>
      </c>
      <c r="B32" s="50">
        <v>3064</v>
      </c>
      <c r="C32" s="25" t="s">
        <v>1027</v>
      </c>
      <c r="D32" s="25" t="s">
        <v>164</v>
      </c>
      <c r="E32" s="25" t="s">
        <v>102</v>
      </c>
      <c r="F32" s="25" t="s">
        <v>155</v>
      </c>
      <c r="G32" s="26" t="s">
        <v>139</v>
      </c>
      <c r="H32" s="27" t="s">
        <v>156</v>
      </c>
      <c r="I32" s="24" t="s">
        <v>998</v>
      </c>
      <c r="J32" s="24" t="s">
        <v>107</v>
      </c>
      <c r="K32" s="28" t="s">
        <v>108</v>
      </c>
      <c r="L32" s="29">
        <v>0.03</v>
      </c>
      <c r="M32" s="29">
        <v>1.4999999999999999E-2</v>
      </c>
      <c r="N32" s="29">
        <v>0.02</v>
      </c>
      <c r="O32" s="27" t="s">
        <v>166</v>
      </c>
      <c r="P32" s="30" t="s">
        <v>164</v>
      </c>
      <c r="Q32" s="31">
        <v>1233575509.3800001</v>
      </c>
      <c r="R32" s="31">
        <v>125.96</v>
      </c>
      <c r="S32" s="32">
        <v>6.1968000000000002E-2</v>
      </c>
      <c r="T32" s="32" t="s">
        <v>139</v>
      </c>
      <c r="U32" s="32">
        <v>-1.1225000000000001E-2</v>
      </c>
      <c r="V32" s="32">
        <v>6.7547999999999997E-2</v>
      </c>
      <c r="W32" s="32">
        <v>1.9671000000000001E-2</v>
      </c>
      <c r="X32" s="32">
        <v>8.1945000000000004E-2</v>
      </c>
      <c r="Y32" s="32">
        <v>-4.3802000000000001E-2</v>
      </c>
      <c r="Z32" s="32">
        <v>0.33234599999999997</v>
      </c>
      <c r="AA32" s="32">
        <v>0.50525799999999998</v>
      </c>
      <c r="AB32" s="32">
        <v>0.39908900000000003</v>
      </c>
    </row>
    <row r="33" spans="1:28" ht="15.6" customHeight="1" x14ac:dyDescent="0.25">
      <c r="A33" s="24" t="s">
        <v>1028</v>
      </c>
      <c r="B33" s="50">
        <v>3067</v>
      </c>
      <c r="C33" s="25" t="s">
        <v>1029</v>
      </c>
      <c r="D33" s="25" t="s">
        <v>164</v>
      </c>
      <c r="E33" s="25" t="s">
        <v>102</v>
      </c>
      <c r="F33" s="25" t="s">
        <v>138</v>
      </c>
      <c r="G33" s="26" t="s">
        <v>139</v>
      </c>
      <c r="H33" s="27" t="s">
        <v>1030</v>
      </c>
      <c r="I33" s="24" t="s">
        <v>998</v>
      </c>
      <c r="J33" s="24" t="s">
        <v>121</v>
      </c>
      <c r="K33" s="28" t="s">
        <v>108</v>
      </c>
      <c r="L33" s="29">
        <v>0.03</v>
      </c>
      <c r="M33" s="29">
        <v>1.4999999999999999E-2</v>
      </c>
      <c r="N33" s="29">
        <v>0.02</v>
      </c>
      <c r="O33" s="27" t="s">
        <v>166</v>
      </c>
      <c r="P33" s="30" t="s">
        <v>164</v>
      </c>
      <c r="Q33" s="31">
        <v>652916704.23000002</v>
      </c>
      <c r="R33" s="31">
        <v>38545.17</v>
      </c>
      <c r="S33" s="32">
        <v>3.9076E-2</v>
      </c>
      <c r="T33" s="32" t="s">
        <v>139</v>
      </c>
      <c r="U33" s="32">
        <v>-3.4559999999999999E-3</v>
      </c>
      <c r="V33" s="32">
        <v>3.7192999999999997E-2</v>
      </c>
      <c r="W33" s="32">
        <v>1.5245999999999999E-2</v>
      </c>
      <c r="X33" s="32">
        <v>4.1236000000000002E-2</v>
      </c>
      <c r="Y33" s="32">
        <v>4.2760000000000003E-3</v>
      </c>
      <c r="Z33" s="32">
        <v>0.23106599999999999</v>
      </c>
      <c r="AA33" s="32">
        <v>0.38934400000000002</v>
      </c>
      <c r="AB33" s="32">
        <v>0.37165199999999998</v>
      </c>
    </row>
    <row r="34" spans="1:28" ht="15.6" customHeight="1" x14ac:dyDescent="0.25">
      <c r="A34" s="24" t="s">
        <v>1031</v>
      </c>
      <c r="B34" s="50">
        <v>3068</v>
      </c>
      <c r="C34" s="25" t="s">
        <v>1032</v>
      </c>
      <c r="D34" s="25" t="s">
        <v>164</v>
      </c>
      <c r="E34" s="25" t="s">
        <v>102</v>
      </c>
      <c r="F34" s="25" t="s">
        <v>138</v>
      </c>
      <c r="G34" s="26" t="s">
        <v>139</v>
      </c>
      <c r="H34" s="27" t="s">
        <v>1033</v>
      </c>
      <c r="I34" s="24" t="s">
        <v>998</v>
      </c>
      <c r="J34" s="24" t="s">
        <v>121</v>
      </c>
      <c r="K34" s="28" t="s">
        <v>108</v>
      </c>
      <c r="L34" s="29">
        <v>5.0000000000000001E-3</v>
      </c>
      <c r="M34" s="29">
        <v>2.5000000000000001E-3</v>
      </c>
      <c r="N34" s="29">
        <v>0.01</v>
      </c>
      <c r="O34" s="27" t="s">
        <v>166</v>
      </c>
      <c r="P34" s="30" t="s">
        <v>164</v>
      </c>
      <c r="Q34" s="31">
        <v>22630109.280000001</v>
      </c>
      <c r="R34" s="31">
        <v>575.91999999999996</v>
      </c>
      <c r="S34" s="32">
        <v>7.5353000000000003E-2</v>
      </c>
      <c r="T34" s="32" t="s">
        <v>139</v>
      </c>
      <c r="U34" s="32">
        <v>-7.1890000000000001E-3</v>
      </c>
      <c r="V34" s="32">
        <v>5.1562999999999998E-2</v>
      </c>
      <c r="W34" s="32">
        <v>1.5129E-2</v>
      </c>
      <c r="X34" s="32">
        <v>7.5255000000000002E-2</v>
      </c>
      <c r="Y34" s="32">
        <v>2.5558999999999998E-2</v>
      </c>
      <c r="Z34" s="32">
        <v>0.327351</v>
      </c>
      <c r="AA34" s="32">
        <v>0.52798299999999998</v>
      </c>
      <c r="AB34" s="32">
        <v>0.52829400000000004</v>
      </c>
    </row>
    <row r="35" spans="1:28" ht="15.6" customHeight="1" x14ac:dyDescent="0.25">
      <c r="A35" s="24" t="s">
        <v>1034</v>
      </c>
      <c r="B35" s="50">
        <v>3069</v>
      </c>
      <c r="C35" s="25" t="s">
        <v>1035</v>
      </c>
      <c r="D35" s="25" t="s">
        <v>164</v>
      </c>
      <c r="E35" s="25" t="s">
        <v>102</v>
      </c>
      <c r="F35" s="25" t="s">
        <v>138</v>
      </c>
      <c r="G35" s="26" t="s">
        <v>139</v>
      </c>
      <c r="H35" s="27" t="s">
        <v>1033</v>
      </c>
      <c r="I35" s="24" t="s">
        <v>998</v>
      </c>
      <c r="J35" s="24" t="s">
        <v>107</v>
      </c>
      <c r="K35" s="28" t="s">
        <v>108</v>
      </c>
      <c r="L35" s="29">
        <v>0.03</v>
      </c>
      <c r="M35" s="29">
        <v>1.4999999999999999E-2</v>
      </c>
      <c r="N35" s="29">
        <v>0.02</v>
      </c>
      <c r="O35" s="27" t="s">
        <v>166</v>
      </c>
      <c r="P35" s="30" t="s">
        <v>164</v>
      </c>
      <c r="Q35" s="31">
        <v>56050729.75</v>
      </c>
      <c r="R35" s="31">
        <v>5609</v>
      </c>
      <c r="S35" s="32">
        <v>2.1413000000000001E-2</v>
      </c>
      <c r="T35" s="32" t="s">
        <v>139</v>
      </c>
      <c r="U35" s="32">
        <v>-6.4209999999999996E-3</v>
      </c>
      <c r="V35" s="32">
        <v>3.9954000000000003E-2</v>
      </c>
      <c r="W35" s="32">
        <v>1.3082E-2</v>
      </c>
      <c r="X35" s="32">
        <v>3.3389000000000002E-2</v>
      </c>
      <c r="Y35" s="32">
        <v>-4.8661000000000003E-2</v>
      </c>
      <c r="Z35" s="32">
        <v>0.18682099999999999</v>
      </c>
      <c r="AA35" s="32">
        <v>0.35075299999999998</v>
      </c>
      <c r="AB35" s="32">
        <v>0.287271</v>
      </c>
    </row>
    <row r="36" spans="1:28" ht="15.6" customHeight="1" x14ac:dyDescent="0.25">
      <c r="A36" s="24" t="s">
        <v>1036</v>
      </c>
      <c r="B36" s="50">
        <v>3070</v>
      </c>
      <c r="C36" s="25" t="s">
        <v>1037</v>
      </c>
      <c r="D36" s="25" t="s">
        <v>164</v>
      </c>
      <c r="E36" s="25" t="s">
        <v>102</v>
      </c>
      <c r="F36" s="25" t="s">
        <v>113</v>
      </c>
      <c r="G36" s="26" t="s">
        <v>1016</v>
      </c>
      <c r="H36" s="27" t="s">
        <v>120</v>
      </c>
      <c r="I36" s="24" t="s">
        <v>998</v>
      </c>
      <c r="J36" s="24" t="s">
        <v>107</v>
      </c>
      <c r="K36" s="28" t="s">
        <v>108</v>
      </c>
      <c r="L36" s="29">
        <v>0.03</v>
      </c>
      <c r="M36" s="29">
        <v>1.4999999999999999E-2</v>
      </c>
      <c r="N36" s="29">
        <v>0.02</v>
      </c>
      <c r="O36" s="27" t="s">
        <v>166</v>
      </c>
      <c r="P36" s="30" t="s">
        <v>164</v>
      </c>
      <c r="Q36" s="31">
        <v>145843201.88999999</v>
      </c>
      <c r="R36" s="31">
        <v>3948.43</v>
      </c>
      <c r="S36" s="32">
        <v>3.454E-3</v>
      </c>
      <c r="T36" s="32" t="s">
        <v>139</v>
      </c>
      <c r="U36" s="32">
        <v>1.1789999999999999E-3</v>
      </c>
      <c r="V36" s="32">
        <v>4.4770000000000001E-3</v>
      </c>
      <c r="W36" s="32">
        <v>4.4289999999999998E-3</v>
      </c>
      <c r="X36" s="32">
        <v>2.2490000000000001E-3</v>
      </c>
      <c r="Y36" s="32">
        <v>-3.176E-3</v>
      </c>
      <c r="Z36" s="32">
        <v>4.3198E-2</v>
      </c>
      <c r="AA36" s="32">
        <v>0.104533</v>
      </c>
      <c r="AB36" s="32">
        <v>8.1076999999999996E-2</v>
      </c>
    </row>
    <row r="37" spans="1:28" ht="15.6" customHeight="1" x14ac:dyDescent="0.25">
      <c r="A37" s="24" t="s">
        <v>1038</v>
      </c>
      <c r="B37" s="50">
        <v>3071</v>
      </c>
      <c r="C37" s="25" t="s">
        <v>1039</v>
      </c>
      <c r="D37" s="25" t="s">
        <v>164</v>
      </c>
      <c r="E37" s="25" t="s">
        <v>102</v>
      </c>
      <c r="F37" s="25" t="s">
        <v>138</v>
      </c>
      <c r="G37" s="26" t="s">
        <v>139</v>
      </c>
      <c r="H37" s="27" t="s">
        <v>1040</v>
      </c>
      <c r="I37" s="24" t="s">
        <v>998</v>
      </c>
      <c r="J37" s="24" t="s">
        <v>107</v>
      </c>
      <c r="K37" s="28" t="s">
        <v>108</v>
      </c>
      <c r="L37" s="29">
        <v>0.03</v>
      </c>
      <c r="M37" s="29">
        <v>1.4999999999999999E-2</v>
      </c>
      <c r="N37" s="29">
        <v>0.02</v>
      </c>
      <c r="O37" s="27" t="s">
        <v>166</v>
      </c>
      <c r="P37" s="30" t="s">
        <v>164</v>
      </c>
      <c r="Q37" s="31">
        <v>53773286.530000001</v>
      </c>
      <c r="R37" s="31">
        <v>628.04999999999995</v>
      </c>
      <c r="S37" s="32">
        <v>5.0743000000000003E-2</v>
      </c>
      <c r="T37" s="32" t="s">
        <v>139</v>
      </c>
      <c r="U37" s="32">
        <v>-6.234E-3</v>
      </c>
      <c r="V37" s="32">
        <v>3.9474000000000002E-2</v>
      </c>
      <c r="W37" s="32">
        <v>1.2821000000000001E-2</v>
      </c>
      <c r="X37" s="32">
        <v>5.4501000000000001E-2</v>
      </c>
      <c r="Y37" s="32">
        <v>-5.9509999999999997E-3</v>
      </c>
      <c r="Z37" s="32">
        <v>0.224221</v>
      </c>
      <c r="AA37" s="32">
        <v>0.34365200000000001</v>
      </c>
      <c r="AB37" s="32">
        <v>0.29345500000000002</v>
      </c>
    </row>
    <row r="38" spans="1:28" ht="15.6" customHeight="1" x14ac:dyDescent="0.25">
      <c r="A38" s="24" t="s">
        <v>1041</v>
      </c>
      <c r="B38" s="50">
        <v>3072</v>
      </c>
      <c r="C38" s="25" t="s">
        <v>1042</v>
      </c>
      <c r="D38" s="25" t="s">
        <v>164</v>
      </c>
      <c r="E38" s="25" t="s">
        <v>102</v>
      </c>
      <c r="F38" s="25" t="s">
        <v>113</v>
      </c>
      <c r="G38" s="26" t="s">
        <v>1043</v>
      </c>
      <c r="H38" s="27" t="s">
        <v>327</v>
      </c>
      <c r="I38" s="24" t="s">
        <v>998</v>
      </c>
      <c r="J38" s="24" t="s">
        <v>121</v>
      </c>
      <c r="K38" s="28" t="s">
        <v>108</v>
      </c>
      <c r="L38" s="29">
        <v>0.03</v>
      </c>
      <c r="M38" s="29">
        <v>1.4999999999999999E-2</v>
      </c>
      <c r="N38" s="29">
        <v>0.02</v>
      </c>
      <c r="O38" s="27" t="s">
        <v>166</v>
      </c>
      <c r="P38" s="30" t="s">
        <v>164</v>
      </c>
      <c r="Q38" s="31">
        <v>10449933086.15</v>
      </c>
      <c r="R38" s="31">
        <v>1315781.05</v>
      </c>
      <c r="S38" s="32">
        <v>9.6900000000000003E-4</v>
      </c>
      <c r="T38" s="32" t="s">
        <v>139</v>
      </c>
      <c r="U38" s="32">
        <v>1.4970000000000001E-3</v>
      </c>
      <c r="V38" s="32">
        <v>4.7549999999999997E-3</v>
      </c>
      <c r="W38" s="32">
        <v>4.3400000000000001E-3</v>
      </c>
      <c r="X38" s="32">
        <v>-1.335E-3</v>
      </c>
      <c r="Y38" s="32">
        <v>-1.6750000000000001E-3</v>
      </c>
      <c r="Z38" s="32">
        <v>8.8399000000000005E-2</v>
      </c>
      <c r="AA38" s="32">
        <v>0.197905</v>
      </c>
      <c r="AB38" s="32">
        <v>0.16775399999999999</v>
      </c>
    </row>
    <row r="39" spans="1:28" ht="15.6" customHeight="1" x14ac:dyDescent="0.25">
      <c r="A39" s="24" t="s">
        <v>184</v>
      </c>
      <c r="B39" s="50">
        <v>3073</v>
      </c>
      <c r="C39" s="25" t="s">
        <v>185</v>
      </c>
      <c r="D39" s="25" t="s">
        <v>101</v>
      </c>
      <c r="E39" s="25" t="s">
        <v>102</v>
      </c>
      <c r="F39" s="25" t="s">
        <v>103</v>
      </c>
      <c r="G39" s="26" t="s">
        <v>134</v>
      </c>
      <c r="H39" s="27" t="s">
        <v>130</v>
      </c>
      <c r="I39" s="24" t="s">
        <v>106</v>
      </c>
      <c r="J39" s="24" t="s">
        <v>107</v>
      </c>
      <c r="K39" s="28" t="s">
        <v>108</v>
      </c>
      <c r="L39" s="29">
        <v>0</v>
      </c>
      <c r="M39" s="29">
        <v>0</v>
      </c>
      <c r="N39" s="29">
        <v>0.02</v>
      </c>
      <c r="O39" s="27" t="s">
        <v>109</v>
      </c>
      <c r="P39" s="30" t="s">
        <v>101</v>
      </c>
      <c r="Q39" s="31">
        <v>1619391854.0799999</v>
      </c>
      <c r="R39" s="31">
        <v>168.56</v>
      </c>
      <c r="S39" s="32">
        <v>1.3894999999999999E-2</v>
      </c>
      <c r="T39" s="32" t="s">
        <v>139</v>
      </c>
      <c r="U39" s="32">
        <v>2.3699999999999999E-4</v>
      </c>
      <c r="V39" s="32">
        <v>1.6639999999999999E-3</v>
      </c>
      <c r="W39" s="32">
        <v>5.1279999999999997E-3</v>
      </c>
      <c r="X39" s="32">
        <v>1.0552000000000001E-2</v>
      </c>
      <c r="Y39" s="32">
        <v>2.0091999999999999E-2</v>
      </c>
      <c r="Z39" s="32">
        <v>4.4167999999999999E-2</v>
      </c>
      <c r="AA39" s="32">
        <v>7.5205999999999995E-2</v>
      </c>
      <c r="AB39" s="32">
        <v>0.11246</v>
      </c>
    </row>
    <row r="40" spans="1:28" ht="15.6" customHeight="1" x14ac:dyDescent="0.25">
      <c r="A40" s="24" t="s">
        <v>1044</v>
      </c>
      <c r="B40" s="50">
        <v>3074</v>
      </c>
      <c r="C40" s="25" t="s">
        <v>1045</v>
      </c>
      <c r="D40" s="25" t="s">
        <v>112</v>
      </c>
      <c r="E40" s="25" t="s">
        <v>102</v>
      </c>
      <c r="F40" s="25" t="s">
        <v>155</v>
      </c>
      <c r="G40" s="26" t="s">
        <v>139</v>
      </c>
      <c r="H40" s="27" t="s">
        <v>1046</v>
      </c>
      <c r="I40" s="24" t="s">
        <v>998</v>
      </c>
      <c r="J40" s="24" t="s">
        <v>107</v>
      </c>
      <c r="K40" s="28" t="s">
        <v>108</v>
      </c>
      <c r="L40" s="29">
        <v>0.01</v>
      </c>
      <c r="M40" s="29">
        <v>0.01</v>
      </c>
      <c r="N40" s="29">
        <v>0.02</v>
      </c>
      <c r="O40" s="27" t="s">
        <v>116</v>
      </c>
      <c r="P40" s="30" t="s">
        <v>112</v>
      </c>
      <c r="Q40" s="31">
        <v>4623398.9000000004</v>
      </c>
      <c r="R40" s="31">
        <v>9857.99</v>
      </c>
      <c r="S40" s="32">
        <v>-4.8904999999999997E-2</v>
      </c>
      <c r="T40" s="32" t="s">
        <v>139</v>
      </c>
      <c r="U40" s="32">
        <v>-6.8820000000000001E-3</v>
      </c>
      <c r="V40" s="32">
        <v>4.4136000000000002E-2</v>
      </c>
      <c r="W40" s="32">
        <v>3.1118E-2</v>
      </c>
      <c r="X40" s="32">
        <v>1.933E-3</v>
      </c>
      <c r="Y40" s="32">
        <v>-0.13550499999999999</v>
      </c>
      <c r="Z40" s="32">
        <v>0.18687200000000001</v>
      </c>
      <c r="AA40" s="32">
        <v>0.33863100000000002</v>
      </c>
      <c r="AB40" s="32">
        <v>0.29340100000000002</v>
      </c>
    </row>
    <row r="41" spans="1:28" ht="15.6" customHeight="1" x14ac:dyDescent="0.25">
      <c r="A41" s="24" t="s">
        <v>1047</v>
      </c>
      <c r="B41" s="50">
        <v>3075</v>
      </c>
      <c r="C41" s="25" t="s">
        <v>1048</v>
      </c>
      <c r="D41" s="25" t="s">
        <v>112</v>
      </c>
      <c r="E41" s="25" t="s">
        <v>102</v>
      </c>
      <c r="F41" s="25" t="s">
        <v>138</v>
      </c>
      <c r="G41" s="26" t="s">
        <v>139</v>
      </c>
      <c r="H41" s="27" t="s">
        <v>1049</v>
      </c>
      <c r="I41" s="24" t="s">
        <v>998</v>
      </c>
      <c r="J41" s="24" t="s">
        <v>107</v>
      </c>
      <c r="K41" s="28" t="s">
        <v>108</v>
      </c>
      <c r="L41" s="29">
        <v>0.01</v>
      </c>
      <c r="M41" s="29">
        <v>0.01</v>
      </c>
      <c r="N41" s="29">
        <v>0.02</v>
      </c>
      <c r="O41" s="27" t="s">
        <v>116</v>
      </c>
      <c r="P41" s="30" t="s">
        <v>112</v>
      </c>
      <c r="Q41" s="31">
        <v>2855736.8</v>
      </c>
      <c r="R41" s="31">
        <v>4400.21</v>
      </c>
      <c r="S41" s="32">
        <v>-4.84E-4</v>
      </c>
      <c r="T41" s="32" t="s">
        <v>139</v>
      </c>
      <c r="U41" s="32">
        <v>-2.209E-3</v>
      </c>
      <c r="V41" s="32">
        <v>1.5504E-2</v>
      </c>
      <c r="W41" s="32">
        <v>9.0050000000000009E-3</v>
      </c>
      <c r="X41" s="32">
        <v>8.6580000000000008E-3</v>
      </c>
      <c r="Y41" s="32">
        <v>-1.9109000000000001E-2</v>
      </c>
      <c r="Z41" s="32">
        <v>5.6333000000000001E-2</v>
      </c>
      <c r="AA41" s="32">
        <v>0.10706599999999999</v>
      </c>
      <c r="AB41" s="32">
        <v>-5.3730000000000002E-3</v>
      </c>
    </row>
    <row r="42" spans="1:28" ht="15.6" customHeight="1" x14ac:dyDescent="0.25">
      <c r="A42" s="24" t="s">
        <v>1050</v>
      </c>
      <c r="B42" s="50">
        <v>3076</v>
      </c>
      <c r="C42" s="25" t="s">
        <v>1051</v>
      </c>
      <c r="D42" s="25" t="s">
        <v>241</v>
      </c>
      <c r="E42" s="25" t="s">
        <v>102</v>
      </c>
      <c r="F42" s="25" t="s">
        <v>138</v>
      </c>
      <c r="G42" s="26" t="s">
        <v>139</v>
      </c>
      <c r="H42" s="27" t="s">
        <v>1052</v>
      </c>
      <c r="I42" s="24" t="s">
        <v>998</v>
      </c>
      <c r="J42" s="24" t="s">
        <v>107</v>
      </c>
      <c r="K42" s="28" t="s">
        <v>108</v>
      </c>
      <c r="L42" s="29">
        <v>0.03</v>
      </c>
      <c r="M42" s="29">
        <v>1.4999999999999999E-2</v>
      </c>
      <c r="N42" s="29">
        <v>0.02</v>
      </c>
      <c r="O42" s="27" t="s">
        <v>148</v>
      </c>
      <c r="P42" s="30" t="s">
        <v>241</v>
      </c>
      <c r="Q42" s="31">
        <v>43455096.399999999</v>
      </c>
      <c r="R42" s="31">
        <v>1546.33</v>
      </c>
      <c r="S42" s="32">
        <v>9.4529999999999996E-3</v>
      </c>
      <c r="T42" s="32" t="s">
        <v>139</v>
      </c>
      <c r="U42" s="32">
        <v>-3.0240000000000002E-3</v>
      </c>
      <c r="V42" s="32">
        <v>2.1078E-2</v>
      </c>
      <c r="W42" s="32">
        <v>6.8830000000000002E-3</v>
      </c>
      <c r="X42" s="32">
        <v>1.3934E-2</v>
      </c>
      <c r="Y42" s="32">
        <v>-2.2305999999999999E-2</v>
      </c>
      <c r="Z42" s="32">
        <v>0.17927899999999999</v>
      </c>
      <c r="AA42" s="32">
        <v>0.30951699999999999</v>
      </c>
      <c r="AB42" s="32">
        <v>0.31144899999999998</v>
      </c>
    </row>
    <row r="43" spans="1:28" ht="15.6" customHeight="1" x14ac:dyDescent="0.25">
      <c r="A43" s="24" t="s">
        <v>186</v>
      </c>
      <c r="B43" s="50">
        <v>3077</v>
      </c>
      <c r="C43" s="25" t="s">
        <v>187</v>
      </c>
      <c r="D43" s="25" t="s">
        <v>127</v>
      </c>
      <c r="E43" s="25" t="s">
        <v>102</v>
      </c>
      <c r="F43" s="25" t="s">
        <v>103</v>
      </c>
      <c r="G43" s="26" t="s">
        <v>104</v>
      </c>
      <c r="H43" s="27" t="s">
        <v>188</v>
      </c>
      <c r="I43" s="24" t="s">
        <v>106</v>
      </c>
      <c r="J43" s="24" t="s">
        <v>107</v>
      </c>
      <c r="K43" s="28" t="s">
        <v>108</v>
      </c>
      <c r="L43" s="29">
        <v>0</v>
      </c>
      <c r="M43" s="29">
        <v>0</v>
      </c>
      <c r="N43" s="29">
        <v>0.02</v>
      </c>
      <c r="O43" s="27" t="s">
        <v>131</v>
      </c>
      <c r="P43" s="30" t="s">
        <v>131</v>
      </c>
      <c r="Q43" s="31">
        <v>517426681.91000003</v>
      </c>
      <c r="R43" s="31">
        <v>216.37</v>
      </c>
      <c r="S43" s="32">
        <v>1.4678E-2</v>
      </c>
      <c r="T43" s="32" t="s">
        <v>139</v>
      </c>
      <c r="U43" s="32">
        <v>2.31E-4</v>
      </c>
      <c r="V43" s="32">
        <v>1.8060000000000001E-3</v>
      </c>
      <c r="W43" s="32">
        <v>5.3429999999999997E-3</v>
      </c>
      <c r="X43" s="32">
        <v>1.1075E-2</v>
      </c>
      <c r="Y43" s="32">
        <v>2.1722000000000002E-2</v>
      </c>
      <c r="Z43" s="32">
        <v>4.7898000000000003E-2</v>
      </c>
      <c r="AA43" s="32">
        <v>8.0499000000000001E-2</v>
      </c>
      <c r="AB43" s="32">
        <v>0.11935900000000001</v>
      </c>
    </row>
    <row r="44" spans="1:28" ht="15.6" customHeight="1" x14ac:dyDescent="0.25">
      <c r="A44" s="24" t="s">
        <v>189</v>
      </c>
      <c r="B44" s="50">
        <v>3078</v>
      </c>
      <c r="C44" s="25" t="s">
        <v>190</v>
      </c>
      <c r="D44" s="25" t="s">
        <v>127</v>
      </c>
      <c r="E44" s="25" t="s">
        <v>102</v>
      </c>
      <c r="F44" s="25" t="s">
        <v>113</v>
      </c>
      <c r="G44" s="26" t="s">
        <v>191</v>
      </c>
      <c r="H44" s="27" t="s">
        <v>120</v>
      </c>
      <c r="I44" s="24" t="s">
        <v>106</v>
      </c>
      <c r="J44" s="24" t="s">
        <v>107</v>
      </c>
      <c r="K44" s="28" t="s">
        <v>108</v>
      </c>
      <c r="L44" s="29">
        <v>5.0000000000000001E-3</v>
      </c>
      <c r="M44" s="29">
        <v>1E-3</v>
      </c>
      <c r="N44" s="29">
        <v>0.02</v>
      </c>
      <c r="O44" s="27" t="s">
        <v>131</v>
      </c>
      <c r="P44" s="30" t="s">
        <v>131</v>
      </c>
      <c r="Q44" s="31">
        <v>1275379273.52</v>
      </c>
      <c r="R44" s="31">
        <v>248.89</v>
      </c>
      <c r="S44" s="32">
        <v>-1.3240000000000001E-3</v>
      </c>
      <c r="T44" s="32" t="s">
        <v>139</v>
      </c>
      <c r="U44" s="32">
        <v>2.81E-4</v>
      </c>
      <c r="V44" s="32">
        <v>6.9589999999999999E-3</v>
      </c>
      <c r="W44" s="32">
        <v>3.4269999999999999E-3</v>
      </c>
      <c r="X44" s="32">
        <v>0</v>
      </c>
      <c r="Y44" s="32">
        <v>-1.2810999999999999E-2</v>
      </c>
      <c r="Z44" s="32">
        <v>6.7098000000000005E-2</v>
      </c>
      <c r="AA44" s="32">
        <v>0.151895</v>
      </c>
      <c r="AB44" s="32">
        <v>0.13437199999999999</v>
      </c>
    </row>
    <row r="45" spans="1:28" ht="15.6" customHeight="1" x14ac:dyDescent="0.25">
      <c r="A45" s="24" t="s">
        <v>1053</v>
      </c>
      <c r="B45" s="50">
        <v>3079</v>
      </c>
      <c r="C45" s="25" t="s">
        <v>1054</v>
      </c>
      <c r="D45" s="25" t="s">
        <v>127</v>
      </c>
      <c r="E45" s="25" t="s">
        <v>102</v>
      </c>
      <c r="F45" s="25" t="s">
        <v>155</v>
      </c>
      <c r="G45" s="26" t="s">
        <v>139</v>
      </c>
      <c r="H45" s="27" t="s">
        <v>156</v>
      </c>
      <c r="I45" s="24" t="s">
        <v>998</v>
      </c>
      <c r="J45" s="24" t="s">
        <v>107</v>
      </c>
      <c r="K45" s="28" t="s">
        <v>108</v>
      </c>
      <c r="L45" s="29">
        <v>0.02</v>
      </c>
      <c r="M45" s="29">
        <v>1.4999999999999999E-2</v>
      </c>
      <c r="N45" s="29">
        <v>0.02</v>
      </c>
      <c r="O45" s="27" t="s">
        <v>131</v>
      </c>
      <c r="P45" s="30" t="s">
        <v>131</v>
      </c>
      <c r="Q45" s="31">
        <v>60519879.25</v>
      </c>
      <c r="R45" s="31">
        <v>351.05</v>
      </c>
      <c r="S45" s="32">
        <v>2.542E-3</v>
      </c>
      <c r="T45" s="32" t="s">
        <v>139</v>
      </c>
      <c r="U45" s="32">
        <v>-1.0345999999999999E-2</v>
      </c>
      <c r="V45" s="32">
        <v>5.8846999999999997E-2</v>
      </c>
      <c r="W45" s="32">
        <v>4.7219999999999996E-3</v>
      </c>
      <c r="X45" s="32">
        <v>3.5361999999999998E-2</v>
      </c>
      <c r="Y45" s="32">
        <v>-0.1163</v>
      </c>
      <c r="Z45" s="32">
        <v>0.27445999999999998</v>
      </c>
      <c r="AA45" s="32">
        <v>0.55215099999999995</v>
      </c>
      <c r="AB45" s="32">
        <v>0.47512399999999999</v>
      </c>
    </row>
    <row r="46" spans="1:28" ht="15.6" customHeight="1" x14ac:dyDescent="0.25">
      <c r="A46" s="24" t="s">
        <v>1055</v>
      </c>
      <c r="B46" s="50">
        <v>3080</v>
      </c>
      <c r="C46" s="25" t="s">
        <v>1056</v>
      </c>
      <c r="D46" s="25" t="s">
        <v>127</v>
      </c>
      <c r="E46" s="25" t="s">
        <v>102</v>
      </c>
      <c r="F46" s="25" t="s">
        <v>138</v>
      </c>
      <c r="G46" s="26" t="s">
        <v>139</v>
      </c>
      <c r="H46" s="27" t="s">
        <v>1057</v>
      </c>
      <c r="I46" s="24" t="s">
        <v>998</v>
      </c>
      <c r="J46" s="24" t="s">
        <v>107</v>
      </c>
      <c r="K46" s="28" t="s">
        <v>108</v>
      </c>
      <c r="L46" s="29">
        <v>0.02</v>
      </c>
      <c r="M46" s="29">
        <v>1.4999999999999999E-2</v>
      </c>
      <c r="N46" s="29">
        <v>0.02</v>
      </c>
      <c r="O46" s="27" t="s">
        <v>131</v>
      </c>
      <c r="P46" s="30" t="s">
        <v>131</v>
      </c>
      <c r="Q46" s="31">
        <v>266207464.53999999</v>
      </c>
      <c r="R46" s="31">
        <v>402.31</v>
      </c>
      <c r="S46" s="32">
        <v>2.4919999999999999E-3</v>
      </c>
      <c r="T46" s="32" t="s">
        <v>139</v>
      </c>
      <c r="U46" s="32">
        <v>-4.5770000000000003E-3</v>
      </c>
      <c r="V46" s="32">
        <v>2.7401999999999999E-2</v>
      </c>
      <c r="W46" s="32">
        <v>2.117E-3</v>
      </c>
      <c r="X46" s="32">
        <v>1.6011000000000001E-2</v>
      </c>
      <c r="Y46" s="32">
        <v>-5.5698999999999999E-2</v>
      </c>
      <c r="Z46" s="32">
        <v>0.16089999999999999</v>
      </c>
      <c r="AA46" s="32">
        <v>0.31525399999999998</v>
      </c>
      <c r="AB46" s="32">
        <v>0.27665800000000002</v>
      </c>
    </row>
    <row r="47" spans="1:28" ht="15.6" customHeight="1" x14ac:dyDescent="0.25">
      <c r="A47" s="24" t="s">
        <v>1058</v>
      </c>
      <c r="B47" s="50">
        <v>3082</v>
      </c>
      <c r="C47" s="25" t="s">
        <v>1059</v>
      </c>
      <c r="D47" s="25" t="s">
        <v>164</v>
      </c>
      <c r="E47" s="25" t="s">
        <v>102</v>
      </c>
      <c r="F47" s="25" t="s">
        <v>138</v>
      </c>
      <c r="G47" s="26" t="s">
        <v>139</v>
      </c>
      <c r="H47" s="27" t="s">
        <v>1060</v>
      </c>
      <c r="I47" s="24" t="s">
        <v>998</v>
      </c>
      <c r="J47" s="24" t="s">
        <v>107</v>
      </c>
      <c r="K47" s="28" t="s">
        <v>108</v>
      </c>
      <c r="L47" s="29">
        <v>0</v>
      </c>
      <c r="M47" s="29">
        <v>0</v>
      </c>
      <c r="N47" s="29">
        <v>0.02</v>
      </c>
      <c r="O47" s="27" t="s">
        <v>166</v>
      </c>
      <c r="P47" s="30" t="s">
        <v>164</v>
      </c>
      <c r="Q47" s="31">
        <v>163509425.09</v>
      </c>
      <c r="R47" s="31">
        <v>7134.23</v>
      </c>
      <c r="S47" s="32">
        <v>5.7639000000000003E-2</v>
      </c>
      <c r="T47" s="32" t="s">
        <v>139</v>
      </c>
      <c r="U47" s="32">
        <v>-4.4039999999999999E-3</v>
      </c>
      <c r="V47" s="32">
        <v>4.045E-2</v>
      </c>
      <c r="W47" s="32">
        <v>2.0164999999999999E-2</v>
      </c>
      <c r="X47" s="32">
        <v>6.1096999999999999E-2</v>
      </c>
      <c r="Y47" s="32">
        <v>1.9595000000000001E-2</v>
      </c>
      <c r="Z47" s="32">
        <v>0.29371000000000003</v>
      </c>
      <c r="AA47" s="32">
        <v>0.47129399999999999</v>
      </c>
      <c r="AB47" s="32">
        <v>0.45497100000000001</v>
      </c>
    </row>
    <row r="48" spans="1:28" ht="15.6" customHeight="1" x14ac:dyDescent="0.25">
      <c r="A48" s="24" t="s">
        <v>1061</v>
      </c>
      <c r="B48" s="50">
        <v>3083</v>
      </c>
      <c r="C48" s="25" t="s">
        <v>1062</v>
      </c>
      <c r="D48" s="25" t="s">
        <v>164</v>
      </c>
      <c r="E48" s="25" t="s">
        <v>102</v>
      </c>
      <c r="F48" s="25" t="s">
        <v>138</v>
      </c>
      <c r="G48" s="26" t="s">
        <v>139</v>
      </c>
      <c r="H48" s="27" t="s">
        <v>1063</v>
      </c>
      <c r="I48" s="24" t="s">
        <v>998</v>
      </c>
      <c r="J48" s="24" t="s">
        <v>107</v>
      </c>
      <c r="K48" s="28" t="s">
        <v>108</v>
      </c>
      <c r="L48" s="29">
        <v>0</v>
      </c>
      <c r="M48" s="29">
        <v>0</v>
      </c>
      <c r="N48" s="29">
        <v>0.02</v>
      </c>
      <c r="O48" s="27" t="s">
        <v>166</v>
      </c>
      <c r="P48" s="30" t="s">
        <v>164</v>
      </c>
      <c r="Q48" s="31">
        <v>1120800256.47</v>
      </c>
      <c r="R48" s="31">
        <v>5630.1</v>
      </c>
      <c r="S48" s="32">
        <v>0.11096</v>
      </c>
      <c r="T48" s="32" t="s">
        <v>139</v>
      </c>
      <c r="U48" s="32">
        <v>-6.6340000000000001E-3</v>
      </c>
      <c r="V48" s="32">
        <v>4.9644000000000001E-2</v>
      </c>
      <c r="W48" s="32">
        <v>1.1717999999999999E-2</v>
      </c>
      <c r="X48" s="32">
        <v>9.4445000000000001E-2</v>
      </c>
      <c r="Y48" s="32">
        <v>7.3451000000000002E-2</v>
      </c>
      <c r="Z48" s="32">
        <v>0.35016999999999998</v>
      </c>
      <c r="AA48" s="32">
        <v>0.50851199999999996</v>
      </c>
      <c r="AB48" s="32">
        <v>0.48014099999999998</v>
      </c>
    </row>
    <row r="49" spans="1:28" ht="15.6" customHeight="1" x14ac:dyDescent="0.25">
      <c r="A49" s="24" t="s">
        <v>1064</v>
      </c>
      <c r="B49" s="50">
        <v>3507</v>
      </c>
      <c r="C49" s="25" t="s">
        <v>1065</v>
      </c>
      <c r="D49" s="25" t="s">
        <v>112</v>
      </c>
      <c r="E49" s="25" t="s">
        <v>194</v>
      </c>
      <c r="F49" s="25" t="s">
        <v>113</v>
      </c>
      <c r="G49" s="26" t="s">
        <v>1066</v>
      </c>
      <c r="H49" s="27" t="s">
        <v>1067</v>
      </c>
      <c r="I49" s="24" t="s">
        <v>998</v>
      </c>
      <c r="J49" s="24" t="s">
        <v>121</v>
      </c>
      <c r="K49" s="28" t="s">
        <v>108</v>
      </c>
      <c r="L49" s="29">
        <v>0.03</v>
      </c>
      <c r="M49" s="29">
        <v>1.4999999999999999E-2</v>
      </c>
      <c r="N49" s="29">
        <v>0.02</v>
      </c>
      <c r="O49" s="27" t="s">
        <v>548</v>
      </c>
      <c r="P49" s="30" t="s">
        <v>112</v>
      </c>
      <c r="Q49" s="31">
        <v>4816669777.29</v>
      </c>
      <c r="R49" s="31">
        <v>4427.83</v>
      </c>
      <c r="S49" s="32">
        <v>-1.7200000000000001E-4</v>
      </c>
      <c r="T49" s="32" t="s">
        <v>139</v>
      </c>
      <c r="U49" s="32">
        <v>6.0300000000000002E-4</v>
      </c>
      <c r="V49" s="32">
        <v>7.6169999999999996E-3</v>
      </c>
      <c r="W49" s="32">
        <v>4.0289999999999996E-3</v>
      </c>
      <c r="X49" s="32">
        <v>4.2900000000000002E-4</v>
      </c>
      <c r="Y49" s="32">
        <v>-1.0426E-2</v>
      </c>
      <c r="Z49" s="32">
        <v>9.6421000000000007E-2</v>
      </c>
      <c r="AA49" s="32">
        <v>0.20608899999999999</v>
      </c>
      <c r="AB49" s="32">
        <v>0.133298</v>
      </c>
    </row>
    <row r="50" spans="1:28" ht="15.6" customHeight="1" x14ac:dyDescent="0.25">
      <c r="A50" s="24" t="s">
        <v>1068</v>
      </c>
      <c r="B50" s="50">
        <v>3508</v>
      </c>
      <c r="C50" s="25" t="s">
        <v>1069</v>
      </c>
      <c r="D50" s="25" t="s">
        <v>261</v>
      </c>
      <c r="E50" s="25" t="s">
        <v>194</v>
      </c>
      <c r="F50" s="25" t="s">
        <v>155</v>
      </c>
      <c r="G50" s="26" t="s">
        <v>139</v>
      </c>
      <c r="H50" s="27" t="s">
        <v>156</v>
      </c>
      <c r="I50" s="24" t="s">
        <v>998</v>
      </c>
      <c r="J50" s="24" t="s">
        <v>107</v>
      </c>
      <c r="K50" s="28" t="s">
        <v>108</v>
      </c>
      <c r="L50" s="29">
        <v>0.02</v>
      </c>
      <c r="M50" s="29">
        <v>6.0000000000000001E-3</v>
      </c>
      <c r="N50" s="29">
        <v>0.02</v>
      </c>
      <c r="O50" s="27" t="s">
        <v>262</v>
      </c>
      <c r="P50" s="30" t="s">
        <v>261</v>
      </c>
      <c r="Q50" s="31">
        <v>126688998.14</v>
      </c>
      <c r="R50" s="31">
        <v>4551.59</v>
      </c>
      <c r="S50" s="32">
        <v>-5.2513999999999998E-2</v>
      </c>
      <c r="T50" s="32" t="s">
        <v>139</v>
      </c>
      <c r="U50" s="32">
        <v>-6.8950000000000001E-3</v>
      </c>
      <c r="V50" s="32">
        <v>4.3126999999999999E-2</v>
      </c>
      <c r="W50" s="32">
        <v>3.1765000000000002E-2</v>
      </c>
      <c r="X50" s="32">
        <v>-1.7090000000000001E-2</v>
      </c>
      <c r="Y50" s="32">
        <v>-0.15126000000000001</v>
      </c>
      <c r="Z50" s="32">
        <v>0.20186100000000001</v>
      </c>
      <c r="AA50" s="32">
        <v>0.44831900000000002</v>
      </c>
      <c r="AB50" s="32">
        <v>0.36879200000000001</v>
      </c>
    </row>
    <row r="51" spans="1:28" ht="15.6" customHeight="1" x14ac:dyDescent="0.25">
      <c r="A51" s="24" t="s">
        <v>1070</v>
      </c>
      <c r="B51" s="50">
        <v>3509</v>
      </c>
      <c r="C51" s="25" t="s">
        <v>1071</v>
      </c>
      <c r="D51" s="25" t="s">
        <v>261</v>
      </c>
      <c r="E51" s="25" t="s">
        <v>194</v>
      </c>
      <c r="F51" s="25" t="s">
        <v>113</v>
      </c>
      <c r="G51" s="26" t="s">
        <v>1072</v>
      </c>
      <c r="H51" s="27" t="s">
        <v>327</v>
      </c>
      <c r="I51" s="24" t="s">
        <v>998</v>
      </c>
      <c r="J51" s="24" t="s">
        <v>107</v>
      </c>
      <c r="K51" s="28" t="s">
        <v>108</v>
      </c>
      <c r="L51" s="29">
        <v>1.4999999999999999E-2</v>
      </c>
      <c r="M51" s="29">
        <v>3.0000000000000001E-3</v>
      </c>
      <c r="N51" s="29">
        <v>0.02</v>
      </c>
      <c r="O51" s="27" t="s">
        <v>262</v>
      </c>
      <c r="P51" s="30" t="s">
        <v>261</v>
      </c>
      <c r="Q51" s="31">
        <v>755224621.13</v>
      </c>
      <c r="R51" s="31">
        <v>3529.04</v>
      </c>
      <c r="S51" s="32">
        <v>-1.0444999999999999E-2</v>
      </c>
      <c r="T51" s="32" t="s">
        <v>139</v>
      </c>
      <c r="U51" s="32">
        <v>4.7600000000000002E-4</v>
      </c>
      <c r="V51" s="32">
        <v>6.3619999999999996E-3</v>
      </c>
      <c r="W51" s="32">
        <v>2.1749999999999999E-3</v>
      </c>
      <c r="X51" s="32">
        <v>-6.9280000000000001E-3</v>
      </c>
      <c r="Y51" s="32">
        <v>-2.1729999999999999E-2</v>
      </c>
      <c r="Z51" s="32">
        <v>7.2877999999999998E-2</v>
      </c>
      <c r="AA51" s="32">
        <v>0.16214100000000001</v>
      </c>
      <c r="AB51" s="32">
        <v>9.1692999999999997E-2</v>
      </c>
    </row>
    <row r="52" spans="1:28" ht="15.6" customHeight="1" x14ac:dyDescent="0.25">
      <c r="A52" s="24" t="s">
        <v>1073</v>
      </c>
      <c r="B52" s="50">
        <v>3516</v>
      </c>
      <c r="C52" s="25" t="s">
        <v>9</v>
      </c>
      <c r="D52" s="25" t="s">
        <v>261</v>
      </c>
      <c r="E52" s="25" t="s">
        <v>194</v>
      </c>
      <c r="F52" s="25" t="s">
        <v>155</v>
      </c>
      <c r="G52" s="26" t="s">
        <v>139</v>
      </c>
      <c r="H52" s="27" t="s">
        <v>202</v>
      </c>
      <c r="I52" s="24" t="s">
        <v>998</v>
      </c>
      <c r="J52" s="24" t="s">
        <v>107</v>
      </c>
      <c r="K52" s="28" t="s">
        <v>108</v>
      </c>
      <c r="L52" s="29">
        <v>0.02</v>
      </c>
      <c r="M52" s="29">
        <v>6.0000000000000001E-3</v>
      </c>
      <c r="N52" s="29">
        <v>0.02</v>
      </c>
      <c r="O52" s="27" t="s">
        <v>262</v>
      </c>
      <c r="P52" s="30" t="s">
        <v>261</v>
      </c>
      <c r="Q52" s="31">
        <v>99109495.560000002</v>
      </c>
      <c r="R52" s="31">
        <v>4857.3599999999997</v>
      </c>
      <c r="S52" s="32">
        <v>-4.8578000000000003E-2</v>
      </c>
      <c r="T52" s="32" t="s">
        <v>139</v>
      </c>
      <c r="U52" s="32">
        <v>-7.0400000000000003E-3</v>
      </c>
      <c r="V52" s="32">
        <v>4.4183E-2</v>
      </c>
      <c r="W52" s="32">
        <v>3.3385999999999999E-2</v>
      </c>
      <c r="X52" s="32">
        <v>-1.9036000000000001E-2</v>
      </c>
      <c r="Y52" s="32">
        <v>-0.13811599999999999</v>
      </c>
      <c r="Z52" s="32">
        <v>0.39946500000000001</v>
      </c>
      <c r="AA52" s="32">
        <v>0.91876000000000002</v>
      </c>
      <c r="AB52" s="32">
        <v>0.84165999999999996</v>
      </c>
    </row>
    <row r="53" spans="1:28" ht="15.6" customHeight="1" x14ac:dyDescent="0.25">
      <c r="A53" s="24" t="s">
        <v>1074</v>
      </c>
      <c r="B53" s="50">
        <v>3518</v>
      </c>
      <c r="C53" s="25" t="s">
        <v>1075</v>
      </c>
      <c r="D53" s="25" t="s">
        <v>101</v>
      </c>
      <c r="E53" s="25" t="s">
        <v>194</v>
      </c>
      <c r="F53" s="25" t="s">
        <v>138</v>
      </c>
      <c r="G53" s="26" t="s">
        <v>139</v>
      </c>
      <c r="H53" s="27" t="s">
        <v>283</v>
      </c>
      <c r="I53" s="24" t="s">
        <v>998</v>
      </c>
      <c r="J53" s="24" t="s">
        <v>121</v>
      </c>
      <c r="K53" s="28" t="s">
        <v>180</v>
      </c>
      <c r="L53" s="29">
        <v>0.03</v>
      </c>
      <c r="M53" s="29">
        <v>1.4999999999999999E-2</v>
      </c>
      <c r="N53" s="29">
        <v>0.02</v>
      </c>
      <c r="O53" s="27" t="s">
        <v>109</v>
      </c>
      <c r="P53" s="30" t="s">
        <v>101</v>
      </c>
      <c r="Q53" s="31">
        <v>357227924.42000002</v>
      </c>
      <c r="R53" s="31">
        <v>137026.44</v>
      </c>
      <c r="S53" s="32">
        <v>2.6400000000000002E-4</v>
      </c>
      <c r="T53" s="32" t="s">
        <v>139</v>
      </c>
      <c r="U53" s="32">
        <v>-3.6150000000000002E-3</v>
      </c>
      <c r="V53" s="32">
        <v>2.5281000000000001E-2</v>
      </c>
      <c r="W53" s="32">
        <v>1.2062E-2</v>
      </c>
      <c r="X53" s="32">
        <v>1.4281E-2</v>
      </c>
      <c r="Y53" s="32">
        <v>-4.2636E-2</v>
      </c>
      <c r="Z53" s="32">
        <v>0.136208</v>
      </c>
      <c r="AA53" s="32">
        <v>0.26137300000000002</v>
      </c>
      <c r="AB53" s="32">
        <v>0.245256</v>
      </c>
    </row>
    <row r="54" spans="1:28" ht="15.6" customHeight="1" x14ac:dyDescent="0.25">
      <c r="A54" s="24" t="s">
        <v>1076</v>
      </c>
      <c r="B54" s="50">
        <v>3519</v>
      </c>
      <c r="C54" s="25" t="s">
        <v>1077</v>
      </c>
      <c r="D54" s="25" t="s">
        <v>101</v>
      </c>
      <c r="E54" s="25" t="s">
        <v>194</v>
      </c>
      <c r="F54" s="25" t="s">
        <v>113</v>
      </c>
      <c r="G54" s="26" t="s">
        <v>647</v>
      </c>
      <c r="H54" s="27" t="s">
        <v>839</v>
      </c>
      <c r="I54" s="24" t="s">
        <v>998</v>
      </c>
      <c r="J54" s="24" t="s">
        <v>121</v>
      </c>
      <c r="K54" s="28" t="s">
        <v>108</v>
      </c>
      <c r="L54" s="29">
        <v>0.03</v>
      </c>
      <c r="M54" s="29">
        <v>1.4999999999999999E-2</v>
      </c>
      <c r="N54" s="29">
        <v>0.02</v>
      </c>
      <c r="O54" s="27" t="s">
        <v>109</v>
      </c>
      <c r="P54" s="30" t="s">
        <v>101</v>
      </c>
      <c r="Q54" s="31">
        <v>1511457.56</v>
      </c>
      <c r="R54" s="31">
        <v>1511457.56</v>
      </c>
      <c r="S54" s="32">
        <v>-1.0463E-2</v>
      </c>
      <c r="T54" s="32" t="s">
        <v>139</v>
      </c>
      <c r="U54" s="32">
        <v>6.7400000000000001E-4</v>
      </c>
      <c r="V54" s="32">
        <v>2.0720000000000001E-3</v>
      </c>
      <c r="W54" s="32">
        <v>-3.1500000000000001E-4</v>
      </c>
      <c r="X54" s="32">
        <v>-9.7079999999999996E-3</v>
      </c>
      <c r="Y54" s="32">
        <v>-2.1430000000000001E-2</v>
      </c>
      <c r="Z54" s="32">
        <v>2.1217E-2</v>
      </c>
      <c r="AA54" s="32">
        <v>4.7939000000000002E-2</v>
      </c>
      <c r="AB54" s="32">
        <v>3.2379999999999999E-2</v>
      </c>
    </row>
    <row r="55" spans="1:28" ht="15.6" customHeight="1" x14ac:dyDescent="0.25">
      <c r="A55" s="24" t="s">
        <v>1078</v>
      </c>
      <c r="B55" s="50">
        <v>3520</v>
      </c>
      <c r="C55" s="25" t="s">
        <v>1079</v>
      </c>
      <c r="D55" s="25" t="s">
        <v>101</v>
      </c>
      <c r="E55" s="25" t="s">
        <v>194</v>
      </c>
      <c r="F55" s="25" t="s">
        <v>113</v>
      </c>
      <c r="G55" s="26" t="s">
        <v>647</v>
      </c>
      <c r="H55" s="27" t="s">
        <v>839</v>
      </c>
      <c r="I55" s="24" t="s">
        <v>998</v>
      </c>
      <c r="J55" s="24" t="s">
        <v>121</v>
      </c>
      <c r="K55" s="28" t="s">
        <v>108</v>
      </c>
      <c r="L55" s="29">
        <v>0.03</v>
      </c>
      <c r="M55" s="29">
        <v>1.4999999999999999E-2</v>
      </c>
      <c r="N55" s="29">
        <v>0.02</v>
      </c>
      <c r="O55" s="27" t="s">
        <v>109</v>
      </c>
      <c r="P55" s="30" t="s">
        <v>101</v>
      </c>
      <c r="Q55" s="31">
        <v>556047810.47000003</v>
      </c>
      <c r="R55" s="31">
        <v>2989504.36</v>
      </c>
      <c r="S55" s="32">
        <v>-6.352E-3</v>
      </c>
      <c r="T55" s="32" t="s">
        <v>139</v>
      </c>
      <c r="U55" s="32">
        <v>5.2400000000000005E-4</v>
      </c>
      <c r="V55" s="32">
        <v>6.0540000000000004E-3</v>
      </c>
      <c r="W55" s="32">
        <v>3.0049999999999999E-3</v>
      </c>
      <c r="X55" s="32">
        <v>-3.326E-3</v>
      </c>
      <c r="Y55" s="32">
        <v>-8.6990000000000001E-3</v>
      </c>
      <c r="Z55" s="32">
        <v>4.5449000000000003E-2</v>
      </c>
      <c r="AA55" s="32">
        <v>0.140739</v>
      </c>
      <c r="AB55" s="32">
        <v>0.100456</v>
      </c>
    </row>
    <row r="56" spans="1:28" ht="15.6" customHeight="1" x14ac:dyDescent="0.25">
      <c r="A56" s="24" t="s">
        <v>1080</v>
      </c>
      <c r="B56" s="50">
        <v>3543</v>
      </c>
      <c r="C56" s="25" t="s">
        <v>1081</v>
      </c>
      <c r="D56" s="25" t="s">
        <v>101</v>
      </c>
      <c r="E56" s="25" t="s">
        <v>194</v>
      </c>
      <c r="F56" s="25" t="s">
        <v>113</v>
      </c>
      <c r="G56" s="26" t="s">
        <v>866</v>
      </c>
      <c r="H56" s="27" t="s">
        <v>120</v>
      </c>
      <c r="I56" s="24" t="s">
        <v>998</v>
      </c>
      <c r="J56" s="24" t="s">
        <v>121</v>
      </c>
      <c r="K56" s="28" t="s">
        <v>108</v>
      </c>
      <c r="L56" s="29">
        <v>0</v>
      </c>
      <c r="M56" s="29">
        <v>0</v>
      </c>
      <c r="N56" s="29">
        <v>5.0000000000000001E-3</v>
      </c>
      <c r="O56" s="27" t="s">
        <v>262</v>
      </c>
      <c r="P56" s="30" t="s">
        <v>101</v>
      </c>
      <c r="Q56" s="31">
        <v>4710942575.0100002</v>
      </c>
      <c r="R56" s="31">
        <v>261675.42</v>
      </c>
      <c r="S56" s="32">
        <v>6.3769999999999999E-3</v>
      </c>
      <c r="T56" s="32" t="s">
        <v>139</v>
      </c>
      <c r="U56" s="32">
        <v>3.4200000000000002E-4</v>
      </c>
      <c r="V56" s="32">
        <v>3.7200000000000002E-3</v>
      </c>
      <c r="W56" s="32">
        <v>4.6410000000000002E-3</v>
      </c>
      <c r="X56" s="32">
        <v>6.8440000000000003E-3</v>
      </c>
      <c r="Y56" s="32">
        <v>7.9600000000000001E-3</v>
      </c>
      <c r="Z56" s="32">
        <v>4.0388E-2</v>
      </c>
      <c r="AA56" s="32">
        <v>8.4129999999999996E-2</v>
      </c>
      <c r="AB56" s="32">
        <v>0.106431</v>
      </c>
    </row>
    <row r="57" spans="1:28" ht="15.6" customHeight="1" x14ac:dyDescent="0.25">
      <c r="A57" s="24" t="s">
        <v>1082</v>
      </c>
      <c r="B57" s="50">
        <v>3545</v>
      </c>
      <c r="C57" s="25" t="s">
        <v>1083</v>
      </c>
      <c r="D57" s="25" t="s">
        <v>112</v>
      </c>
      <c r="E57" s="25" t="s">
        <v>194</v>
      </c>
      <c r="F57" s="25" t="s">
        <v>155</v>
      </c>
      <c r="G57" s="26" t="s">
        <v>139</v>
      </c>
      <c r="H57" s="27" t="s">
        <v>202</v>
      </c>
      <c r="I57" s="24" t="s">
        <v>998</v>
      </c>
      <c r="J57" s="24" t="s">
        <v>121</v>
      </c>
      <c r="K57" s="28" t="s">
        <v>180</v>
      </c>
      <c r="L57" s="29">
        <v>0.03</v>
      </c>
      <c r="M57" s="29">
        <v>1.4999999999999999E-2</v>
      </c>
      <c r="N57" s="29">
        <v>0.02</v>
      </c>
      <c r="O57" s="27" t="s">
        <v>116</v>
      </c>
      <c r="P57" s="30" t="s">
        <v>112</v>
      </c>
      <c r="Q57" s="31">
        <v>228491129.43000001</v>
      </c>
      <c r="R57" s="31">
        <v>6636.97</v>
      </c>
      <c r="S57" s="32">
        <v>-4.6073999999999997E-2</v>
      </c>
      <c r="T57" s="32" t="s">
        <v>139</v>
      </c>
      <c r="U57" s="32">
        <v>-7.9459999999999999E-3</v>
      </c>
      <c r="V57" s="32">
        <v>5.7584999999999997E-2</v>
      </c>
      <c r="W57" s="32">
        <v>2.5991E-2</v>
      </c>
      <c r="X57" s="32">
        <v>1.1195E-2</v>
      </c>
      <c r="Y57" s="32">
        <v>-0.13609299999999999</v>
      </c>
      <c r="Z57" s="32">
        <v>0.271175</v>
      </c>
      <c r="AA57" s="32">
        <v>0.49104100000000001</v>
      </c>
      <c r="AB57" s="32">
        <v>0.41449799999999998</v>
      </c>
    </row>
    <row r="58" spans="1:28" ht="15.6" customHeight="1" x14ac:dyDescent="0.25">
      <c r="A58" s="24" t="s">
        <v>1084</v>
      </c>
      <c r="B58" s="50">
        <v>3546</v>
      </c>
      <c r="C58" s="25" t="s">
        <v>1085</v>
      </c>
      <c r="D58" s="25" t="s">
        <v>112</v>
      </c>
      <c r="E58" s="25" t="s">
        <v>194</v>
      </c>
      <c r="F58" s="25" t="s">
        <v>113</v>
      </c>
      <c r="G58" s="26" t="s">
        <v>1086</v>
      </c>
      <c r="H58" s="27" t="s">
        <v>115</v>
      </c>
      <c r="I58" s="24" t="s">
        <v>998</v>
      </c>
      <c r="J58" s="24" t="s">
        <v>121</v>
      </c>
      <c r="K58" s="28" t="s">
        <v>108</v>
      </c>
      <c r="L58" s="29">
        <v>0</v>
      </c>
      <c r="M58" s="29">
        <v>0</v>
      </c>
      <c r="N58" s="29" t="s">
        <v>139</v>
      </c>
      <c r="O58" s="27" t="s">
        <v>116</v>
      </c>
      <c r="P58" s="30" t="s">
        <v>112</v>
      </c>
      <c r="Q58" s="31">
        <v>2423381933.02</v>
      </c>
      <c r="R58" s="31">
        <v>2734.15</v>
      </c>
      <c r="S58" s="32">
        <v>-3.1399999999999999E-4</v>
      </c>
      <c r="T58" s="32" t="s">
        <v>139</v>
      </c>
      <c r="U58" s="32">
        <v>1.021E-3</v>
      </c>
      <c r="V58" s="32">
        <v>4.8960000000000002E-3</v>
      </c>
      <c r="W58" s="32">
        <v>4.8729999999999997E-3</v>
      </c>
      <c r="X58" s="32">
        <v>-2.1499999999999999E-4</v>
      </c>
      <c r="Y58" s="32">
        <v>-5.7809999999999997E-3</v>
      </c>
      <c r="Z58" s="32">
        <v>8.1221000000000002E-2</v>
      </c>
      <c r="AA58" s="32">
        <v>0.18415799999999999</v>
      </c>
      <c r="AB58" s="32">
        <v>8.1585000000000005E-2</v>
      </c>
    </row>
    <row r="59" spans="1:28" ht="15.6" customHeight="1" x14ac:dyDescent="0.25">
      <c r="A59" s="24" t="s">
        <v>1087</v>
      </c>
      <c r="B59" s="50">
        <v>3548</v>
      </c>
      <c r="C59" s="25" t="s">
        <v>1088</v>
      </c>
      <c r="D59" s="25" t="s">
        <v>112</v>
      </c>
      <c r="E59" s="25" t="s">
        <v>194</v>
      </c>
      <c r="F59" s="25" t="s">
        <v>155</v>
      </c>
      <c r="G59" s="26" t="s">
        <v>139</v>
      </c>
      <c r="H59" s="27" t="s">
        <v>202</v>
      </c>
      <c r="I59" s="24" t="s">
        <v>998</v>
      </c>
      <c r="J59" s="24" t="s">
        <v>121</v>
      </c>
      <c r="K59" s="28" t="s">
        <v>108</v>
      </c>
      <c r="L59" s="29">
        <v>0.03</v>
      </c>
      <c r="M59" s="29">
        <v>1.4999999999999999E-2</v>
      </c>
      <c r="N59" s="29">
        <v>0.02</v>
      </c>
      <c r="O59" s="27" t="s">
        <v>116</v>
      </c>
      <c r="P59" s="30" t="s">
        <v>112</v>
      </c>
      <c r="Q59" s="31">
        <v>1775413051.6400001</v>
      </c>
      <c r="R59" s="31">
        <v>7699.36</v>
      </c>
      <c r="S59" s="32">
        <v>-2.3813999999999998E-2</v>
      </c>
      <c r="T59" s="32" t="s">
        <v>139</v>
      </c>
      <c r="U59" s="32">
        <v>-9.6179999999999998E-3</v>
      </c>
      <c r="V59" s="32">
        <v>6.4281000000000005E-2</v>
      </c>
      <c r="W59" s="32">
        <v>3.2856999999999997E-2</v>
      </c>
      <c r="X59" s="32">
        <v>3.0485999999999999E-2</v>
      </c>
      <c r="Y59" s="32">
        <v>-0.12202399999999999</v>
      </c>
      <c r="Z59" s="32">
        <v>0.23771500000000001</v>
      </c>
      <c r="AA59" s="32">
        <v>0.40945700000000002</v>
      </c>
      <c r="AB59" s="32">
        <v>0.35160000000000002</v>
      </c>
    </row>
    <row r="60" spans="1:28" ht="15.6" customHeight="1" x14ac:dyDescent="0.25">
      <c r="A60" s="24" t="s">
        <v>1089</v>
      </c>
      <c r="B60" s="50">
        <v>3549</v>
      </c>
      <c r="C60" s="25" t="s">
        <v>1090</v>
      </c>
      <c r="D60" s="25" t="s">
        <v>101</v>
      </c>
      <c r="E60" s="25" t="s">
        <v>194</v>
      </c>
      <c r="F60" s="25" t="s">
        <v>138</v>
      </c>
      <c r="G60" s="26" t="s">
        <v>139</v>
      </c>
      <c r="H60" s="27" t="s">
        <v>1006</v>
      </c>
      <c r="I60" s="24" t="s">
        <v>998</v>
      </c>
      <c r="J60" s="24" t="s">
        <v>121</v>
      </c>
      <c r="K60" s="28" t="s">
        <v>108</v>
      </c>
      <c r="L60" s="29">
        <v>0.03</v>
      </c>
      <c r="M60" s="29">
        <v>1.4999999999999999E-2</v>
      </c>
      <c r="N60" s="29">
        <v>7.4999999999999997E-3</v>
      </c>
      <c r="O60" s="27" t="s">
        <v>109</v>
      </c>
      <c r="P60" s="30" t="s">
        <v>101</v>
      </c>
      <c r="Q60" s="31">
        <v>35009544.549999997</v>
      </c>
      <c r="R60" s="31">
        <v>36852.15</v>
      </c>
      <c r="S60" s="32">
        <v>-5.9400000000000002E-4</v>
      </c>
      <c r="T60" s="32" t="s">
        <v>139</v>
      </c>
      <c r="U60" s="32">
        <v>6.7000000000000002E-5</v>
      </c>
      <c r="V60" s="32">
        <v>1.4647E-2</v>
      </c>
      <c r="W60" s="32">
        <v>1.0182E-2</v>
      </c>
      <c r="X60" s="32">
        <v>1.2357E-2</v>
      </c>
      <c r="Y60" s="32">
        <v>-2.5537000000000001E-2</v>
      </c>
      <c r="Z60" s="32">
        <v>0.12348099999999999</v>
      </c>
      <c r="AA60" s="32">
        <v>0.23466799999999999</v>
      </c>
      <c r="AB60" s="32">
        <v>0.25527499999999997</v>
      </c>
    </row>
    <row r="61" spans="1:28" ht="15.6" customHeight="1" x14ac:dyDescent="0.25">
      <c r="A61" s="24" t="s">
        <v>1091</v>
      </c>
      <c r="B61" s="50">
        <v>3550</v>
      </c>
      <c r="C61" s="25" t="s">
        <v>1092</v>
      </c>
      <c r="D61" s="25" t="s">
        <v>101</v>
      </c>
      <c r="E61" s="25" t="s">
        <v>194</v>
      </c>
      <c r="F61" s="25" t="s">
        <v>138</v>
      </c>
      <c r="G61" s="26" t="s">
        <v>139</v>
      </c>
      <c r="H61" s="27" t="s">
        <v>283</v>
      </c>
      <c r="I61" s="24" t="s">
        <v>998</v>
      </c>
      <c r="J61" s="24" t="s">
        <v>121</v>
      </c>
      <c r="K61" s="28" t="s">
        <v>180</v>
      </c>
      <c r="L61" s="29">
        <v>0.03</v>
      </c>
      <c r="M61" s="29">
        <v>1.4999999999999999E-2</v>
      </c>
      <c r="N61" s="29">
        <v>0.02</v>
      </c>
      <c r="O61" s="27" t="s">
        <v>109</v>
      </c>
      <c r="P61" s="30" t="s">
        <v>101</v>
      </c>
      <c r="Q61" s="31">
        <v>2472456.69</v>
      </c>
      <c r="R61" s="31">
        <v>176604.05</v>
      </c>
      <c r="S61" s="32">
        <v>6.5399999999999996E-4</v>
      </c>
      <c r="T61" s="32" t="s">
        <v>139</v>
      </c>
      <c r="U61" s="32">
        <v>5.2899999999999996E-4</v>
      </c>
      <c r="V61" s="32">
        <v>2.82E-3</v>
      </c>
      <c r="W61" s="32">
        <v>2.9629999999999999E-3</v>
      </c>
      <c r="X61" s="32">
        <v>2.5560000000000001E-3</v>
      </c>
      <c r="Y61" s="32">
        <v>-1.4300000000000001E-3</v>
      </c>
      <c r="Z61" s="32">
        <v>1.0906000000000001E-2</v>
      </c>
      <c r="AA61" s="32">
        <v>3.2504999999999999E-2</v>
      </c>
      <c r="AB61" s="32">
        <v>3.2217999999999997E-2</v>
      </c>
    </row>
    <row r="62" spans="1:28" ht="15.6" customHeight="1" x14ac:dyDescent="0.25">
      <c r="A62" s="24" t="s">
        <v>1093</v>
      </c>
      <c r="B62" s="50">
        <v>3551</v>
      </c>
      <c r="C62" s="25" t="s">
        <v>1094</v>
      </c>
      <c r="D62" s="25" t="s">
        <v>101</v>
      </c>
      <c r="E62" s="25" t="s">
        <v>194</v>
      </c>
      <c r="F62" s="25" t="s">
        <v>138</v>
      </c>
      <c r="G62" s="26" t="s">
        <v>139</v>
      </c>
      <c r="H62" s="27" t="s">
        <v>283</v>
      </c>
      <c r="I62" s="24" t="s">
        <v>998</v>
      </c>
      <c r="J62" s="24" t="s">
        <v>121</v>
      </c>
      <c r="K62" s="28" t="s">
        <v>180</v>
      </c>
      <c r="L62" s="29">
        <v>0.03</v>
      </c>
      <c r="M62" s="29">
        <v>1.4999999999999999E-2</v>
      </c>
      <c r="N62" s="29">
        <v>0.02</v>
      </c>
      <c r="O62" s="27" t="s">
        <v>109</v>
      </c>
      <c r="P62" s="30" t="s">
        <v>101</v>
      </c>
      <c r="Q62" s="31">
        <v>225529006.19</v>
      </c>
      <c r="R62" s="31">
        <v>249478.99</v>
      </c>
      <c r="S62" s="32">
        <v>-1.505E-3</v>
      </c>
      <c r="T62" s="32" t="s">
        <v>139</v>
      </c>
      <c r="U62" s="32">
        <v>-3.6949999999999999E-3</v>
      </c>
      <c r="V62" s="32">
        <v>2.4629999999999999E-2</v>
      </c>
      <c r="W62" s="32">
        <v>1.1254999999999999E-2</v>
      </c>
      <c r="X62" s="32">
        <v>1.2772E-2</v>
      </c>
      <c r="Y62" s="32">
        <v>-4.7081999999999999E-2</v>
      </c>
      <c r="Z62" s="32">
        <v>0.13284000000000001</v>
      </c>
      <c r="AA62" s="32">
        <v>0.251502</v>
      </c>
      <c r="AB62" s="32">
        <v>0.244117</v>
      </c>
    </row>
    <row r="63" spans="1:28" ht="15.6" customHeight="1" x14ac:dyDescent="0.25">
      <c r="A63" s="24" t="s">
        <v>1095</v>
      </c>
      <c r="B63" s="50">
        <v>3552</v>
      </c>
      <c r="C63" s="25" t="s">
        <v>1096</v>
      </c>
      <c r="D63" s="25" t="s">
        <v>101</v>
      </c>
      <c r="E63" s="25" t="s">
        <v>194</v>
      </c>
      <c r="F63" s="25" t="s">
        <v>138</v>
      </c>
      <c r="G63" s="26" t="s">
        <v>139</v>
      </c>
      <c r="H63" s="27" t="s">
        <v>202</v>
      </c>
      <c r="I63" s="24" t="s">
        <v>998</v>
      </c>
      <c r="J63" s="24" t="s">
        <v>121</v>
      </c>
      <c r="K63" s="28" t="s">
        <v>227</v>
      </c>
      <c r="L63" s="29">
        <v>0.03</v>
      </c>
      <c r="M63" s="29">
        <v>1.4999999999999999E-2</v>
      </c>
      <c r="N63" s="29">
        <v>0</v>
      </c>
      <c r="O63" s="27" t="s">
        <v>109</v>
      </c>
      <c r="P63" s="30" t="s">
        <v>101</v>
      </c>
      <c r="Q63" s="31">
        <v>823125737.82000005</v>
      </c>
      <c r="R63" s="31">
        <v>181185.5</v>
      </c>
      <c r="S63" s="32">
        <v>8.685E-3</v>
      </c>
      <c r="T63" s="32" t="s">
        <v>139</v>
      </c>
      <c r="U63" s="32">
        <v>-1.7210000000000001E-3</v>
      </c>
      <c r="V63" s="32">
        <v>2.342E-2</v>
      </c>
      <c r="W63" s="32">
        <v>1.1310000000000001E-2</v>
      </c>
      <c r="X63" s="32">
        <v>1.5469E-2</v>
      </c>
      <c r="Y63" s="32">
        <v>-2.5224E-2</v>
      </c>
      <c r="Z63" s="32">
        <v>0.18987399999999999</v>
      </c>
      <c r="AA63" s="32">
        <v>0.333621</v>
      </c>
      <c r="AB63" s="32">
        <v>0.29178999999999999</v>
      </c>
    </row>
    <row r="64" spans="1:28" ht="15.6" customHeight="1" x14ac:dyDescent="0.25">
      <c r="A64" s="24" t="s">
        <v>1097</v>
      </c>
      <c r="B64" s="50">
        <v>3553</v>
      </c>
      <c r="C64" s="25" t="s">
        <v>1098</v>
      </c>
      <c r="D64" s="25" t="s">
        <v>101</v>
      </c>
      <c r="E64" s="25" t="s">
        <v>194</v>
      </c>
      <c r="F64" s="25" t="s">
        <v>155</v>
      </c>
      <c r="G64" s="26" t="s">
        <v>139</v>
      </c>
      <c r="H64" s="27" t="s">
        <v>1099</v>
      </c>
      <c r="I64" s="24" t="s">
        <v>998</v>
      </c>
      <c r="J64" s="24" t="s">
        <v>121</v>
      </c>
      <c r="K64" s="28" t="s">
        <v>108</v>
      </c>
      <c r="L64" s="29">
        <v>0</v>
      </c>
      <c r="M64" s="29">
        <v>0</v>
      </c>
      <c r="N64" s="29">
        <v>0.02</v>
      </c>
      <c r="O64" s="27" t="s">
        <v>109</v>
      </c>
      <c r="P64" s="30" t="s">
        <v>101</v>
      </c>
      <c r="Q64" s="31">
        <v>1153485246.21</v>
      </c>
      <c r="R64" s="31">
        <v>519120.27</v>
      </c>
      <c r="S64" s="32">
        <v>2.9033E-2</v>
      </c>
      <c r="T64" s="32" t="s">
        <v>139</v>
      </c>
      <c r="U64" s="32">
        <v>-1.047E-2</v>
      </c>
      <c r="V64" s="32">
        <v>6.4865999999999993E-2</v>
      </c>
      <c r="W64" s="32">
        <v>2.3984999999999999E-2</v>
      </c>
      <c r="X64" s="32">
        <v>6.0735999999999998E-2</v>
      </c>
      <c r="Y64" s="32">
        <v>-6.5596000000000002E-2</v>
      </c>
      <c r="Z64" s="32">
        <v>0.38849299999999998</v>
      </c>
      <c r="AA64" s="32">
        <v>0.64485700000000001</v>
      </c>
      <c r="AB64" s="32">
        <v>0.646837</v>
      </c>
    </row>
    <row r="65" spans="1:28" ht="15.6" customHeight="1" x14ac:dyDescent="0.25">
      <c r="A65" s="24" t="s">
        <v>1100</v>
      </c>
      <c r="B65" s="50">
        <v>3554</v>
      </c>
      <c r="C65" s="25" t="s">
        <v>1101</v>
      </c>
      <c r="D65" s="25" t="s">
        <v>101</v>
      </c>
      <c r="E65" s="25" t="s">
        <v>194</v>
      </c>
      <c r="F65" s="25" t="s">
        <v>138</v>
      </c>
      <c r="G65" s="26" t="s">
        <v>139</v>
      </c>
      <c r="H65" s="27" t="s">
        <v>1006</v>
      </c>
      <c r="I65" s="24" t="s">
        <v>998</v>
      </c>
      <c r="J65" s="24" t="s">
        <v>121</v>
      </c>
      <c r="K65" s="28" t="s">
        <v>108</v>
      </c>
      <c r="L65" s="29">
        <v>0.03</v>
      </c>
      <c r="M65" s="29">
        <v>1.4999999999999999E-2</v>
      </c>
      <c r="N65" s="29">
        <v>6.0000000000000001E-3</v>
      </c>
      <c r="O65" s="27" t="s">
        <v>109</v>
      </c>
      <c r="P65" s="30" t="s">
        <v>101</v>
      </c>
      <c r="Q65" s="31">
        <v>837408.87</v>
      </c>
      <c r="R65" s="31">
        <v>239.26</v>
      </c>
      <c r="S65" s="32">
        <v>2.4299999999999999E-3</v>
      </c>
      <c r="T65" s="32" t="s">
        <v>139</v>
      </c>
      <c r="U65" s="32">
        <v>-2.4599999999999999E-3</v>
      </c>
      <c r="V65" s="32">
        <v>8.855E-3</v>
      </c>
      <c r="W65" s="32">
        <v>-1.1649E-2</v>
      </c>
      <c r="X65" s="32">
        <v>-2.9169999999999999E-3</v>
      </c>
      <c r="Y65" s="32">
        <v>-1.4296E-2</v>
      </c>
      <c r="Z65" s="32">
        <v>4.1937000000000002E-2</v>
      </c>
      <c r="AA65" s="32">
        <v>6.5556000000000003E-2</v>
      </c>
      <c r="AB65" s="32">
        <v>5.9282000000000001E-2</v>
      </c>
    </row>
    <row r="66" spans="1:28" ht="15.6" customHeight="1" x14ac:dyDescent="0.25">
      <c r="A66" s="24" t="s">
        <v>1102</v>
      </c>
      <c r="B66" s="50">
        <v>3555</v>
      </c>
      <c r="C66" s="25" t="s">
        <v>1103</v>
      </c>
      <c r="D66" s="25" t="s">
        <v>112</v>
      </c>
      <c r="E66" s="25" t="s">
        <v>194</v>
      </c>
      <c r="F66" s="25" t="s">
        <v>138</v>
      </c>
      <c r="G66" s="26" t="s">
        <v>139</v>
      </c>
      <c r="H66" s="27" t="s">
        <v>1104</v>
      </c>
      <c r="I66" s="24" t="s">
        <v>998</v>
      </c>
      <c r="J66" s="24" t="s">
        <v>121</v>
      </c>
      <c r="K66" s="28" t="s">
        <v>227</v>
      </c>
      <c r="L66" s="29">
        <v>0.03</v>
      </c>
      <c r="M66" s="29">
        <v>1.4999999999999999E-2</v>
      </c>
      <c r="N66" s="29">
        <v>0.02</v>
      </c>
      <c r="O66" s="27" t="s">
        <v>116</v>
      </c>
      <c r="P66" s="30" t="s">
        <v>112</v>
      </c>
      <c r="Q66" s="31">
        <v>781599143.55999994</v>
      </c>
      <c r="R66" s="31">
        <v>3654.27</v>
      </c>
      <c r="S66" s="32">
        <v>-1.7476999999999999E-2</v>
      </c>
      <c r="T66" s="32" t="s">
        <v>139</v>
      </c>
      <c r="U66" s="32">
        <v>-1.6260000000000001E-3</v>
      </c>
      <c r="V66" s="32">
        <v>2.2856999999999999E-2</v>
      </c>
      <c r="W66" s="32">
        <v>1.2302E-2</v>
      </c>
      <c r="X66" s="32">
        <v>8.03E-4</v>
      </c>
      <c r="Y66" s="32">
        <v>-6.0436999999999998E-2</v>
      </c>
      <c r="Z66" s="32">
        <v>0.14286499999999999</v>
      </c>
      <c r="AA66" s="32">
        <v>0.253722</v>
      </c>
      <c r="AB66" s="32">
        <v>0.19751099999999999</v>
      </c>
    </row>
    <row r="67" spans="1:28" ht="15.6" customHeight="1" x14ac:dyDescent="0.25">
      <c r="A67" s="24" t="s">
        <v>192</v>
      </c>
      <c r="B67" s="50">
        <v>3559</v>
      </c>
      <c r="C67" s="25" t="s">
        <v>193</v>
      </c>
      <c r="D67" s="25" t="s">
        <v>127</v>
      </c>
      <c r="E67" s="25" t="s">
        <v>194</v>
      </c>
      <c r="F67" s="25" t="s">
        <v>138</v>
      </c>
      <c r="G67" s="26" t="s">
        <v>139</v>
      </c>
      <c r="H67" s="27" t="s">
        <v>195</v>
      </c>
      <c r="I67" s="24" t="s">
        <v>106</v>
      </c>
      <c r="J67" s="24" t="s">
        <v>107</v>
      </c>
      <c r="K67" s="28" t="s">
        <v>180</v>
      </c>
      <c r="L67" s="29">
        <v>0.02</v>
      </c>
      <c r="M67" s="29">
        <v>1.4999999999999999E-2</v>
      </c>
      <c r="N67" s="29">
        <v>0.02</v>
      </c>
      <c r="O67" s="27" t="s">
        <v>131</v>
      </c>
      <c r="P67" s="30" t="s">
        <v>131</v>
      </c>
      <c r="Q67" s="31">
        <v>1288282.74</v>
      </c>
      <c r="R67" s="31">
        <v>107356.89</v>
      </c>
      <c r="S67" s="32">
        <v>-5.5310000000000003E-3</v>
      </c>
      <c r="T67" s="32" t="s">
        <v>139</v>
      </c>
      <c r="U67" s="32">
        <v>-4.1070000000000004E-3</v>
      </c>
      <c r="V67" s="32">
        <v>2.7484999999999999E-2</v>
      </c>
      <c r="W67" s="32">
        <v>-2.4732000000000001E-2</v>
      </c>
      <c r="X67" s="32">
        <v>2.6930000000000001E-3</v>
      </c>
      <c r="Y67" s="32">
        <v>-5.5787000000000003E-2</v>
      </c>
      <c r="Z67" s="32">
        <v>0.178758</v>
      </c>
      <c r="AA67" s="32">
        <v>0.356765</v>
      </c>
      <c r="AB67" s="32">
        <v>0.37395600000000001</v>
      </c>
    </row>
    <row r="68" spans="1:28" ht="15.6" customHeight="1" x14ac:dyDescent="0.25">
      <c r="A68" s="24" t="s">
        <v>1105</v>
      </c>
      <c r="B68" s="50">
        <v>3565</v>
      </c>
      <c r="C68" s="25" t="s">
        <v>1106</v>
      </c>
      <c r="D68" s="25" t="s">
        <v>350</v>
      </c>
      <c r="E68" s="25" t="s">
        <v>194</v>
      </c>
      <c r="F68" s="25" t="s">
        <v>155</v>
      </c>
      <c r="G68" s="26" t="s">
        <v>139</v>
      </c>
      <c r="H68" s="27" t="s">
        <v>156</v>
      </c>
      <c r="I68" s="24" t="s">
        <v>998</v>
      </c>
      <c r="J68" s="24" t="s">
        <v>107</v>
      </c>
      <c r="K68" s="28" t="s">
        <v>108</v>
      </c>
      <c r="L68" s="29">
        <v>0.03</v>
      </c>
      <c r="M68" s="29">
        <v>1.4999999999999999E-2</v>
      </c>
      <c r="N68" s="29">
        <v>1.4999999999999999E-2</v>
      </c>
      <c r="O68" s="27" t="s">
        <v>262</v>
      </c>
      <c r="P68" s="30" t="s">
        <v>350</v>
      </c>
      <c r="Q68" s="31">
        <v>1043235.02</v>
      </c>
      <c r="R68" s="31">
        <v>760.92</v>
      </c>
      <c r="S68" s="32">
        <v>4.1671E-2</v>
      </c>
      <c r="T68" s="32" t="s">
        <v>139</v>
      </c>
      <c r="U68" s="32">
        <v>-9.103E-3</v>
      </c>
      <c r="V68" s="32">
        <v>6.1284999999999999E-2</v>
      </c>
      <c r="W68" s="32">
        <v>2.9312999999999999E-2</v>
      </c>
      <c r="X68" s="32">
        <v>7.1673000000000001E-2</v>
      </c>
      <c r="Y68" s="32">
        <v>-5.8383999999999998E-2</v>
      </c>
      <c r="Z68" s="32">
        <v>0.425985</v>
      </c>
      <c r="AA68" s="32">
        <v>0.69021999999999994</v>
      </c>
      <c r="AB68" s="32">
        <v>0.63347100000000001</v>
      </c>
    </row>
    <row r="69" spans="1:28" ht="15.6" customHeight="1" x14ac:dyDescent="0.25">
      <c r="A69" s="24" t="s">
        <v>196</v>
      </c>
      <c r="B69" s="50">
        <v>3567</v>
      </c>
      <c r="C69" s="25" t="s">
        <v>197</v>
      </c>
      <c r="D69" s="25" t="s">
        <v>112</v>
      </c>
      <c r="E69" s="25" t="s">
        <v>194</v>
      </c>
      <c r="F69" s="25" t="s">
        <v>113</v>
      </c>
      <c r="G69" s="26" t="s">
        <v>198</v>
      </c>
      <c r="H69" s="27" t="s">
        <v>199</v>
      </c>
      <c r="I69" s="24" t="s">
        <v>106</v>
      </c>
      <c r="J69" s="24" t="s">
        <v>107</v>
      </c>
      <c r="K69" s="28" t="s">
        <v>108</v>
      </c>
      <c r="L69" s="29">
        <v>0.03</v>
      </c>
      <c r="M69" s="29">
        <v>1.4999999999999999E-2</v>
      </c>
      <c r="N69" s="29">
        <v>0.02</v>
      </c>
      <c r="O69" s="27" t="s">
        <v>116</v>
      </c>
      <c r="P69" s="30" t="s">
        <v>112</v>
      </c>
      <c r="Q69" s="31">
        <v>230933722.62</v>
      </c>
      <c r="R69" s="31">
        <v>2259.73</v>
      </c>
      <c r="S69" s="32">
        <v>8.2450000000000006E-3</v>
      </c>
      <c r="T69" s="32" t="s">
        <v>139</v>
      </c>
      <c r="U69" s="32">
        <v>1.1869999999999999E-3</v>
      </c>
      <c r="V69" s="32">
        <v>4.3020000000000003E-3</v>
      </c>
      <c r="W69" s="32">
        <v>5.6210000000000001E-3</v>
      </c>
      <c r="X69" s="32">
        <v>6.7850000000000002E-3</v>
      </c>
      <c r="Y69" s="32">
        <v>1.4501E-2</v>
      </c>
      <c r="Z69" s="32">
        <v>8.2587999999999995E-2</v>
      </c>
      <c r="AA69" s="32">
        <v>0.143877</v>
      </c>
      <c r="AB69" s="32">
        <v>0.13211800000000001</v>
      </c>
    </row>
    <row r="70" spans="1:28" ht="15.6" customHeight="1" x14ac:dyDescent="0.25">
      <c r="A70" s="24" t="s">
        <v>1107</v>
      </c>
      <c r="B70" s="50">
        <v>3568</v>
      </c>
      <c r="C70" s="25" t="s">
        <v>1108</v>
      </c>
      <c r="D70" s="25" t="s">
        <v>137</v>
      </c>
      <c r="E70" s="25" t="s">
        <v>194</v>
      </c>
      <c r="F70" s="25" t="s">
        <v>113</v>
      </c>
      <c r="G70" s="26" t="s">
        <v>1109</v>
      </c>
      <c r="H70" s="27" t="s">
        <v>1110</v>
      </c>
      <c r="I70" s="24" t="s">
        <v>998</v>
      </c>
      <c r="J70" s="24" t="s">
        <v>121</v>
      </c>
      <c r="K70" s="28" t="s">
        <v>227</v>
      </c>
      <c r="L70" s="29">
        <v>0</v>
      </c>
      <c r="M70" s="29">
        <v>0</v>
      </c>
      <c r="N70" s="29">
        <v>0.01</v>
      </c>
      <c r="O70" s="27" t="s">
        <v>166</v>
      </c>
      <c r="P70" s="30" t="s">
        <v>137</v>
      </c>
      <c r="Q70" s="31">
        <v>1403012395.303179</v>
      </c>
      <c r="R70" s="31">
        <v>26125.89</v>
      </c>
      <c r="S70" s="32">
        <v>-2.1199999999999999E-3</v>
      </c>
      <c r="T70" s="32" t="s">
        <v>139</v>
      </c>
      <c r="U70" s="32">
        <v>5.8699999999999996E-4</v>
      </c>
      <c r="V70" s="32">
        <v>2.8939999999999999E-3</v>
      </c>
      <c r="W70" s="32">
        <v>1.9780000000000002E-3</v>
      </c>
      <c r="X70" s="32">
        <v>-3.4359999999999998E-3</v>
      </c>
      <c r="Y70" s="32">
        <v>-1.1381E-2</v>
      </c>
      <c r="Z70" s="32">
        <v>7.6156000000000001E-2</v>
      </c>
      <c r="AA70" s="32">
        <v>0.18109500000000001</v>
      </c>
      <c r="AB70" s="32">
        <v>8.7738999999999998E-2</v>
      </c>
    </row>
    <row r="71" spans="1:28" ht="15.6" customHeight="1" x14ac:dyDescent="0.25">
      <c r="A71" s="24" t="s">
        <v>1111</v>
      </c>
      <c r="B71" s="50">
        <v>3569</v>
      </c>
      <c r="C71" s="25" t="s">
        <v>1112</v>
      </c>
      <c r="D71" s="25" t="s">
        <v>137</v>
      </c>
      <c r="E71" s="25" t="s">
        <v>194</v>
      </c>
      <c r="F71" s="25" t="s">
        <v>113</v>
      </c>
      <c r="G71" s="26" t="s">
        <v>1113</v>
      </c>
      <c r="H71" s="27" t="s">
        <v>327</v>
      </c>
      <c r="I71" s="24" t="s">
        <v>998</v>
      </c>
      <c r="J71" s="24" t="s">
        <v>121</v>
      </c>
      <c r="K71" s="28" t="s">
        <v>227</v>
      </c>
      <c r="L71" s="29">
        <v>0.03</v>
      </c>
      <c r="M71" s="29">
        <v>1.4999999999999999E-2</v>
      </c>
      <c r="N71" s="29">
        <v>0.02</v>
      </c>
      <c r="O71" s="27" t="s">
        <v>166</v>
      </c>
      <c r="P71" s="30" t="s">
        <v>137</v>
      </c>
      <c r="Q71" s="31">
        <v>1346334.894969</v>
      </c>
      <c r="R71" s="31">
        <v>336583.72</v>
      </c>
      <c r="S71" s="32">
        <v>2.2039999999999998E-3</v>
      </c>
      <c r="T71" s="32" t="s">
        <v>139</v>
      </c>
      <c r="U71" s="32">
        <v>9.4499999999999998E-4</v>
      </c>
      <c r="V71" s="32">
        <v>2.7030000000000001E-3</v>
      </c>
      <c r="W71" s="32">
        <v>3.2030000000000001E-3</v>
      </c>
      <c r="X71" s="32">
        <v>1.596E-3</v>
      </c>
      <c r="Y71" s="32">
        <v>-8.9750000000000003E-3</v>
      </c>
      <c r="Z71" s="32">
        <v>6.5032000000000006E-2</v>
      </c>
      <c r="AA71" s="32">
        <v>0.120644</v>
      </c>
      <c r="AB71" s="32">
        <v>0.13037299999999999</v>
      </c>
    </row>
    <row r="72" spans="1:28" ht="15.6" customHeight="1" x14ac:dyDescent="0.25">
      <c r="A72" s="24" t="s">
        <v>1114</v>
      </c>
      <c r="B72" s="50">
        <v>3570</v>
      </c>
      <c r="C72" s="25" t="s">
        <v>1115</v>
      </c>
      <c r="D72" s="25" t="s">
        <v>137</v>
      </c>
      <c r="E72" s="25" t="s">
        <v>194</v>
      </c>
      <c r="F72" s="25" t="s">
        <v>155</v>
      </c>
      <c r="G72" s="26" t="s">
        <v>139</v>
      </c>
      <c r="H72" s="27" t="s">
        <v>202</v>
      </c>
      <c r="I72" s="24" t="s">
        <v>998</v>
      </c>
      <c r="J72" s="24" t="s">
        <v>107</v>
      </c>
      <c r="K72" s="28" t="s">
        <v>108</v>
      </c>
      <c r="L72" s="29">
        <v>4.5000000000000014E-3</v>
      </c>
      <c r="M72" s="29">
        <v>4.5000000000000014E-3</v>
      </c>
      <c r="N72" s="29">
        <v>0.02</v>
      </c>
      <c r="O72" s="27" t="s">
        <v>141</v>
      </c>
      <c r="P72" s="30" t="s">
        <v>142</v>
      </c>
      <c r="Q72" s="31">
        <v>72483964.031836003</v>
      </c>
      <c r="R72" s="31">
        <v>798.82</v>
      </c>
      <c r="S72" s="32">
        <v>-7.8499999999999993E-3</v>
      </c>
      <c r="T72" s="32" t="s">
        <v>139</v>
      </c>
      <c r="U72" s="32">
        <v>-6.3559999999999997E-3</v>
      </c>
      <c r="V72" s="32">
        <v>4.2410000000000003E-2</v>
      </c>
      <c r="W72" s="32">
        <v>9.7590000000000003E-3</v>
      </c>
      <c r="X72" s="32">
        <v>2.0961E-2</v>
      </c>
      <c r="Y72" s="32">
        <v>-0.112708</v>
      </c>
      <c r="Z72" s="32">
        <v>0.22625600000000001</v>
      </c>
      <c r="AA72" s="32">
        <v>0.41893900000000001</v>
      </c>
      <c r="AB72" s="32">
        <v>0.375971</v>
      </c>
    </row>
    <row r="73" spans="1:28" ht="15.6" customHeight="1" x14ac:dyDescent="0.25">
      <c r="A73" s="24" t="s">
        <v>1116</v>
      </c>
      <c r="B73" s="50">
        <v>3572</v>
      </c>
      <c r="C73" s="25" t="s">
        <v>1117</v>
      </c>
      <c r="D73" s="25" t="s">
        <v>137</v>
      </c>
      <c r="E73" s="25" t="s">
        <v>194</v>
      </c>
      <c r="F73" s="25" t="s">
        <v>138</v>
      </c>
      <c r="G73" s="26" t="s">
        <v>139</v>
      </c>
      <c r="H73" s="27" t="s">
        <v>1118</v>
      </c>
      <c r="I73" s="24" t="s">
        <v>998</v>
      </c>
      <c r="J73" s="24" t="s">
        <v>107</v>
      </c>
      <c r="K73" s="28" t="s">
        <v>108</v>
      </c>
      <c r="L73" s="29">
        <v>2E-3</v>
      </c>
      <c r="M73" s="29">
        <v>2E-3</v>
      </c>
      <c r="N73" s="29">
        <v>0.02</v>
      </c>
      <c r="O73" s="27" t="s">
        <v>141</v>
      </c>
      <c r="P73" s="30" t="s">
        <v>142</v>
      </c>
      <c r="Q73" s="31">
        <v>314454515.78024203</v>
      </c>
      <c r="R73" s="31">
        <v>5129.68</v>
      </c>
      <c r="S73" s="32">
        <v>3.3210000000000003E-2</v>
      </c>
      <c r="T73" s="32" t="s">
        <v>139</v>
      </c>
      <c r="U73" s="32">
        <v>-4.8710000000000003E-3</v>
      </c>
      <c r="V73" s="32">
        <v>3.3728000000000001E-2</v>
      </c>
      <c r="W73" s="32">
        <v>8.6890000000000005E-3</v>
      </c>
      <c r="X73" s="32">
        <v>3.8115000000000003E-2</v>
      </c>
      <c r="Y73" s="32">
        <v>1.9872000000000001E-2</v>
      </c>
      <c r="Z73" s="32">
        <v>0.11647299999999999</v>
      </c>
      <c r="AA73" s="32">
        <v>0.15532000000000001</v>
      </c>
      <c r="AB73" s="32">
        <v>0.25069599999999997</v>
      </c>
    </row>
    <row r="74" spans="1:28" ht="15.6" customHeight="1" x14ac:dyDescent="0.25">
      <c r="A74" s="24" t="s">
        <v>200</v>
      </c>
      <c r="B74" s="50">
        <v>3573</v>
      </c>
      <c r="C74" s="25" t="s">
        <v>201</v>
      </c>
      <c r="D74" s="25" t="s">
        <v>137</v>
      </c>
      <c r="E74" s="25" t="s">
        <v>194</v>
      </c>
      <c r="F74" s="25" t="s">
        <v>155</v>
      </c>
      <c r="G74" s="26" t="s">
        <v>139</v>
      </c>
      <c r="H74" s="27" t="s">
        <v>202</v>
      </c>
      <c r="I74" s="24" t="s">
        <v>106</v>
      </c>
      <c r="J74" s="24" t="s">
        <v>121</v>
      </c>
      <c r="K74" s="28" t="s">
        <v>108</v>
      </c>
      <c r="L74" s="29">
        <v>3.0000000000000001E-3</v>
      </c>
      <c r="M74" s="29">
        <v>3.0000000000000001E-3</v>
      </c>
      <c r="N74" s="29">
        <v>0.02</v>
      </c>
      <c r="O74" s="27" t="s">
        <v>141</v>
      </c>
      <c r="P74" s="30" t="s">
        <v>142</v>
      </c>
      <c r="Q74" s="31">
        <v>52065232.739977002</v>
      </c>
      <c r="R74" s="31">
        <v>4699.45</v>
      </c>
      <c r="S74" s="32">
        <v>2.1562000000000001E-2</v>
      </c>
      <c r="T74" s="32" t="s">
        <v>139</v>
      </c>
      <c r="U74" s="32">
        <v>-7.3949999999999997E-3</v>
      </c>
      <c r="V74" s="32">
        <v>6.8193000000000004E-2</v>
      </c>
      <c r="W74" s="32">
        <v>1.9923E-2</v>
      </c>
      <c r="X74" s="32">
        <v>5.0444999999999997E-2</v>
      </c>
      <c r="Y74" s="32">
        <v>-7.9557000000000003E-2</v>
      </c>
      <c r="Z74" s="32">
        <v>0.39339600000000002</v>
      </c>
      <c r="AA74" s="32">
        <v>0.69244000000000006</v>
      </c>
      <c r="AB74" s="32">
        <v>0.70963100000000001</v>
      </c>
    </row>
    <row r="75" spans="1:28" ht="15.6" customHeight="1" x14ac:dyDescent="0.25">
      <c r="A75" s="24" t="s">
        <v>203</v>
      </c>
      <c r="B75" s="50">
        <v>3574</v>
      </c>
      <c r="C75" s="25" t="s">
        <v>204</v>
      </c>
      <c r="D75" s="25" t="s">
        <v>137</v>
      </c>
      <c r="E75" s="25" t="s">
        <v>194</v>
      </c>
      <c r="F75" s="25" t="s">
        <v>155</v>
      </c>
      <c r="G75" s="26" t="s">
        <v>139</v>
      </c>
      <c r="H75" s="27" t="s">
        <v>202</v>
      </c>
      <c r="I75" s="24" t="s">
        <v>106</v>
      </c>
      <c r="J75" s="24" t="s">
        <v>107</v>
      </c>
      <c r="K75" s="28" t="s">
        <v>108</v>
      </c>
      <c r="L75" s="29">
        <v>4.5000000000000014E-3</v>
      </c>
      <c r="M75" s="29">
        <v>4.5000000000000014E-3</v>
      </c>
      <c r="N75" s="29">
        <v>0.02</v>
      </c>
      <c r="O75" s="27" t="s">
        <v>141</v>
      </c>
      <c r="P75" s="30" t="s">
        <v>142</v>
      </c>
      <c r="Q75" s="31">
        <v>1340345040.1632669</v>
      </c>
      <c r="R75" s="31">
        <v>1204.06</v>
      </c>
      <c r="S75" s="32">
        <v>3.9940000000000002E-3</v>
      </c>
      <c r="T75" s="32" t="s">
        <v>139</v>
      </c>
      <c r="U75" s="32">
        <v>-1.0218E-2</v>
      </c>
      <c r="V75" s="32">
        <v>5.8393E-2</v>
      </c>
      <c r="W75" s="32">
        <v>9.1399999999999999E-4</v>
      </c>
      <c r="X75" s="32">
        <v>2.6488000000000001E-2</v>
      </c>
      <c r="Y75" s="32">
        <v>-0.103909</v>
      </c>
      <c r="Z75" s="32">
        <v>0.34907199999999999</v>
      </c>
      <c r="AA75" s="32">
        <v>0.640185</v>
      </c>
      <c r="AB75" s="32">
        <v>0.52127699999999999</v>
      </c>
    </row>
    <row r="76" spans="1:28" ht="15.6" customHeight="1" x14ac:dyDescent="0.25">
      <c r="A76" s="24" t="s">
        <v>1119</v>
      </c>
      <c r="B76" s="50">
        <v>3575</v>
      </c>
      <c r="C76" s="25" t="s">
        <v>1120</v>
      </c>
      <c r="D76" s="25" t="s">
        <v>137</v>
      </c>
      <c r="E76" s="25" t="s">
        <v>194</v>
      </c>
      <c r="F76" s="25" t="s">
        <v>138</v>
      </c>
      <c r="G76" s="26" t="s">
        <v>139</v>
      </c>
      <c r="H76" s="27" t="s">
        <v>1104</v>
      </c>
      <c r="I76" s="24" t="s">
        <v>998</v>
      </c>
      <c r="J76" s="24" t="s">
        <v>121</v>
      </c>
      <c r="K76" s="28" t="s">
        <v>180</v>
      </c>
      <c r="L76" s="29">
        <v>0</v>
      </c>
      <c r="M76" s="29">
        <v>0</v>
      </c>
      <c r="N76" s="29">
        <v>0.02</v>
      </c>
      <c r="O76" s="27" t="s">
        <v>141</v>
      </c>
      <c r="P76" s="30" t="s">
        <v>137</v>
      </c>
      <c r="Q76" s="31">
        <v>834890492.03103101</v>
      </c>
      <c r="R76" s="31">
        <v>67124.179999999993</v>
      </c>
      <c r="S76" s="32">
        <v>2.5110000000000002E-3</v>
      </c>
      <c r="T76" s="32" t="s">
        <v>139</v>
      </c>
      <c r="U76" s="32">
        <v>-1.537E-3</v>
      </c>
      <c r="V76" s="32">
        <v>2.1305999999999999E-2</v>
      </c>
      <c r="W76" s="32">
        <v>7.6299999999999996E-3</v>
      </c>
      <c r="X76" s="32">
        <v>7.3070000000000001E-3</v>
      </c>
      <c r="Y76" s="32">
        <v>-2.8032999999999999E-2</v>
      </c>
      <c r="Z76" s="32">
        <v>0.16056100000000001</v>
      </c>
      <c r="AA76" s="32">
        <v>0.29495900000000003</v>
      </c>
      <c r="AB76" s="32">
        <v>0.25689400000000001</v>
      </c>
    </row>
    <row r="77" spans="1:28" ht="15.6" customHeight="1" x14ac:dyDescent="0.25">
      <c r="A77" s="24" t="s">
        <v>1121</v>
      </c>
      <c r="B77" s="50">
        <v>3576</v>
      </c>
      <c r="C77" s="25" t="s">
        <v>1122</v>
      </c>
      <c r="D77" s="25" t="s">
        <v>137</v>
      </c>
      <c r="E77" s="25" t="s">
        <v>194</v>
      </c>
      <c r="F77" s="25" t="s">
        <v>155</v>
      </c>
      <c r="G77" s="26" t="s">
        <v>139</v>
      </c>
      <c r="H77" s="27" t="s">
        <v>202</v>
      </c>
      <c r="I77" s="24" t="s">
        <v>998</v>
      </c>
      <c r="J77" s="24" t="s">
        <v>107</v>
      </c>
      <c r="K77" s="28" t="s">
        <v>108</v>
      </c>
      <c r="L77" s="29">
        <v>4.5000000000000014E-3</v>
      </c>
      <c r="M77" s="29">
        <v>4.5000000000000014E-3</v>
      </c>
      <c r="N77" s="29">
        <v>0.02</v>
      </c>
      <c r="O77" s="27" t="s">
        <v>141</v>
      </c>
      <c r="P77" s="30" t="s">
        <v>142</v>
      </c>
      <c r="Q77" s="31">
        <v>31680347.712795999</v>
      </c>
      <c r="R77" s="31">
        <v>86087.9</v>
      </c>
      <c r="S77" s="32">
        <v>2.0018999999999999E-2</v>
      </c>
      <c r="T77" s="32" t="s">
        <v>139</v>
      </c>
      <c r="U77" s="32">
        <v>-8.8050000000000003E-3</v>
      </c>
      <c r="V77" s="32">
        <v>6.7797999999999997E-2</v>
      </c>
      <c r="W77" s="32">
        <v>1.9001000000000001E-2</v>
      </c>
      <c r="X77" s="32">
        <v>4.9401E-2</v>
      </c>
      <c r="Y77" s="32">
        <v>-9.6646999999999997E-2</v>
      </c>
      <c r="Z77" s="32">
        <v>0.34381400000000001</v>
      </c>
      <c r="AA77" s="32">
        <v>0.59622900000000001</v>
      </c>
      <c r="AB77" s="32">
        <v>0.51180599999999998</v>
      </c>
    </row>
    <row r="78" spans="1:28" ht="15.6" customHeight="1" x14ac:dyDescent="0.25">
      <c r="A78" s="24" t="s">
        <v>205</v>
      </c>
      <c r="B78" s="50">
        <v>3578</v>
      </c>
      <c r="C78" s="25" t="s">
        <v>206</v>
      </c>
      <c r="D78" s="25" t="s">
        <v>137</v>
      </c>
      <c r="E78" s="25" t="s">
        <v>194</v>
      </c>
      <c r="F78" s="25" t="s">
        <v>155</v>
      </c>
      <c r="G78" s="26" t="s">
        <v>139</v>
      </c>
      <c r="H78" s="27" t="s">
        <v>202</v>
      </c>
      <c r="I78" s="24" t="s">
        <v>106</v>
      </c>
      <c r="J78" s="24" t="s">
        <v>107</v>
      </c>
      <c r="K78" s="28" t="s">
        <v>108</v>
      </c>
      <c r="L78" s="29">
        <v>3.0000000000000001E-3</v>
      </c>
      <c r="M78" s="29">
        <v>3.0000000000000001E-3</v>
      </c>
      <c r="N78" s="29">
        <v>0.02</v>
      </c>
      <c r="O78" s="27" t="s">
        <v>141</v>
      </c>
      <c r="P78" s="30" t="s">
        <v>142</v>
      </c>
      <c r="Q78" s="31">
        <v>92867638.033423007</v>
      </c>
      <c r="R78" s="31">
        <v>711.47</v>
      </c>
      <c r="S78" s="32">
        <v>9.8499999999999998E-4</v>
      </c>
      <c r="T78" s="32" t="s">
        <v>139</v>
      </c>
      <c r="U78" s="32">
        <v>-9.1909999999999995E-3</v>
      </c>
      <c r="V78" s="32">
        <v>6.5185999999999994E-2</v>
      </c>
      <c r="W78" s="32">
        <v>1.6254999999999999E-2</v>
      </c>
      <c r="X78" s="32">
        <v>3.2357999999999998E-2</v>
      </c>
      <c r="Y78" s="32">
        <v>-0.106137</v>
      </c>
      <c r="Z78" s="32">
        <v>0.3216</v>
      </c>
      <c r="AA78" s="32">
        <v>0.51987799999999995</v>
      </c>
      <c r="AB78" s="32">
        <v>0.422684</v>
      </c>
    </row>
    <row r="79" spans="1:28" ht="15.6" customHeight="1" x14ac:dyDescent="0.25">
      <c r="A79" s="24" t="s">
        <v>207</v>
      </c>
      <c r="B79" s="50">
        <v>3579</v>
      </c>
      <c r="C79" s="25" t="s">
        <v>208</v>
      </c>
      <c r="D79" s="25" t="s">
        <v>137</v>
      </c>
      <c r="E79" s="25" t="s">
        <v>194</v>
      </c>
      <c r="F79" s="25" t="s">
        <v>113</v>
      </c>
      <c r="G79" s="26" t="s">
        <v>209</v>
      </c>
      <c r="H79" s="27" t="s">
        <v>210</v>
      </c>
      <c r="I79" s="24" t="s">
        <v>106</v>
      </c>
      <c r="J79" s="24" t="s">
        <v>107</v>
      </c>
      <c r="K79" s="28" t="s">
        <v>108</v>
      </c>
      <c r="L79" s="29">
        <v>0</v>
      </c>
      <c r="M79" s="29">
        <v>0</v>
      </c>
      <c r="N79" s="29">
        <v>0.01</v>
      </c>
      <c r="O79" s="27" t="s">
        <v>141</v>
      </c>
      <c r="P79" s="30" t="s">
        <v>142</v>
      </c>
      <c r="Q79" s="31">
        <v>41864640.771296002</v>
      </c>
      <c r="R79" s="31">
        <v>348.04</v>
      </c>
      <c r="S79" s="32">
        <v>-6.4520000000000003E-3</v>
      </c>
      <c r="T79" s="32" t="s">
        <v>139</v>
      </c>
      <c r="U79" s="32">
        <v>1.15E-4</v>
      </c>
      <c r="V79" s="32">
        <v>7.1900000000000002E-4</v>
      </c>
      <c r="W79" s="32">
        <v>-1.32E-3</v>
      </c>
      <c r="X79" s="32">
        <v>-3.607E-3</v>
      </c>
      <c r="Y79" s="32">
        <v>4.9103000000000001E-2</v>
      </c>
      <c r="Z79" s="32">
        <v>5.4731000000000002E-2</v>
      </c>
      <c r="AA79" s="32">
        <v>6.0419E-2</v>
      </c>
      <c r="AB79" s="32">
        <v>-1.0519000000000001E-2</v>
      </c>
    </row>
    <row r="80" spans="1:28" ht="15.6" customHeight="1" x14ac:dyDescent="0.25">
      <c r="A80" s="24" t="s">
        <v>1123</v>
      </c>
      <c r="B80" s="50">
        <v>3580</v>
      </c>
      <c r="C80" s="25" t="s">
        <v>1124</v>
      </c>
      <c r="D80" s="25" t="s">
        <v>137</v>
      </c>
      <c r="E80" s="25" t="s">
        <v>194</v>
      </c>
      <c r="F80" s="25" t="s">
        <v>113</v>
      </c>
      <c r="G80" s="26" t="s">
        <v>531</v>
      </c>
      <c r="H80" s="27" t="s">
        <v>115</v>
      </c>
      <c r="I80" s="24" t="s">
        <v>998</v>
      </c>
      <c r="J80" s="24" t="s">
        <v>121</v>
      </c>
      <c r="K80" s="28" t="s">
        <v>227</v>
      </c>
      <c r="L80" s="29">
        <v>0</v>
      </c>
      <c r="M80" s="29">
        <v>0</v>
      </c>
      <c r="N80" s="29">
        <v>0.02</v>
      </c>
      <c r="O80" s="27" t="s">
        <v>141</v>
      </c>
      <c r="P80" s="30" t="s">
        <v>137</v>
      </c>
      <c r="Q80" s="31">
        <v>176723002.104642</v>
      </c>
      <c r="R80" s="31">
        <v>22555.58</v>
      </c>
      <c r="S80" s="32">
        <v>-1.719E-3</v>
      </c>
      <c r="T80" s="32" t="s">
        <v>139</v>
      </c>
      <c r="U80" s="32">
        <v>9.8900000000000008E-4</v>
      </c>
      <c r="V80" s="32">
        <v>3.5300000000000002E-3</v>
      </c>
      <c r="W80" s="32">
        <v>3.2130000000000001E-3</v>
      </c>
      <c r="X80" s="32">
        <v>-2.493E-3</v>
      </c>
      <c r="Y80" s="32">
        <v>-7.3090000000000004E-3</v>
      </c>
      <c r="Z80" s="32">
        <v>8.4054000000000004E-2</v>
      </c>
      <c r="AA80" s="32">
        <v>0.185583</v>
      </c>
      <c r="AB80" s="32">
        <v>0.16243199999999999</v>
      </c>
    </row>
    <row r="81" spans="1:28" ht="15.6" customHeight="1" x14ac:dyDescent="0.25">
      <c r="A81" s="24" t="s">
        <v>211</v>
      </c>
      <c r="B81" s="50">
        <v>3582</v>
      </c>
      <c r="C81" s="25" t="s">
        <v>212</v>
      </c>
      <c r="D81" s="25" t="s">
        <v>137</v>
      </c>
      <c r="E81" s="25" t="s">
        <v>194</v>
      </c>
      <c r="F81" s="25" t="s">
        <v>128</v>
      </c>
      <c r="G81" s="26" t="s">
        <v>213</v>
      </c>
      <c r="H81" s="27" t="s">
        <v>130</v>
      </c>
      <c r="I81" s="24" t="s">
        <v>106</v>
      </c>
      <c r="J81" s="24" t="s">
        <v>107</v>
      </c>
      <c r="K81" s="28" t="s">
        <v>108</v>
      </c>
      <c r="L81" s="29">
        <v>0</v>
      </c>
      <c r="M81" s="29">
        <v>0</v>
      </c>
      <c r="N81" s="29">
        <v>0.01</v>
      </c>
      <c r="O81" s="27" t="s">
        <v>141</v>
      </c>
      <c r="P81" s="30" t="s">
        <v>142</v>
      </c>
      <c r="Q81" s="31">
        <v>106872161.74118499</v>
      </c>
      <c r="R81" s="31">
        <v>228.21</v>
      </c>
      <c r="S81" s="32">
        <v>1.0897E-2</v>
      </c>
      <c r="T81" s="32" t="s">
        <v>139</v>
      </c>
      <c r="U81" s="32">
        <v>3.5100000000000002E-4</v>
      </c>
      <c r="V81" s="32">
        <v>1.624E-3</v>
      </c>
      <c r="W81" s="32">
        <v>4.1359999999999999E-3</v>
      </c>
      <c r="X81" s="32">
        <v>8.3960000000000007E-3</v>
      </c>
      <c r="Y81" s="32">
        <v>3.3326000000000001E-2</v>
      </c>
      <c r="Z81" s="32">
        <v>4.9626999999999998E-2</v>
      </c>
      <c r="AA81" s="32">
        <v>7.5144000000000002E-2</v>
      </c>
      <c r="AB81" s="32">
        <v>9.4270000000000007E-2</v>
      </c>
    </row>
    <row r="82" spans="1:28" ht="15.6" customHeight="1" x14ac:dyDescent="0.25">
      <c r="A82" s="24" t="s">
        <v>214</v>
      </c>
      <c r="B82" s="50">
        <v>3583</v>
      </c>
      <c r="C82" s="25" t="s">
        <v>215</v>
      </c>
      <c r="D82" s="25" t="s">
        <v>137</v>
      </c>
      <c r="E82" s="25" t="s">
        <v>194</v>
      </c>
      <c r="F82" s="25" t="s">
        <v>103</v>
      </c>
      <c r="G82" s="26" t="s">
        <v>216</v>
      </c>
      <c r="H82" s="27" t="s">
        <v>217</v>
      </c>
      <c r="I82" s="24" t="s">
        <v>106</v>
      </c>
      <c r="J82" s="24" t="s">
        <v>107</v>
      </c>
      <c r="K82" s="28" t="s">
        <v>108</v>
      </c>
      <c r="L82" s="29">
        <v>0</v>
      </c>
      <c r="M82" s="29">
        <v>0</v>
      </c>
      <c r="N82" s="29">
        <v>6.0000000000000001E-3</v>
      </c>
      <c r="O82" s="27" t="s">
        <v>141</v>
      </c>
      <c r="P82" s="30" t="s">
        <v>142</v>
      </c>
      <c r="Q82" s="31">
        <v>2046506488.6122279</v>
      </c>
      <c r="R82" s="31">
        <v>2570.3000000000002</v>
      </c>
      <c r="S82" s="32">
        <v>1.489E-2</v>
      </c>
      <c r="T82" s="32" t="s">
        <v>139</v>
      </c>
      <c r="U82" s="32">
        <v>2.4899999999999998E-4</v>
      </c>
      <c r="V82" s="32">
        <v>1.73E-3</v>
      </c>
      <c r="W82" s="32">
        <v>5.5120000000000004E-3</v>
      </c>
      <c r="X82" s="32">
        <v>1.1356E-2</v>
      </c>
      <c r="Y82" s="32">
        <v>2.4208E-2</v>
      </c>
      <c r="Z82" s="32">
        <v>5.0088000000000001E-2</v>
      </c>
      <c r="AA82" s="32">
        <v>8.0253000000000005E-2</v>
      </c>
      <c r="AB82" s="32">
        <v>0.115243</v>
      </c>
    </row>
    <row r="83" spans="1:28" ht="15.6" customHeight="1" x14ac:dyDescent="0.25">
      <c r="A83" s="24" t="s">
        <v>218</v>
      </c>
      <c r="B83" s="50">
        <v>3584</v>
      </c>
      <c r="C83" s="25" t="s">
        <v>219</v>
      </c>
      <c r="D83" s="25" t="s">
        <v>145</v>
      </c>
      <c r="E83" s="25" t="s">
        <v>194</v>
      </c>
      <c r="F83" s="25" t="s">
        <v>138</v>
      </c>
      <c r="G83" s="26" t="s">
        <v>139</v>
      </c>
      <c r="H83" s="27" t="s">
        <v>220</v>
      </c>
      <c r="I83" s="24" t="s">
        <v>106</v>
      </c>
      <c r="J83" s="24" t="s">
        <v>107</v>
      </c>
      <c r="K83" s="28" t="s">
        <v>108</v>
      </c>
      <c r="L83" s="29">
        <v>0.02</v>
      </c>
      <c r="M83" s="29">
        <v>0.02</v>
      </c>
      <c r="N83" s="29">
        <v>0.02</v>
      </c>
      <c r="O83" s="27" t="s">
        <v>148</v>
      </c>
      <c r="P83" s="30" t="s">
        <v>145</v>
      </c>
      <c r="Q83" s="31">
        <v>477293589.89999998</v>
      </c>
      <c r="R83" s="31">
        <v>5866.72</v>
      </c>
      <c r="S83" s="32">
        <v>8.4239999999999992E-3</v>
      </c>
      <c r="T83" s="32" t="s">
        <v>139</v>
      </c>
      <c r="U83" s="32">
        <v>-5.0070000000000002E-3</v>
      </c>
      <c r="V83" s="32">
        <v>3.6329E-2</v>
      </c>
      <c r="W83" s="32">
        <v>1.2153000000000001E-2</v>
      </c>
      <c r="X83" s="32">
        <v>2.5694999999999999E-2</v>
      </c>
      <c r="Y83" s="32">
        <v>-4.9576000000000002E-2</v>
      </c>
      <c r="Z83" s="32">
        <v>0.225937</v>
      </c>
      <c r="AA83" s="32">
        <v>0.39526699999999998</v>
      </c>
      <c r="AB83" s="32">
        <v>0.30089399999999999</v>
      </c>
    </row>
    <row r="84" spans="1:28" ht="15.6" customHeight="1" x14ac:dyDescent="0.25">
      <c r="A84" s="24" t="s">
        <v>221</v>
      </c>
      <c r="B84" s="50">
        <v>3586</v>
      </c>
      <c r="C84" s="25" t="s">
        <v>222</v>
      </c>
      <c r="D84" s="25" t="s">
        <v>145</v>
      </c>
      <c r="E84" s="25" t="s">
        <v>194</v>
      </c>
      <c r="F84" s="25" t="s">
        <v>138</v>
      </c>
      <c r="G84" s="26" t="s">
        <v>139</v>
      </c>
      <c r="H84" s="27" t="s">
        <v>223</v>
      </c>
      <c r="I84" s="24" t="s">
        <v>106</v>
      </c>
      <c r="J84" s="24" t="s">
        <v>107</v>
      </c>
      <c r="K84" s="28" t="s">
        <v>108</v>
      </c>
      <c r="L84" s="29">
        <v>0.02</v>
      </c>
      <c r="M84" s="29">
        <v>0.02</v>
      </c>
      <c r="N84" s="29">
        <v>0.02</v>
      </c>
      <c r="O84" s="27" t="s">
        <v>148</v>
      </c>
      <c r="P84" s="30" t="s">
        <v>145</v>
      </c>
      <c r="Q84" s="31">
        <v>1586944.65</v>
      </c>
      <c r="R84" s="31">
        <v>68997.59</v>
      </c>
      <c r="S84" s="32">
        <v>4.4387000000000003E-2</v>
      </c>
      <c r="T84" s="32" t="s">
        <v>139</v>
      </c>
      <c r="U84" s="32">
        <v>-4.5880000000000001E-3</v>
      </c>
      <c r="V84" s="32">
        <v>3.4886E-2</v>
      </c>
      <c r="W84" s="32">
        <v>1.3282E-2</v>
      </c>
      <c r="X84" s="32">
        <v>4.5957999999999999E-2</v>
      </c>
      <c r="Y84" s="32">
        <v>3.82E-3</v>
      </c>
      <c r="Z84" s="32">
        <v>0.230626</v>
      </c>
      <c r="AA84" s="32">
        <v>0.35384500000000002</v>
      </c>
      <c r="AB84" s="32">
        <v>0.38366800000000001</v>
      </c>
    </row>
    <row r="85" spans="1:28" ht="15.6" customHeight="1" x14ac:dyDescent="0.25">
      <c r="A85" s="24" t="s">
        <v>224</v>
      </c>
      <c r="B85" s="50">
        <v>3587</v>
      </c>
      <c r="C85" s="25" t="s">
        <v>1</v>
      </c>
      <c r="D85" s="25" t="s">
        <v>145</v>
      </c>
      <c r="E85" s="25" t="s">
        <v>194</v>
      </c>
      <c r="F85" s="25" t="s">
        <v>155</v>
      </c>
      <c r="G85" s="26" t="s">
        <v>139</v>
      </c>
      <c r="H85" s="27" t="s">
        <v>156</v>
      </c>
      <c r="I85" s="24" t="s">
        <v>106</v>
      </c>
      <c r="J85" s="24" t="s">
        <v>107</v>
      </c>
      <c r="K85" s="28" t="s">
        <v>108</v>
      </c>
      <c r="L85" s="29">
        <v>0.02</v>
      </c>
      <c r="M85" s="29">
        <v>0.02</v>
      </c>
      <c r="N85" s="29">
        <v>0.02</v>
      </c>
      <c r="O85" s="27" t="s">
        <v>148</v>
      </c>
      <c r="P85" s="30" t="s">
        <v>145</v>
      </c>
      <c r="Q85" s="31">
        <v>659269698.53999996</v>
      </c>
      <c r="R85" s="31">
        <v>9927.86</v>
      </c>
      <c r="S85" s="32">
        <v>-0.10979700000000001</v>
      </c>
      <c r="T85" s="32" t="s">
        <v>139</v>
      </c>
      <c r="U85" s="32">
        <v>-6.0330000000000002E-3</v>
      </c>
      <c r="V85" s="32">
        <v>3.6082999999999997E-2</v>
      </c>
      <c r="W85" s="32">
        <v>1.6213999999999999E-2</v>
      </c>
      <c r="X85" s="32">
        <v>-3.8689000000000001E-2</v>
      </c>
      <c r="Y85" s="32">
        <v>-0.20835200000000001</v>
      </c>
      <c r="Z85" s="32">
        <v>0.29159400000000002</v>
      </c>
      <c r="AA85" s="32">
        <v>0.63334500000000005</v>
      </c>
      <c r="AB85" s="32">
        <v>0.50616799999999995</v>
      </c>
    </row>
    <row r="86" spans="1:28" ht="15.6" customHeight="1" x14ac:dyDescent="0.25">
      <c r="A86" s="24" t="s">
        <v>225</v>
      </c>
      <c r="B86" s="50">
        <v>3588</v>
      </c>
      <c r="C86" s="25" t="s">
        <v>226</v>
      </c>
      <c r="D86" s="25" t="s">
        <v>145</v>
      </c>
      <c r="E86" s="25" t="s">
        <v>194</v>
      </c>
      <c r="F86" s="25" t="s">
        <v>155</v>
      </c>
      <c r="G86" s="26" t="s">
        <v>139</v>
      </c>
      <c r="H86" s="27" t="s">
        <v>156</v>
      </c>
      <c r="I86" s="24" t="s">
        <v>106</v>
      </c>
      <c r="J86" s="24" t="s">
        <v>107</v>
      </c>
      <c r="K86" s="28" t="s">
        <v>227</v>
      </c>
      <c r="L86" s="29">
        <v>0.02</v>
      </c>
      <c r="M86" s="29">
        <v>0.02</v>
      </c>
      <c r="N86" s="29">
        <v>0.02</v>
      </c>
      <c r="O86" s="27" t="s">
        <v>148</v>
      </c>
      <c r="P86" s="30" t="s">
        <v>145</v>
      </c>
      <c r="Q86" s="31">
        <v>5631370.5700000003</v>
      </c>
      <c r="R86" s="31">
        <v>8532.3700000000008</v>
      </c>
      <c r="S86" s="32">
        <v>2.6939999999999999E-2</v>
      </c>
      <c r="T86" s="32" t="s">
        <v>139</v>
      </c>
      <c r="U86" s="32">
        <v>-8.3239999999999998E-3</v>
      </c>
      <c r="V86" s="32">
        <v>6.0314E-2</v>
      </c>
      <c r="W86" s="32">
        <v>2.4601999999999999E-2</v>
      </c>
      <c r="X86" s="32">
        <v>5.2706999999999997E-2</v>
      </c>
      <c r="Y86" s="32">
        <v>-6.5609000000000001E-2</v>
      </c>
      <c r="Z86" s="32">
        <v>0.37026599999999998</v>
      </c>
      <c r="AA86" s="32">
        <v>0.63934000000000002</v>
      </c>
      <c r="AB86" s="32">
        <v>0.55766800000000005</v>
      </c>
    </row>
    <row r="87" spans="1:28" ht="15.6" customHeight="1" x14ac:dyDescent="0.25">
      <c r="A87" s="24" t="s">
        <v>1125</v>
      </c>
      <c r="B87" s="50">
        <v>3589</v>
      </c>
      <c r="C87" s="25" t="s">
        <v>1126</v>
      </c>
      <c r="D87" s="25" t="s">
        <v>145</v>
      </c>
      <c r="E87" s="25" t="s">
        <v>194</v>
      </c>
      <c r="F87" s="25" t="s">
        <v>138</v>
      </c>
      <c r="G87" s="26" t="s">
        <v>139</v>
      </c>
      <c r="H87" s="27" t="s">
        <v>220</v>
      </c>
      <c r="I87" s="24" t="s">
        <v>998</v>
      </c>
      <c r="J87" s="24" t="s">
        <v>107</v>
      </c>
      <c r="K87" s="28" t="s">
        <v>180</v>
      </c>
      <c r="L87" s="29">
        <v>0.02</v>
      </c>
      <c r="M87" s="29">
        <v>0.02</v>
      </c>
      <c r="N87" s="29">
        <v>0.02</v>
      </c>
      <c r="O87" s="27" t="s">
        <v>148</v>
      </c>
      <c r="P87" s="30" t="s">
        <v>145</v>
      </c>
      <c r="Q87" s="31">
        <v>6228187.7199999997</v>
      </c>
      <c r="R87" s="31">
        <v>771.77</v>
      </c>
      <c r="S87" s="32">
        <v>-1.372E-3</v>
      </c>
      <c r="T87" s="32" t="s">
        <v>139</v>
      </c>
      <c r="U87" s="32">
        <v>-2.2490000000000001E-3</v>
      </c>
      <c r="V87" s="32">
        <v>2.3174E-2</v>
      </c>
      <c r="W87" s="32">
        <v>1.2423E-2</v>
      </c>
      <c r="X87" s="32">
        <v>2.9239999999999999E-3</v>
      </c>
      <c r="Y87" s="32">
        <v>-3.1012000000000001E-2</v>
      </c>
      <c r="Z87" s="32">
        <v>0.132491</v>
      </c>
      <c r="AA87" s="32">
        <v>0.222606</v>
      </c>
      <c r="AB87" s="32">
        <v>0.22359599999999999</v>
      </c>
    </row>
    <row r="88" spans="1:28" ht="15.6" customHeight="1" x14ac:dyDescent="0.25">
      <c r="A88" s="24" t="s">
        <v>1127</v>
      </c>
      <c r="B88" s="50">
        <v>3590</v>
      </c>
      <c r="C88" s="25" t="s">
        <v>1128</v>
      </c>
      <c r="D88" s="25" t="s">
        <v>145</v>
      </c>
      <c r="E88" s="25" t="s">
        <v>194</v>
      </c>
      <c r="F88" s="25" t="s">
        <v>113</v>
      </c>
      <c r="G88" s="26" t="s">
        <v>1129</v>
      </c>
      <c r="H88" s="27" t="s">
        <v>199</v>
      </c>
      <c r="I88" s="24" t="s">
        <v>998</v>
      </c>
      <c r="J88" s="24" t="s">
        <v>121</v>
      </c>
      <c r="K88" s="28" t="s">
        <v>108</v>
      </c>
      <c r="L88" s="29">
        <v>0.03</v>
      </c>
      <c r="M88" s="29">
        <v>1.4999999999999999E-2</v>
      </c>
      <c r="N88" s="29">
        <v>6.0000000000000001E-3</v>
      </c>
      <c r="O88" s="27" t="s">
        <v>148</v>
      </c>
      <c r="P88" s="30" t="s">
        <v>145</v>
      </c>
      <c r="Q88" s="31">
        <v>1136219985.95</v>
      </c>
      <c r="R88" s="31">
        <v>247.99</v>
      </c>
      <c r="S88" s="32">
        <v>-2.9949999999999998E-3</v>
      </c>
      <c r="T88" s="32" t="s">
        <v>139</v>
      </c>
      <c r="U88" s="32">
        <v>7.2599999999999997E-4</v>
      </c>
      <c r="V88" s="32">
        <v>3.967E-3</v>
      </c>
      <c r="W88" s="32">
        <v>2.0200000000000001E-3</v>
      </c>
      <c r="X88" s="32">
        <v>-1.3810000000000001E-3</v>
      </c>
      <c r="Y88" s="32">
        <v>-1.8780000000000002E-2</v>
      </c>
      <c r="Z88" s="32">
        <v>0.11454499999999999</v>
      </c>
      <c r="AA88" s="32">
        <v>0.20646800000000001</v>
      </c>
      <c r="AB88" s="32">
        <v>0.18027000000000001</v>
      </c>
    </row>
    <row r="89" spans="1:28" ht="15.6" customHeight="1" x14ac:dyDescent="0.25">
      <c r="A89" s="24" t="s">
        <v>228</v>
      </c>
      <c r="B89" s="50">
        <v>3591</v>
      </c>
      <c r="C89" s="25" t="s">
        <v>229</v>
      </c>
      <c r="D89" s="25" t="s">
        <v>145</v>
      </c>
      <c r="E89" s="25" t="s">
        <v>194</v>
      </c>
      <c r="F89" s="25" t="s">
        <v>113</v>
      </c>
      <c r="G89" s="26" t="s">
        <v>230</v>
      </c>
      <c r="H89" s="27" t="s">
        <v>231</v>
      </c>
      <c r="I89" s="24" t="s">
        <v>106</v>
      </c>
      <c r="J89" s="24" t="s">
        <v>107</v>
      </c>
      <c r="K89" s="28" t="s">
        <v>108</v>
      </c>
      <c r="L89" s="29">
        <v>0.02</v>
      </c>
      <c r="M89" s="29">
        <v>0.02</v>
      </c>
      <c r="N89" s="29">
        <v>0.02</v>
      </c>
      <c r="O89" s="27" t="s">
        <v>148</v>
      </c>
      <c r="P89" s="30" t="s">
        <v>145</v>
      </c>
      <c r="Q89" s="31">
        <v>4363642793.1300001</v>
      </c>
      <c r="R89" s="31">
        <v>2861.02</v>
      </c>
      <c r="S89" s="32">
        <v>-2.8930000000000002E-3</v>
      </c>
      <c r="T89" s="32" t="s">
        <v>139</v>
      </c>
      <c r="U89" s="32">
        <v>6.9999999999999999E-4</v>
      </c>
      <c r="V89" s="32">
        <v>5.4539999999999996E-3</v>
      </c>
      <c r="W89" s="32">
        <v>3.532E-3</v>
      </c>
      <c r="X89" s="32">
        <v>-2.434E-3</v>
      </c>
      <c r="Y89" s="32">
        <v>-1.1157E-2</v>
      </c>
      <c r="Z89" s="32">
        <v>5.7917000000000003E-2</v>
      </c>
      <c r="AA89" s="32">
        <v>0.13739699999999999</v>
      </c>
      <c r="AB89" s="32">
        <v>0.15462400000000001</v>
      </c>
    </row>
    <row r="90" spans="1:28" ht="15.6" customHeight="1" x14ac:dyDescent="0.25">
      <c r="A90" s="24" t="s">
        <v>232</v>
      </c>
      <c r="B90" s="50">
        <v>3592</v>
      </c>
      <c r="C90" s="25" t="s">
        <v>233</v>
      </c>
      <c r="D90" s="25" t="s">
        <v>145</v>
      </c>
      <c r="E90" s="25" t="s">
        <v>194</v>
      </c>
      <c r="F90" s="25" t="s">
        <v>128</v>
      </c>
      <c r="G90" s="26" t="s">
        <v>129</v>
      </c>
      <c r="H90" s="27" t="s">
        <v>130</v>
      </c>
      <c r="I90" s="24" t="s">
        <v>106</v>
      </c>
      <c r="J90" s="24" t="s">
        <v>107</v>
      </c>
      <c r="K90" s="28" t="s">
        <v>108</v>
      </c>
      <c r="L90" s="29">
        <v>0.01</v>
      </c>
      <c r="M90" s="29">
        <v>0.01</v>
      </c>
      <c r="N90" s="29">
        <v>0.01</v>
      </c>
      <c r="O90" s="27" t="s">
        <v>148</v>
      </c>
      <c r="P90" s="30" t="s">
        <v>145</v>
      </c>
      <c r="Q90" s="31">
        <v>154683966.11000001</v>
      </c>
      <c r="R90" s="31">
        <v>2410.3000000000002</v>
      </c>
      <c r="S90" s="32">
        <v>3.9643999999999999E-2</v>
      </c>
      <c r="T90" s="32" t="s">
        <v>139</v>
      </c>
      <c r="U90" s="32">
        <v>1.9100000000000001E-4</v>
      </c>
      <c r="V90" s="32">
        <v>1.866E-3</v>
      </c>
      <c r="W90" s="32">
        <v>3.1904000000000002E-2</v>
      </c>
      <c r="X90" s="32">
        <v>3.6451999999999998E-2</v>
      </c>
      <c r="Y90" s="32">
        <v>8.2589999999999997E-2</v>
      </c>
      <c r="Z90" s="32">
        <v>9.6911999999999998E-2</v>
      </c>
      <c r="AA90" s="32">
        <v>0.11083999999999999</v>
      </c>
      <c r="AB90" s="32">
        <v>0.13677800000000001</v>
      </c>
    </row>
    <row r="91" spans="1:28" ht="15.6" customHeight="1" x14ac:dyDescent="0.25">
      <c r="A91" s="24" t="s">
        <v>234</v>
      </c>
      <c r="B91" s="50">
        <v>3593</v>
      </c>
      <c r="C91" s="25" t="s">
        <v>235</v>
      </c>
      <c r="D91" s="25" t="s">
        <v>145</v>
      </c>
      <c r="E91" s="25" t="s">
        <v>194</v>
      </c>
      <c r="F91" s="25" t="s">
        <v>113</v>
      </c>
      <c r="G91" s="26" t="s">
        <v>198</v>
      </c>
      <c r="H91" s="27" t="s">
        <v>120</v>
      </c>
      <c r="I91" s="24" t="s">
        <v>106</v>
      </c>
      <c r="J91" s="24" t="s">
        <v>107</v>
      </c>
      <c r="K91" s="28" t="s">
        <v>108</v>
      </c>
      <c r="L91" s="29">
        <v>0.02</v>
      </c>
      <c r="M91" s="29">
        <v>0.02</v>
      </c>
      <c r="N91" s="29">
        <v>0.02</v>
      </c>
      <c r="O91" s="27" t="s">
        <v>148</v>
      </c>
      <c r="P91" s="30" t="s">
        <v>145</v>
      </c>
      <c r="Q91" s="31">
        <v>1301640531.24</v>
      </c>
      <c r="R91" s="31">
        <v>2647.83</v>
      </c>
      <c r="S91" s="32">
        <v>1.714E-3</v>
      </c>
      <c r="T91" s="32" t="s">
        <v>139</v>
      </c>
      <c r="U91" s="32">
        <v>8.4999999999999995E-4</v>
      </c>
      <c r="V91" s="32">
        <v>5.9919999999999999E-3</v>
      </c>
      <c r="W91" s="32">
        <v>6.45E-3</v>
      </c>
      <c r="X91" s="32">
        <v>4.7429999999999998E-3</v>
      </c>
      <c r="Y91" s="32">
        <v>-3.3419999999999999E-3</v>
      </c>
      <c r="Z91" s="32">
        <v>6.8948999999999996E-2</v>
      </c>
      <c r="AA91" s="32">
        <v>0.15004000000000001</v>
      </c>
      <c r="AB91" s="32">
        <v>0.13417299999999999</v>
      </c>
    </row>
    <row r="92" spans="1:28" ht="15.6" customHeight="1" x14ac:dyDescent="0.25">
      <c r="A92" s="24" t="s">
        <v>236</v>
      </c>
      <c r="B92" s="50">
        <v>3594</v>
      </c>
      <c r="C92" s="25" t="s">
        <v>237</v>
      </c>
      <c r="D92" s="25" t="s">
        <v>145</v>
      </c>
      <c r="E92" s="25" t="s">
        <v>194</v>
      </c>
      <c r="F92" s="25" t="s">
        <v>113</v>
      </c>
      <c r="G92" s="26" t="s">
        <v>238</v>
      </c>
      <c r="H92" s="27" t="s">
        <v>115</v>
      </c>
      <c r="I92" s="24" t="s">
        <v>106</v>
      </c>
      <c r="J92" s="24" t="s">
        <v>107</v>
      </c>
      <c r="K92" s="28" t="s">
        <v>108</v>
      </c>
      <c r="L92" s="29">
        <v>0.02</v>
      </c>
      <c r="M92" s="29">
        <v>0.02</v>
      </c>
      <c r="N92" s="29">
        <v>0.02</v>
      </c>
      <c r="O92" s="27" t="s">
        <v>148</v>
      </c>
      <c r="P92" s="30" t="s">
        <v>145</v>
      </c>
      <c r="Q92" s="31">
        <v>1109757130.1700001</v>
      </c>
      <c r="R92" s="31">
        <v>30134.33</v>
      </c>
      <c r="S92" s="32">
        <v>-3.4999999999999997E-5</v>
      </c>
      <c r="T92" s="32" t="s">
        <v>139</v>
      </c>
      <c r="U92" s="32">
        <v>6.5200000000000002E-4</v>
      </c>
      <c r="V92" s="32">
        <v>4.0239999999999998E-3</v>
      </c>
      <c r="W92" s="32">
        <v>3.4009999999999999E-3</v>
      </c>
      <c r="X92" s="32">
        <v>-9.7000000000000005E-4</v>
      </c>
      <c r="Y92" s="32">
        <v>2.9599999999999998E-4</v>
      </c>
      <c r="Z92" s="32">
        <v>8.6132E-2</v>
      </c>
      <c r="AA92" s="32">
        <v>0.18374699999999999</v>
      </c>
      <c r="AB92" s="32">
        <v>0.112162</v>
      </c>
    </row>
    <row r="93" spans="1:28" ht="15.6" customHeight="1" x14ac:dyDescent="0.25">
      <c r="A93" s="24" t="s">
        <v>1130</v>
      </c>
      <c r="B93" s="50">
        <v>3595</v>
      </c>
      <c r="C93" s="25" t="s">
        <v>1131</v>
      </c>
      <c r="D93" s="25" t="s">
        <v>145</v>
      </c>
      <c r="E93" s="25" t="s">
        <v>194</v>
      </c>
      <c r="F93" s="25" t="s">
        <v>155</v>
      </c>
      <c r="G93" s="26" t="s">
        <v>139</v>
      </c>
      <c r="H93" s="27" t="s">
        <v>588</v>
      </c>
      <c r="I93" s="24" t="s">
        <v>998</v>
      </c>
      <c r="J93" s="24" t="s">
        <v>107</v>
      </c>
      <c r="K93" s="28" t="s">
        <v>227</v>
      </c>
      <c r="L93" s="29">
        <v>0.02</v>
      </c>
      <c r="M93" s="29">
        <v>0.02</v>
      </c>
      <c r="N93" s="29">
        <v>0.02</v>
      </c>
      <c r="O93" s="27" t="s">
        <v>148</v>
      </c>
      <c r="P93" s="30" t="s">
        <v>145</v>
      </c>
      <c r="Q93" s="31">
        <v>1382660913.5699999</v>
      </c>
      <c r="R93" s="31">
        <v>4702.03</v>
      </c>
      <c r="S93" s="32">
        <v>2.1759000000000001E-2</v>
      </c>
      <c r="T93" s="32" t="s">
        <v>139</v>
      </c>
      <c r="U93" s="32">
        <v>-1.0174000000000001E-2</v>
      </c>
      <c r="V93" s="32">
        <v>6.5951999999999997E-2</v>
      </c>
      <c r="W93" s="32">
        <v>2.5075E-2</v>
      </c>
      <c r="X93" s="32">
        <v>5.8611999999999997E-2</v>
      </c>
      <c r="Y93" s="32">
        <v>-8.4661E-2</v>
      </c>
      <c r="Z93" s="32">
        <v>0.40042699999999998</v>
      </c>
      <c r="AA93" s="32">
        <v>0.616116</v>
      </c>
      <c r="AB93" s="32">
        <v>0.49671900000000002</v>
      </c>
    </row>
    <row r="94" spans="1:28" ht="15.6" customHeight="1" x14ac:dyDescent="0.25">
      <c r="A94" s="24" t="s">
        <v>239</v>
      </c>
      <c r="B94" s="50">
        <v>3597</v>
      </c>
      <c r="C94" s="25" t="s">
        <v>240</v>
      </c>
      <c r="D94" s="25" t="s">
        <v>241</v>
      </c>
      <c r="E94" s="25" t="s">
        <v>194</v>
      </c>
      <c r="F94" s="25" t="s">
        <v>103</v>
      </c>
      <c r="G94" s="26" t="s">
        <v>104</v>
      </c>
      <c r="H94" s="27" t="s">
        <v>130</v>
      </c>
      <c r="I94" s="24" t="s">
        <v>106</v>
      </c>
      <c r="J94" s="24" t="s">
        <v>107</v>
      </c>
      <c r="K94" s="28" t="s">
        <v>108</v>
      </c>
      <c r="L94" s="29">
        <v>0</v>
      </c>
      <c r="M94" s="29">
        <v>0</v>
      </c>
      <c r="N94" s="29">
        <v>6.5000000000000006E-3</v>
      </c>
      <c r="O94" s="27" t="s">
        <v>148</v>
      </c>
      <c r="P94" s="30" t="s">
        <v>241</v>
      </c>
      <c r="Q94" s="31">
        <v>552630213.67999995</v>
      </c>
      <c r="R94" s="31">
        <v>2122.6999999999998</v>
      </c>
      <c r="S94" s="32">
        <v>2.6044000000000001E-2</v>
      </c>
      <c r="T94" s="32" t="s">
        <v>139</v>
      </c>
      <c r="U94" s="32">
        <v>2.0699999999999999E-4</v>
      </c>
      <c r="V94" s="32">
        <v>1.8029999999999999E-3</v>
      </c>
      <c r="W94" s="32">
        <v>1.7179E-2</v>
      </c>
      <c r="X94" s="32">
        <v>2.2249000000000001E-2</v>
      </c>
      <c r="Y94" s="32">
        <v>3.9026999999999999E-2</v>
      </c>
      <c r="Z94" s="32">
        <v>6.4158999999999994E-2</v>
      </c>
      <c r="AA94" s="32">
        <v>9.6085000000000004E-2</v>
      </c>
      <c r="AB94" s="32">
        <v>0.132469</v>
      </c>
    </row>
    <row r="95" spans="1:28" ht="15.6" customHeight="1" x14ac:dyDescent="0.25">
      <c r="A95" s="24" t="s">
        <v>1132</v>
      </c>
      <c r="B95" s="50">
        <v>3599</v>
      </c>
      <c r="C95" s="25" t="s">
        <v>1133</v>
      </c>
      <c r="D95" s="25" t="s">
        <v>241</v>
      </c>
      <c r="E95" s="25" t="s">
        <v>194</v>
      </c>
      <c r="F95" s="25" t="s">
        <v>113</v>
      </c>
      <c r="G95" s="26" t="s">
        <v>1134</v>
      </c>
      <c r="H95" s="27" t="s">
        <v>115</v>
      </c>
      <c r="I95" s="24" t="s">
        <v>998</v>
      </c>
      <c r="J95" s="24" t="s">
        <v>107</v>
      </c>
      <c r="K95" s="28" t="s">
        <v>108</v>
      </c>
      <c r="L95" s="29">
        <v>0.03</v>
      </c>
      <c r="M95" s="29">
        <v>1.4999999999999999E-2</v>
      </c>
      <c r="N95" s="29">
        <v>1.2999999999999999E-2</v>
      </c>
      <c r="O95" s="27" t="s">
        <v>166</v>
      </c>
      <c r="P95" s="30" t="s">
        <v>241</v>
      </c>
      <c r="Q95" s="31">
        <v>1158940432.47</v>
      </c>
      <c r="R95" s="31">
        <v>1913.35</v>
      </c>
      <c r="S95" s="32">
        <v>1.2659999999999999E-2</v>
      </c>
      <c r="T95" s="32" t="s">
        <v>139</v>
      </c>
      <c r="U95" s="32">
        <v>8.0599999999999997E-4</v>
      </c>
      <c r="V95" s="32">
        <v>2.9510000000000001E-3</v>
      </c>
      <c r="W95" s="32">
        <v>9.5709999999999996E-3</v>
      </c>
      <c r="X95" s="32">
        <v>1.3690000000000001E-2</v>
      </c>
      <c r="Y95" s="32">
        <v>1.303E-2</v>
      </c>
      <c r="Z95" s="32">
        <v>7.3282E-2</v>
      </c>
      <c r="AA95" s="32">
        <v>0.13401199999999999</v>
      </c>
      <c r="AB95" s="32">
        <v>5.0113999999999999E-2</v>
      </c>
    </row>
    <row r="96" spans="1:28" ht="15.6" customHeight="1" x14ac:dyDescent="0.25">
      <c r="A96" s="24" t="s">
        <v>242</v>
      </c>
      <c r="B96" s="50">
        <v>3600</v>
      </c>
      <c r="C96" s="25" t="s">
        <v>243</v>
      </c>
      <c r="D96" s="25" t="s">
        <v>159</v>
      </c>
      <c r="E96" s="25" t="s">
        <v>194</v>
      </c>
      <c r="F96" s="25" t="s">
        <v>103</v>
      </c>
      <c r="G96" s="26" t="s">
        <v>244</v>
      </c>
      <c r="H96" s="27" t="s">
        <v>245</v>
      </c>
      <c r="I96" s="24" t="s">
        <v>106</v>
      </c>
      <c r="J96" s="24" t="s">
        <v>107</v>
      </c>
      <c r="K96" s="28" t="s">
        <v>108</v>
      </c>
      <c r="L96" s="29">
        <v>0</v>
      </c>
      <c r="M96" s="29">
        <v>0</v>
      </c>
      <c r="N96" s="29">
        <v>0.02</v>
      </c>
      <c r="O96" s="27" t="s">
        <v>161</v>
      </c>
      <c r="P96" s="30" t="s">
        <v>159</v>
      </c>
      <c r="Q96" s="31">
        <v>500266580.68000001</v>
      </c>
      <c r="R96" s="31">
        <v>19592.939999999999</v>
      </c>
      <c r="S96" s="32">
        <v>1.3861999999999999E-2</v>
      </c>
      <c r="T96" s="32" t="s">
        <v>139</v>
      </c>
      <c r="U96" s="32">
        <v>2.2000000000000001E-4</v>
      </c>
      <c r="V96" s="32">
        <v>1.5920000000000001E-3</v>
      </c>
      <c r="W96" s="32">
        <v>5.0010000000000002E-3</v>
      </c>
      <c r="X96" s="32">
        <v>1.0329E-2</v>
      </c>
      <c r="Y96" s="32">
        <v>2.0192000000000002E-2</v>
      </c>
      <c r="Z96" s="32">
        <v>4.5779E-2</v>
      </c>
      <c r="AA96" s="32">
        <v>7.5613E-2</v>
      </c>
      <c r="AB96" s="32">
        <v>0.11747</v>
      </c>
    </row>
    <row r="97" spans="1:28" ht="15.6" customHeight="1" x14ac:dyDescent="0.25">
      <c r="A97" s="24" t="s">
        <v>246</v>
      </c>
      <c r="B97" s="50">
        <v>3601</v>
      </c>
      <c r="C97" s="25" t="s">
        <v>247</v>
      </c>
      <c r="D97" s="25" t="s">
        <v>159</v>
      </c>
      <c r="E97" s="25" t="s">
        <v>194</v>
      </c>
      <c r="F97" s="25" t="s">
        <v>103</v>
      </c>
      <c r="G97" s="26" t="s">
        <v>244</v>
      </c>
      <c r="H97" s="27" t="s">
        <v>188</v>
      </c>
      <c r="I97" s="24" t="s">
        <v>106</v>
      </c>
      <c r="J97" s="24" t="s">
        <v>121</v>
      </c>
      <c r="K97" s="28" t="s">
        <v>108</v>
      </c>
      <c r="L97" s="29">
        <v>0</v>
      </c>
      <c r="M97" s="29">
        <v>0</v>
      </c>
      <c r="N97" s="29">
        <v>0.02</v>
      </c>
      <c r="O97" s="27" t="s">
        <v>161</v>
      </c>
      <c r="P97" s="30" t="s">
        <v>159</v>
      </c>
      <c r="Q97" s="31">
        <v>3419264171.6799998</v>
      </c>
      <c r="R97" s="31">
        <v>23539.41</v>
      </c>
      <c r="S97" s="32">
        <v>1.4761E-2</v>
      </c>
      <c r="T97" s="32" t="s">
        <v>139</v>
      </c>
      <c r="U97" s="32">
        <v>2.5300000000000002E-4</v>
      </c>
      <c r="V97" s="32">
        <v>1.7750000000000001E-3</v>
      </c>
      <c r="W97" s="32">
        <v>5.3369999999999997E-3</v>
      </c>
      <c r="X97" s="32">
        <v>1.1308E-2</v>
      </c>
      <c r="Y97" s="32">
        <v>2.1663999999999999E-2</v>
      </c>
      <c r="Z97" s="32">
        <v>4.8239999999999998E-2</v>
      </c>
      <c r="AA97" s="32">
        <v>8.0988000000000004E-2</v>
      </c>
      <c r="AB97" s="32">
        <v>0.119259</v>
      </c>
    </row>
    <row r="98" spans="1:28" ht="15.6" customHeight="1" x14ac:dyDescent="0.25">
      <c r="A98" s="24" t="s">
        <v>1135</v>
      </c>
      <c r="B98" s="50">
        <v>3602</v>
      </c>
      <c r="C98" s="25" t="s">
        <v>1136</v>
      </c>
      <c r="D98" s="25" t="s">
        <v>164</v>
      </c>
      <c r="E98" s="25" t="s">
        <v>102</v>
      </c>
      <c r="F98" s="25" t="s">
        <v>138</v>
      </c>
      <c r="G98" s="26" t="s">
        <v>139</v>
      </c>
      <c r="H98" s="27" t="s">
        <v>1033</v>
      </c>
      <c r="I98" s="24" t="s">
        <v>998</v>
      </c>
      <c r="J98" s="24" t="s">
        <v>107</v>
      </c>
      <c r="K98" s="28" t="s">
        <v>108</v>
      </c>
      <c r="L98" s="29">
        <v>0.03</v>
      </c>
      <c r="M98" s="29">
        <v>1.4999999999999999E-2</v>
      </c>
      <c r="N98" s="29">
        <v>0.02</v>
      </c>
      <c r="O98" s="27" t="s">
        <v>166</v>
      </c>
      <c r="P98" s="30" t="s">
        <v>164</v>
      </c>
      <c r="Q98" s="31">
        <v>209048274.84999999</v>
      </c>
      <c r="R98" s="31">
        <v>5722.96</v>
      </c>
      <c r="S98" s="32">
        <v>5.0328999999999999E-2</v>
      </c>
      <c r="T98" s="32" t="s">
        <v>139</v>
      </c>
      <c r="U98" s="32">
        <v>-7.5440000000000004E-3</v>
      </c>
      <c r="V98" s="32">
        <v>4.7636999999999999E-2</v>
      </c>
      <c r="W98" s="32">
        <v>1.5579000000000001E-2</v>
      </c>
      <c r="X98" s="32">
        <v>5.8498000000000001E-2</v>
      </c>
      <c r="Y98" s="32">
        <v>-1.1469E-2</v>
      </c>
      <c r="Z98" s="32">
        <v>0.25700299999999998</v>
      </c>
      <c r="AA98" s="32">
        <v>0.42868299999999998</v>
      </c>
      <c r="AB98" s="32">
        <v>0.36679499999999998</v>
      </c>
    </row>
    <row r="99" spans="1:28" ht="15.6" customHeight="1" x14ac:dyDescent="0.25">
      <c r="A99" s="24" t="s">
        <v>248</v>
      </c>
      <c r="B99" s="50">
        <v>3604</v>
      </c>
      <c r="C99" s="25" t="s">
        <v>249</v>
      </c>
      <c r="D99" s="25" t="s">
        <v>164</v>
      </c>
      <c r="E99" s="25" t="s">
        <v>194</v>
      </c>
      <c r="F99" s="25" t="s">
        <v>128</v>
      </c>
      <c r="G99" s="26" t="s">
        <v>250</v>
      </c>
      <c r="H99" s="27" t="s">
        <v>130</v>
      </c>
      <c r="I99" s="24" t="s">
        <v>106</v>
      </c>
      <c r="J99" s="24" t="s">
        <v>107</v>
      </c>
      <c r="K99" s="28" t="s">
        <v>108</v>
      </c>
      <c r="L99" s="29">
        <v>0</v>
      </c>
      <c r="M99" s="29">
        <v>0</v>
      </c>
      <c r="N99" s="29">
        <v>0.02</v>
      </c>
      <c r="O99" s="27" t="s">
        <v>166</v>
      </c>
      <c r="P99" s="30" t="s">
        <v>164</v>
      </c>
      <c r="Q99" s="31">
        <v>958597738.99000001</v>
      </c>
      <c r="R99" s="31">
        <v>232.01</v>
      </c>
      <c r="S99" s="32">
        <v>1.6073E-2</v>
      </c>
      <c r="T99" s="32" t="s">
        <v>139</v>
      </c>
      <c r="U99" s="32">
        <v>3.0200000000000002E-4</v>
      </c>
      <c r="V99" s="32">
        <v>2.16E-3</v>
      </c>
      <c r="W99" s="32">
        <v>6.1139999999999996E-3</v>
      </c>
      <c r="X99" s="32">
        <v>1.1995E-2</v>
      </c>
      <c r="Y99" s="32">
        <v>2.2341E-2</v>
      </c>
      <c r="Z99" s="32">
        <v>4.9914E-2</v>
      </c>
      <c r="AA99" s="32">
        <v>8.4564E-2</v>
      </c>
      <c r="AB99" s="32">
        <v>0.11849800000000001</v>
      </c>
    </row>
    <row r="100" spans="1:28" ht="15.6" customHeight="1" x14ac:dyDescent="0.25">
      <c r="A100" s="24" t="s">
        <v>1137</v>
      </c>
      <c r="B100" s="50">
        <v>3605</v>
      </c>
      <c r="C100" s="25" t="s">
        <v>1138</v>
      </c>
      <c r="D100" s="25" t="s">
        <v>164</v>
      </c>
      <c r="E100" s="25" t="s">
        <v>194</v>
      </c>
      <c r="F100" s="25" t="s">
        <v>113</v>
      </c>
      <c r="G100" s="26" t="s">
        <v>1025</v>
      </c>
      <c r="H100" s="27" t="s">
        <v>732</v>
      </c>
      <c r="I100" s="24" t="s">
        <v>998</v>
      </c>
      <c r="J100" s="24" t="s">
        <v>121</v>
      </c>
      <c r="K100" s="28" t="s">
        <v>180</v>
      </c>
      <c r="L100" s="29">
        <v>0.03</v>
      </c>
      <c r="M100" s="29">
        <v>1.4999999999999999E-2</v>
      </c>
      <c r="N100" s="29">
        <v>0.02</v>
      </c>
      <c r="O100" s="27" t="s">
        <v>166</v>
      </c>
      <c r="P100" s="30" t="s">
        <v>164</v>
      </c>
      <c r="Q100" s="31">
        <v>418692839.91000003</v>
      </c>
      <c r="R100" s="31">
        <v>24673.98</v>
      </c>
      <c r="S100" s="32">
        <v>-1.4899999999999999E-4</v>
      </c>
      <c r="T100" s="32" t="s">
        <v>139</v>
      </c>
      <c r="U100" s="32">
        <v>9.8299999999999993E-4</v>
      </c>
      <c r="V100" s="32">
        <v>4.0350000000000004E-3</v>
      </c>
      <c r="W100" s="32">
        <v>3.8830000000000002E-3</v>
      </c>
      <c r="X100" s="32">
        <v>-1.08E-3</v>
      </c>
      <c r="Y100" s="32">
        <v>-6.391E-3</v>
      </c>
      <c r="Z100" s="32">
        <v>0.103378</v>
      </c>
      <c r="AA100" s="32">
        <v>0.24587899999999999</v>
      </c>
      <c r="AB100" s="32">
        <v>9.3606999999999996E-2</v>
      </c>
    </row>
    <row r="101" spans="1:28" ht="15.6" customHeight="1" x14ac:dyDescent="0.25">
      <c r="A101" s="24" t="s">
        <v>251</v>
      </c>
      <c r="B101" s="50">
        <v>3606</v>
      </c>
      <c r="C101" s="25" t="s">
        <v>252</v>
      </c>
      <c r="D101" s="25" t="s">
        <v>164</v>
      </c>
      <c r="E101" s="25" t="s">
        <v>194</v>
      </c>
      <c r="F101" s="25" t="s">
        <v>155</v>
      </c>
      <c r="G101" s="26" t="s">
        <v>139</v>
      </c>
      <c r="H101" s="27" t="s">
        <v>156</v>
      </c>
      <c r="I101" s="24" t="s">
        <v>106</v>
      </c>
      <c r="J101" s="24" t="s">
        <v>107</v>
      </c>
      <c r="K101" s="28" t="s">
        <v>108</v>
      </c>
      <c r="L101" s="29">
        <v>0.03</v>
      </c>
      <c r="M101" s="29">
        <v>1.4999999999999999E-2</v>
      </c>
      <c r="N101" s="29">
        <v>0.02</v>
      </c>
      <c r="O101" s="27" t="s">
        <v>166</v>
      </c>
      <c r="P101" s="30" t="s">
        <v>164</v>
      </c>
      <c r="Q101" s="31">
        <v>892761356.15999997</v>
      </c>
      <c r="R101" s="31">
        <v>966.22</v>
      </c>
      <c r="S101" s="32">
        <v>5.9056999999999998E-2</v>
      </c>
      <c r="T101" s="32" t="s">
        <v>139</v>
      </c>
      <c r="U101" s="32">
        <v>-1.1964000000000001E-2</v>
      </c>
      <c r="V101" s="32">
        <v>6.4588000000000007E-2</v>
      </c>
      <c r="W101" s="32">
        <v>1.7106E-2</v>
      </c>
      <c r="X101" s="32">
        <v>7.8118000000000007E-2</v>
      </c>
      <c r="Y101" s="32">
        <v>-4.2256000000000002E-2</v>
      </c>
      <c r="Z101" s="32">
        <v>0.36238900000000002</v>
      </c>
      <c r="AA101" s="32">
        <v>0.54657100000000003</v>
      </c>
      <c r="AB101" s="32">
        <v>0.44873600000000002</v>
      </c>
    </row>
    <row r="102" spans="1:28" ht="15.6" customHeight="1" x14ac:dyDescent="0.25">
      <c r="A102" s="24" t="s">
        <v>1139</v>
      </c>
      <c r="B102" s="50">
        <v>3608</v>
      </c>
      <c r="C102" s="25" t="s">
        <v>1140</v>
      </c>
      <c r="D102" s="25" t="s">
        <v>164</v>
      </c>
      <c r="E102" s="25" t="s">
        <v>194</v>
      </c>
      <c r="F102" s="25" t="s">
        <v>155</v>
      </c>
      <c r="G102" s="26" t="s">
        <v>139</v>
      </c>
      <c r="H102" s="27" t="s">
        <v>156</v>
      </c>
      <c r="I102" s="24" t="s">
        <v>998</v>
      </c>
      <c r="J102" s="24" t="s">
        <v>121</v>
      </c>
      <c r="K102" s="28" t="s">
        <v>108</v>
      </c>
      <c r="L102" s="29">
        <v>1.4999999999999999E-2</v>
      </c>
      <c r="M102" s="29">
        <v>0.02</v>
      </c>
      <c r="N102" s="29">
        <v>0.03</v>
      </c>
      <c r="O102" s="27" t="s">
        <v>166</v>
      </c>
      <c r="P102" s="30" t="s">
        <v>164</v>
      </c>
      <c r="Q102" s="31">
        <v>77137548.810000002</v>
      </c>
      <c r="R102" s="31">
        <v>3528.38</v>
      </c>
      <c r="S102" s="32">
        <v>9.5263E-2</v>
      </c>
      <c r="T102" s="32" t="s">
        <v>139</v>
      </c>
      <c r="U102" s="32">
        <v>-1.0186000000000001E-2</v>
      </c>
      <c r="V102" s="32">
        <v>6.0759000000000001E-2</v>
      </c>
      <c r="W102" s="32">
        <v>3.0386E-2</v>
      </c>
      <c r="X102" s="32">
        <v>9.8995E-2</v>
      </c>
      <c r="Y102" s="32">
        <v>4.2000000000000002E-4</v>
      </c>
      <c r="Z102" s="32">
        <v>0.46006599999999997</v>
      </c>
      <c r="AA102" s="32">
        <v>0.74227200000000004</v>
      </c>
      <c r="AB102" s="32">
        <v>0.71678900000000001</v>
      </c>
    </row>
    <row r="103" spans="1:28" ht="15.6" customHeight="1" x14ac:dyDescent="0.25">
      <c r="A103" s="24" t="s">
        <v>1141</v>
      </c>
      <c r="B103" s="50">
        <v>3609</v>
      </c>
      <c r="C103" s="25" t="s">
        <v>1142</v>
      </c>
      <c r="D103" s="25" t="s">
        <v>164</v>
      </c>
      <c r="E103" s="25" t="s">
        <v>194</v>
      </c>
      <c r="F103" s="25" t="s">
        <v>138</v>
      </c>
      <c r="G103" s="26" t="s">
        <v>139</v>
      </c>
      <c r="H103" s="27" t="s">
        <v>1143</v>
      </c>
      <c r="I103" s="24" t="s">
        <v>998</v>
      </c>
      <c r="J103" s="24" t="s">
        <v>107</v>
      </c>
      <c r="K103" s="28" t="s">
        <v>108</v>
      </c>
      <c r="L103" s="29">
        <v>0.03</v>
      </c>
      <c r="M103" s="29">
        <v>1.4999999999999999E-2</v>
      </c>
      <c r="N103" s="29">
        <v>0.02</v>
      </c>
      <c r="O103" s="27" t="s">
        <v>166</v>
      </c>
      <c r="P103" s="30" t="s">
        <v>164</v>
      </c>
      <c r="Q103" s="31">
        <v>169273638.55000001</v>
      </c>
      <c r="R103" s="31">
        <v>8520.34</v>
      </c>
      <c r="S103" s="32">
        <v>0.101895</v>
      </c>
      <c r="T103" s="32" t="s">
        <v>139</v>
      </c>
      <c r="U103" s="32">
        <v>-7.8840000000000004E-3</v>
      </c>
      <c r="V103" s="32">
        <v>5.2970000000000003E-2</v>
      </c>
      <c r="W103" s="32">
        <v>2.3394000000000002E-2</v>
      </c>
      <c r="X103" s="32">
        <v>0.10050199999999999</v>
      </c>
      <c r="Y103" s="32">
        <v>5.2718000000000001E-2</v>
      </c>
      <c r="Z103" s="32">
        <v>0.39501399999999998</v>
      </c>
      <c r="AA103" s="32">
        <v>0.61404300000000001</v>
      </c>
      <c r="AB103" s="32">
        <v>0.59391899999999997</v>
      </c>
    </row>
    <row r="104" spans="1:28" ht="15.6" customHeight="1" x14ac:dyDescent="0.25">
      <c r="A104" s="24" t="s">
        <v>253</v>
      </c>
      <c r="B104" s="50">
        <v>3614</v>
      </c>
      <c r="C104" s="25" t="s">
        <v>254</v>
      </c>
      <c r="D104" s="25" t="s">
        <v>164</v>
      </c>
      <c r="E104" s="25" t="s">
        <v>194</v>
      </c>
      <c r="F104" s="25" t="s">
        <v>103</v>
      </c>
      <c r="G104" s="26" t="s">
        <v>104</v>
      </c>
      <c r="H104" s="27" t="s">
        <v>169</v>
      </c>
      <c r="I104" s="24" t="s">
        <v>106</v>
      </c>
      <c r="J104" s="24" t="s">
        <v>107</v>
      </c>
      <c r="K104" s="28" t="s">
        <v>108</v>
      </c>
      <c r="L104" s="29">
        <v>0</v>
      </c>
      <c r="M104" s="29">
        <v>0</v>
      </c>
      <c r="N104" s="29">
        <v>0.01</v>
      </c>
      <c r="O104" s="27" t="s">
        <v>173</v>
      </c>
      <c r="P104" s="30" t="s">
        <v>164</v>
      </c>
      <c r="Q104" s="31">
        <v>101347163.56</v>
      </c>
      <c r="R104" s="31">
        <v>2045.06</v>
      </c>
      <c r="S104" s="32">
        <v>1.1625E-2</v>
      </c>
      <c r="T104" s="32" t="s">
        <v>139</v>
      </c>
      <c r="U104" s="32">
        <v>1.76E-4</v>
      </c>
      <c r="V104" s="32">
        <v>1.3810000000000001E-3</v>
      </c>
      <c r="W104" s="32">
        <v>4.0699999999999998E-3</v>
      </c>
      <c r="X104" s="32">
        <v>8.5220000000000001E-3</v>
      </c>
      <c r="Y104" s="32">
        <v>1.7285999999999999E-2</v>
      </c>
      <c r="Z104" s="32">
        <v>3.7475000000000001E-2</v>
      </c>
      <c r="AA104" s="32">
        <v>6.2887999999999999E-2</v>
      </c>
      <c r="AB104" s="32">
        <v>9.5848000000000003E-2</v>
      </c>
    </row>
    <row r="105" spans="1:28" ht="15.6" customHeight="1" x14ac:dyDescent="0.25">
      <c r="A105" s="24" t="s">
        <v>255</v>
      </c>
      <c r="B105" s="50">
        <v>3615</v>
      </c>
      <c r="C105" s="25" t="s">
        <v>256</v>
      </c>
      <c r="D105" s="25" t="s">
        <v>164</v>
      </c>
      <c r="E105" s="25" t="s">
        <v>194</v>
      </c>
      <c r="F105" s="25" t="s">
        <v>128</v>
      </c>
      <c r="G105" s="26" t="s">
        <v>257</v>
      </c>
      <c r="H105" s="27" t="s">
        <v>258</v>
      </c>
      <c r="I105" s="24" t="s">
        <v>106</v>
      </c>
      <c r="J105" s="24" t="s">
        <v>107</v>
      </c>
      <c r="K105" s="28" t="s">
        <v>108</v>
      </c>
      <c r="L105" s="29">
        <v>0.03</v>
      </c>
      <c r="M105" s="29">
        <v>1.4999999999999999E-2</v>
      </c>
      <c r="N105" s="29">
        <v>0.02</v>
      </c>
      <c r="O105" s="27" t="s">
        <v>173</v>
      </c>
      <c r="P105" s="30" t="s">
        <v>164</v>
      </c>
      <c r="Q105" s="31">
        <v>499777788.76999998</v>
      </c>
      <c r="R105" s="31">
        <v>40230.04</v>
      </c>
      <c r="S105" s="32">
        <v>1.4378999999999999E-2</v>
      </c>
      <c r="T105" s="32" t="s">
        <v>139</v>
      </c>
      <c r="U105" s="32">
        <v>3.48E-4</v>
      </c>
      <c r="V105" s="32">
        <v>1.9780000000000002E-3</v>
      </c>
      <c r="W105" s="32">
        <v>5.3080000000000002E-3</v>
      </c>
      <c r="X105" s="32">
        <v>1.1077999999999999E-2</v>
      </c>
      <c r="Y105" s="32">
        <v>1.9446999999999999E-2</v>
      </c>
      <c r="Z105" s="32">
        <v>4.5761999999999997E-2</v>
      </c>
      <c r="AA105" s="32">
        <v>7.9131000000000007E-2</v>
      </c>
      <c r="AB105" s="32">
        <v>0.104089</v>
      </c>
    </row>
    <row r="106" spans="1:28" ht="15.6" customHeight="1" x14ac:dyDescent="0.25">
      <c r="A106" s="24" t="s">
        <v>1144</v>
      </c>
      <c r="B106" s="50">
        <v>3618</v>
      </c>
      <c r="C106" s="25" t="s">
        <v>1145</v>
      </c>
      <c r="D106" s="25" t="s">
        <v>261</v>
      </c>
      <c r="E106" s="25" t="s">
        <v>194</v>
      </c>
      <c r="F106" s="25" t="s">
        <v>128</v>
      </c>
      <c r="G106" s="26" t="s">
        <v>289</v>
      </c>
      <c r="H106" s="27" t="s">
        <v>130</v>
      </c>
      <c r="I106" s="24" t="s">
        <v>998</v>
      </c>
      <c r="J106" s="24" t="s">
        <v>107</v>
      </c>
      <c r="K106" s="28" t="s">
        <v>108</v>
      </c>
      <c r="L106" s="29">
        <v>0.03</v>
      </c>
      <c r="M106" s="29">
        <v>1.4999999999999999E-2</v>
      </c>
      <c r="N106" s="29">
        <v>0.01</v>
      </c>
      <c r="O106" s="27" t="s">
        <v>262</v>
      </c>
      <c r="P106" s="30" t="s">
        <v>261</v>
      </c>
      <c r="Q106" s="31">
        <v>5529280.4900000002</v>
      </c>
      <c r="R106" s="31">
        <v>246.02</v>
      </c>
      <c r="S106" s="32">
        <v>6.1941999999999997E-2</v>
      </c>
      <c r="T106" s="32" t="s">
        <v>139</v>
      </c>
      <c r="U106" s="32">
        <v>3.2499999999999999E-4</v>
      </c>
      <c r="V106" s="32">
        <v>2.1589999999999999E-3</v>
      </c>
      <c r="W106" s="32">
        <v>6.0520000000000001E-3</v>
      </c>
      <c r="X106" s="32">
        <v>5.7695999999999997E-2</v>
      </c>
      <c r="Y106" s="32">
        <v>6.9001000000000007E-2</v>
      </c>
      <c r="Z106" s="32">
        <v>0.100268</v>
      </c>
      <c r="AA106" s="32">
        <v>0.13819100000000001</v>
      </c>
      <c r="AB106" s="32">
        <v>0.18535299999999999</v>
      </c>
    </row>
    <row r="107" spans="1:28" ht="15.6" customHeight="1" x14ac:dyDescent="0.25">
      <c r="A107" s="24" t="s">
        <v>259</v>
      </c>
      <c r="B107" s="50">
        <v>3619</v>
      </c>
      <c r="C107" s="25" t="s">
        <v>260</v>
      </c>
      <c r="D107" s="25" t="s">
        <v>261</v>
      </c>
      <c r="E107" s="25" t="s">
        <v>194</v>
      </c>
      <c r="F107" s="25" t="s">
        <v>103</v>
      </c>
      <c r="G107" s="26" t="s">
        <v>216</v>
      </c>
      <c r="H107" s="27" t="s">
        <v>217</v>
      </c>
      <c r="I107" s="24" t="s">
        <v>106</v>
      </c>
      <c r="J107" s="24" t="s">
        <v>107</v>
      </c>
      <c r="K107" s="28" t="s">
        <v>108</v>
      </c>
      <c r="L107" s="29">
        <v>0</v>
      </c>
      <c r="M107" s="29">
        <v>0</v>
      </c>
      <c r="N107" s="29">
        <v>6.5000000000000006E-3</v>
      </c>
      <c r="O107" s="27" t="s">
        <v>262</v>
      </c>
      <c r="P107" s="30" t="s">
        <v>261</v>
      </c>
      <c r="Q107" s="31">
        <v>1717855977.96</v>
      </c>
      <c r="R107" s="31">
        <v>1949.45</v>
      </c>
      <c r="S107" s="32">
        <v>1.8797999999999999E-2</v>
      </c>
      <c r="T107" s="32" t="s">
        <v>139</v>
      </c>
      <c r="U107" s="32">
        <v>2.72E-4</v>
      </c>
      <c r="V107" s="32">
        <v>2.9380000000000001E-3</v>
      </c>
      <c r="W107" s="32">
        <v>6.3759999999999997E-3</v>
      </c>
      <c r="X107" s="32">
        <v>1.4175999999999999E-2</v>
      </c>
      <c r="Y107" s="32">
        <v>2.7400000000000001E-2</v>
      </c>
      <c r="Z107" s="32">
        <v>5.8666999999999997E-2</v>
      </c>
      <c r="AA107" s="32">
        <v>9.5189999999999997E-2</v>
      </c>
      <c r="AB107" s="32">
        <v>0.14280899999999999</v>
      </c>
    </row>
    <row r="108" spans="1:28" ht="15.6" customHeight="1" x14ac:dyDescent="0.25">
      <c r="A108" s="24" t="s">
        <v>1146</v>
      </c>
      <c r="B108" s="50">
        <v>3620</v>
      </c>
      <c r="C108" s="25" t="s">
        <v>1147</v>
      </c>
      <c r="D108" s="25" t="s">
        <v>164</v>
      </c>
      <c r="E108" s="25" t="s">
        <v>194</v>
      </c>
      <c r="F108" s="25" t="s">
        <v>155</v>
      </c>
      <c r="G108" s="26" t="s">
        <v>139</v>
      </c>
      <c r="H108" s="27" t="s">
        <v>156</v>
      </c>
      <c r="I108" s="24" t="s">
        <v>998</v>
      </c>
      <c r="J108" s="24" t="s">
        <v>121</v>
      </c>
      <c r="K108" s="28" t="s">
        <v>108</v>
      </c>
      <c r="L108" s="29">
        <v>0.03</v>
      </c>
      <c r="M108" s="29">
        <v>1.4999999999999999E-2</v>
      </c>
      <c r="N108" s="29">
        <v>0.02</v>
      </c>
      <c r="O108" s="27" t="s">
        <v>166</v>
      </c>
      <c r="P108" s="30" t="s">
        <v>164</v>
      </c>
      <c r="Q108" s="31">
        <v>1636491632.0799999</v>
      </c>
      <c r="R108" s="31">
        <v>10262.19</v>
      </c>
      <c r="S108" s="32">
        <v>6.3358999999999999E-2</v>
      </c>
      <c r="T108" s="32" t="s">
        <v>139</v>
      </c>
      <c r="U108" s="32">
        <v>-1.1573E-2</v>
      </c>
      <c r="V108" s="32">
        <v>6.7013000000000003E-2</v>
      </c>
      <c r="W108" s="32">
        <v>2.4070999999999999E-2</v>
      </c>
      <c r="X108" s="32">
        <v>8.4794999999999995E-2</v>
      </c>
      <c r="Y108" s="32">
        <v>-3.2672E-2</v>
      </c>
      <c r="Z108" s="32">
        <v>0.40606999999999999</v>
      </c>
      <c r="AA108" s="32">
        <v>0.64170899999999997</v>
      </c>
      <c r="AB108" s="32">
        <v>0.624255</v>
      </c>
    </row>
    <row r="109" spans="1:28" ht="15.6" customHeight="1" x14ac:dyDescent="0.25">
      <c r="A109" s="24" t="s">
        <v>263</v>
      </c>
      <c r="B109" s="50">
        <v>3622</v>
      </c>
      <c r="C109" s="25" t="s">
        <v>264</v>
      </c>
      <c r="D109" s="25" t="s">
        <v>145</v>
      </c>
      <c r="E109" s="25" t="s">
        <v>194</v>
      </c>
      <c r="F109" s="25" t="s">
        <v>155</v>
      </c>
      <c r="G109" s="26" t="s">
        <v>139</v>
      </c>
      <c r="H109" s="27" t="s">
        <v>156</v>
      </c>
      <c r="I109" s="24" t="s">
        <v>106</v>
      </c>
      <c r="J109" s="24" t="s">
        <v>121</v>
      </c>
      <c r="K109" s="28" t="s">
        <v>108</v>
      </c>
      <c r="L109" s="29">
        <v>0.02</v>
      </c>
      <c r="M109" s="29">
        <v>0.02</v>
      </c>
      <c r="N109" s="29">
        <v>0.02</v>
      </c>
      <c r="O109" s="27" t="s">
        <v>148</v>
      </c>
      <c r="P109" s="30" t="s">
        <v>145</v>
      </c>
      <c r="Q109" s="31">
        <v>1061002032.98</v>
      </c>
      <c r="R109" s="31">
        <v>3931.22</v>
      </c>
      <c r="S109" s="32">
        <v>1.7624000000000001E-2</v>
      </c>
      <c r="T109" s="32" t="s">
        <v>139</v>
      </c>
      <c r="U109" s="32">
        <v>-9.6880000000000004E-3</v>
      </c>
      <c r="V109" s="32">
        <v>6.0892000000000002E-2</v>
      </c>
      <c r="W109" s="32">
        <v>2.0456999999999999E-2</v>
      </c>
      <c r="X109" s="32">
        <v>5.3004000000000003E-2</v>
      </c>
      <c r="Y109" s="32">
        <v>-8.5764999999999994E-2</v>
      </c>
      <c r="Z109" s="32">
        <v>0.34566400000000003</v>
      </c>
      <c r="AA109" s="32">
        <v>0.63191900000000001</v>
      </c>
      <c r="AB109" s="32">
        <v>0.62675400000000003</v>
      </c>
    </row>
    <row r="110" spans="1:28" ht="15.6" customHeight="1" x14ac:dyDescent="0.25">
      <c r="A110" s="24" t="s">
        <v>265</v>
      </c>
      <c r="B110" s="50">
        <v>3623</v>
      </c>
      <c r="C110" s="25" t="s">
        <v>266</v>
      </c>
      <c r="D110" s="25" t="s">
        <v>145</v>
      </c>
      <c r="E110" s="25" t="s">
        <v>194</v>
      </c>
      <c r="F110" s="25" t="s">
        <v>103</v>
      </c>
      <c r="G110" s="26" t="s">
        <v>267</v>
      </c>
      <c r="H110" s="27" t="s">
        <v>188</v>
      </c>
      <c r="I110" s="24" t="s">
        <v>106</v>
      </c>
      <c r="J110" s="24" t="s">
        <v>107</v>
      </c>
      <c r="K110" s="28" t="s">
        <v>108</v>
      </c>
      <c r="L110" s="29">
        <v>0.01</v>
      </c>
      <c r="M110" s="29">
        <v>0.01</v>
      </c>
      <c r="N110" s="29">
        <v>0.01</v>
      </c>
      <c r="O110" s="27" t="s">
        <v>148</v>
      </c>
      <c r="P110" s="30" t="s">
        <v>145</v>
      </c>
      <c r="Q110" s="31">
        <v>467133809.69</v>
      </c>
      <c r="R110" s="31">
        <v>1656.9</v>
      </c>
      <c r="S110" s="32">
        <v>1.2577E-2</v>
      </c>
      <c r="T110" s="32" t="s">
        <v>139</v>
      </c>
      <c r="U110" s="32">
        <v>1.9900000000000001E-4</v>
      </c>
      <c r="V110" s="32">
        <v>1.366E-3</v>
      </c>
      <c r="W110" s="32">
        <v>4.4130000000000003E-3</v>
      </c>
      <c r="X110" s="32">
        <v>9.2650000000000007E-3</v>
      </c>
      <c r="Y110" s="32">
        <v>1.8665000000000001E-2</v>
      </c>
      <c r="Z110" s="32">
        <v>3.9955999999999998E-2</v>
      </c>
      <c r="AA110" s="32">
        <v>6.6490999999999995E-2</v>
      </c>
      <c r="AB110" s="32">
        <v>0.102857</v>
      </c>
    </row>
    <row r="111" spans="1:28" ht="15.6" customHeight="1" x14ac:dyDescent="0.25">
      <c r="A111" s="24" t="s">
        <v>268</v>
      </c>
      <c r="B111" s="50">
        <v>3624</v>
      </c>
      <c r="C111" s="25" t="s">
        <v>269</v>
      </c>
      <c r="D111" s="25" t="s">
        <v>112</v>
      </c>
      <c r="E111" s="25" t="s">
        <v>194</v>
      </c>
      <c r="F111" s="25" t="s">
        <v>128</v>
      </c>
      <c r="G111" s="26" t="s">
        <v>250</v>
      </c>
      <c r="H111" s="27" t="s">
        <v>270</v>
      </c>
      <c r="I111" s="24" t="s">
        <v>106</v>
      </c>
      <c r="J111" s="24" t="s">
        <v>107</v>
      </c>
      <c r="K111" s="28" t="s">
        <v>108</v>
      </c>
      <c r="L111" s="29">
        <v>5.0000000000000001E-3</v>
      </c>
      <c r="M111" s="29">
        <v>0</v>
      </c>
      <c r="N111" s="29">
        <v>0.01</v>
      </c>
      <c r="O111" s="27" t="s">
        <v>116</v>
      </c>
      <c r="P111" s="30" t="s">
        <v>112</v>
      </c>
      <c r="Q111" s="31">
        <v>3381277000.0100002</v>
      </c>
      <c r="R111" s="31">
        <v>2319.39</v>
      </c>
      <c r="S111" s="32">
        <v>2.1007000000000001E-2</v>
      </c>
      <c r="T111" s="32" t="s">
        <v>139</v>
      </c>
      <c r="U111" s="32">
        <v>3.4900000000000003E-4</v>
      </c>
      <c r="V111" s="32">
        <v>2.6069999999999999E-3</v>
      </c>
      <c r="W111" s="32">
        <v>6.6670000000000002E-3</v>
      </c>
      <c r="X111" s="32">
        <v>1.6112999999999999E-2</v>
      </c>
      <c r="Y111" s="32">
        <v>3.2197999999999997E-2</v>
      </c>
      <c r="Z111" s="32">
        <v>6.9197999999999996E-2</v>
      </c>
      <c r="AA111" s="32">
        <v>0.11351700000000001</v>
      </c>
      <c r="AB111" s="32">
        <v>0.151056</v>
      </c>
    </row>
    <row r="112" spans="1:28" ht="15.6" customHeight="1" x14ac:dyDescent="0.25">
      <c r="A112" s="24" t="s">
        <v>1148</v>
      </c>
      <c r="B112" s="50">
        <v>3625</v>
      </c>
      <c r="C112" s="25" t="s">
        <v>1149</v>
      </c>
      <c r="D112" s="25" t="s">
        <v>137</v>
      </c>
      <c r="E112" s="25" t="s">
        <v>194</v>
      </c>
      <c r="F112" s="25" t="s">
        <v>113</v>
      </c>
      <c r="G112" s="26" t="s">
        <v>114</v>
      </c>
      <c r="H112" s="27" t="s">
        <v>327</v>
      </c>
      <c r="I112" s="24" t="s">
        <v>998</v>
      </c>
      <c r="J112" s="24" t="s">
        <v>121</v>
      </c>
      <c r="K112" s="28" t="s">
        <v>227</v>
      </c>
      <c r="L112" s="29">
        <v>0.03</v>
      </c>
      <c r="M112" s="29">
        <v>1.4999999999999999E-2</v>
      </c>
      <c r="N112" s="29">
        <v>0.02</v>
      </c>
      <c r="O112" s="27" t="s">
        <v>148</v>
      </c>
      <c r="P112" s="30" t="s">
        <v>137</v>
      </c>
      <c r="Q112" s="31">
        <v>143334947.57638699</v>
      </c>
      <c r="R112" s="31">
        <v>9547.39</v>
      </c>
      <c r="S112" s="32">
        <v>8.5699999999999995E-3</v>
      </c>
      <c r="T112" s="32" t="s">
        <v>139</v>
      </c>
      <c r="U112" s="32">
        <v>1.5989999999999999E-3</v>
      </c>
      <c r="V112" s="32">
        <v>4.6930000000000001E-3</v>
      </c>
      <c r="W112" s="32">
        <v>5.6210000000000001E-3</v>
      </c>
      <c r="X112" s="32">
        <v>6.7330000000000003E-3</v>
      </c>
      <c r="Y112" s="32">
        <v>1.147E-3</v>
      </c>
      <c r="Z112" s="32">
        <v>6.8546999999999997E-2</v>
      </c>
      <c r="AA112" s="32">
        <v>0.13625899999999999</v>
      </c>
      <c r="AB112" s="32">
        <v>9.5631999999999995E-2</v>
      </c>
    </row>
    <row r="113" spans="1:28" ht="15.6" customHeight="1" x14ac:dyDescent="0.25">
      <c r="A113" s="24" t="s">
        <v>271</v>
      </c>
      <c r="B113" s="50">
        <v>3626</v>
      </c>
      <c r="C113" s="25" t="s">
        <v>272</v>
      </c>
      <c r="D113" s="25" t="s">
        <v>145</v>
      </c>
      <c r="E113" s="25" t="s">
        <v>194</v>
      </c>
      <c r="F113" s="25" t="s">
        <v>128</v>
      </c>
      <c r="G113" s="26" t="s">
        <v>129</v>
      </c>
      <c r="H113" s="27" t="s">
        <v>130</v>
      </c>
      <c r="I113" s="24" t="s">
        <v>106</v>
      </c>
      <c r="J113" s="24" t="s">
        <v>107</v>
      </c>
      <c r="K113" s="28" t="s">
        <v>108</v>
      </c>
      <c r="L113" s="29">
        <v>0.01</v>
      </c>
      <c r="M113" s="29">
        <v>5.0000000000000001E-3</v>
      </c>
      <c r="N113" s="29">
        <v>8.0000000000000002E-3</v>
      </c>
      <c r="O113" s="27" t="s">
        <v>148</v>
      </c>
      <c r="P113" s="30" t="s">
        <v>145</v>
      </c>
      <c r="Q113" s="31">
        <v>13939491084.07</v>
      </c>
      <c r="R113" s="31">
        <v>19394.47</v>
      </c>
      <c r="S113" s="32">
        <v>1.9958E-2</v>
      </c>
      <c r="T113" s="32" t="s">
        <v>139</v>
      </c>
      <c r="U113" s="32">
        <v>4.4299999999999998E-4</v>
      </c>
      <c r="V113" s="32">
        <v>2.5460000000000001E-3</v>
      </c>
      <c r="W113" s="32">
        <v>7.5079999999999999E-3</v>
      </c>
      <c r="X113" s="32">
        <v>1.5498E-2</v>
      </c>
      <c r="Y113" s="32">
        <v>2.8375000000000001E-2</v>
      </c>
      <c r="Z113" s="32">
        <v>6.6231999999999999E-2</v>
      </c>
      <c r="AA113" s="32">
        <v>0.11067100000000001</v>
      </c>
      <c r="AB113" s="32">
        <v>0.16373399999999999</v>
      </c>
    </row>
    <row r="114" spans="1:28" ht="15.6" customHeight="1" x14ac:dyDescent="0.25">
      <c r="A114" s="24" t="s">
        <v>273</v>
      </c>
      <c r="B114" s="50">
        <v>3628</v>
      </c>
      <c r="C114" s="25" t="s">
        <v>274</v>
      </c>
      <c r="D114" s="25" t="s">
        <v>241</v>
      </c>
      <c r="E114" s="25" t="s">
        <v>194</v>
      </c>
      <c r="F114" s="25" t="s">
        <v>128</v>
      </c>
      <c r="G114" s="26" t="s">
        <v>275</v>
      </c>
      <c r="H114" s="27" t="s">
        <v>130</v>
      </c>
      <c r="I114" s="24" t="s">
        <v>106</v>
      </c>
      <c r="J114" s="24" t="s">
        <v>107</v>
      </c>
      <c r="K114" s="28" t="s">
        <v>108</v>
      </c>
      <c r="L114" s="29">
        <v>0</v>
      </c>
      <c r="M114" s="29">
        <v>0</v>
      </c>
      <c r="N114" s="29">
        <v>8.0000000000000002E-3</v>
      </c>
      <c r="O114" s="27" t="s">
        <v>148</v>
      </c>
      <c r="P114" s="30" t="s">
        <v>241</v>
      </c>
      <c r="Q114" s="31">
        <v>776557830.23000002</v>
      </c>
      <c r="R114" s="31">
        <v>2447.56</v>
      </c>
      <c r="S114" s="32">
        <v>2.6686999999999999E-2</v>
      </c>
      <c r="T114" s="32" t="s">
        <v>139</v>
      </c>
      <c r="U114" s="32">
        <v>3.19E-4</v>
      </c>
      <c r="V114" s="32">
        <v>2.068E-3</v>
      </c>
      <c r="W114" s="32">
        <v>1.7129999999999999E-2</v>
      </c>
      <c r="X114" s="32">
        <v>2.2702E-2</v>
      </c>
      <c r="Y114" s="32">
        <v>3.5207000000000002E-2</v>
      </c>
      <c r="Z114" s="32">
        <v>6.2701000000000007E-2</v>
      </c>
      <c r="AA114" s="32">
        <v>9.6940999999999999E-2</v>
      </c>
      <c r="AB114" s="32">
        <v>0.139545</v>
      </c>
    </row>
    <row r="115" spans="1:28" ht="15.6" customHeight="1" x14ac:dyDescent="0.25">
      <c r="A115" s="24" t="s">
        <v>1150</v>
      </c>
      <c r="B115" s="50">
        <v>3629</v>
      </c>
      <c r="C115" s="25" t="s">
        <v>1151</v>
      </c>
      <c r="D115" s="25" t="s">
        <v>101</v>
      </c>
      <c r="E115" s="25" t="s">
        <v>194</v>
      </c>
      <c r="F115" s="25" t="s">
        <v>113</v>
      </c>
      <c r="G115" s="26" t="s">
        <v>1152</v>
      </c>
      <c r="H115" s="27" t="s">
        <v>115</v>
      </c>
      <c r="I115" s="24" t="s">
        <v>998</v>
      </c>
      <c r="J115" s="24" t="s">
        <v>121</v>
      </c>
      <c r="K115" s="28" t="s">
        <v>227</v>
      </c>
      <c r="L115" s="29">
        <v>0</v>
      </c>
      <c r="M115" s="29">
        <v>0</v>
      </c>
      <c r="N115" s="29">
        <v>0.02</v>
      </c>
      <c r="O115" s="27" t="s">
        <v>262</v>
      </c>
      <c r="P115" s="30" t="s">
        <v>101</v>
      </c>
      <c r="Q115" s="31">
        <v>302034476.45999998</v>
      </c>
      <c r="R115" s="31">
        <v>140.65</v>
      </c>
      <c r="S115" s="32">
        <v>2.8519999999999999E-3</v>
      </c>
      <c r="T115" s="32" t="s">
        <v>139</v>
      </c>
      <c r="U115" s="32">
        <v>1.0679999999999999E-3</v>
      </c>
      <c r="V115" s="32">
        <v>4.0689999999999997E-3</v>
      </c>
      <c r="W115" s="32">
        <v>4.0689999999999997E-3</v>
      </c>
      <c r="X115" s="32">
        <v>3.2810000000000001E-3</v>
      </c>
      <c r="Y115" s="32">
        <v>-4.1241E-2</v>
      </c>
      <c r="Z115" s="32">
        <v>2.9423000000000001E-2</v>
      </c>
      <c r="AA115" s="32">
        <v>5.7360000000000001E-2</v>
      </c>
      <c r="AB115" s="32">
        <v>5.7757000000000003E-2</v>
      </c>
    </row>
    <row r="116" spans="1:28" ht="15.6" customHeight="1" x14ac:dyDescent="0.25">
      <c r="A116" s="24" t="s">
        <v>276</v>
      </c>
      <c r="B116" s="50">
        <v>3630</v>
      </c>
      <c r="C116" s="25" t="s">
        <v>277</v>
      </c>
      <c r="D116" s="25" t="s">
        <v>145</v>
      </c>
      <c r="E116" s="25" t="s">
        <v>194</v>
      </c>
      <c r="F116" s="25" t="s">
        <v>155</v>
      </c>
      <c r="G116" s="26" t="s">
        <v>139</v>
      </c>
      <c r="H116" s="27" t="s">
        <v>156</v>
      </c>
      <c r="I116" s="24" t="s">
        <v>106</v>
      </c>
      <c r="J116" s="24" t="s">
        <v>107</v>
      </c>
      <c r="K116" s="28" t="s">
        <v>108</v>
      </c>
      <c r="L116" s="29">
        <v>0.02</v>
      </c>
      <c r="M116" s="29">
        <v>0.02</v>
      </c>
      <c r="N116" s="29">
        <v>0.02</v>
      </c>
      <c r="O116" s="27" t="s">
        <v>148</v>
      </c>
      <c r="P116" s="30" t="s">
        <v>145</v>
      </c>
      <c r="Q116" s="31">
        <v>291369008.04000002</v>
      </c>
      <c r="R116" s="31">
        <v>274.04000000000002</v>
      </c>
      <c r="S116" s="32">
        <v>2.0518999999999999E-2</v>
      </c>
      <c r="T116" s="32" t="s">
        <v>139</v>
      </c>
      <c r="U116" s="32">
        <v>-1.0293E-2</v>
      </c>
      <c r="V116" s="32">
        <v>6.3366000000000006E-2</v>
      </c>
      <c r="W116" s="32">
        <v>1.9949000000000001E-2</v>
      </c>
      <c r="X116" s="32">
        <v>5.0082000000000002E-2</v>
      </c>
      <c r="Y116" s="32">
        <v>-8.5954000000000003E-2</v>
      </c>
      <c r="Z116" s="32">
        <v>0.38986700000000002</v>
      </c>
      <c r="AA116" s="32">
        <v>0.65273499999999995</v>
      </c>
      <c r="AB116" s="32">
        <v>0.52838799999999997</v>
      </c>
    </row>
    <row r="117" spans="1:28" ht="15.6" customHeight="1" x14ac:dyDescent="0.25">
      <c r="A117" s="24" t="s">
        <v>278</v>
      </c>
      <c r="B117" s="50">
        <v>3631</v>
      </c>
      <c r="C117" s="25" t="s">
        <v>279</v>
      </c>
      <c r="D117" s="25" t="s">
        <v>145</v>
      </c>
      <c r="E117" s="25" t="s">
        <v>194</v>
      </c>
      <c r="F117" s="25" t="s">
        <v>155</v>
      </c>
      <c r="G117" s="26" t="s">
        <v>139</v>
      </c>
      <c r="H117" s="27" t="s">
        <v>280</v>
      </c>
      <c r="I117" s="24" t="s">
        <v>106</v>
      </c>
      <c r="J117" s="24" t="s">
        <v>107</v>
      </c>
      <c r="K117" s="28" t="s">
        <v>108</v>
      </c>
      <c r="L117" s="29">
        <v>0.02</v>
      </c>
      <c r="M117" s="29">
        <v>0.02</v>
      </c>
      <c r="N117" s="29">
        <v>0.02</v>
      </c>
      <c r="O117" s="27" t="s">
        <v>148</v>
      </c>
      <c r="P117" s="30" t="s">
        <v>145</v>
      </c>
      <c r="Q117" s="31">
        <v>3728872.52</v>
      </c>
      <c r="R117" s="31">
        <v>326.29000000000002</v>
      </c>
      <c r="S117" s="32">
        <v>-2.415E-3</v>
      </c>
      <c r="T117" s="32" t="s">
        <v>139</v>
      </c>
      <c r="U117" s="32">
        <v>-6.9090000000000002E-3</v>
      </c>
      <c r="V117" s="32">
        <v>4.6204000000000002E-2</v>
      </c>
      <c r="W117" s="32">
        <v>1.3386E-2</v>
      </c>
      <c r="X117" s="32">
        <v>2.1347999999999999E-2</v>
      </c>
      <c r="Y117" s="32">
        <v>-0.101352</v>
      </c>
      <c r="Z117" s="32">
        <v>0.30599599999999999</v>
      </c>
      <c r="AA117" s="32">
        <v>0.57316400000000001</v>
      </c>
      <c r="AB117" s="32">
        <v>0.49612499999999998</v>
      </c>
    </row>
    <row r="118" spans="1:28" ht="15.6" customHeight="1" x14ac:dyDescent="0.25">
      <c r="A118" s="24" t="s">
        <v>281</v>
      </c>
      <c r="B118" s="50">
        <v>3632</v>
      </c>
      <c r="C118" s="25" t="s">
        <v>282</v>
      </c>
      <c r="D118" s="25" t="s">
        <v>145</v>
      </c>
      <c r="E118" s="25" t="s">
        <v>194</v>
      </c>
      <c r="F118" s="25" t="s">
        <v>138</v>
      </c>
      <c r="G118" s="26" t="s">
        <v>139</v>
      </c>
      <c r="H118" s="27" t="s">
        <v>283</v>
      </c>
      <c r="I118" s="24" t="s">
        <v>106</v>
      </c>
      <c r="J118" s="24" t="s">
        <v>107</v>
      </c>
      <c r="K118" s="28" t="s">
        <v>108</v>
      </c>
      <c r="L118" s="29">
        <v>0.02</v>
      </c>
      <c r="M118" s="29">
        <v>0.02</v>
      </c>
      <c r="N118" s="29">
        <v>0.02</v>
      </c>
      <c r="O118" s="27" t="s">
        <v>148</v>
      </c>
      <c r="P118" s="30" t="s">
        <v>145</v>
      </c>
      <c r="Q118" s="31">
        <v>81163921.069999993</v>
      </c>
      <c r="R118" s="31">
        <v>248.49</v>
      </c>
      <c r="S118" s="32">
        <v>2.3519000000000002E-2</v>
      </c>
      <c r="T118" s="32" t="s">
        <v>139</v>
      </c>
      <c r="U118" s="32">
        <v>-2.2490000000000001E-3</v>
      </c>
      <c r="V118" s="32">
        <v>1.5779000000000001E-2</v>
      </c>
      <c r="W118" s="32">
        <v>2.4320999999999999E-2</v>
      </c>
      <c r="X118" s="32">
        <v>3.0352000000000001E-2</v>
      </c>
      <c r="Y118" s="32">
        <v>-5.2440000000000004E-3</v>
      </c>
      <c r="Z118" s="32">
        <v>0.171183</v>
      </c>
      <c r="AA118" s="32">
        <v>0.29942999999999997</v>
      </c>
      <c r="AB118" s="32">
        <v>0.25303799999999999</v>
      </c>
    </row>
    <row r="119" spans="1:28" ht="15.6" customHeight="1" x14ac:dyDescent="0.25">
      <c r="A119" s="24" t="s">
        <v>284</v>
      </c>
      <c r="B119" s="50">
        <v>3634</v>
      </c>
      <c r="C119" s="25" t="s">
        <v>285</v>
      </c>
      <c r="D119" s="25" t="s">
        <v>137</v>
      </c>
      <c r="E119" s="25" t="s">
        <v>194</v>
      </c>
      <c r="F119" s="25" t="s">
        <v>113</v>
      </c>
      <c r="G119" s="26" t="s">
        <v>286</v>
      </c>
      <c r="H119" s="27" t="s">
        <v>115</v>
      </c>
      <c r="I119" s="24" t="s">
        <v>106</v>
      </c>
      <c r="J119" s="24" t="s">
        <v>107</v>
      </c>
      <c r="K119" s="28" t="s">
        <v>108</v>
      </c>
      <c r="L119" s="29">
        <v>0.03</v>
      </c>
      <c r="M119" s="29">
        <v>1.4999999999999999E-2</v>
      </c>
      <c r="N119" s="29">
        <v>0.02</v>
      </c>
      <c r="O119" s="27" t="s">
        <v>141</v>
      </c>
      <c r="P119" s="30" t="s">
        <v>142</v>
      </c>
      <c r="Q119" s="31">
        <v>553060983.13919902</v>
      </c>
      <c r="R119" s="31">
        <v>34.19</v>
      </c>
      <c r="S119" s="32">
        <v>2.9329999999999998E-3</v>
      </c>
      <c r="T119" s="32" t="s">
        <v>139</v>
      </c>
      <c r="U119" s="32">
        <v>1.1709999999999999E-3</v>
      </c>
      <c r="V119" s="32">
        <v>4.7019999999999996E-3</v>
      </c>
      <c r="W119" s="32">
        <v>4.1120000000000002E-3</v>
      </c>
      <c r="X119" s="32">
        <v>-1.4599999999999999E-3</v>
      </c>
      <c r="Y119" s="32">
        <v>-0.77991600000000005</v>
      </c>
      <c r="Z119" s="32">
        <v>-0.76730399999999999</v>
      </c>
      <c r="AA119" s="32">
        <v>-0.75482300000000002</v>
      </c>
      <c r="AB119" s="32" t="s">
        <v>139</v>
      </c>
    </row>
    <row r="120" spans="1:28" ht="15.6" customHeight="1" x14ac:dyDescent="0.25">
      <c r="A120" s="24" t="s">
        <v>287</v>
      </c>
      <c r="B120" s="50">
        <v>3635</v>
      </c>
      <c r="C120" s="25" t="s">
        <v>288</v>
      </c>
      <c r="D120" s="25" t="s">
        <v>261</v>
      </c>
      <c r="E120" s="25" t="s">
        <v>194</v>
      </c>
      <c r="F120" s="25" t="s">
        <v>128</v>
      </c>
      <c r="G120" s="26" t="s">
        <v>289</v>
      </c>
      <c r="H120" s="27" t="s">
        <v>290</v>
      </c>
      <c r="I120" s="24" t="s">
        <v>106</v>
      </c>
      <c r="J120" s="24" t="s">
        <v>107</v>
      </c>
      <c r="K120" s="28" t="s">
        <v>108</v>
      </c>
      <c r="L120" s="29">
        <v>0.03</v>
      </c>
      <c r="M120" s="29">
        <v>1.4999999999999999E-2</v>
      </c>
      <c r="N120" s="29">
        <v>0.02</v>
      </c>
      <c r="O120" s="27" t="s">
        <v>262</v>
      </c>
      <c r="P120" s="30" t="s">
        <v>291</v>
      </c>
      <c r="Q120" s="31">
        <v>885749520.50999999</v>
      </c>
      <c r="R120" s="31">
        <v>174.82</v>
      </c>
      <c r="S120" s="32">
        <v>1.9061000000000002E-2</v>
      </c>
      <c r="T120" s="32" t="s">
        <v>139</v>
      </c>
      <c r="U120" s="32">
        <v>4.5800000000000002E-4</v>
      </c>
      <c r="V120" s="32">
        <v>2.4659999999999999E-3</v>
      </c>
      <c r="W120" s="32">
        <v>6.6800000000000002E-3</v>
      </c>
      <c r="X120" s="32">
        <v>1.4154999999999999E-2</v>
      </c>
      <c r="Y120" s="32">
        <v>2.6481000000000001E-2</v>
      </c>
      <c r="Z120" s="32">
        <v>6.2413000000000003E-2</v>
      </c>
      <c r="AA120" s="32">
        <v>0.105476</v>
      </c>
      <c r="AB120" s="32">
        <v>0.15210199999999999</v>
      </c>
    </row>
    <row r="121" spans="1:28" ht="15.6" customHeight="1" x14ac:dyDescent="0.25">
      <c r="A121" s="24" t="s">
        <v>1153</v>
      </c>
      <c r="B121" s="50">
        <v>3637</v>
      </c>
      <c r="C121" s="25" t="s">
        <v>1154</v>
      </c>
      <c r="D121" s="25" t="s">
        <v>137</v>
      </c>
      <c r="E121" s="25" t="s">
        <v>194</v>
      </c>
      <c r="F121" s="25" t="s">
        <v>155</v>
      </c>
      <c r="G121" s="26" t="s">
        <v>139</v>
      </c>
      <c r="H121" s="27" t="s">
        <v>202</v>
      </c>
      <c r="I121" s="24" t="s">
        <v>998</v>
      </c>
      <c r="J121" s="24" t="s">
        <v>121</v>
      </c>
      <c r="K121" s="28" t="s">
        <v>227</v>
      </c>
      <c r="L121" s="29">
        <v>0.03</v>
      </c>
      <c r="M121" s="29">
        <v>1.4999999999999999E-2</v>
      </c>
      <c r="N121" s="29">
        <v>0.02</v>
      </c>
      <c r="O121" s="27" t="s">
        <v>166</v>
      </c>
      <c r="P121" s="30" t="s">
        <v>137</v>
      </c>
      <c r="Q121" s="31">
        <v>1301988.9340840001</v>
      </c>
      <c r="R121" s="31">
        <v>36166.36</v>
      </c>
      <c r="S121" s="32">
        <v>-3.5742999999999997E-2</v>
      </c>
      <c r="T121" s="32" t="s">
        <v>139</v>
      </c>
      <c r="U121" s="32">
        <v>-4.215E-3</v>
      </c>
      <c r="V121" s="32">
        <v>3.4882999999999997E-2</v>
      </c>
      <c r="W121" s="32">
        <v>1.8223E-2</v>
      </c>
      <c r="X121" s="32">
        <v>-4.2909999999999997E-3</v>
      </c>
      <c r="Y121" s="32">
        <v>-0.117829</v>
      </c>
      <c r="Z121" s="32">
        <v>0.20705499999999999</v>
      </c>
      <c r="AA121" s="32">
        <v>0.45103100000000002</v>
      </c>
      <c r="AB121" s="32">
        <v>0.437278</v>
      </c>
    </row>
    <row r="122" spans="1:28" ht="15.6" customHeight="1" x14ac:dyDescent="0.25">
      <c r="A122" s="24" t="s">
        <v>1155</v>
      </c>
      <c r="B122" s="50">
        <v>3639</v>
      </c>
      <c r="C122" s="25" t="s">
        <v>1156</v>
      </c>
      <c r="D122" s="25" t="s">
        <v>145</v>
      </c>
      <c r="E122" s="25" t="s">
        <v>194</v>
      </c>
      <c r="F122" s="25" t="s">
        <v>113</v>
      </c>
      <c r="G122" s="26" t="s">
        <v>1109</v>
      </c>
      <c r="H122" s="27" t="s">
        <v>1157</v>
      </c>
      <c r="I122" s="24" t="s">
        <v>998</v>
      </c>
      <c r="J122" s="24" t="s">
        <v>121</v>
      </c>
      <c r="K122" s="28" t="s">
        <v>108</v>
      </c>
      <c r="L122" s="29">
        <v>0.03</v>
      </c>
      <c r="M122" s="29">
        <v>1.4999999999999999E-2</v>
      </c>
      <c r="N122" s="29">
        <v>0.02</v>
      </c>
      <c r="O122" s="27" t="s">
        <v>148</v>
      </c>
      <c r="P122" s="30" t="s">
        <v>145</v>
      </c>
      <c r="Q122" s="31">
        <v>3554749745.4899998</v>
      </c>
      <c r="R122" s="31">
        <v>2374.5</v>
      </c>
      <c r="S122" s="32">
        <v>-2.8200000000000002E-4</v>
      </c>
      <c r="T122" s="32" t="s">
        <v>139</v>
      </c>
      <c r="U122" s="32">
        <v>3.6200000000000002E-4</v>
      </c>
      <c r="V122" s="32">
        <v>8.404E-3</v>
      </c>
      <c r="W122" s="32">
        <v>5.4279999999999997E-3</v>
      </c>
      <c r="X122" s="32">
        <v>1.121E-3</v>
      </c>
      <c r="Y122" s="32">
        <v>-1.4031E-2</v>
      </c>
      <c r="Z122" s="32">
        <v>0.10492700000000001</v>
      </c>
      <c r="AA122" s="32">
        <v>0.225915</v>
      </c>
      <c r="AB122" s="32">
        <v>0.16963</v>
      </c>
    </row>
    <row r="123" spans="1:28" ht="15.6" customHeight="1" x14ac:dyDescent="0.25">
      <c r="A123" s="24" t="s">
        <v>292</v>
      </c>
      <c r="B123" s="50">
        <v>3640</v>
      </c>
      <c r="C123" s="25" t="s">
        <v>293</v>
      </c>
      <c r="D123" s="25" t="s">
        <v>159</v>
      </c>
      <c r="E123" s="25" t="s">
        <v>194</v>
      </c>
      <c r="F123" s="25" t="s">
        <v>138</v>
      </c>
      <c r="G123" s="26" t="s">
        <v>139</v>
      </c>
      <c r="H123" s="27" t="s">
        <v>294</v>
      </c>
      <c r="I123" s="24" t="s">
        <v>106</v>
      </c>
      <c r="J123" s="24" t="s">
        <v>121</v>
      </c>
      <c r="K123" s="28" t="s">
        <v>227</v>
      </c>
      <c r="L123" s="29">
        <v>0</v>
      </c>
      <c r="M123" s="29">
        <v>0</v>
      </c>
      <c r="N123" s="29">
        <v>0.02</v>
      </c>
      <c r="O123" s="27" t="s">
        <v>161</v>
      </c>
      <c r="P123" s="30" t="s">
        <v>159</v>
      </c>
      <c r="Q123" s="31">
        <v>571047152.98000002</v>
      </c>
      <c r="R123" s="31">
        <v>125.05</v>
      </c>
      <c r="S123" s="32">
        <v>9.2160000000000002E-3</v>
      </c>
      <c r="T123" s="32" t="s">
        <v>139</v>
      </c>
      <c r="U123" s="32">
        <v>-4.1409999999999997E-3</v>
      </c>
      <c r="V123" s="32">
        <v>2.8625999999999999E-2</v>
      </c>
      <c r="W123" s="32">
        <v>1.0832E-2</v>
      </c>
      <c r="X123" s="32">
        <v>2.6504E-2</v>
      </c>
      <c r="Y123" s="32">
        <v>-4.4665000000000003E-2</v>
      </c>
      <c r="Z123" s="32">
        <v>0.20616300000000001</v>
      </c>
      <c r="AA123" s="32">
        <v>-4.6397000000000001E-2</v>
      </c>
      <c r="AB123" s="32">
        <v>-8.2875000000000004E-2</v>
      </c>
    </row>
    <row r="124" spans="1:28" ht="15.6" customHeight="1" x14ac:dyDescent="0.25">
      <c r="A124" s="24" t="s">
        <v>1158</v>
      </c>
      <c r="B124" s="50">
        <v>3643</v>
      </c>
      <c r="C124" s="25" t="s">
        <v>1159</v>
      </c>
      <c r="D124" s="25" t="s">
        <v>241</v>
      </c>
      <c r="E124" s="25" t="s">
        <v>194</v>
      </c>
      <c r="F124" s="25" t="s">
        <v>113</v>
      </c>
      <c r="G124" s="26" t="s">
        <v>1160</v>
      </c>
      <c r="H124" s="27" t="s">
        <v>115</v>
      </c>
      <c r="I124" s="24" t="s">
        <v>998</v>
      </c>
      <c r="J124" s="24" t="s">
        <v>107</v>
      </c>
      <c r="K124" s="28" t="s">
        <v>108</v>
      </c>
      <c r="L124" s="29">
        <v>0.03</v>
      </c>
      <c r="M124" s="29">
        <v>1.4999999999999999E-2</v>
      </c>
      <c r="N124" s="29">
        <v>5.0000000000000001E-3</v>
      </c>
      <c r="O124" s="27" t="s">
        <v>148</v>
      </c>
      <c r="P124" s="30" t="s">
        <v>241</v>
      </c>
      <c r="Q124" s="31">
        <v>273558269.95999998</v>
      </c>
      <c r="R124" s="31">
        <v>1801.15</v>
      </c>
      <c r="S124" s="32">
        <v>6.1219999999999998E-3</v>
      </c>
      <c r="T124" s="32" t="s">
        <v>139</v>
      </c>
      <c r="U124" s="32">
        <v>7.67E-4</v>
      </c>
      <c r="V124" s="32">
        <v>3.13E-3</v>
      </c>
      <c r="W124" s="32">
        <v>5.1729999999999996E-3</v>
      </c>
      <c r="X124" s="32">
        <v>4.4609999999999997E-3</v>
      </c>
      <c r="Y124" s="32">
        <v>6.032E-3</v>
      </c>
      <c r="Z124" s="32">
        <v>6.3314999999999996E-2</v>
      </c>
      <c r="AA124" s="32">
        <v>0.129722</v>
      </c>
      <c r="AB124" s="32">
        <v>0.11156000000000001</v>
      </c>
    </row>
    <row r="125" spans="1:28" ht="15.6" customHeight="1" x14ac:dyDescent="0.25">
      <c r="A125" s="24" t="s">
        <v>1161</v>
      </c>
      <c r="B125" s="50">
        <v>3644</v>
      </c>
      <c r="C125" s="25" t="s">
        <v>1162</v>
      </c>
      <c r="D125" s="25" t="s">
        <v>241</v>
      </c>
      <c r="E125" s="25" t="s">
        <v>194</v>
      </c>
      <c r="F125" s="25" t="s">
        <v>113</v>
      </c>
      <c r="G125" s="26" t="s">
        <v>1163</v>
      </c>
      <c r="H125" s="27" t="s">
        <v>115</v>
      </c>
      <c r="I125" s="24" t="s">
        <v>998</v>
      </c>
      <c r="J125" s="24" t="s">
        <v>121</v>
      </c>
      <c r="K125" s="28" t="s">
        <v>108</v>
      </c>
      <c r="L125" s="29">
        <v>0.03</v>
      </c>
      <c r="M125" s="29">
        <v>1.4999999999999999E-2</v>
      </c>
      <c r="N125" s="29">
        <v>8.0000000000000002E-3</v>
      </c>
      <c r="O125" s="27" t="s">
        <v>548</v>
      </c>
      <c r="P125" s="30" t="s">
        <v>241</v>
      </c>
      <c r="Q125" s="31">
        <v>5040256345.7700005</v>
      </c>
      <c r="R125" s="31">
        <v>213887.39</v>
      </c>
      <c r="S125" s="32">
        <v>2.6210000000000001E-3</v>
      </c>
      <c r="T125" s="32" t="s">
        <v>139</v>
      </c>
      <c r="U125" s="32">
        <v>4.2900000000000002E-4</v>
      </c>
      <c r="V125" s="32">
        <v>6.8320000000000004E-3</v>
      </c>
      <c r="W125" s="32">
        <v>5.6759999999999996E-3</v>
      </c>
      <c r="X125" s="32">
        <v>2.9659999999999999E-3</v>
      </c>
      <c r="Y125" s="32">
        <v>-7.8239999999999994E-3</v>
      </c>
      <c r="Z125" s="32">
        <v>9.7847000000000003E-2</v>
      </c>
      <c r="AA125" s="32">
        <v>0.21490699999999999</v>
      </c>
      <c r="AB125" s="32">
        <v>0.13695399999999999</v>
      </c>
    </row>
    <row r="126" spans="1:28" ht="15.6" customHeight="1" x14ac:dyDescent="0.25">
      <c r="A126" s="24" t="s">
        <v>1164</v>
      </c>
      <c r="B126" s="50">
        <v>3648</v>
      </c>
      <c r="C126" s="25" t="s">
        <v>1165</v>
      </c>
      <c r="D126" s="25" t="s">
        <v>101</v>
      </c>
      <c r="E126" s="25" t="s">
        <v>194</v>
      </c>
      <c r="F126" s="25" t="s">
        <v>155</v>
      </c>
      <c r="G126" s="26" t="s">
        <v>139</v>
      </c>
      <c r="H126" s="27" t="s">
        <v>1099</v>
      </c>
      <c r="I126" s="24" t="s">
        <v>998</v>
      </c>
      <c r="J126" s="24" t="s">
        <v>121</v>
      </c>
      <c r="K126" s="28" t="s">
        <v>180</v>
      </c>
      <c r="L126" s="29">
        <v>0</v>
      </c>
      <c r="M126" s="29">
        <v>0</v>
      </c>
      <c r="N126" s="29">
        <v>0.02</v>
      </c>
      <c r="O126" s="27" t="s">
        <v>109</v>
      </c>
      <c r="P126" s="30" t="s">
        <v>101</v>
      </c>
      <c r="Q126" s="31">
        <v>290731798.33999997</v>
      </c>
      <c r="R126" s="31">
        <v>508272.37</v>
      </c>
      <c r="S126" s="32">
        <v>1.5476E-2</v>
      </c>
      <c r="T126" s="32" t="s">
        <v>139</v>
      </c>
      <c r="U126" s="32">
        <v>-1.0232E-2</v>
      </c>
      <c r="V126" s="32">
        <v>6.2833E-2</v>
      </c>
      <c r="W126" s="32">
        <v>2.4885000000000001E-2</v>
      </c>
      <c r="X126" s="32">
        <v>4.4927000000000002E-2</v>
      </c>
      <c r="Y126" s="32">
        <v>-8.1622E-2</v>
      </c>
      <c r="Z126" s="32">
        <v>0.35772599999999999</v>
      </c>
      <c r="AA126" s="32">
        <v>0.56545599999999996</v>
      </c>
      <c r="AB126" s="32">
        <v>0.54946700000000004</v>
      </c>
    </row>
    <row r="127" spans="1:28" ht="15.6" customHeight="1" x14ac:dyDescent="0.25">
      <c r="A127" s="24" t="s">
        <v>295</v>
      </c>
      <c r="B127" s="50">
        <v>3649</v>
      </c>
      <c r="C127" s="25" t="s">
        <v>296</v>
      </c>
      <c r="D127" s="25" t="s">
        <v>145</v>
      </c>
      <c r="E127" s="25" t="s">
        <v>194</v>
      </c>
      <c r="F127" s="25" t="s">
        <v>155</v>
      </c>
      <c r="G127" s="26" t="s">
        <v>139</v>
      </c>
      <c r="H127" s="27" t="s">
        <v>156</v>
      </c>
      <c r="I127" s="24" t="s">
        <v>106</v>
      </c>
      <c r="J127" s="24" t="s">
        <v>107</v>
      </c>
      <c r="K127" s="28" t="s">
        <v>108</v>
      </c>
      <c r="L127" s="29">
        <v>0.02</v>
      </c>
      <c r="M127" s="29">
        <v>0.02</v>
      </c>
      <c r="N127" s="29">
        <v>0.02</v>
      </c>
      <c r="O127" s="27" t="s">
        <v>148</v>
      </c>
      <c r="P127" s="30" t="s">
        <v>145</v>
      </c>
      <c r="Q127" s="31">
        <v>1513467349.5799999</v>
      </c>
      <c r="R127" s="31">
        <v>1807.1</v>
      </c>
      <c r="S127" s="32">
        <v>1.627E-2</v>
      </c>
      <c r="T127" s="32" t="s">
        <v>139</v>
      </c>
      <c r="U127" s="32">
        <v>-1.0041E-2</v>
      </c>
      <c r="V127" s="32">
        <v>6.3713000000000006E-2</v>
      </c>
      <c r="W127" s="32">
        <v>2.0937000000000001E-2</v>
      </c>
      <c r="X127" s="32">
        <v>5.1783000000000003E-2</v>
      </c>
      <c r="Y127" s="32">
        <v>-9.2013999999999999E-2</v>
      </c>
      <c r="Z127" s="32">
        <v>0.392455</v>
      </c>
      <c r="AA127" s="32">
        <v>0.71482500000000004</v>
      </c>
      <c r="AB127" s="32">
        <v>0.63392099999999996</v>
      </c>
    </row>
    <row r="128" spans="1:28" ht="15.6" customHeight="1" x14ac:dyDescent="0.25">
      <c r="A128" s="24" t="s">
        <v>297</v>
      </c>
      <c r="B128" s="50">
        <v>3650</v>
      </c>
      <c r="C128" s="25" t="s">
        <v>298</v>
      </c>
      <c r="D128" s="25" t="s">
        <v>145</v>
      </c>
      <c r="E128" s="25" t="s">
        <v>194</v>
      </c>
      <c r="F128" s="25" t="s">
        <v>138</v>
      </c>
      <c r="G128" s="26" t="s">
        <v>139</v>
      </c>
      <c r="H128" s="27" t="s">
        <v>283</v>
      </c>
      <c r="I128" s="24" t="s">
        <v>106</v>
      </c>
      <c r="J128" s="24" t="s">
        <v>107</v>
      </c>
      <c r="K128" s="28" t="s">
        <v>108</v>
      </c>
      <c r="L128" s="29">
        <v>0.02</v>
      </c>
      <c r="M128" s="29">
        <v>0.02</v>
      </c>
      <c r="N128" s="29">
        <v>0.02</v>
      </c>
      <c r="O128" s="27" t="s">
        <v>148</v>
      </c>
      <c r="P128" s="30" t="s">
        <v>145</v>
      </c>
      <c r="Q128" s="31">
        <v>1754100559.1700001</v>
      </c>
      <c r="R128" s="31">
        <v>546.04</v>
      </c>
      <c r="S128" s="32">
        <v>-1.3174999999999999E-2</v>
      </c>
      <c r="T128" s="32" t="s">
        <v>139</v>
      </c>
      <c r="U128" s="32">
        <v>-2.4659999999999999E-3</v>
      </c>
      <c r="V128" s="32">
        <v>2.2374999999999999E-2</v>
      </c>
      <c r="W128" s="32">
        <v>6.3949999999999996E-3</v>
      </c>
      <c r="X128" s="32">
        <v>2.8839999999999998E-3</v>
      </c>
      <c r="Y128" s="32">
        <v>-5.8194000000000003E-2</v>
      </c>
      <c r="Z128" s="32">
        <v>0.14052999999999999</v>
      </c>
      <c r="AA128" s="32">
        <v>0.26826800000000001</v>
      </c>
      <c r="AB128" s="32">
        <v>0.17329600000000001</v>
      </c>
    </row>
    <row r="129" spans="1:28" ht="15.6" customHeight="1" x14ac:dyDescent="0.25">
      <c r="A129" s="24" t="s">
        <v>1166</v>
      </c>
      <c r="B129" s="50">
        <v>3651</v>
      </c>
      <c r="C129" s="25" t="s">
        <v>1167</v>
      </c>
      <c r="D129" s="25" t="s">
        <v>145</v>
      </c>
      <c r="E129" s="25" t="s">
        <v>194</v>
      </c>
      <c r="F129" s="25" t="s">
        <v>113</v>
      </c>
      <c r="G129" s="26" t="s">
        <v>1168</v>
      </c>
      <c r="H129" s="27" t="s">
        <v>115</v>
      </c>
      <c r="I129" s="24" t="s">
        <v>998</v>
      </c>
      <c r="J129" s="24" t="s">
        <v>121</v>
      </c>
      <c r="K129" s="28" t="s">
        <v>108</v>
      </c>
      <c r="L129" s="29">
        <v>0.03</v>
      </c>
      <c r="M129" s="29">
        <v>1.4999999999999999E-2</v>
      </c>
      <c r="N129" s="29">
        <v>0.02</v>
      </c>
      <c r="O129" s="27" t="s">
        <v>148</v>
      </c>
      <c r="P129" s="30" t="s">
        <v>145</v>
      </c>
      <c r="Q129" s="31">
        <v>3022689733.2199998</v>
      </c>
      <c r="R129" s="31">
        <v>225422.45</v>
      </c>
      <c r="S129" s="32">
        <v>-1.761E-3</v>
      </c>
      <c r="T129" s="32" t="s">
        <v>139</v>
      </c>
      <c r="U129" s="32">
        <v>3.6699999999999998E-4</v>
      </c>
      <c r="V129" s="32">
        <v>7.4960000000000001E-3</v>
      </c>
      <c r="W129" s="32">
        <v>3.5869999999999999E-3</v>
      </c>
      <c r="X129" s="32">
        <v>-6.1399999999999996E-4</v>
      </c>
      <c r="Y129" s="32">
        <v>-1.5649E-2</v>
      </c>
      <c r="Z129" s="32">
        <v>9.3923000000000006E-2</v>
      </c>
      <c r="AA129" s="32">
        <v>0.20973700000000001</v>
      </c>
      <c r="AB129" s="32">
        <v>0.15196399999999999</v>
      </c>
    </row>
    <row r="130" spans="1:28" ht="15.6" customHeight="1" x14ac:dyDescent="0.25">
      <c r="A130" s="24" t="s">
        <v>1169</v>
      </c>
      <c r="B130" s="50">
        <v>3652</v>
      </c>
      <c r="C130" s="25" t="s">
        <v>1170</v>
      </c>
      <c r="D130" s="25" t="s">
        <v>164</v>
      </c>
      <c r="E130" s="25" t="s">
        <v>194</v>
      </c>
      <c r="F130" s="25" t="s">
        <v>113</v>
      </c>
      <c r="G130" s="26" t="s">
        <v>1066</v>
      </c>
      <c r="H130" s="27" t="s">
        <v>115</v>
      </c>
      <c r="I130" s="24" t="s">
        <v>998</v>
      </c>
      <c r="J130" s="24" t="s">
        <v>121</v>
      </c>
      <c r="K130" s="28" t="s">
        <v>108</v>
      </c>
      <c r="L130" s="29">
        <v>0.03</v>
      </c>
      <c r="M130" s="29">
        <v>0.03</v>
      </c>
      <c r="N130" s="29">
        <v>0.02</v>
      </c>
      <c r="O130" s="27" t="s">
        <v>166</v>
      </c>
      <c r="P130" s="30" t="s">
        <v>164</v>
      </c>
      <c r="Q130" s="31">
        <v>5241888805</v>
      </c>
      <c r="R130" s="31">
        <v>218767.53</v>
      </c>
      <c r="S130" s="32">
        <v>7.4650000000000003E-3</v>
      </c>
      <c r="T130" s="32" t="s">
        <v>139</v>
      </c>
      <c r="U130" s="32">
        <v>4.6999999999999999E-4</v>
      </c>
      <c r="V130" s="32">
        <v>7.0819999999999998E-3</v>
      </c>
      <c r="W130" s="32">
        <v>6.1089999999999998E-3</v>
      </c>
      <c r="X130" s="32">
        <v>7.424E-3</v>
      </c>
      <c r="Y130" s="32">
        <v>6.4800000000000003E-4</v>
      </c>
      <c r="Z130" s="32">
        <v>0.107416</v>
      </c>
      <c r="AA130" s="32">
        <v>0.22913600000000001</v>
      </c>
      <c r="AB130" s="32">
        <v>0.148677</v>
      </c>
    </row>
    <row r="131" spans="1:28" ht="15.6" customHeight="1" x14ac:dyDescent="0.25">
      <c r="A131" s="24" t="s">
        <v>1171</v>
      </c>
      <c r="B131" s="50">
        <v>3653</v>
      </c>
      <c r="C131" s="25" t="s">
        <v>1172</v>
      </c>
      <c r="D131" s="25" t="s">
        <v>137</v>
      </c>
      <c r="E131" s="25" t="s">
        <v>194</v>
      </c>
      <c r="F131" s="25" t="s">
        <v>113</v>
      </c>
      <c r="G131" s="26" t="s">
        <v>1168</v>
      </c>
      <c r="H131" s="27" t="s">
        <v>115</v>
      </c>
      <c r="I131" s="24" t="s">
        <v>998</v>
      </c>
      <c r="J131" s="24" t="s">
        <v>121</v>
      </c>
      <c r="K131" s="28" t="s">
        <v>108</v>
      </c>
      <c r="L131" s="29">
        <v>0</v>
      </c>
      <c r="M131" s="29">
        <v>0</v>
      </c>
      <c r="N131" s="29">
        <v>0.02</v>
      </c>
      <c r="O131" s="27" t="s">
        <v>548</v>
      </c>
      <c r="P131" s="30" t="s">
        <v>137</v>
      </c>
      <c r="Q131" s="31">
        <v>3854264809.3595352</v>
      </c>
      <c r="R131" s="31">
        <v>219916.97</v>
      </c>
      <c r="S131" s="32">
        <v>-2.0929999999999998E-3</v>
      </c>
      <c r="T131" s="32" t="s">
        <v>139</v>
      </c>
      <c r="U131" s="32">
        <v>3.9899999999999999E-4</v>
      </c>
      <c r="V131" s="32">
        <v>6.8890000000000002E-3</v>
      </c>
      <c r="W131" s="32">
        <v>3.9399999999999999E-3</v>
      </c>
      <c r="X131" s="32">
        <v>-4.66E-4</v>
      </c>
      <c r="Y131" s="32">
        <v>-1.2597000000000001E-2</v>
      </c>
      <c r="Z131" s="32">
        <v>9.4768000000000005E-2</v>
      </c>
      <c r="AA131" s="32">
        <v>0.21173</v>
      </c>
      <c r="AB131" s="32">
        <v>0.12989100000000001</v>
      </c>
    </row>
    <row r="132" spans="1:28" ht="15.6" customHeight="1" x14ac:dyDescent="0.25">
      <c r="A132" s="24" t="s">
        <v>1173</v>
      </c>
      <c r="B132" s="50">
        <v>3654</v>
      </c>
      <c r="C132" s="25" t="s">
        <v>1174</v>
      </c>
      <c r="D132" s="25" t="s">
        <v>127</v>
      </c>
      <c r="E132" s="25" t="s">
        <v>194</v>
      </c>
      <c r="F132" s="25" t="s">
        <v>113</v>
      </c>
      <c r="G132" s="26" t="s">
        <v>1066</v>
      </c>
      <c r="H132" s="27" t="s">
        <v>115</v>
      </c>
      <c r="I132" s="24" t="s">
        <v>998</v>
      </c>
      <c r="J132" s="24" t="s">
        <v>121</v>
      </c>
      <c r="K132" s="28" t="s">
        <v>108</v>
      </c>
      <c r="L132" s="29">
        <v>0.03</v>
      </c>
      <c r="M132" s="29">
        <v>1.4999999999999999E-2</v>
      </c>
      <c r="N132" s="29">
        <v>0.02</v>
      </c>
      <c r="O132" s="27" t="s">
        <v>131</v>
      </c>
      <c r="P132" s="30" t="s">
        <v>131</v>
      </c>
      <c r="Q132" s="31">
        <v>2830687867.52</v>
      </c>
      <c r="R132" s="31">
        <v>246146.77</v>
      </c>
      <c r="S132" s="32">
        <v>2.4190000000000001E-3</v>
      </c>
      <c r="T132" s="32" t="s">
        <v>139</v>
      </c>
      <c r="U132" s="32">
        <v>4.6500000000000003E-4</v>
      </c>
      <c r="V132" s="32">
        <v>6.1130000000000004E-3</v>
      </c>
      <c r="W132" s="32">
        <v>3.6909999999999998E-3</v>
      </c>
      <c r="X132" s="32">
        <v>1.0950000000000001E-3</v>
      </c>
      <c r="Y132" s="32">
        <v>-8.5579999999999996E-3</v>
      </c>
      <c r="Z132" s="32">
        <v>9.085E-2</v>
      </c>
      <c r="AA132" s="32">
        <v>0.20224900000000001</v>
      </c>
      <c r="AB132" s="32">
        <v>0.18587999999999999</v>
      </c>
    </row>
    <row r="133" spans="1:28" ht="15.6" customHeight="1" x14ac:dyDescent="0.25">
      <c r="A133" s="24" t="s">
        <v>1175</v>
      </c>
      <c r="B133" s="50">
        <v>3655</v>
      </c>
      <c r="C133" s="25" t="s">
        <v>1176</v>
      </c>
      <c r="D133" s="25" t="s">
        <v>159</v>
      </c>
      <c r="E133" s="25" t="s">
        <v>194</v>
      </c>
      <c r="F133" s="25" t="s">
        <v>113</v>
      </c>
      <c r="G133" s="26" t="s">
        <v>1066</v>
      </c>
      <c r="H133" s="27" t="s">
        <v>115</v>
      </c>
      <c r="I133" s="24" t="s">
        <v>998</v>
      </c>
      <c r="J133" s="24" t="s">
        <v>121</v>
      </c>
      <c r="K133" s="28" t="s">
        <v>108</v>
      </c>
      <c r="L133" s="29">
        <v>0</v>
      </c>
      <c r="M133" s="29">
        <v>0</v>
      </c>
      <c r="N133" s="29">
        <v>0.02</v>
      </c>
      <c r="O133" s="27" t="s">
        <v>548</v>
      </c>
      <c r="P133" s="30" t="s">
        <v>159</v>
      </c>
      <c r="Q133" s="31">
        <v>1408164273.6500001</v>
      </c>
      <c r="R133" s="31">
        <v>137221.23000000001</v>
      </c>
      <c r="S133" s="32">
        <v>4.6930000000000001E-3</v>
      </c>
      <c r="T133" s="32" t="s">
        <v>139</v>
      </c>
      <c r="U133" s="32">
        <v>3.88E-4</v>
      </c>
      <c r="V133" s="32">
        <v>6.8459999999999997E-3</v>
      </c>
      <c r="W133" s="32">
        <v>5.5510000000000004E-3</v>
      </c>
      <c r="X133" s="32">
        <v>2.5690000000000001E-3</v>
      </c>
      <c r="Y133" s="32">
        <v>-6.1780000000000003E-3</v>
      </c>
      <c r="Z133" s="32">
        <v>9.6809000000000006E-2</v>
      </c>
      <c r="AA133" s="32">
        <v>0.20884900000000001</v>
      </c>
      <c r="AB133" s="32">
        <v>0.126363</v>
      </c>
    </row>
    <row r="134" spans="1:28" ht="15.6" customHeight="1" x14ac:dyDescent="0.25">
      <c r="A134" s="24" t="s">
        <v>1177</v>
      </c>
      <c r="B134" s="50">
        <v>3656</v>
      </c>
      <c r="C134" s="25" t="s">
        <v>1178</v>
      </c>
      <c r="D134" s="25" t="s">
        <v>159</v>
      </c>
      <c r="E134" s="25" t="s">
        <v>194</v>
      </c>
      <c r="F134" s="25" t="s">
        <v>113</v>
      </c>
      <c r="G134" s="26" t="s">
        <v>1179</v>
      </c>
      <c r="H134" s="27" t="s">
        <v>1180</v>
      </c>
      <c r="I134" s="24" t="s">
        <v>998</v>
      </c>
      <c r="J134" s="24" t="s">
        <v>121</v>
      </c>
      <c r="K134" s="28" t="s">
        <v>227</v>
      </c>
      <c r="L134" s="29">
        <v>0</v>
      </c>
      <c r="M134" s="29">
        <v>0</v>
      </c>
      <c r="N134" s="29">
        <v>0.02</v>
      </c>
      <c r="O134" s="27" t="s">
        <v>161</v>
      </c>
      <c r="P134" s="30" t="s">
        <v>159</v>
      </c>
      <c r="Q134" s="31">
        <v>10781198437.23</v>
      </c>
      <c r="R134" s="31">
        <v>1655.58</v>
      </c>
      <c r="S134" s="32">
        <v>-7.8919999999999997E-3</v>
      </c>
      <c r="T134" s="32" t="s">
        <v>139</v>
      </c>
      <c r="U134" s="32">
        <v>5.3799999999999996E-4</v>
      </c>
      <c r="V134" s="32">
        <v>5.6309999999999997E-3</v>
      </c>
      <c r="W134" s="32">
        <v>2.137E-3</v>
      </c>
      <c r="X134" s="32">
        <v>-7.6010000000000001E-3</v>
      </c>
      <c r="Y134" s="32">
        <v>-1.4154E-2</v>
      </c>
      <c r="Z134" s="32">
        <v>9.0402999999999997E-2</v>
      </c>
      <c r="AA134" s="32">
        <v>0.200374</v>
      </c>
      <c r="AB134" s="32">
        <v>0.129605</v>
      </c>
    </row>
    <row r="135" spans="1:28" ht="15.6" customHeight="1" x14ac:dyDescent="0.25">
      <c r="A135" s="24" t="s">
        <v>299</v>
      </c>
      <c r="B135" s="50">
        <v>3657</v>
      </c>
      <c r="C135" s="25" t="s">
        <v>300</v>
      </c>
      <c r="D135" s="25" t="s">
        <v>159</v>
      </c>
      <c r="E135" s="25" t="s">
        <v>194</v>
      </c>
      <c r="F135" s="25" t="s">
        <v>155</v>
      </c>
      <c r="G135" s="26" t="s">
        <v>139</v>
      </c>
      <c r="H135" s="27" t="s">
        <v>156</v>
      </c>
      <c r="I135" s="24" t="s">
        <v>106</v>
      </c>
      <c r="J135" s="24" t="s">
        <v>107</v>
      </c>
      <c r="K135" s="28" t="s">
        <v>227</v>
      </c>
      <c r="L135" s="29">
        <v>0</v>
      </c>
      <c r="M135" s="29">
        <v>0</v>
      </c>
      <c r="N135" s="29">
        <v>0.02</v>
      </c>
      <c r="O135" s="27" t="s">
        <v>161</v>
      </c>
      <c r="P135" s="30" t="s">
        <v>159</v>
      </c>
      <c r="Q135" s="31">
        <v>15605368.57</v>
      </c>
      <c r="R135" s="31">
        <v>4508.92</v>
      </c>
      <c r="S135" s="32">
        <v>2.2783000000000001E-2</v>
      </c>
      <c r="T135" s="32" t="s">
        <v>139</v>
      </c>
      <c r="U135" s="32">
        <v>-9.1509999999999994E-3</v>
      </c>
      <c r="V135" s="32">
        <v>5.9912E-2</v>
      </c>
      <c r="W135" s="32">
        <v>2.0104E-2</v>
      </c>
      <c r="X135" s="32">
        <v>5.0050999999999998E-2</v>
      </c>
      <c r="Y135" s="32">
        <v>-9.0531E-2</v>
      </c>
      <c r="Z135" s="32">
        <v>0.36898999999999998</v>
      </c>
      <c r="AA135" s="32">
        <v>0.63694099999999998</v>
      </c>
      <c r="AB135" s="32">
        <v>0.58537600000000001</v>
      </c>
    </row>
    <row r="136" spans="1:28" ht="15.6" customHeight="1" x14ac:dyDescent="0.25">
      <c r="A136" s="24" t="s">
        <v>301</v>
      </c>
      <c r="B136" s="50">
        <v>3658</v>
      </c>
      <c r="C136" s="25" t="s">
        <v>302</v>
      </c>
      <c r="D136" s="25" t="s">
        <v>127</v>
      </c>
      <c r="E136" s="25" t="s">
        <v>194</v>
      </c>
      <c r="F136" s="25" t="s">
        <v>103</v>
      </c>
      <c r="G136" s="26" t="s">
        <v>104</v>
      </c>
      <c r="H136" s="27" t="s">
        <v>217</v>
      </c>
      <c r="I136" s="24" t="s">
        <v>106</v>
      </c>
      <c r="J136" s="24" t="s">
        <v>121</v>
      </c>
      <c r="K136" s="28" t="s">
        <v>108</v>
      </c>
      <c r="L136" s="29">
        <v>0.03</v>
      </c>
      <c r="M136" s="29">
        <v>1.4999999999999999E-2</v>
      </c>
      <c r="N136" s="29">
        <v>0.02</v>
      </c>
      <c r="O136" s="27" t="s">
        <v>131</v>
      </c>
      <c r="P136" s="30" t="s">
        <v>131</v>
      </c>
      <c r="Q136" s="31">
        <v>1597596.89</v>
      </c>
      <c r="R136" s="31">
        <v>1518.62</v>
      </c>
      <c r="S136" s="32">
        <v>1.089E-2</v>
      </c>
      <c r="T136" s="32" t="s">
        <v>139</v>
      </c>
      <c r="U136" s="32">
        <v>1.7100000000000001E-4</v>
      </c>
      <c r="V136" s="32">
        <v>1.3389999999999999E-3</v>
      </c>
      <c r="W136" s="32">
        <v>3.9870000000000001E-3</v>
      </c>
      <c r="X136" s="32">
        <v>8.1320000000000003E-3</v>
      </c>
      <c r="Y136" s="32">
        <v>1.5561999999999999E-2</v>
      </c>
      <c r="Z136" s="32">
        <v>3.4848999999999998E-2</v>
      </c>
      <c r="AA136" s="32">
        <v>6.0911E-2</v>
      </c>
      <c r="AB136" s="32">
        <v>9.0954999999999994E-2</v>
      </c>
    </row>
    <row r="137" spans="1:28" ht="15.6" customHeight="1" x14ac:dyDescent="0.25">
      <c r="A137" s="24" t="s">
        <v>303</v>
      </c>
      <c r="B137" s="50">
        <v>3659</v>
      </c>
      <c r="C137" s="25" t="s">
        <v>304</v>
      </c>
      <c r="D137" s="25" t="s">
        <v>145</v>
      </c>
      <c r="E137" s="25" t="s">
        <v>194</v>
      </c>
      <c r="F137" s="25" t="s">
        <v>155</v>
      </c>
      <c r="G137" s="26" t="s">
        <v>139</v>
      </c>
      <c r="H137" s="27" t="s">
        <v>305</v>
      </c>
      <c r="I137" s="24" t="s">
        <v>106</v>
      </c>
      <c r="J137" s="24" t="s">
        <v>107</v>
      </c>
      <c r="K137" s="28" t="s">
        <v>108</v>
      </c>
      <c r="L137" s="29">
        <v>0.02</v>
      </c>
      <c r="M137" s="29">
        <v>0.02</v>
      </c>
      <c r="N137" s="29">
        <v>0.02</v>
      </c>
      <c r="O137" s="27" t="s">
        <v>148</v>
      </c>
      <c r="P137" s="30" t="s">
        <v>145</v>
      </c>
      <c r="Q137" s="31">
        <v>1375633.75</v>
      </c>
      <c r="R137" s="31">
        <v>1889.6</v>
      </c>
      <c r="S137" s="32">
        <v>-3.3196000000000003E-2</v>
      </c>
      <c r="T137" s="32" t="s">
        <v>139</v>
      </c>
      <c r="U137" s="32">
        <v>-4.6719999999999999E-3</v>
      </c>
      <c r="V137" s="32">
        <v>3.1390000000000001E-2</v>
      </c>
      <c r="W137" s="32">
        <v>1.5903E-2</v>
      </c>
      <c r="X137" s="32">
        <v>-8.6040000000000005E-3</v>
      </c>
      <c r="Y137" s="32">
        <v>-0.12236900000000001</v>
      </c>
      <c r="Z137" s="32">
        <v>0.356487</v>
      </c>
      <c r="AA137" s="32">
        <v>0.68837899999999996</v>
      </c>
      <c r="AB137" s="32">
        <v>0.61753100000000005</v>
      </c>
    </row>
    <row r="138" spans="1:28" ht="15.6" customHeight="1" x14ac:dyDescent="0.25">
      <c r="A138" s="24" t="s">
        <v>306</v>
      </c>
      <c r="B138" s="50">
        <v>3660</v>
      </c>
      <c r="C138" s="25" t="s">
        <v>307</v>
      </c>
      <c r="D138" s="25" t="s">
        <v>159</v>
      </c>
      <c r="E138" s="25" t="s">
        <v>194</v>
      </c>
      <c r="F138" s="25" t="s">
        <v>113</v>
      </c>
      <c r="G138" s="26" t="s">
        <v>308</v>
      </c>
      <c r="H138" s="27" t="s">
        <v>309</v>
      </c>
      <c r="I138" s="24" t="s">
        <v>106</v>
      </c>
      <c r="J138" s="24" t="s">
        <v>121</v>
      </c>
      <c r="K138" s="28" t="s">
        <v>108</v>
      </c>
      <c r="L138" s="29">
        <v>0</v>
      </c>
      <c r="M138" s="29">
        <v>0</v>
      </c>
      <c r="N138" s="29">
        <v>0.02</v>
      </c>
      <c r="O138" s="27" t="s">
        <v>161</v>
      </c>
      <c r="P138" s="30" t="s">
        <v>159</v>
      </c>
      <c r="Q138" s="31">
        <v>2798498034.75</v>
      </c>
      <c r="R138" s="31">
        <v>1863.53</v>
      </c>
      <c r="S138" s="32">
        <v>5.6769999999999998E-3</v>
      </c>
      <c r="T138" s="32" t="s">
        <v>139</v>
      </c>
      <c r="U138" s="32">
        <v>1.0369999999999999E-3</v>
      </c>
      <c r="V138" s="32">
        <v>3.7919999999999998E-3</v>
      </c>
      <c r="W138" s="32">
        <v>6.4489999999999999E-3</v>
      </c>
      <c r="X138" s="32">
        <v>4.62E-3</v>
      </c>
      <c r="Y138" s="32">
        <v>4.62E-3</v>
      </c>
      <c r="Z138" s="32">
        <v>8.2521999999999998E-2</v>
      </c>
      <c r="AA138" s="32">
        <v>0.17968100000000001</v>
      </c>
      <c r="AB138" s="32">
        <v>0.182503</v>
      </c>
    </row>
    <row r="139" spans="1:28" ht="15.6" customHeight="1" x14ac:dyDescent="0.25">
      <c r="A139" s="24" t="s">
        <v>310</v>
      </c>
      <c r="B139" s="50">
        <v>3661</v>
      </c>
      <c r="C139" s="25" t="s">
        <v>311</v>
      </c>
      <c r="D139" s="25" t="s">
        <v>159</v>
      </c>
      <c r="E139" s="25" t="s">
        <v>194</v>
      </c>
      <c r="F139" s="25" t="s">
        <v>103</v>
      </c>
      <c r="G139" s="26" t="s">
        <v>244</v>
      </c>
      <c r="H139" s="27" t="s">
        <v>130</v>
      </c>
      <c r="I139" s="24" t="s">
        <v>106</v>
      </c>
      <c r="J139" s="24" t="s">
        <v>107</v>
      </c>
      <c r="K139" s="28" t="s">
        <v>227</v>
      </c>
      <c r="L139" s="29">
        <v>0</v>
      </c>
      <c r="M139" s="29">
        <v>0</v>
      </c>
      <c r="N139" s="29">
        <v>0.02</v>
      </c>
      <c r="O139" s="27" t="s">
        <v>161</v>
      </c>
      <c r="P139" s="30" t="s">
        <v>159</v>
      </c>
      <c r="Q139" s="31">
        <v>7915627956.9200001</v>
      </c>
      <c r="R139" s="31">
        <v>1788.06</v>
      </c>
      <c r="S139" s="32">
        <v>1.703E-2</v>
      </c>
      <c r="T139" s="32" t="s">
        <v>139</v>
      </c>
      <c r="U139" s="32">
        <v>2.8499999999999999E-4</v>
      </c>
      <c r="V139" s="32">
        <v>2.006E-3</v>
      </c>
      <c r="W139" s="32">
        <v>6.0879999999999997E-3</v>
      </c>
      <c r="X139" s="32">
        <v>1.2881999999999999E-2</v>
      </c>
      <c r="Y139" s="32">
        <v>2.4716999999999999E-2</v>
      </c>
      <c r="Z139" s="32">
        <v>5.4517000000000003E-2</v>
      </c>
      <c r="AA139" s="32">
        <v>9.0985999999999997E-2</v>
      </c>
      <c r="AB139" s="32">
        <v>0.137153</v>
      </c>
    </row>
    <row r="140" spans="1:28" ht="15.6" customHeight="1" x14ac:dyDescent="0.25">
      <c r="A140" s="24" t="s">
        <v>1181</v>
      </c>
      <c r="B140" s="50">
        <v>3662</v>
      </c>
      <c r="C140" s="25" t="s">
        <v>1182</v>
      </c>
      <c r="D140" s="25" t="s">
        <v>241</v>
      </c>
      <c r="E140" s="25" t="s">
        <v>194</v>
      </c>
      <c r="F140" s="25" t="s">
        <v>155</v>
      </c>
      <c r="G140" s="26" t="s">
        <v>139</v>
      </c>
      <c r="H140" s="27" t="s">
        <v>156</v>
      </c>
      <c r="I140" s="24" t="s">
        <v>998</v>
      </c>
      <c r="J140" s="24" t="s">
        <v>107</v>
      </c>
      <c r="K140" s="28" t="s">
        <v>108</v>
      </c>
      <c r="L140" s="29">
        <v>0.03</v>
      </c>
      <c r="M140" s="29">
        <v>1.4999999999999999E-2</v>
      </c>
      <c r="N140" s="29">
        <v>1.7000000000000001E-2</v>
      </c>
      <c r="O140" s="27" t="s">
        <v>148</v>
      </c>
      <c r="P140" s="30" t="s">
        <v>241</v>
      </c>
      <c r="Q140" s="31">
        <v>111663841.38</v>
      </c>
      <c r="R140" s="31">
        <v>13482.71</v>
      </c>
      <c r="S140" s="32">
        <v>1.1025999999999999E-2</v>
      </c>
      <c r="T140" s="32" t="s">
        <v>139</v>
      </c>
      <c r="U140" s="32">
        <v>-9.4000000000000004E-3</v>
      </c>
      <c r="V140" s="32">
        <v>6.3020000000000007E-2</v>
      </c>
      <c r="W140" s="32">
        <v>3.7095000000000003E-2</v>
      </c>
      <c r="X140" s="32">
        <v>4.8078999999999997E-2</v>
      </c>
      <c r="Y140" s="32">
        <v>-8.8357000000000005E-2</v>
      </c>
      <c r="Z140" s="32">
        <v>0.40305200000000002</v>
      </c>
      <c r="AA140" s="32">
        <v>0.73171900000000001</v>
      </c>
      <c r="AB140" s="32">
        <v>0.72286300000000003</v>
      </c>
    </row>
    <row r="141" spans="1:28" ht="15.6" customHeight="1" x14ac:dyDescent="0.25">
      <c r="A141" s="24" t="s">
        <v>1183</v>
      </c>
      <c r="B141" s="50">
        <v>3663</v>
      </c>
      <c r="C141" s="25" t="s">
        <v>1184</v>
      </c>
      <c r="D141" s="25" t="s">
        <v>241</v>
      </c>
      <c r="E141" s="25" t="s">
        <v>194</v>
      </c>
      <c r="F141" s="25" t="s">
        <v>138</v>
      </c>
      <c r="G141" s="26" t="s">
        <v>139</v>
      </c>
      <c r="H141" s="27" t="s">
        <v>577</v>
      </c>
      <c r="I141" s="24" t="s">
        <v>998</v>
      </c>
      <c r="J141" s="24" t="s">
        <v>107</v>
      </c>
      <c r="K141" s="28" t="s">
        <v>108</v>
      </c>
      <c r="L141" s="29">
        <v>0.03</v>
      </c>
      <c r="M141" s="29">
        <v>1.4999999999999999E-2</v>
      </c>
      <c r="N141" s="29">
        <v>1.7000000000000001E-2</v>
      </c>
      <c r="O141" s="27" t="s">
        <v>148</v>
      </c>
      <c r="P141" s="30" t="s">
        <v>241</v>
      </c>
      <c r="Q141" s="31">
        <v>2282008701.6599998</v>
      </c>
      <c r="R141" s="31">
        <v>4130.62</v>
      </c>
      <c r="S141" s="32">
        <v>-4.0870000000000004E-3</v>
      </c>
      <c r="T141" s="32" t="s">
        <v>139</v>
      </c>
      <c r="U141" s="32">
        <v>-4.8399999999999997E-3</v>
      </c>
      <c r="V141" s="32">
        <v>3.1357999999999997E-2</v>
      </c>
      <c r="W141" s="32">
        <v>1.3507E-2</v>
      </c>
      <c r="X141" s="32">
        <v>1.4159E-2</v>
      </c>
      <c r="Y141" s="32">
        <v>-6.3935000000000006E-2</v>
      </c>
      <c r="Z141" s="32">
        <v>0.20323099999999999</v>
      </c>
      <c r="AA141" s="32">
        <v>0.35147</v>
      </c>
      <c r="AB141" s="32">
        <v>0.23100399999999999</v>
      </c>
    </row>
    <row r="142" spans="1:28" ht="15.6" customHeight="1" x14ac:dyDescent="0.25">
      <c r="A142" s="24" t="s">
        <v>1185</v>
      </c>
      <c r="B142" s="50">
        <v>3664</v>
      </c>
      <c r="C142" s="25" t="s">
        <v>1186</v>
      </c>
      <c r="D142" s="25" t="s">
        <v>101</v>
      </c>
      <c r="E142" s="25" t="s">
        <v>194</v>
      </c>
      <c r="F142" s="25" t="s">
        <v>113</v>
      </c>
      <c r="G142" s="26" t="s">
        <v>1160</v>
      </c>
      <c r="H142" s="27" t="s">
        <v>327</v>
      </c>
      <c r="I142" s="24" t="s">
        <v>998</v>
      </c>
      <c r="J142" s="24" t="s">
        <v>121</v>
      </c>
      <c r="K142" s="28" t="s">
        <v>227</v>
      </c>
      <c r="L142" s="29">
        <v>0.03</v>
      </c>
      <c r="M142" s="29">
        <v>1.4999999999999999E-2</v>
      </c>
      <c r="N142" s="29">
        <v>5.0000000000000001E-3</v>
      </c>
      <c r="O142" s="27" t="s">
        <v>109</v>
      </c>
      <c r="P142" s="30" t="s">
        <v>101</v>
      </c>
      <c r="Q142" s="31">
        <v>533469389.00999999</v>
      </c>
      <c r="R142" s="31">
        <v>115046.23</v>
      </c>
      <c r="S142" s="32">
        <v>-2.0900000000000001E-4</v>
      </c>
      <c r="T142" s="32" t="s">
        <v>139</v>
      </c>
      <c r="U142" s="32">
        <v>1.121E-3</v>
      </c>
      <c r="V142" s="32">
        <v>3.8070000000000001E-3</v>
      </c>
      <c r="W142" s="32">
        <v>3.0890000000000002E-3</v>
      </c>
      <c r="X142" s="32">
        <v>1.2899999999999999E-4</v>
      </c>
      <c r="Y142" s="32">
        <v>-1.7830000000000001E-3</v>
      </c>
      <c r="Z142" s="32">
        <v>8.9528999999999997E-2</v>
      </c>
      <c r="AA142" s="32">
        <v>0.18708900000000001</v>
      </c>
      <c r="AB142" s="32">
        <v>0.14375399999999999</v>
      </c>
    </row>
    <row r="143" spans="1:28" ht="15.6" customHeight="1" x14ac:dyDescent="0.25">
      <c r="A143" s="24" t="s">
        <v>312</v>
      </c>
      <c r="B143" s="50">
        <v>3665</v>
      </c>
      <c r="C143" s="25" t="s">
        <v>313</v>
      </c>
      <c r="D143" s="25" t="s">
        <v>164</v>
      </c>
      <c r="E143" s="25" t="s">
        <v>194</v>
      </c>
      <c r="F143" s="25" t="s">
        <v>103</v>
      </c>
      <c r="G143" s="26" t="s">
        <v>104</v>
      </c>
      <c r="H143" s="27" t="s">
        <v>169</v>
      </c>
      <c r="I143" s="24" t="s">
        <v>106</v>
      </c>
      <c r="J143" s="24" t="s">
        <v>107</v>
      </c>
      <c r="K143" s="28" t="s">
        <v>108</v>
      </c>
      <c r="L143" s="29">
        <v>0.02</v>
      </c>
      <c r="M143" s="29">
        <v>0.02</v>
      </c>
      <c r="N143" s="29">
        <v>0.02</v>
      </c>
      <c r="O143" s="27" t="s">
        <v>166</v>
      </c>
      <c r="P143" s="30" t="s">
        <v>164</v>
      </c>
      <c r="Q143" s="31">
        <v>3612036422.4200001</v>
      </c>
      <c r="R143" s="31">
        <v>1590.1</v>
      </c>
      <c r="S143" s="32">
        <v>1.2279999999999999E-2</v>
      </c>
      <c r="T143" s="32" t="s">
        <v>139</v>
      </c>
      <c r="U143" s="32">
        <v>2.0100000000000001E-4</v>
      </c>
      <c r="V143" s="32">
        <v>1.3979999999999999E-3</v>
      </c>
      <c r="W143" s="32">
        <v>4.3140000000000001E-3</v>
      </c>
      <c r="X143" s="32">
        <v>9.0299999999999998E-3</v>
      </c>
      <c r="Y143" s="32">
        <v>1.8407E-2</v>
      </c>
      <c r="Z143" s="32">
        <v>4.0675000000000003E-2</v>
      </c>
      <c r="AA143" s="32">
        <v>6.812E-2</v>
      </c>
      <c r="AB143" s="32">
        <v>0.105211</v>
      </c>
    </row>
    <row r="144" spans="1:28" ht="15.6" customHeight="1" x14ac:dyDescent="0.25">
      <c r="A144" s="24" t="s">
        <v>1187</v>
      </c>
      <c r="B144" s="50">
        <v>3666</v>
      </c>
      <c r="C144" s="25" t="s">
        <v>1188</v>
      </c>
      <c r="D144" s="25" t="s">
        <v>101</v>
      </c>
      <c r="E144" s="25" t="s">
        <v>194</v>
      </c>
      <c r="F144" s="25" t="s">
        <v>113</v>
      </c>
      <c r="G144" s="26" t="s">
        <v>1160</v>
      </c>
      <c r="H144" s="27" t="s">
        <v>839</v>
      </c>
      <c r="I144" s="24" t="s">
        <v>998</v>
      </c>
      <c r="J144" s="24" t="s">
        <v>121</v>
      </c>
      <c r="K144" s="28" t="s">
        <v>227</v>
      </c>
      <c r="L144" s="29">
        <v>0.03</v>
      </c>
      <c r="M144" s="29">
        <v>1.4999999999999999E-2</v>
      </c>
      <c r="N144" s="29">
        <v>5.0000000000000001E-3</v>
      </c>
      <c r="O144" s="27" t="s">
        <v>109</v>
      </c>
      <c r="P144" s="30" t="s">
        <v>101</v>
      </c>
      <c r="Q144" s="31">
        <v>560811354.84000003</v>
      </c>
      <c r="R144" s="31">
        <v>110049.32</v>
      </c>
      <c r="S144" s="32">
        <v>-1.22E-4</v>
      </c>
      <c r="T144" s="32" t="s">
        <v>139</v>
      </c>
      <c r="U144" s="32">
        <v>1.132E-3</v>
      </c>
      <c r="V144" s="32">
        <v>3.8159999999999999E-3</v>
      </c>
      <c r="W144" s="32">
        <v>2.9169999999999999E-3</v>
      </c>
      <c r="X144" s="32">
        <v>1.56E-4</v>
      </c>
      <c r="Y144" s="32">
        <v>-1.493E-3</v>
      </c>
      <c r="Z144" s="32">
        <v>8.9952000000000004E-2</v>
      </c>
      <c r="AA144" s="32">
        <v>0.187084</v>
      </c>
      <c r="AB144" s="32">
        <v>0.14662</v>
      </c>
    </row>
    <row r="145" spans="1:28" ht="15.6" customHeight="1" x14ac:dyDescent="0.25">
      <c r="A145" s="24" t="s">
        <v>1189</v>
      </c>
      <c r="B145" s="50">
        <v>3667</v>
      </c>
      <c r="C145" s="25" t="s">
        <v>1190</v>
      </c>
      <c r="D145" s="25" t="s">
        <v>145</v>
      </c>
      <c r="E145" s="25" t="s">
        <v>194</v>
      </c>
      <c r="F145" s="25" t="s">
        <v>138</v>
      </c>
      <c r="G145" s="26" t="s">
        <v>139</v>
      </c>
      <c r="H145" s="27" t="s">
        <v>1191</v>
      </c>
      <c r="I145" s="24" t="s">
        <v>998</v>
      </c>
      <c r="J145" s="24" t="s">
        <v>121</v>
      </c>
      <c r="K145" s="28" t="s">
        <v>108</v>
      </c>
      <c r="L145" s="29">
        <v>0.01</v>
      </c>
      <c r="M145" s="29">
        <v>0.01</v>
      </c>
      <c r="N145" s="29">
        <v>0.02</v>
      </c>
      <c r="O145" s="27" t="s">
        <v>148</v>
      </c>
      <c r="P145" s="30" t="s">
        <v>145</v>
      </c>
      <c r="Q145" s="31">
        <v>524784198.87</v>
      </c>
      <c r="R145" s="31">
        <v>2095.87</v>
      </c>
      <c r="S145" s="32">
        <v>1.1627999999999999E-2</v>
      </c>
      <c r="T145" s="32" t="s">
        <v>139</v>
      </c>
      <c r="U145" s="32">
        <v>-2.294E-3</v>
      </c>
      <c r="V145" s="32">
        <v>2.5477E-2</v>
      </c>
      <c r="W145" s="32">
        <v>1.196E-2</v>
      </c>
      <c r="X145" s="32">
        <v>1.8911000000000001E-2</v>
      </c>
      <c r="Y145" s="32">
        <v>1.1136E-2</v>
      </c>
      <c r="Z145" s="32">
        <v>0.245833</v>
      </c>
      <c r="AA145" s="32">
        <v>0.41623300000000002</v>
      </c>
      <c r="AB145" s="32">
        <v>0.37399700000000002</v>
      </c>
    </row>
    <row r="146" spans="1:28" ht="15.6" customHeight="1" x14ac:dyDescent="0.25">
      <c r="A146" s="24" t="s">
        <v>1192</v>
      </c>
      <c r="B146" s="50">
        <v>3668</v>
      </c>
      <c r="C146" s="25" t="s">
        <v>1193</v>
      </c>
      <c r="D146" s="25" t="s">
        <v>261</v>
      </c>
      <c r="E146" s="25" t="s">
        <v>194</v>
      </c>
      <c r="F146" s="25" t="s">
        <v>113</v>
      </c>
      <c r="G146" s="26" t="s">
        <v>1194</v>
      </c>
      <c r="H146" s="27" t="s">
        <v>1195</v>
      </c>
      <c r="I146" s="24" t="s">
        <v>998</v>
      </c>
      <c r="J146" s="24" t="s">
        <v>107</v>
      </c>
      <c r="K146" s="28" t="s">
        <v>108</v>
      </c>
      <c r="L146" s="29">
        <v>1.4999999999999999E-2</v>
      </c>
      <c r="M146" s="29">
        <v>3.0000000000000001E-3</v>
      </c>
      <c r="N146" s="29">
        <v>0.01</v>
      </c>
      <c r="O146" s="27" t="s">
        <v>262</v>
      </c>
      <c r="P146" s="30" t="s">
        <v>261</v>
      </c>
      <c r="Q146" s="31">
        <v>90386533.349999994</v>
      </c>
      <c r="R146" s="31">
        <v>166.95</v>
      </c>
      <c r="S146" s="32">
        <v>-4.4720000000000003E-3</v>
      </c>
      <c r="T146" s="32" t="s">
        <v>139</v>
      </c>
      <c r="U146" s="32">
        <v>7.1900000000000002E-4</v>
      </c>
      <c r="V146" s="32">
        <v>6.875E-3</v>
      </c>
      <c r="W146" s="32">
        <v>4.6940000000000003E-3</v>
      </c>
      <c r="X146" s="32">
        <v>-1.853E-3</v>
      </c>
      <c r="Y146" s="32">
        <v>-1.5277000000000001E-2</v>
      </c>
      <c r="Z146" s="32">
        <v>7.8697000000000003E-2</v>
      </c>
      <c r="AA146" s="32">
        <v>0.182952</v>
      </c>
      <c r="AB146" s="32">
        <v>4.5529E-2</v>
      </c>
    </row>
    <row r="147" spans="1:28" ht="15.6" customHeight="1" x14ac:dyDescent="0.25">
      <c r="A147" s="24" t="s">
        <v>1196</v>
      </c>
      <c r="B147" s="50">
        <v>3669</v>
      </c>
      <c r="C147" s="25" t="s">
        <v>1197</v>
      </c>
      <c r="D147" s="25" t="s">
        <v>261</v>
      </c>
      <c r="E147" s="25" t="s">
        <v>194</v>
      </c>
      <c r="F147" s="25" t="s">
        <v>113</v>
      </c>
      <c r="G147" s="26" t="s">
        <v>1160</v>
      </c>
      <c r="H147" s="27" t="s">
        <v>115</v>
      </c>
      <c r="I147" s="24" t="s">
        <v>998</v>
      </c>
      <c r="J147" s="24" t="s">
        <v>107</v>
      </c>
      <c r="K147" s="28" t="s">
        <v>108</v>
      </c>
      <c r="L147" s="29">
        <v>1.4999999999999999E-2</v>
      </c>
      <c r="M147" s="29">
        <v>3.0000000000000001E-3</v>
      </c>
      <c r="N147" s="29">
        <v>0.01</v>
      </c>
      <c r="O147" s="27" t="s">
        <v>262</v>
      </c>
      <c r="P147" s="30" t="s">
        <v>261</v>
      </c>
      <c r="Q147" s="31">
        <v>13389668.5</v>
      </c>
      <c r="R147" s="31">
        <v>153.99</v>
      </c>
      <c r="S147" s="32">
        <v>4.3699999999999998E-3</v>
      </c>
      <c r="T147" s="32" t="s">
        <v>139</v>
      </c>
      <c r="U147" s="32">
        <v>8.4500000000000005E-4</v>
      </c>
      <c r="V147" s="32">
        <v>3.0609999999999999E-3</v>
      </c>
      <c r="W147" s="32">
        <v>4.3039999999999997E-3</v>
      </c>
      <c r="X147" s="32">
        <v>2.996E-3</v>
      </c>
      <c r="Y147" s="32">
        <v>3.9769999999999996E-3</v>
      </c>
      <c r="Z147" s="32">
        <v>6.4643000000000006E-2</v>
      </c>
      <c r="AA147" s="32">
        <v>0.143207</v>
      </c>
      <c r="AB147" s="32">
        <v>-2.6549999999999998E-3</v>
      </c>
    </row>
    <row r="148" spans="1:28" ht="15.6" customHeight="1" x14ac:dyDescent="0.25">
      <c r="A148" s="24" t="s">
        <v>1198</v>
      </c>
      <c r="B148" s="50">
        <v>3670</v>
      </c>
      <c r="C148" s="25" t="s">
        <v>1199</v>
      </c>
      <c r="D148" s="25" t="s">
        <v>164</v>
      </c>
      <c r="E148" s="25" t="s">
        <v>194</v>
      </c>
      <c r="F148" s="25" t="s">
        <v>113</v>
      </c>
      <c r="G148" s="26" t="s">
        <v>1109</v>
      </c>
      <c r="H148" s="27" t="s">
        <v>1157</v>
      </c>
      <c r="I148" s="24" t="s">
        <v>998</v>
      </c>
      <c r="J148" s="24" t="s">
        <v>121</v>
      </c>
      <c r="K148" s="28" t="s">
        <v>108</v>
      </c>
      <c r="L148" s="29">
        <v>0.03</v>
      </c>
      <c r="M148" s="29">
        <v>0.03</v>
      </c>
      <c r="N148" s="29">
        <v>0.02</v>
      </c>
      <c r="O148" s="27" t="s">
        <v>166</v>
      </c>
      <c r="P148" s="30" t="s">
        <v>164</v>
      </c>
      <c r="Q148" s="31">
        <v>6072115.3899999997</v>
      </c>
      <c r="R148" s="31">
        <v>2015.31</v>
      </c>
      <c r="S148" s="32">
        <v>2.8361000000000001E-2</v>
      </c>
      <c r="T148" s="32" t="s">
        <v>139</v>
      </c>
      <c r="U148" s="32">
        <v>6.4499999999999996E-4</v>
      </c>
      <c r="V148" s="32">
        <v>6.025E-3</v>
      </c>
      <c r="W148" s="32">
        <v>5.6990000000000001E-3</v>
      </c>
      <c r="X148" s="32">
        <v>1.0782999999999999E-2</v>
      </c>
      <c r="Y148" s="32">
        <v>2.7134999999999999E-2</v>
      </c>
      <c r="Z148" s="32">
        <v>0.12371799999999999</v>
      </c>
      <c r="AA148" s="32">
        <v>0.21559500000000001</v>
      </c>
      <c r="AB148" s="32">
        <v>0.188945</v>
      </c>
    </row>
    <row r="149" spans="1:28" ht="15.6" customHeight="1" x14ac:dyDescent="0.25">
      <c r="A149" s="24" t="s">
        <v>1200</v>
      </c>
      <c r="B149" s="50">
        <v>3675</v>
      </c>
      <c r="C149" s="25" t="s">
        <v>1201</v>
      </c>
      <c r="D149" s="25" t="s">
        <v>137</v>
      </c>
      <c r="E149" s="25" t="s">
        <v>194</v>
      </c>
      <c r="F149" s="25" t="s">
        <v>155</v>
      </c>
      <c r="G149" s="26" t="s">
        <v>139</v>
      </c>
      <c r="H149" s="27" t="s">
        <v>202</v>
      </c>
      <c r="I149" s="24" t="s">
        <v>998</v>
      </c>
      <c r="J149" s="24" t="s">
        <v>107</v>
      </c>
      <c r="K149" s="28" t="s">
        <v>108</v>
      </c>
      <c r="L149" s="29">
        <v>8.5000000000000006E-3</v>
      </c>
      <c r="M149" s="29">
        <v>8.5000000000000006E-3</v>
      </c>
      <c r="N149" s="29">
        <v>0.02</v>
      </c>
      <c r="O149" s="27" t="s">
        <v>166</v>
      </c>
      <c r="P149" s="30" t="s">
        <v>137</v>
      </c>
      <c r="Q149" s="31">
        <v>33459129.52541</v>
      </c>
      <c r="R149" s="31">
        <v>174.08</v>
      </c>
      <c r="S149" s="32">
        <v>2.5628999999999999E-2</v>
      </c>
      <c r="T149" s="32" t="s">
        <v>139</v>
      </c>
      <c r="U149" s="32">
        <v>-1.0965000000000001E-2</v>
      </c>
      <c r="V149" s="32">
        <v>6.719E-2</v>
      </c>
      <c r="W149" s="32">
        <v>1.7892999999999999E-2</v>
      </c>
      <c r="X149" s="32">
        <v>6.0106E-2</v>
      </c>
      <c r="Y149" s="32">
        <v>-8.2679000000000002E-2</v>
      </c>
      <c r="Z149" s="32">
        <v>0.406366</v>
      </c>
      <c r="AA149" s="32">
        <v>0.67884999999999995</v>
      </c>
      <c r="AB149" s="32">
        <v>0.533474</v>
      </c>
    </row>
    <row r="150" spans="1:28" ht="15.6" customHeight="1" x14ac:dyDescent="0.25">
      <c r="A150" s="24" t="s">
        <v>314</v>
      </c>
      <c r="B150" s="50">
        <v>3677</v>
      </c>
      <c r="C150" s="25" t="s">
        <v>315</v>
      </c>
      <c r="D150" s="25" t="s">
        <v>316</v>
      </c>
      <c r="E150" s="25" t="s">
        <v>194</v>
      </c>
      <c r="F150" s="25" t="s">
        <v>103</v>
      </c>
      <c r="G150" s="26" t="s">
        <v>244</v>
      </c>
      <c r="H150" s="27" t="s">
        <v>317</v>
      </c>
      <c r="I150" s="24" t="s">
        <v>106</v>
      </c>
      <c r="J150" s="24" t="s">
        <v>107</v>
      </c>
      <c r="K150" s="28" t="s">
        <v>108</v>
      </c>
      <c r="L150" s="29">
        <v>0.03</v>
      </c>
      <c r="M150" s="29">
        <v>0.03</v>
      </c>
      <c r="N150" s="29">
        <v>0.02</v>
      </c>
      <c r="O150" s="27" t="s">
        <v>166</v>
      </c>
      <c r="P150" s="30" t="s">
        <v>316</v>
      </c>
      <c r="Q150" s="31">
        <v>1042846347.14</v>
      </c>
      <c r="R150" s="31">
        <v>1589.52</v>
      </c>
      <c r="S150" s="32">
        <v>1.5668000000000001E-2</v>
      </c>
      <c r="T150" s="32" t="s">
        <v>139</v>
      </c>
      <c r="U150" s="32">
        <v>2.7700000000000001E-4</v>
      </c>
      <c r="V150" s="32">
        <v>1.8090000000000001E-3</v>
      </c>
      <c r="W150" s="32">
        <v>5.2110000000000004E-3</v>
      </c>
      <c r="X150" s="32">
        <v>1.146E-2</v>
      </c>
      <c r="Y150" s="32">
        <v>2.3061000000000002E-2</v>
      </c>
      <c r="Z150" s="32">
        <v>5.0818000000000002E-2</v>
      </c>
      <c r="AA150" s="32">
        <v>8.516E-2</v>
      </c>
      <c r="AB150" s="32">
        <v>0.128111</v>
      </c>
    </row>
    <row r="151" spans="1:28" ht="15.6" customHeight="1" x14ac:dyDescent="0.25">
      <c r="A151" s="24" t="s">
        <v>1202</v>
      </c>
      <c r="B151" s="50">
        <v>3678</v>
      </c>
      <c r="C151" s="25" t="s">
        <v>1203</v>
      </c>
      <c r="D151" s="25" t="s">
        <v>316</v>
      </c>
      <c r="E151" s="25" t="s">
        <v>194</v>
      </c>
      <c r="F151" s="25" t="s">
        <v>138</v>
      </c>
      <c r="G151" s="26" t="s">
        <v>139</v>
      </c>
      <c r="H151" s="27" t="s">
        <v>1204</v>
      </c>
      <c r="I151" s="24" t="s">
        <v>998</v>
      </c>
      <c r="J151" s="24" t="s">
        <v>107</v>
      </c>
      <c r="K151" s="28" t="s">
        <v>108</v>
      </c>
      <c r="L151" s="29">
        <v>0.03</v>
      </c>
      <c r="M151" s="29">
        <v>0.03</v>
      </c>
      <c r="N151" s="29">
        <v>0.02</v>
      </c>
      <c r="O151" s="27" t="s">
        <v>166</v>
      </c>
      <c r="P151" s="30" t="s">
        <v>316</v>
      </c>
      <c r="Q151" s="31">
        <v>3147357303.3899999</v>
      </c>
      <c r="R151" s="31">
        <v>2487.81</v>
      </c>
      <c r="S151" s="32">
        <v>-4.8318E-2</v>
      </c>
      <c r="T151" s="32" t="s">
        <v>139</v>
      </c>
      <c r="U151" s="32">
        <v>-2.8180000000000002E-3</v>
      </c>
      <c r="V151" s="32">
        <v>2.5364000000000001E-2</v>
      </c>
      <c r="W151" s="32">
        <v>1.6919E-2</v>
      </c>
      <c r="X151" s="32">
        <v>-1.7312999999999999E-2</v>
      </c>
      <c r="Y151" s="32">
        <v>-0.120921</v>
      </c>
      <c r="Z151" s="32">
        <v>0.116526</v>
      </c>
      <c r="AA151" s="32">
        <v>0.29600399999999999</v>
      </c>
      <c r="AB151" s="32">
        <v>0.13197999999999999</v>
      </c>
    </row>
    <row r="152" spans="1:28" ht="15.6" customHeight="1" x14ac:dyDescent="0.25">
      <c r="A152" s="24" t="s">
        <v>1205</v>
      </c>
      <c r="B152" s="50">
        <v>3679</v>
      </c>
      <c r="C152" s="25" t="s">
        <v>0</v>
      </c>
      <c r="D152" s="25" t="s">
        <v>316</v>
      </c>
      <c r="E152" s="25" t="s">
        <v>194</v>
      </c>
      <c r="F152" s="25" t="s">
        <v>155</v>
      </c>
      <c r="G152" s="26" t="s">
        <v>139</v>
      </c>
      <c r="H152" s="27" t="s">
        <v>156</v>
      </c>
      <c r="I152" s="24" t="s">
        <v>998</v>
      </c>
      <c r="J152" s="24" t="s">
        <v>107</v>
      </c>
      <c r="K152" s="28" t="s">
        <v>108</v>
      </c>
      <c r="L152" s="29">
        <v>0.03</v>
      </c>
      <c r="M152" s="29">
        <v>0.03</v>
      </c>
      <c r="N152" s="29">
        <v>0.02</v>
      </c>
      <c r="O152" s="27" t="s">
        <v>166</v>
      </c>
      <c r="P152" s="30" t="s">
        <v>316</v>
      </c>
      <c r="Q152" s="31">
        <v>942843618.19000006</v>
      </c>
      <c r="R152" s="31">
        <v>2976.25</v>
      </c>
      <c r="S152" s="32">
        <v>9.953E-3</v>
      </c>
      <c r="T152" s="32" t="s">
        <v>139</v>
      </c>
      <c r="U152" s="32">
        <v>-1.0753E-2</v>
      </c>
      <c r="V152" s="32">
        <v>6.2681000000000001E-2</v>
      </c>
      <c r="W152" s="32">
        <v>3.0793000000000001E-2</v>
      </c>
      <c r="X152" s="32">
        <v>5.1801E-2</v>
      </c>
      <c r="Y152" s="32">
        <v>-0.10365000000000001</v>
      </c>
      <c r="Z152" s="32">
        <v>0.34626299999999999</v>
      </c>
      <c r="AA152" s="32">
        <v>0.64749500000000004</v>
      </c>
      <c r="AB152" s="32">
        <v>0.46669699999999997</v>
      </c>
    </row>
    <row r="153" spans="1:28" ht="15.6" customHeight="1" x14ac:dyDescent="0.25">
      <c r="A153" s="24" t="s">
        <v>1206</v>
      </c>
      <c r="B153" s="50">
        <v>3683</v>
      </c>
      <c r="C153" s="25" t="s">
        <v>1207</v>
      </c>
      <c r="D153" s="25" t="s">
        <v>145</v>
      </c>
      <c r="E153" s="25" t="s">
        <v>194</v>
      </c>
      <c r="F153" s="25" t="s">
        <v>138</v>
      </c>
      <c r="G153" s="26" t="s">
        <v>139</v>
      </c>
      <c r="H153" s="27" t="s">
        <v>521</v>
      </c>
      <c r="I153" s="24" t="s">
        <v>998</v>
      </c>
      <c r="J153" s="24" t="s">
        <v>121</v>
      </c>
      <c r="K153" s="28" t="s">
        <v>108</v>
      </c>
      <c r="L153" s="29">
        <v>0</v>
      </c>
      <c r="M153" s="29">
        <v>0</v>
      </c>
      <c r="N153" s="29">
        <v>6.0000000000000001E-3</v>
      </c>
      <c r="O153" s="27" t="s">
        <v>148</v>
      </c>
      <c r="P153" s="30" t="s">
        <v>145</v>
      </c>
      <c r="Q153" s="31">
        <v>1867882779.8099999</v>
      </c>
      <c r="R153" s="31">
        <v>2959.96</v>
      </c>
      <c r="S153" s="32">
        <v>1.4109999999999999E-3</v>
      </c>
      <c r="T153" s="32" t="s">
        <v>139</v>
      </c>
      <c r="U153" s="32">
        <v>-2.0899999999999998E-3</v>
      </c>
      <c r="V153" s="32">
        <v>2.0781000000000001E-2</v>
      </c>
      <c r="W153" s="32">
        <v>7.9410000000000001E-3</v>
      </c>
      <c r="X153" s="32">
        <v>8.8269999999999998E-3</v>
      </c>
      <c r="Y153" s="32">
        <v>-3.3668999999999998E-2</v>
      </c>
      <c r="Z153" s="32">
        <v>0.184472</v>
      </c>
      <c r="AA153" s="32">
        <v>0.383521</v>
      </c>
      <c r="AB153" s="32">
        <v>0.30258099999999999</v>
      </c>
    </row>
    <row r="154" spans="1:28" ht="15.6" customHeight="1" x14ac:dyDescent="0.25">
      <c r="A154" s="24" t="s">
        <v>1208</v>
      </c>
      <c r="B154" s="50">
        <v>3684</v>
      </c>
      <c r="C154" s="25" t="s">
        <v>1209</v>
      </c>
      <c r="D154" s="25" t="s">
        <v>164</v>
      </c>
      <c r="E154" s="25" t="s">
        <v>194</v>
      </c>
      <c r="F154" s="25" t="s">
        <v>138</v>
      </c>
      <c r="G154" s="26" t="s">
        <v>139</v>
      </c>
      <c r="H154" s="27" t="s">
        <v>1210</v>
      </c>
      <c r="I154" s="24" t="s">
        <v>998</v>
      </c>
      <c r="J154" s="24" t="s">
        <v>121</v>
      </c>
      <c r="K154" s="28" t="s">
        <v>108</v>
      </c>
      <c r="L154" s="29">
        <v>0.03</v>
      </c>
      <c r="M154" s="29">
        <v>1.4999999999999999E-2</v>
      </c>
      <c r="N154" s="29">
        <v>0.02</v>
      </c>
      <c r="O154" s="27" t="s">
        <v>166</v>
      </c>
      <c r="P154" s="30" t="s">
        <v>164</v>
      </c>
      <c r="Q154" s="31">
        <v>1721885001.5799999</v>
      </c>
      <c r="R154" s="31">
        <v>280711.61</v>
      </c>
      <c r="S154" s="32">
        <v>2.1968000000000001E-2</v>
      </c>
      <c r="T154" s="32" t="s">
        <v>139</v>
      </c>
      <c r="U154" s="32">
        <v>-3.258E-3</v>
      </c>
      <c r="V154" s="32">
        <v>3.0130000000000001E-2</v>
      </c>
      <c r="W154" s="32">
        <v>1.1193E-2</v>
      </c>
      <c r="X154" s="32">
        <v>2.4580999999999999E-2</v>
      </c>
      <c r="Y154" s="32">
        <v>-1.1812E-2</v>
      </c>
      <c r="Z154" s="32">
        <v>0.222022</v>
      </c>
      <c r="AA154" s="32">
        <v>0.40975499999999998</v>
      </c>
      <c r="AB154" s="32">
        <v>0.32688600000000001</v>
      </c>
    </row>
    <row r="155" spans="1:28" ht="15.6" customHeight="1" x14ac:dyDescent="0.25">
      <c r="A155" s="24" t="s">
        <v>1211</v>
      </c>
      <c r="B155" s="50">
        <v>3686</v>
      </c>
      <c r="C155" s="25" t="s">
        <v>1212</v>
      </c>
      <c r="D155" s="25" t="s">
        <v>316</v>
      </c>
      <c r="E155" s="25" t="s">
        <v>194</v>
      </c>
      <c r="F155" s="25" t="s">
        <v>113</v>
      </c>
      <c r="G155" s="26" t="s">
        <v>1213</v>
      </c>
      <c r="H155" s="27" t="s">
        <v>327</v>
      </c>
      <c r="I155" s="24" t="s">
        <v>998</v>
      </c>
      <c r="J155" s="24" t="s">
        <v>107</v>
      </c>
      <c r="K155" s="28" t="s">
        <v>108</v>
      </c>
      <c r="L155" s="29">
        <v>0.03</v>
      </c>
      <c r="M155" s="29">
        <v>0.03</v>
      </c>
      <c r="N155" s="29">
        <v>0.02</v>
      </c>
      <c r="O155" s="27" t="s">
        <v>166</v>
      </c>
      <c r="P155" s="30" t="s">
        <v>316</v>
      </c>
      <c r="Q155" s="31">
        <v>1856703045.3800001</v>
      </c>
      <c r="R155" s="31">
        <v>1607.56</v>
      </c>
      <c r="S155" s="32">
        <v>-2.92E-4</v>
      </c>
      <c r="T155" s="32" t="s">
        <v>139</v>
      </c>
      <c r="U155" s="32">
        <v>4.9799999999999996E-4</v>
      </c>
      <c r="V155" s="32">
        <v>7.4200000000000004E-3</v>
      </c>
      <c r="W155" s="32">
        <v>5.8190000000000004E-3</v>
      </c>
      <c r="X155" s="32">
        <v>2.92E-4</v>
      </c>
      <c r="Y155" s="32">
        <v>-1.1079E-2</v>
      </c>
      <c r="Z155" s="32">
        <v>6.9865999999999998E-2</v>
      </c>
      <c r="AA155" s="32">
        <v>0.14993300000000001</v>
      </c>
      <c r="AB155" s="32">
        <v>9.1417999999999999E-2</v>
      </c>
    </row>
    <row r="156" spans="1:28" ht="15.6" customHeight="1" x14ac:dyDescent="0.25">
      <c r="A156" s="24" t="s">
        <v>318</v>
      </c>
      <c r="B156" s="50">
        <v>3687</v>
      </c>
      <c r="C156" s="25" t="s">
        <v>319</v>
      </c>
      <c r="D156" s="25" t="s">
        <v>316</v>
      </c>
      <c r="E156" s="25" t="s">
        <v>194</v>
      </c>
      <c r="F156" s="25" t="s">
        <v>128</v>
      </c>
      <c r="G156" s="26" t="s">
        <v>275</v>
      </c>
      <c r="H156" s="27" t="s">
        <v>130</v>
      </c>
      <c r="I156" s="24" t="s">
        <v>106</v>
      </c>
      <c r="J156" s="24" t="s">
        <v>107</v>
      </c>
      <c r="K156" s="28" t="s">
        <v>108</v>
      </c>
      <c r="L156" s="29">
        <v>0.02</v>
      </c>
      <c r="M156" s="29">
        <v>0.02</v>
      </c>
      <c r="N156" s="29">
        <v>0.02</v>
      </c>
      <c r="O156" s="27" t="s">
        <v>166</v>
      </c>
      <c r="P156" s="30" t="s">
        <v>316</v>
      </c>
      <c r="Q156" s="31">
        <v>1642654182.8699999</v>
      </c>
      <c r="R156" s="31">
        <v>1602.86</v>
      </c>
      <c r="S156" s="32">
        <v>1.6584999999999999E-2</v>
      </c>
      <c r="T156" s="32" t="s">
        <v>139</v>
      </c>
      <c r="U156" s="32">
        <v>6.2399999999999999E-4</v>
      </c>
      <c r="V156" s="32">
        <v>2.4889999999999999E-3</v>
      </c>
      <c r="W156" s="32">
        <v>6.038E-3</v>
      </c>
      <c r="X156" s="32">
        <v>1.268E-2</v>
      </c>
      <c r="Y156" s="32">
        <v>2.3231000000000002E-2</v>
      </c>
      <c r="Z156" s="32">
        <v>5.8293999999999999E-2</v>
      </c>
      <c r="AA156" s="32">
        <v>0.10076</v>
      </c>
      <c r="AB156" s="32">
        <v>0.14391899999999999</v>
      </c>
    </row>
    <row r="157" spans="1:28" ht="15.6" customHeight="1" x14ac:dyDescent="0.25">
      <c r="A157" s="24" t="s">
        <v>1214</v>
      </c>
      <c r="B157" s="50">
        <v>3689</v>
      </c>
      <c r="C157" s="25" t="s">
        <v>1215</v>
      </c>
      <c r="D157" s="25" t="s">
        <v>101</v>
      </c>
      <c r="E157" s="25" t="s">
        <v>194</v>
      </c>
      <c r="F157" s="25" t="s">
        <v>128</v>
      </c>
      <c r="G157" s="26" t="s">
        <v>250</v>
      </c>
      <c r="H157" s="27" t="s">
        <v>130</v>
      </c>
      <c r="I157" s="24" t="s">
        <v>998</v>
      </c>
      <c r="J157" s="24" t="s">
        <v>121</v>
      </c>
      <c r="K157" s="28" t="s">
        <v>108</v>
      </c>
      <c r="L157" s="29">
        <v>0.03</v>
      </c>
      <c r="M157" s="29">
        <v>1.4999999999999999E-2</v>
      </c>
      <c r="N157" s="29">
        <v>0.02</v>
      </c>
      <c r="O157" s="27" t="s">
        <v>262</v>
      </c>
      <c r="P157" s="30" t="s">
        <v>101</v>
      </c>
      <c r="Q157" s="31">
        <v>1291680582.5599999</v>
      </c>
      <c r="R157" s="31">
        <v>150527.98000000001</v>
      </c>
      <c r="S157" s="32">
        <v>1.4309000000000001E-2</v>
      </c>
      <c r="T157" s="32" t="s">
        <v>139</v>
      </c>
      <c r="U157" s="32">
        <v>2.8200000000000002E-4</v>
      </c>
      <c r="V157" s="32">
        <v>1.8929999999999999E-3</v>
      </c>
      <c r="W157" s="32">
        <v>5.5570000000000003E-3</v>
      </c>
      <c r="X157" s="32">
        <v>1.1213000000000001E-2</v>
      </c>
      <c r="Y157" s="32">
        <v>2.0212999999999998E-2</v>
      </c>
      <c r="Z157" s="32">
        <v>4.5168E-2</v>
      </c>
      <c r="AA157" s="32">
        <v>6.8807999999999994E-2</v>
      </c>
      <c r="AB157" s="32">
        <v>9.0838000000000002E-2</v>
      </c>
    </row>
    <row r="158" spans="1:28" ht="15.6" customHeight="1" x14ac:dyDescent="0.25">
      <c r="A158" s="24" t="s">
        <v>320</v>
      </c>
      <c r="B158" s="50">
        <v>3690</v>
      </c>
      <c r="C158" s="25" t="s">
        <v>321</v>
      </c>
      <c r="D158" s="25" t="s">
        <v>322</v>
      </c>
      <c r="E158" s="25" t="s">
        <v>194</v>
      </c>
      <c r="F158" s="25" t="s">
        <v>103</v>
      </c>
      <c r="G158" s="26" t="s">
        <v>216</v>
      </c>
      <c r="H158" s="27" t="s">
        <v>323</v>
      </c>
      <c r="I158" s="24" t="s">
        <v>106</v>
      </c>
      <c r="J158" s="24" t="s">
        <v>107</v>
      </c>
      <c r="K158" s="28" t="s">
        <v>108</v>
      </c>
      <c r="L158" s="29">
        <v>0.03</v>
      </c>
      <c r="M158" s="29">
        <v>1.4999999999999999E-2</v>
      </c>
      <c r="N158" s="29">
        <v>0.02</v>
      </c>
      <c r="O158" s="27" t="s">
        <v>166</v>
      </c>
      <c r="P158" s="30" t="s">
        <v>322</v>
      </c>
      <c r="Q158" s="31">
        <v>231933681.80000001</v>
      </c>
      <c r="R158" s="31">
        <v>158.81</v>
      </c>
      <c r="S158" s="32">
        <v>2.4250000000000001E-2</v>
      </c>
      <c r="T158" s="32" t="s">
        <v>139</v>
      </c>
      <c r="U158" s="32">
        <v>1.8900000000000001E-4</v>
      </c>
      <c r="V158" s="32">
        <v>1.072E-3</v>
      </c>
      <c r="W158" s="32">
        <v>1.8926999999999999E-2</v>
      </c>
      <c r="X158" s="32">
        <v>2.2272E-2</v>
      </c>
      <c r="Y158" s="32">
        <v>3.2842999999999997E-2</v>
      </c>
      <c r="Z158" s="32">
        <v>4.6869000000000001E-2</v>
      </c>
      <c r="AA158" s="32">
        <v>7.2387999999999994E-2</v>
      </c>
      <c r="AB158" s="32">
        <v>0.114926</v>
      </c>
    </row>
    <row r="159" spans="1:28" ht="15.6" customHeight="1" x14ac:dyDescent="0.25">
      <c r="A159" s="24" t="s">
        <v>324</v>
      </c>
      <c r="B159" s="50">
        <v>3691</v>
      </c>
      <c r="C159" s="25" t="s">
        <v>325</v>
      </c>
      <c r="D159" s="25" t="s">
        <v>322</v>
      </c>
      <c r="E159" s="25" t="s">
        <v>194</v>
      </c>
      <c r="F159" s="25" t="s">
        <v>113</v>
      </c>
      <c r="G159" s="26" t="s">
        <v>326</v>
      </c>
      <c r="H159" s="27" t="s">
        <v>327</v>
      </c>
      <c r="I159" s="24" t="s">
        <v>106</v>
      </c>
      <c r="J159" s="24" t="s">
        <v>107</v>
      </c>
      <c r="K159" s="28" t="s">
        <v>108</v>
      </c>
      <c r="L159" s="29">
        <v>0.03</v>
      </c>
      <c r="M159" s="29">
        <v>1.4999999999999999E-2</v>
      </c>
      <c r="N159" s="29">
        <v>0.02</v>
      </c>
      <c r="O159" s="27" t="s">
        <v>166</v>
      </c>
      <c r="P159" s="30" t="s">
        <v>322</v>
      </c>
      <c r="Q159" s="31">
        <v>1445923343.8199999</v>
      </c>
      <c r="R159" s="31">
        <v>165.5</v>
      </c>
      <c r="S159" s="32">
        <v>-1.0049000000000001E-2</v>
      </c>
      <c r="T159" s="32" t="s">
        <v>139</v>
      </c>
      <c r="U159" s="32">
        <v>1.8100000000000001E-4</v>
      </c>
      <c r="V159" s="32">
        <v>4.9179999999999996E-3</v>
      </c>
      <c r="W159" s="32">
        <v>-7.2499999999999995E-4</v>
      </c>
      <c r="X159" s="32">
        <v>-6.7219999999999997E-3</v>
      </c>
      <c r="Y159" s="32">
        <v>-2.0303999999999999E-2</v>
      </c>
      <c r="Z159" s="32">
        <v>6.7329E-2</v>
      </c>
      <c r="AA159" s="32">
        <v>0.15847700000000001</v>
      </c>
      <c r="AB159" s="32">
        <v>-1.99E-3</v>
      </c>
    </row>
    <row r="160" spans="1:28" ht="15.6" customHeight="1" x14ac:dyDescent="0.25">
      <c r="A160" s="24" t="s">
        <v>328</v>
      </c>
      <c r="B160" s="50">
        <v>3692</v>
      </c>
      <c r="C160" s="25" t="s">
        <v>329</v>
      </c>
      <c r="D160" s="25" t="s">
        <v>322</v>
      </c>
      <c r="E160" s="25" t="s">
        <v>194</v>
      </c>
      <c r="F160" s="25" t="s">
        <v>155</v>
      </c>
      <c r="G160" s="26" t="s">
        <v>139</v>
      </c>
      <c r="H160" s="27" t="s">
        <v>330</v>
      </c>
      <c r="I160" s="24" t="s">
        <v>106</v>
      </c>
      <c r="J160" s="24" t="s">
        <v>107</v>
      </c>
      <c r="K160" s="28" t="s">
        <v>108</v>
      </c>
      <c r="L160" s="29">
        <v>0.03</v>
      </c>
      <c r="M160" s="29">
        <v>1.4999999999999999E-2</v>
      </c>
      <c r="N160" s="29">
        <v>0.02</v>
      </c>
      <c r="O160" s="27" t="s">
        <v>166</v>
      </c>
      <c r="P160" s="30" t="s">
        <v>322</v>
      </c>
      <c r="Q160" s="31">
        <v>1598142011.26</v>
      </c>
      <c r="R160" s="31">
        <v>263.42</v>
      </c>
      <c r="S160" s="32">
        <v>3.3519999999999999E-3</v>
      </c>
      <c r="T160" s="32" t="s">
        <v>139</v>
      </c>
      <c r="U160" s="32">
        <v>-1.0071E-2</v>
      </c>
      <c r="V160" s="32">
        <v>5.9443000000000003E-2</v>
      </c>
      <c r="W160" s="32">
        <v>1.9782000000000001E-2</v>
      </c>
      <c r="X160" s="32">
        <v>4.1886E-2</v>
      </c>
      <c r="Y160" s="32">
        <v>-9.7877000000000006E-2</v>
      </c>
      <c r="Z160" s="32">
        <v>0.32865899999999998</v>
      </c>
      <c r="AA160" s="32">
        <v>0.60085100000000002</v>
      </c>
      <c r="AB160" s="32">
        <v>0.45183000000000001</v>
      </c>
    </row>
    <row r="161" spans="1:28" ht="15.6" customHeight="1" x14ac:dyDescent="0.25">
      <c r="A161" s="24" t="s">
        <v>1216</v>
      </c>
      <c r="B161" s="50">
        <v>3693</v>
      </c>
      <c r="C161" s="25" t="s">
        <v>1217</v>
      </c>
      <c r="D161" s="25" t="s">
        <v>145</v>
      </c>
      <c r="E161" s="25" t="s">
        <v>194</v>
      </c>
      <c r="F161" s="25" t="s">
        <v>155</v>
      </c>
      <c r="G161" s="26" t="s">
        <v>139</v>
      </c>
      <c r="H161" s="27" t="s">
        <v>1218</v>
      </c>
      <c r="I161" s="24" t="s">
        <v>998</v>
      </c>
      <c r="J161" s="24" t="s">
        <v>121</v>
      </c>
      <c r="K161" s="28" t="s">
        <v>108</v>
      </c>
      <c r="L161" s="29">
        <v>0</v>
      </c>
      <c r="M161" s="29">
        <v>0</v>
      </c>
      <c r="N161" s="29">
        <v>0.01</v>
      </c>
      <c r="O161" s="27" t="s">
        <v>148</v>
      </c>
      <c r="P161" s="30" t="s">
        <v>145</v>
      </c>
      <c r="Q161" s="31">
        <v>855395555.79999995</v>
      </c>
      <c r="R161" s="31">
        <v>2844.71</v>
      </c>
      <c r="S161" s="32">
        <v>2.3939999999999999E-2</v>
      </c>
      <c r="T161" s="32" t="s">
        <v>139</v>
      </c>
      <c r="U161" s="32">
        <v>-1.004E-2</v>
      </c>
      <c r="V161" s="32">
        <v>6.3176999999999997E-2</v>
      </c>
      <c r="W161" s="32">
        <v>2.1378000000000001E-2</v>
      </c>
      <c r="X161" s="32">
        <v>5.4065000000000002E-2</v>
      </c>
      <c r="Y161" s="32">
        <v>-8.1913E-2</v>
      </c>
      <c r="Z161" s="32">
        <v>0.42505500000000002</v>
      </c>
      <c r="AA161" s="32">
        <v>0.75782799999999995</v>
      </c>
      <c r="AB161" s="32">
        <v>0.70776499999999998</v>
      </c>
    </row>
    <row r="162" spans="1:28" ht="15.6" customHeight="1" x14ac:dyDescent="0.25">
      <c r="A162" s="24" t="s">
        <v>331</v>
      </c>
      <c r="B162" s="50">
        <v>3697</v>
      </c>
      <c r="C162" s="25" t="s">
        <v>332</v>
      </c>
      <c r="D162" s="25" t="s">
        <v>137</v>
      </c>
      <c r="E162" s="25" t="s">
        <v>194</v>
      </c>
      <c r="F162" s="25" t="s">
        <v>113</v>
      </c>
      <c r="G162" s="26" t="s">
        <v>333</v>
      </c>
      <c r="H162" s="27" t="s">
        <v>115</v>
      </c>
      <c r="I162" s="24" t="s">
        <v>106</v>
      </c>
      <c r="J162" s="24" t="s">
        <v>107</v>
      </c>
      <c r="K162" s="28" t="s">
        <v>108</v>
      </c>
      <c r="L162" s="29">
        <v>0.03</v>
      </c>
      <c r="M162" s="29">
        <v>1.4999999999999999E-2</v>
      </c>
      <c r="N162" s="29">
        <v>0.02</v>
      </c>
      <c r="O162" s="27" t="s">
        <v>141</v>
      </c>
      <c r="P162" s="30" t="s">
        <v>137</v>
      </c>
      <c r="Q162" s="31">
        <v>629195480.81143296</v>
      </c>
      <c r="R162" s="31">
        <v>164.28</v>
      </c>
      <c r="S162" s="32">
        <v>2.2079999999999999E-3</v>
      </c>
      <c r="T162" s="32" t="s">
        <v>139</v>
      </c>
      <c r="U162" s="32">
        <v>1.0970000000000001E-3</v>
      </c>
      <c r="V162" s="32">
        <v>4.0340000000000003E-3</v>
      </c>
      <c r="W162" s="32">
        <v>3.2369999999999999E-3</v>
      </c>
      <c r="X162" s="32">
        <v>1.142E-3</v>
      </c>
      <c r="Y162" s="32">
        <v>-5.0860000000000002E-3</v>
      </c>
      <c r="Z162" s="32">
        <v>8.6873000000000006E-2</v>
      </c>
      <c r="AA162" s="32">
        <v>0.18862599999999999</v>
      </c>
      <c r="AB162" s="32">
        <v>0.161499</v>
      </c>
    </row>
    <row r="163" spans="1:28" ht="15.6" customHeight="1" x14ac:dyDescent="0.25">
      <c r="A163" s="24" t="s">
        <v>1219</v>
      </c>
      <c r="B163" s="50">
        <v>3699</v>
      </c>
      <c r="C163" s="25" t="s">
        <v>1220</v>
      </c>
      <c r="D163" s="25" t="s">
        <v>127</v>
      </c>
      <c r="E163" s="25" t="s">
        <v>194</v>
      </c>
      <c r="F163" s="25" t="s">
        <v>113</v>
      </c>
      <c r="G163" s="26" t="s">
        <v>531</v>
      </c>
      <c r="H163" s="27" t="s">
        <v>115</v>
      </c>
      <c r="I163" s="24" t="s">
        <v>998</v>
      </c>
      <c r="J163" s="24" t="s">
        <v>107</v>
      </c>
      <c r="K163" s="28" t="s">
        <v>108</v>
      </c>
      <c r="L163" s="29">
        <v>0.03</v>
      </c>
      <c r="M163" s="29">
        <v>0.03</v>
      </c>
      <c r="N163" s="29">
        <v>0.02</v>
      </c>
      <c r="O163" s="27" t="s">
        <v>131</v>
      </c>
      <c r="P163" s="30" t="s">
        <v>131</v>
      </c>
      <c r="Q163" s="31">
        <v>205632873.31999999</v>
      </c>
      <c r="R163" s="31">
        <v>18379.77</v>
      </c>
      <c r="S163" s="32">
        <v>-6.7289999999999997E-3</v>
      </c>
      <c r="T163" s="32" t="s">
        <v>139</v>
      </c>
      <c r="U163" s="32">
        <v>8.2100000000000001E-4</v>
      </c>
      <c r="V163" s="32">
        <v>5.9379999999999997E-3</v>
      </c>
      <c r="W163" s="32">
        <v>4.4850000000000003E-3</v>
      </c>
      <c r="X163" s="32">
        <v>-4.5750000000000001E-3</v>
      </c>
      <c r="Y163" s="32">
        <v>-2.0908E-2</v>
      </c>
      <c r="Z163" s="32">
        <v>7.8697000000000003E-2</v>
      </c>
      <c r="AA163" s="32">
        <v>0.18295500000000001</v>
      </c>
      <c r="AB163" s="32">
        <v>0.15823000000000001</v>
      </c>
    </row>
    <row r="164" spans="1:28" ht="15.6" customHeight="1" x14ac:dyDescent="0.25">
      <c r="A164" s="24" t="s">
        <v>1221</v>
      </c>
      <c r="B164" s="50">
        <v>3700</v>
      </c>
      <c r="C164" s="25" t="s">
        <v>1222</v>
      </c>
      <c r="D164" s="25" t="s">
        <v>101</v>
      </c>
      <c r="E164" s="25" t="s">
        <v>194</v>
      </c>
      <c r="F164" s="25" t="s">
        <v>155</v>
      </c>
      <c r="G164" s="26" t="s">
        <v>139</v>
      </c>
      <c r="H164" s="27" t="s">
        <v>156</v>
      </c>
      <c r="I164" s="24" t="s">
        <v>998</v>
      </c>
      <c r="J164" s="24" t="s">
        <v>121</v>
      </c>
      <c r="K164" s="28" t="s">
        <v>227</v>
      </c>
      <c r="L164" s="29">
        <v>0.03</v>
      </c>
      <c r="M164" s="29">
        <v>1.4999999999999999E-2</v>
      </c>
      <c r="N164" s="29">
        <v>0.02</v>
      </c>
      <c r="O164" s="27" t="s">
        <v>109</v>
      </c>
      <c r="P164" s="30" t="s">
        <v>101</v>
      </c>
      <c r="Q164" s="31">
        <v>100415525.73</v>
      </c>
      <c r="R164" s="31">
        <v>219727.63</v>
      </c>
      <c r="S164" s="32">
        <v>4.3588000000000002E-2</v>
      </c>
      <c r="T164" s="32" t="s">
        <v>139</v>
      </c>
      <c r="U164" s="32">
        <v>-9.4409999999999997E-3</v>
      </c>
      <c r="V164" s="32">
        <v>6.4377000000000004E-2</v>
      </c>
      <c r="W164" s="32">
        <v>1.4069E-2</v>
      </c>
      <c r="X164" s="32">
        <v>6.6623000000000002E-2</v>
      </c>
      <c r="Y164" s="32">
        <v>-6.4714999999999995E-2</v>
      </c>
      <c r="Z164" s="32">
        <v>0.41609499999999999</v>
      </c>
      <c r="AA164" s="32">
        <v>0.68563300000000005</v>
      </c>
      <c r="AB164" s="32">
        <v>0.63971900000000004</v>
      </c>
    </row>
    <row r="165" spans="1:28" ht="15.6" customHeight="1" x14ac:dyDescent="0.25">
      <c r="A165" s="24" t="s">
        <v>1223</v>
      </c>
      <c r="B165" s="50">
        <v>3703</v>
      </c>
      <c r="C165" s="25" t="s">
        <v>1224</v>
      </c>
      <c r="D165" s="25" t="s">
        <v>137</v>
      </c>
      <c r="E165" s="25" t="s">
        <v>194</v>
      </c>
      <c r="F165" s="25" t="s">
        <v>113</v>
      </c>
      <c r="G165" s="26" t="s">
        <v>114</v>
      </c>
      <c r="H165" s="27" t="s">
        <v>1110</v>
      </c>
      <c r="I165" s="24" t="s">
        <v>998</v>
      </c>
      <c r="J165" s="24" t="s">
        <v>107</v>
      </c>
      <c r="K165" s="28" t="s">
        <v>108</v>
      </c>
      <c r="L165" s="29">
        <v>0</v>
      </c>
      <c r="M165" s="29">
        <v>0</v>
      </c>
      <c r="N165" s="29">
        <v>0.02</v>
      </c>
      <c r="O165" s="27" t="s">
        <v>141</v>
      </c>
      <c r="P165" s="30" t="s">
        <v>137</v>
      </c>
      <c r="Q165" s="31">
        <v>37777639.882671997</v>
      </c>
      <c r="R165" s="31">
        <v>166.64</v>
      </c>
      <c r="S165" s="32">
        <v>-2.9320000000000001E-3</v>
      </c>
      <c r="T165" s="32" t="s">
        <v>139</v>
      </c>
      <c r="U165" s="32">
        <v>6.6100000000000002E-4</v>
      </c>
      <c r="V165" s="32">
        <v>2.8890000000000001E-3</v>
      </c>
      <c r="W165" s="32">
        <v>8.4099999999999995E-4</v>
      </c>
      <c r="X165" s="32">
        <v>-8.3900000000000001E-4</v>
      </c>
      <c r="Y165" s="32">
        <v>-4.2430000000000002E-3</v>
      </c>
      <c r="Z165" s="32">
        <v>7.5373999999999997E-2</v>
      </c>
      <c r="AA165" s="32">
        <v>0.14600099999999999</v>
      </c>
      <c r="AB165" s="32">
        <v>0.10592</v>
      </c>
    </row>
    <row r="166" spans="1:28" ht="15.6" customHeight="1" x14ac:dyDescent="0.25">
      <c r="A166" s="24" t="s">
        <v>334</v>
      </c>
      <c r="B166" s="50">
        <v>3704</v>
      </c>
      <c r="C166" s="25" t="s">
        <v>335</v>
      </c>
      <c r="D166" s="25" t="s">
        <v>101</v>
      </c>
      <c r="E166" s="25" t="s">
        <v>194</v>
      </c>
      <c r="F166" s="25" t="s">
        <v>103</v>
      </c>
      <c r="G166" s="26" t="s">
        <v>336</v>
      </c>
      <c r="H166" s="27" t="s">
        <v>337</v>
      </c>
      <c r="I166" s="24" t="s">
        <v>106</v>
      </c>
      <c r="J166" s="24" t="s">
        <v>121</v>
      </c>
      <c r="K166" s="28" t="s">
        <v>108</v>
      </c>
      <c r="L166" s="29">
        <v>0</v>
      </c>
      <c r="M166" s="29">
        <v>0</v>
      </c>
      <c r="N166" s="29">
        <v>0.02</v>
      </c>
      <c r="O166" s="27" t="s">
        <v>109</v>
      </c>
      <c r="P166" s="30" t="s">
        <v>101</v>
      </c>
      <c r="Q166" s="31">
        <v>224613341.81999999</v>
      </c>
      <c r="R166" s="31">
        <v>159981.01</v>
      </c>
      <c r="S166" s="32">
        <v>1.4931E-2</v>
      </c>
      <c r="T166" s="32" t="s">
        <v>139</v>
      </c>
      <c r="U166" s="32">
        <v>2.7E-4</v>
      </c>
      <c r="V166" s="32">
        <v>1.781E-3</v>
      </c>
      <c r="W166" s="32">
        <v>5.4079999999999996E-3</v>
      </c>
      <c r="X166" s="32">
        <v>1.1214999999999999E-2</v>
      </c>
      <c r="Y166" s="32">
        <v>2.1708000000000002E-2</v>
      </c>
      <c r="Z166" s="32">
        <v>4.7801999999999997E-2</v>
      </c>
      <c r="AA166" s="32">
        <v>8.1065999999999999E-2</v>
      </c>
      <c r="AB166" s="32">
        <v>0.121637</v>
      </c>
    </row>
    <row r="167" spans="1:28" ht="15.6" customHeight="1" x14ac:dyDescent="0.25">
      <c r="A167" s="24" t="s">
        <v>338</v>
      </c>
      <c r="B167" s="50">
        <v>3706</v>
      </c>
      <c r="C167" s="25" t="s">
        <v>339</v>
      </c>
      <c r="D167" s="25" t="s">
        <v>145</v>
      </c>
      <c r="E167" s="25" t="s">
        <v>194</v>
      </c>
      <c r="F167" s="25" t="s">
        <v>113</v>
      </c>
      <c r="G167" s="26" t="s">
        <v>198</v>
      </c>
      <c r="H167" s="27" t="s">
        <v>120</v>
      </c>
      <c r="I167" s="24" t="s">
        <v>106</v>
      </c>
      <c r="J167" s="24" t="s">
        <v>107</v>
      </c>
      <c r="K167" s="28" t="s">
        <v>108</v>
      </c>
      <c r="L167" s="29">
        <v>0.02</v>
      </c>
      <c r="M167" s="29">
        <v>0.02</v>
      </c>
      <c r="N167" s="29">
        <v>0.02</v>
      </c>
      <c r="O167" s="27" t="s">
        <v>148</v>
      </c>
      <c r="P167" s="30" t="s">
        <v>145</v>
      </c>
      <c r="Q167" s="31">
        <v>2626412830.3400002</v>
      </c>
      <c r="R167" s="31">
        <v>1663.54</v>
      </c>
      <c r="S167" s="32">
        <v>-4.2700000000000002E-4</v>
      </c>
      <c r="T167" s="32" t="s">
        <v>139</v>
      </c>
      <c r="U167" s="32">
        <v>-2.7599999999999999E-4</v>
      </c>
      <c r="V167" s="32">
        <v>2.6459999999999999E-3</v>
      </c>
      <c r="W167" s="32">
        <v>3.3349999999999999E-3</v>
      </c>
      <c r="X167" s="32">
        <v>-4.0410000000000003E-3</v>
      </c>
      <c r="Y167" s="32">
        <v>-6.6880000000000004E-3</v>
      </c>
      <c r="Z167" s="32">
        <v>5.8486999999999997E-2</v>
      </c>
      <c r="AA167" s="32">
        <v>0.132631</v>
      </c>
      <c r="AB167" s="32">
        <v>0.170123</v>
      </c>
    </row>
    <row r="168" spans="1:28" ht="15.6" customHeight="1" x14ac:dyDescent="0.25">
      <c r="A168" s="24" t="s">
        <v>1225</v>
      </c>
      <c r="B168" s="50">
        <v>3707</v>
      </c>
      <c r="C168" s="25" t="s">
        <v>13</v>
      </c>
      <c r="D168" s="25" t="s">
        <v>342</v>
      </c>
      <c r="E168" s="25" t="s">
        <v>194</v>
      </c>
      <c r="F168" s="25" t="s">
        <v>155</v>
      </c>
      <c r="G168" s="26" t="s">
        <v>139</v>
      </c>
      <c r="H168" s="27" t="s">
        <v>156</v>
      </c>
      <c r="I168" s="24" t="s">
        <v>998</v>
      </c>
      <c r="J168" s="24" t="s">
        <v>107</v>
      </c>
      <c r="K168" s="28" t="s">
        <v>108</v>
      </c>
      <c r="L168" s="29">
        <v>0.03</v>
      </c>
      <c r="M168" s="29">
        <v>0.03</v>
      </c>
      <c r="N168" s="29">
        <v>0.02</v>
      </c>
      <c r="O168" s="27" t="s">
        <v>166</v>
      </c>
      <c r="P168" s="30" t="s">
        <v>344</v>
      </c>
      <c r="Q168" s="31">
        <v>2107476877.5599999</v>
      </c>
      <c r="R168" s="31">
        <v>2255.0500000000002</v>
      </c>
      <c r="S168" s="32">
        <v>-4.2363999999999999E-2</v>
      </c>
      <c r="T168" s="32" t="s">
        <v>139</v>
      </c>
      <c r="U168" s="32">
        <v>-7.2940000000000001E-3</v>
      </c>
      <c r="V168" s="32">
        <v>3.4473999999999998E-2</v>
      </c>
      <c r="W168" s="32">
        <v>2.358E-2</v>
      </c>
      <c r="X168" s="32">
        <v>-3.2360000000000002E-3</v>
      </c>
      <c r="Y168" s="32">
        <v>-0.12832499999999999</v>
      </c>
      <c r="Z168" s="32">
        <v>0.369253</v>
      </c>
      <c r="AA168" s="32">
        <v>0.77276800000000001</v>
      </c>
      <c r="AB168" s="32">
        <v>0.71549300000000005</v>
      </c>
    </row>
    <row r="169" spans="1:28" ht="15.6" customHeight="1" x14ac:dyDescent="0.25">
      <c r="A169" s="24" t="s">
        <v>1226</v>
      </c>
      <c r="B169" s="50">
        <v>3708</v>
      </c>
      <c r="C169" s="25" t="s">
        <v>1227</v>
      </c>
      <c r="D169" s="25" t="s">
        <v>342</v>
      </c>
      <c r="E169" s="25" t="s">
        <v>194</v>
      </c>
      <c r="F169" s="25" t="s">
        <v>113</v>
      </c>
      <c r="G169" s="26" t="s">
        <v>1160</v>
      </c>
      <c r="H169" s="27" t="s">
        <v>327</v>
      </c>
      <c r="I169" s="24" t="s">
        <v>998</v>
      </c>
      <c r="J169" s="24" t="s">
        <v>107</v>
      </c>
      <c r="K169" s="28" t="s">
        <v>108</v>
      </c>
      <c r="L169" s="29">
        <v>0.03</v>
      </c>
      <c r="M169" s="29">
        <v>0.03</v>
      </c>
      <c r="N169" s="29">
        <v>0.02</v>
      </c>
      <c r="O169" s="27" t="s">
        <v>166</v>
      </c>
      <c r="P169" s="30" t="s">
        <v>344</v>
      </c>
      <c r="Q169" s="31">
        <v>1114980606.4100001</v>
      </c>
      <c r="R169" s="31">
        <v>1779.57</v>
      </c>
      <c r="S169" s="32">
        <v>3.7399999999999998E-3</v>
      </c>
      <c r="T169" s="32" t="s">
        <v>139</v>
      </c>
      <c r="U169" s="32">
        <v>1.7E-5</v>
      </c>
      <c r="V169" s="32">
        <v>8.1689999999999992E-3</v>
      </c>
      <c r="W169" s="32">
        <v>6.3340000000000002E-3</v>
      </c>
      <c r="X169" s="32">
        <v>4.6350000000000002E-3</v>
      </c>
      <c r="Y169" s="32">
        <v>-7.8110000000000002E-3</v>
      </c>
      <c r="Z169" s="32">
        <v>9.1693999999999998E-2</v>
      </c>
      <c r="AA169" s="32">
        <v>0.19403799999999999</v>
      </c>
      <c r="AB169" s="32">
        <v>0.122212</v>
      </c>
    </row>
    <row r="170" spans="1:28" ht="15.6" customHeight="1" x14ac:dyDescent="0.25">
      <c r="A170" s="24" t="s">
        <v>340</v>
      </c>
      <c r="B170" s="50">
        <v>3709</v>
      </c>
      <c r="C170" s="25" t="s">
        <v>341</v>
      </c>
      <c r="D170" s="25" t="s">
        <v>342</v>
      </c>
      <c r="E170" s="25" t="s">
        <v>194</v>
      </c>
      <c r="F170" s="25" t="s">
        <v>103</v>
      </c>
      <c r="G170" s="26" t="s">
        <v>343</v>
      </c>
      <c r="H170" s="27" t="s">
        <v>130</v>
      </c>
      <c r="I170" s="24" t="s">
        <v>106</v>
      </c>
      <c r="J170" s="24" t="s">
        <v>107</v>
      </c>
      <c r="K170" s="28" t="s">
        <v>108</v>
      </c>
      <c r="L170" s="29">
        <v>0.03</v>
      </c>
      <c r="M170" s="29">
        <v>0.03</v>
      </c>
      <c r="N170" s="29">
        <v>0.02</v>
      </c>
      <c r="O170" s="27" t="s">
        <v>166</v>
      </c>
      <c r="P170" s="30" t="s">
        <v>344</v>
      </c>
      <c r="Q170" s="31">
        <v>2532011383.54</v>
      </c>
      <c r="R170" s="31">
        <v>1592.07</v>
      </c>
      <c r="S170" s="32">
        <v>1.7791000000000001E-2</v>
      </c>
      <c r="T170" s="32" t="s">
        <v>139</v>
      </c>
      <c r="U170" s="32">
        <v>2.9500000000000001E-4</v>
      </c>
      <c r="V170" s="32">
        <v>2.0140000000000002E-3</v>
      </c>
      <c r="W170" s="32">
        <v>6.378E-3</v>
      </c>
      <c r="X170" s="32">
        <v>1.3251000000000001E-2</v>
      </c>
      <c r="Y170" s="32">
        <v>2.6162000000000001E-2</v>
      </c>
      <c r="Z170" s="32">
        <v>5.8451999999999997E-2</v>
      </c>
      <c r="AA170" s="32">
        <v>9.6564999999999998E-2</v>
      </c>
      <c r="AB170" s="32">
        <v>0.14782699999999999</v>
      </c>
    </row>
    <row r="171" spans="1:28" ht="15.6" customHeight="1" x14ac:dyDescent="0.25">
      <c r="A171" s="24" t="s">
        <v>1228</v>
      </c>
      <c r="B171" s="50">
        <v>3710</v>
      </c>
      <c r="C171" s="25" t="s">
        <v>1229</v>
      </c>
      <c r="D171" s="25" t="s">
        <v>322</v>
      </c>
      <c r="E171" s="25" t="s">
        <v>194</v>
      </c>
      <c r="F171" s="25" t="s">
        <v>155</v>
      </c>
      <c r="G171" s="26" t="s">
        <v>139</v>
      </c>
      <c r="H171" s="27" t="s">
        <v>588</v>
      </c>
      <c r="I171" s="24" t="s">
        <v>998</v>
      </c>
      <c r="J171" s="24" t="s">
        <v>121</v>
      </c>
      <c r="K171" s="28" t="s">
        <v>180</v>
      </c>
      <c r="L171" s="29">
        <v>0</v>
      </c>
      <c r="M171" s="29">
        <v>0</v>
      </c>
      <c r="N171" s="29">
        <v>0.02</v>
      </c>
      <c r="O171" s="27" t="s">
        <v>166</v>
      </c>
      <c r="P171" s="30" t="s">
        <v>322</v>
      </c>
      <c r="Q171" s="31">
        <v>276411345.19</v>
      </c>
      <c r="R171" s="31">
        <v>109.16</v>
      </c>
      <c r="S171" s="32">
        <v>4.1801999999999999E-2</v>
      </c>
      <c r="T171" s="32" t="s">
        <v>139</v>
      </c>
      <c r="U171" s="32">
        <v>-1.0425E-2</v>
      </c>
      <c r="V171" s="32">
        <v>6.2902E-2</v>
      </c>
      <c r="W171" s="32">
        <v>2.7678000000000001E-2</v>
      </c>
      <c r="X171" s="32">
        <v>7.1983000000000005E-2</v>
      </c>
      <c r="Y171" s="32">
        <v>-5.7896000000000003E-2</v>
      </c>
      <c r="Z171" s="32">
        <v>0.42240100000000003</v>
      </c>
      <c r="AA171" s="32">
        <v>0.71702900000000003</v>
      </c>
      <c r="AB171" s="32">
        <v>0.662049</v>
      </c>
    </row>
    <row r="172" spans="1:28" ht="15.6" customHeight="1" x14ac:dyDescent="0.25">
      <c r="A172" s="24" t="s">
        <v>1230</v>
      </c>
      <c r="B172" s="50">
        <v>3714</v>
      </c>
      <c r="C172" s="25" t="s">
        <v>1231</v>
      </c>
      <c r="D172" s="25" t="s">
        <v>127</v>
      </c>
      <c r="E172" s="25" t="s">
        <v>194</v>
      </c>
      <c r="F172" s="25" t="s">
        <v>138</v>
      </c>
      <c r="G172" s="26" t="s">
        <v>139</v>
      </c>
      <c r="H172" s="27" t="s">
        <v>1232</v>
      </c>
      <c r="I172" s="24" t="s">
        <v>998</v>
      </c>
      <c r="J172" s="24" t="s">
        <v>121</v>
      </c>
      <c r="K172" s="28" t="s">
        <v>108</v>
      </c>
      <c r="L172" s="29">
        <v>0.03</v>
      </c>
      <c r="M172" s="29">
        <v>1.4999999999999999E-2</v>
      </c>
      <c r="N172" s="29">
        <v>0.02</v>
      </c>
      <c r="O172" s="27" t="s">
        <v>131</v>
      </c>
      <c r="P172" s="30" t="s">
        <v>131</v>
      </c>
      <c r="Q172" s="31">
        <v>187627797.71000001</v>
      </c>
      <c r="R172" s="31">
        <v>21914.01</v>
      </c>
      <c r="S172" s="32">
        <v>1.3672E-2</v>
      </c>
      <c r="T172" s="32" t="s">
        <v>139</v>
      </c>
      <c r="U172" s="32">
        <v>-4.411E-3</v>
      </c>
      <c r="V172" s="32">
        <v>2.8316999999999998E-2</v>
      </c>
      <c r="W172" s="32">
        <v>5.7889999999999999E-3</v>
      </c>
      <c r="X172" s="32">
        <v>2.3743E-2</v>
      </c>
      <c r="Y172" s="32">
        <v>-4.1486000000000002E-2</v>
      </c>
      <c r="Z172" s="32">
        <v>0.20227999999999999</v>
      </c>
      <c r="AA172" s="32">
        <v>0.39121099999999998</v>
      </c>
      <c r="AB172" s="32">
        <v>0.36779099999999998</v>
      </c>
    </row>
    <row r="173" spans="1:28" ht="15.6" customHeight="1" x14ac:dyDescent="0.25">
      <c r="A173" s="24" t="s">
        <v>1233</v>
      </c>
      <c r="B173" s="50">
        <v>3715</v>
      </c>
      <c r="C173" s="25" t="s">
        <v>1234</v>
      </c>
      <c r="D173" s="25" t="s">
        <v>322</v>
      </c>
      <c r="E173" s="25" t="s">
        <v>194</v>
      </c>
      <c r="F173" s="25" t="s">
        <v>113</v>
      </c>
      <c r="G173" s="26" t="s">
        <v>1072</v>
      </c>
      <c r="H173" s="27" t="s">
        <v>115</v>
      </c>
      <c r="I173" s="24" t="s">
        <v>998</v>
      </c>
      <c r="J173" s="24" t="s">
        <v>107</v>
      </c>
      <c r="K173" s="28" t="s">
        <v>108</v>
      </c>
      <c r="L173" s="29">
        <v>0.03</v>
      </c>
      <c r="M173" s="29">
        <v>1.4999999999999999E-2</v>
      </c>
      <c r="N173" s="29">
        <v>0.02</v>
      </c>
      <c r="O173" s="27" t="s">
        <v>166</v>
      </c>
      <c r="P173" s="30" t="s">
        <v>322</v>
      </c>
      <c r="Q173" s="31">
        <v>1088714310.74</v>
      </c>
      <c r="R173" s="31">
        <v>155.47999999999999</v>
      </c>
      <c r="S173" s="32">
        <v>-9.2399999999999999E-3</v>
      </c>
      <c r="T173" s="32" t="s">
        <v>139</v>
      </c>
      <c r="U173" s="32">
        <v>4.4999999999999999E-4</v>
      </c>
      <c r="V173" s="32">
        <v>4.5230000000000001E-3</v>
      </c>
      <c r="W173" s="32">
        <v>1.4170000000000001E-3</v>
      </c>
      <c r="X173" s="32">
        <v>-3.0140000000000002E-3</v>
      </c>
      <c r="Y173" s="32">
        <v>-1.5699999999999999E-2</v>
      </c>
      <c r="Z173" s="32">
        <v>6.7637000000000003E-2</v>
      </c>
      <c r="AA173" s="32">
        <v>0.13630100000000001</v>
      </c>
      <c r="AB173" s="32">
        <v>8.9863999999999999E-2</v>
      </c>
    </row>
    <row r="174" spans="1:28" ht="15.6" customHeight="1" x14ac:dyDescent="0.25">
      <c r="A174" s="24" t="s">
        <v>1235</v>
      </c>
      <c r="B174" s="50">
        <v>3717</v>
      </c>
      <c r="C174" s="25" t="s">
        <v>1236</v>
      </c>
      <c r="D174" s="25" t="s">
        <v>241</v>
      </c>
      <c r="E174" s="25" t="s">
        <v>194</v>
      </c>
      <c r="F174" s="25" t="s">
        <v>113</v>
      </c>
      <c r="G174" s="26" t="s">
        <v>114</v>
      </c>
      <c r="H174" s="27" t="s">
        <v>115</v>
      </c>
      <c r="I174" s="24" t="s">
        <v>998</v>
      </c>
      <c r="J174" s="24" t="s">
        <v>121</v>
      </c>
      <c r="K174" s="28" t="s">
        <v>108</v>
      </c>
      <c r="L174" s="29">
        <v>0.03</v>
      </c>
      <c r="M174" s="29">
        <v>1.4999999999999999E-2</v>
      </c>
      <c r="N174" s="29">
        <v>0.02</v>
      </c>
      <c r="O174" s="27" t="s">
        <v>166</v>
      </c>
      <c r="P174" s="30" t="s">
        <v>241</v>
      </c>
      <c r="Q174" s="31">
        <v>474822373.76999998</v>
      </c>
      <c r="R174" s="31">
        <v>1899.38</v>
      </c>
      <c r="S174" s="32">
        <v>1.1169E-2</v>
      </c>
      <c r="T174" s="32" t="s">
        <v>139</v>
      </c>
      <c r="U174" s="32">
        <v>6.0099999999999997E-4</v>
      </c>
      <c r="V174" s="32">
        <v>5.8199999999999997E-3</v>
      </c>
      <c r="W174" s="32">
        <v>1.0834999999999999E-2</v>
      </c>
      <c r="X174" s="32">
        <v>9.7710000000000002E-3</v>
      </c>
      <c r="Y174" s="32">
        <v>7.1479999999999998E-3</v>
      </c>
      <c r="Z174" s="32">
        <v>9.4239000000000003E-2</v>
      </c>
      <c r="AA174" s="32">
        <v>0.197848</v>
      </c>
      <c r="AB174" s="32">
        <v>0.159113</v>
      </c>
    </row>
    <row r="175" spans="1:28" ht="15.6" customHeight="1" x14ac:dyDescent="0.25">
      <c r="A175" s="24" t="s">
        <v>345</v>
      </c>
      <c r="B175" s="50">
        <v>3718</v>
      </c>
      <c r="C175" s="25" t="s">
        <v>346</v>
      </c>
      <c r="D175" s="25" t="s">
        <v>164</v>
      </c>
      <c r="E175" s="25" t="s">
        <v>102</v>
      </c>
      <c r="F175" s="25" t="s">
        <v>113</v>
      </c>
      <c r="G175" s="26" t="s">
        <v>347</v>
      </c>
      <c r="H175" s="27" t="s">
        <v>199</v>
      </c>
      <c r="I175" s="24" t="s">
        <v>106</v>
      </c>
      <c r="J175" s="24" t="s">
        <v>121</v>
      </c>
      <c r="K175" s="28" t="s">
        <v>108</v>
      </c>
      <c r="L175" s="29">
        <v>0.03</v>
      </c>
      <c r="M175" s="29">
        <v>1.4999999999999999E-2</v>
      </c>
      <c r="N175" s="29">
        <v>0.02</v>
      </c>
      <c r="O175" s="27" t="s">
        <v>166</v>
      </c>
      <c r="P175" s="30" t="s">
        <v>164</v>
      </c>
      <c r="Q175" s="31">
        <v>3156820877.6900001</v>
      </c>
      <c r="R175" s="31">
        <v>1852.46</v>
      </c>
      <c r="S175" s="32">
        <v>7.7409999999999996E-3</v>
      </c>
      <c r="T175" s="32" t="s">
        <v>139</v>
      </c>
      <c r="U175" s="32">
        <v>1.3569999999999999E-3</v>
      </c>
      <c r="V175" s="32">
        <v>4.3969999999999999E-3</v>
      </c>
      <c r="W175" s="32">
        <v>7.2319999999999997E-3</v>
      </c>
      <c r="X175" s="32">
        <v>5.9950000000000003E-3</v>
      </c>
      <c r="Y175" s="32">
        <v>9.0039999999999999E-3</v>
      </c>
      <c r="Z175" s="32">
        <v>8.9272000000000004E-2</v>
      </c>
      <c r="AA175" s="32">
        <v>0.18195900000000001</v>
      </c>
      <c r="AB175" s="32">
        <v>0.19456499999999999</v>
      </c>
    </row>
    <row r="176" spans="1:28" ht="15.6" customHeight="1" x14ac:dyDescent="0.25">
      <c r="A176" s="24" t="s">
        <v>1237</v>
      </c>
      <c r="B176" s="50">
        <v>3719</v>
      </c>
      <c r="C176" s="25" t="s">
        <v>1238</v>
      </c>
      <c r="D176" s="25" t="s">
        <v>350</v>
      </c>
      <c r="E176" s="25" t="s">
        <v>194</v>
      </c>
      <c r="F176" s="25" t="s">
        <v>155</v>
      </c>
      <c r="G176" s="26" t="s">
        <v>139</v>
      </c>
      <c r="H176" s="27" t="s">
        <v>156</v>
      </c>
      <c r="I176" s="24" t="s">
        <v>998</v>
      </c>
      <c r="J176" s="24" t="s">
        <v>107</v>
      </c>
      <c r="K176" s="28" t="s">
        <v>108</v>
      </c>
      <c r="L176" s="29">
        <v>0.03</v>
      </c>
      <c r="M176" s="29">
        <v>1.4999999999999999E-2</v>
      </c>
      <c r="N176" s="29">
        <v>0.02</v>
      </c>
      <c r="O176" s="27" t="s">
        <v>166</v>
      </c>
      <c r="P176" s="30" t="s">
        <v>350</v>
      </c>
      <c r="Q176" s="31">
        <v>1188017.23</v>
      </c>
      <c r="R176" s="31">
        <v>221.23</v>
      </c>
      <c r="S176" s="32">
        <v>4.6203000000000001E-2</v>
      </c>
      <c r="T176" s="32" t="s">
        <v>139</v>
      </c>
      <c r="U176" s="32">
        <v>-8.515E-3</v>
      </c>
      <c r="V176" s="32">
        <v>5.1522999999999999E-2</v>
      </c>
      <c r="W176" s="32">
        <v>2.4877E-2</v>
      </c>
      <c r="X176" s="32">
        <v>7.3411000000000004E-2</v>
      </c>
      <c r="Y176" s="32">
        <v>-5.8476E-2</v>
      </c>
      <c r="Z176" s="32">
        <v>0.44604199999999999</v>
      </c>
      <c r="AA176" s="32">
        <v>0.70137700000000003</v>
      </c>
      <c r="AB176" s="32">
        <v>0.64019899999999996</v>
      </c>
    </row>
    <row r="177" spans="1:28" ht="15.6" customHeight="1" x14ac:dyDescent="0.25">
      <c r="A177" s="24" t="s">
        <v>348</v>
      </c>
      <c r="B177" s="50">
        <v>3720</v>
      </c>
      <c r="C177" s="25" t="s">
        <v>349</v>
      </c>
      <c r="D177" s="25" t="s">
        <v>350</v>
      </c>
      <c r="E177" s="25" t="s">
        <v>194</v>
      </c>
      <c r="F177" s="25" t="s">
        <v>128</v>
      </c>
      <c r="G177" s="26" t="s">
        <v>275</v>
      </c>
      <c r="H177" s="27" t="s">
        <v>130</v>
      </c>
      <c r="I177" s="24" t="s">
        <v>106</v>
      </c>
      <c r="J177" s="24" t="s">
        <v>107</v>
      </c>
      <c r="K177" s="28" t="s">
        <v>108</v>
      </c>
      <c r="L177" s="29">
        <v>5.0000000000000001E-3</v>
      </c>
      <c r="M177" s="29">
        <v>5.0000000000000001E-3</v>
      </c>
      <c r="N177" s="29">
        <v>7.4999999999999997E-3</v>
      </c>
      <c r="O177" s="27" t="s">
        <v>166</v>
      </c>
      <c r="P177" s="30" t="s">
        <v>350</v>
      </c>
      <c r="Q177" s="31">
        <v>313362269.75</v>
      </c>
      <c r="R177" s="31">
        <v>146.74</v>
      </c>
      <c r="S177" s="32">
        <v>1.9382E-2</v>
      </c>
      <c r="T177" s="32" t="s">
        <v>139</v>
      </c>
      <c r="U177" s="32">
        <v>4.0900000000000002E-4</v>
      </c>
      <c r="V177" s="32">
        <v>2.4589999999999998E-3</v>
      </c>
      <c r="W177" s="32">
        <v>6.6540000000000002E-3</v>
      </c>
      <c r="X177" s="32">
        <v>1.4659E-2</v>
      </c>
      <c r="Y177" s="32">
        <v>2.7446999999999999E-2</v>
      </c>
      <c r="Z177" s="32">
        <v>6.1641000000000001E-2</v>
      </c>
      <c r="AA177" s="32">
        <v>0.102811</v>
      </c>
      <c r="AB177" s="32">
        <v>0.15090200000000001</v>
      </c>
    </row>
    <row r="178" spans="1:28" ht="15.6" customHeight="1" x14ac:dyDescent="0.25">
      <c r="A178" s="24" t="s">
        <v>1239</v>
      </c>
      <c r="B178" s="50">
        <v>3721</v>
      </c>
      <c r="C178" s="25" t="s">
        <v>1240</v>
      </c>
      <c r="D178" s="25" t="s">
        <v>350</v>
      </c>
      <c r="E178" s="25" t="s">
        <v>194</v>
      </c>
      <c r="F178" s="25" t="s">
        <v>113</v>
      </c>
      <c r="G178" s="26" t="s">
        <v>685</v>
      </c>
      <c r="H178" s="27" t="s">
        <v>839</v>
      </c>
      <c r="I178" s="24" t="s">
        <v>998</v>
      </c>
      <c r="J178" s="24" t="s">
        <v>107</v>
      </c>
      <c r="K178" s="28" t="s">
        <v>108</v>
      </c>
      <c r="L178" s="29">
        <v>0.01</v>
      </c>
      <c r="M178" s="29">
        <v>5.0000000000000001E-3</v>
      </c>
      <c r="N178" s="29">
        <v>0.01</v>
      </c>
      <c r="O178" s="27" t="s">
        <v>166</v>
      </c>
      <c r="P178" s="30" t="s">
        <v>350</v>
      </c>
      <c r="Q178" s="31">
        <v>197706385.06999999</v>
      </c>
      <c r="R178" s="31">
        <v>177.54</v>
      </c>
      <c r="S178" s="32">
        <v>-7.8790000000000006E-3</v>
      </c>
      <c r="T178" s="32" t="s">
        <v>139</v>
      </c>
      <c r="U178" s="32">
        <v>7.3300000000000004E-4</v>
      </c>
      <c r="V178" s="32">
        <v>4.5830000000000003E-3</v>
      </c>
      <c r="W178" s="32">
        <v>2.7680000000000001E-3</v>
      </c>
      <c r="X178" s="32">
        <v>-5.0439999999999999E-3</v>
      </c>
      <c r="Y178" s="32">
        <v>-8.9870000000000002E-3</v>
      </c>
      <c r="Z178" s="32">
        <v>0.13705600000000001</v>
      </c>
      <c r="AA178" s="32">
        <v>0.22373899999999999</v>
      </c>
      <c r="AB178" s="32">
        <v>0.20138</v>
      </c>
    </row>
    <row r="179" spans="1:28" ht="15.6" customHeight="1" x14ac:dyDescent="0.25">
      <c r="A179" s="24" t="s">
        <v>351</v>
      </c>
      <c r="B179" s="50">
        <v>3725</v>
      </c>
      <c r="C179" s="25" t="s">
        <v>352</v>
      </c>
      <c r="D179" s="25" t="s">
        <v>261</v>
      </c>
      <c r="E179" s="25" t="s">
        <v>194</v>
      </c>
      <c r="F179" s="25" t="s">
        <v>103</v>
      </c>
      <c r="G179" s="26" t="s">
        <v>244</v>
      </c>
      <c r="H179" s="27" t="s">
        <v>217</v>
      </c>
      <c r="I179" s="24" t="s">
        <v>106</v>
      </c>
      <c r="J179" s="24" t="s">
        <v>107</v>
      </c>
      <c r="K179" s="28" t="s">
        <v>108</v>
      </c>
      <c r="L179" s="29">
        <v>0</v>
      </c>
      <c r="M179" s="29">
        <v>0</v>
      </c>
      <c r="N179" s="29">
        <v>0.02</v>
      </c>
      <c r="O179" s="27" t="s">
        <v>166</v>
      </c>
      <c r="P179" s="30" t="s">
        <v>261</v>
      </c>
      <c r="Q179" s="31">
        <v>94397715.099999994</v>
      </c>
      <c r="R179" s="31">
        <v>138.53</v>
      </c>
      <c r="S179" s="32">
        <v>2.7594E-2</v>
      </c>
      <c r="T179" s="32" t="s">
        <v>139</v>
      </c>
      <c r="U179" s="32">
        <v>2.8899999999999998E-4</v>
      </c>
      <c r="V179" s="32">
        <v>4.8599999999999997E-3</v>
      </c>
      <c r="W179" s="32">
        <v>8.8850000000000005E-3</v>
      </c>
      <c r="X179" s="32">
        <v>1.7854999999999999E-2</v>
      </c>
      <c r="Y179" s="32">
        <v>3.6202999999999999E-2</v>
      </c>
      <c r="Z179" s="32">
        <v>6.5943000000000002E-2</v>
      </c>
      <c r="AA179" s="32">
        <v>0.10005600000000001</v>
      </c>
      <c r="AB179" s="32">
        <v>0.14610699999999999</v>
      </c>
    </row>
    <row r="180" spans="1:28" ht="15.6" customHeight="1" x14ac:dyDescent="0.25">
      <c r="A180" s="24" t="s">
        <v>1241</v>
      </c>
      <c r="B180" s="50">
        <v>3730</v>
      </c>
      <c r="C180" s="25" t="s">
        <v>1242</v>
      </c>
      <c r="D180" s="25" t="s">
        <v>127</v>
      </c>
      <c r="E180" s="25" t="s">
        <v>194</v>
      </c>
      <c r="F180" s="25" t="s">
        <v>113</v>
      </c>
      <c r="G180" s="26" t="s">
        <v>531</v>
      </c>
      <c r="H180" s="27" t="s">
        <v>115</v>
      </c>
      <c r="I180" s="24" t="s">
        <v>998</v>
      </c>
      <c r="J180" s="24" t="s">
        <v>121</v>
      </c>
      <c r="K180" s="28" t="s">
        <v>108</v>
      </c>
      <c r="L180" s="29">
        <v>0.03</v>
      </c>
      <c r="M180" s="29">
        <v>1.4999999999999999E-2</v>
      </c>
      <c r="N180" s="29">
        <v>0.02</v>
      </c>
      <c r="O180" s="27" t="s">
        <v>131</v>
      </c>
      <c r="P180" s="30" t="s">
        <v>131</v>
      </c>
      <c r="Q180" s="31">
        <v>3732493545.8499999</v>
      </c>
      <c r="R180" s="31">
        <v>2027.4</v>
      </c>
      <c r="S180" s="32">
        <v>-3.7000000000000002E-3</v>
      </c>
      <c r="T180" s="32" t="s">
        <v>139</v>
      </c>
      <c r="U180" s="32">
        <v>5.1800000000000001E-4</v>
      </c>
      <c r="V180" s="32">
        <v>6.424E-3</v>
      </c>
      <c r="W180" s="32">
        <v>4.0410000000000003E-3</v>
      </c>
      <c r="X180" s="32">
        <v>-1.915E-3</v>
      </c>
      <c r="Y180" s="32">
        <v>-1.5859000000000002E-2</v>
      </c>
      <c r="Z180" s="32">
        <v>6.8926000000000001E-2</v>
      </c>
      <c r="AA180" s="32">
        <v>0.174122</v>
      </c>
      <c r="AB180" s="32">
        <v>0.29443200000000003</v>
      </c>
    </row>
    <row r="181" spans="1:28" ht="15.6" customHeight="1" x14ac:dyDescent="0.25">
      <c r="A181" s="24" t="s">
        <v>1243</v>
      </c>
      <c r="B181" s="50">
        <v>3731</v>
      </c>
      <c r="C181" s="25" t="s">
        <v>1244</v>
      </c>
      <c r="D181" s="25" t="s">
        <v>355</v>
      </c>
      <c r="E181" s="25" t="s">
        <v>194</v>
      </c>
      <c r="F181" s="25" t="s">
        <v>113</v>
      </c>
      <c r="G181" s="26" t="s">
        <v>1160</v>
      </c>
      <c r="H181" s="27" t="s">
        <v>120</v>
      </c>
      <c r="I181" s="24" t="s">
        <v>998</v>
      </c>
      <c r="J181" s="24" t="s">
        <v>107</v>
      </c>
      <c r="K181" s="28" t="s">
        <v>108</v>
      </c>
      <c r="L181" s="29">
        <v>0.02</v>
      </c>
      <c r="M181" s="29">
        <v>1.4999999999999999E-2</v>
      </c>
      <c r="N181" s="29">
        <v>0.02</v>
      </c>
      <c r="O181" s="27" t="s">
        <v>109</v>
      </c>
      <c r="P181" s="30" t="s">
        <v>355</v>
      </c>
      <c r="Q181" s="31">
        <v>403362190.14999998</v>
      </c>
      <c r="R181" s="31">
        <v>1646.67</v>
      </c>
      <c r="S181" s="32">
        <v>-7.4200000000000004E-3</v>
      </c>
      <c r="T181" s="32" t="s">
        <v>139</v>
      </c>
      <c r="U181" s="32">
        <v>5.9500000000000004E-4</v>
      </c>
      <c r="V181" s="32">
        <v>3.333E-3</v>
      </c>
      <c r="W181" s="32">
        <v>8.1400000000000005E-4</v>
      </c>
      <c r="X181" s="32">
        <v>-4.4860000000000004E-3</v>
      </c>
      <c r="Y181" s="32">
        <v>-1.3929E-2</v>
      </c>
      <c r="Z181" s="32">
        <v>5.3046999999999997E-2</v>
      </c>
      <c r="AA181" s="32">
        <v>0.126275</v>
      </c>
      <c r="AB181" s="32">
        <v>0.10559300000000001</v>
      </c>
    </row>
    <row r="182" spans="1:28" ht="15.6" customHeight="1" x14ac:dyDescent="0.25">
      <c r="A182" s="24" t="s">
        <v>353</v>
      </c>
      <c r="B182" s="50">
        <v>3732</v>
      </c>
      <c r="C182" s="25" t="s">
        <v>354</v>
      </c>
      <c r="D182" s="25" t="s">
        <v>355</v>
      </c>
      <c r="E182" s="25" t="s">
        <v>194</v>
      </c>
      <c r="F182" s="25" t="s">
        <v>103</v>
      </c>
      <c r="G182" s="26" t="s">
        <v>356</v>
      </c>
      <c r="H182" s="27" t="s">
        <v>147</v>
      </c>
      <c r="I182" s="24" t="s">
        <v>106</v>
      </c>
      <c r="J182" s="24" t="s">
        <v>107</v>
      </c>
      <c r="K182" s="28" t="s">
        <v>108</v>
      </c>
      <c r="L182" s="29">
        <v>0</v>
      </c>
      <c r="M182" s="29">
        <v>0</v>
      </c>
      <c r="N182" s="29">
        <v>0.02</v>
      </c>
      <c r="O182" s="27" t="s">
        <v>109</v>
      </c>
      <c r="P182" s="30" t="s">
        <v>355</v>
      </c>
      <c r="Q182" s="31">
        <v>29518588.34</v>
      </c>
      <c r="R182" s="31">
        <v>1448.84</v>
      </c>
      <c r="S182" s="32">
        <v>1.2156E-2</v>
      </c>
      <c r="T182" s="32" t="s">
        <v>139</v>
      </c>
      <c r="U182" s="32">
        <v>1.17E-4</v>
      </c>
      <c r="V182" s="32">
        <v>1.1609999999999999E-3</v>
      </c>
      <c r="W182" s="32">
        <v>4.7359999999999998E-3</v>
      </c>
      <c r="X182" s="32">
        <v>8.9910000000000007E-3</v>
      </c>
      <c r="Y182" s="32">
        <v>2.8757000000000001E-2</v>
      </c>
      <c r="Z182" s="32">
        <v>4.6221999999999999E-2</v>
      </c>
      <c r="AA182" s="32">
        <v>7.3326000000000002E-2</v>
      </c>
      <c r="AB182" s="32">
        <v>0.111457</v>
      </c>
    </row>
    <row r="183" spans="1:28" ht="15.6" customHeight="1" x14ac:dyDescent="0.25">
      <c r="A183" s="24" t="s">
        <v>357</v>
      </c>
      <c r="B183" s="50">
        <v>3733</v>
      </c>
      <c r="C183" s="25" t="s">
        <v>358</v>
      </c>
      <c r="D183" s="25" t="s">
        <v>164</v>
      </c>
      <c r="E183" s="25" t="s">
        <v>194</v>
      </c>
      <c r="F183" s="25" t="s">
        <v>155</v>
      </c>
      <c r="G183" s="26" t="s">
        <v>139</v>
      </c>
      <c r="H183" s="27" t="s">
        <v>156</v>
      </c>
      <c r="I183" s="24" t="s">
        <v>106</v>
      </c>
      <c r="J183" s="24" t="s">
        <v>121</v>
      </c>
      <c r="K183" s="28" t="s">
        <v>227</v>
      </c>
      <c r="L183" s="29">
        <v>0.03</v>
      </c>
      <c r="M183" s="29">
        <v>1.4999999999999999E-2</v>
      </c>
      <c r="N183" s="29">
        <v>0.02</v>
      </c>
      <c r="O183" s="27" t="s">
        <v>166</v>
      </c>
      <c r="P183" s="30" t="s">
        <v>164</v>
      </c>
      <c r="Q183" s="31">
        <v>1718869745.4300001</v>
      </c>
      <c r="R183" s="31">
        <v>307490.12</v>
      </c>
      <c r="S183" s="32">
        <v>7.9500000000000001E-2</v>
      </c>
      <c r="T183" s="32" t="s">
        <v>139</v>
      </c>
      <c r="U183" s="32">
        <v>-1.0958000000000001E-2</v>
      </c>
      <c r="V183" s="32">
        <v>6.6359000000000001E-2</v>
      </c>
      <c r="W183" s="32">
        <v>2.5617999999999998E-2</v>
      </c>
      <c r="X183" s="32">
        <v>9.4725000000000004E-2</v>
      </c>
      <c r="Y183" s="32">
        <v>-2.4754000000000002E-2</v>
      </c>
      <c r="Z183" s="32">
        <v>0.42194100000000001</v>
      </c>
      <c r="AA183" s="32">
        <v>0.67838699999999996</v>
      </c>
      <c r="AB183" s="32">
        <v>0.67720599999999997</v>
      </c>
    </row>
    <row r="184" spans="1:28" ht="15.6" customHeight="1" x14ac:dyDescent="0.25">
      <c r="A184" s="24" t="s">
        <v>1245</v>
      </c>
      <c r="B184" s="50">
        <v>3734</v>
      </c>
      <c r="C184" s="25" t="s">
        <v>1246</v>
      </c>
      <c r="D184" s="25" t="s">
        <v>159</v>
      </c>
      <c r="E184" s="25" t="s">
        <v>194</v>
      </c>
      <c r="F184" s="25" t="s">
        <v>113</v>
      </c>
      <c r="G184" s="26" t="s">
        <v>638</v>
      </c>
      <c r="H184" s="27" t="s">
        <v>115</v>
      </c>
      <c r="I184" s="24" t="s">
        <v>998</v>
      </c>
      <c r="J184" s="24" t="s">
        <v>107</v>
      </c>
      <c r="K184" s="28" t="s">
        <v>108</v>
      </c>
      <c r="L184" s="29">
        <v>0</v>
      </c>
      <c r="M184" s="29">
        <v>0</v>
      </c>
      <c r="N184" s="29">
        <v>0.02</v>
      </c>
      <c r="O184" s="27" t="s">
        <v>161</v>
      </c>
      <c r="P184" s="30" t="s">
        <v>159</v>
      </c>
      <c r="Q184" s="31">
        <v>823507.85</v>
      </c>
      <c r="R184" s="31">
        <v>12867.31</v>
      </c>
      <c r="S184" s="32">
        <v>7.0590000000000002E-3</v>
      </c>
      <c r="T184" s="32" t="s">
        <v>139</v>
      </c>
      <c r="U184" s="32">
        <v>6.7100000000000005E-4</v>
      </c>
      <c r="V184" s="32">
        <v>3.1180000000000001E-3</v>
      </c>
      <c r="W184" s="32">
        <v>4.4970000000000001E-3</v>
      </c>
      <c r="X184" s="32">
        <v>3.6050000000000001E-3</v>
      </c>
      <c r="Y184" s="32">
        <v>4.5719999999999997E-3</v>
      </c>
      <c r="Z184" s="32">
        <v>5.6061E-2</v>
      </c>
      <c r="AA184" s="32">
        <v>0.12521699999999999</v>
      </c>
      <c r="AB184" s="32">
        <v>9.0310000000000001E-2</v>
      </c>
    </row>
    <row r="185" spans="1:28" ht="15.6" customHeight="1" x14ac:dyDescent="0.25">
      <c r="A185" s="24" t="s">
        <v>359</v>
      </c>
      <c r="B185" s="50">
        <v>3735</v>
      </c>
      <c r="C185" s="25" t="s">
        <v>360</v>
      </c>
      <c r="D185" s="25" t="s">
        <v>159</v>
      </c>
      <c r="E185" s="25" t="s">
        <v>194</v>
      </c>
      <c r="F185" s="25" t="s">
        <v>361</v>
      </c>
      <c r="G185" s="26" t="s">
        <v>139</v>
      </c>
      <c r="H185" s="27" t="s">
        <v>217</v>
      </c>
      <c r="I185" s="24" t="s">
        <v>106</v>
      </c>
      <c r="J185" s="24" t="s">
        <v>107</v>
      </c>
      <c r="K185" s="28" t="s">
        <v>108</v>
      </c>
      <c r="L185" s="29">
        <v>0</v>
      </c>
      <c r="M185" s="29">
        <v>0</v>
      </c>
      <c r="N185" s="29">
        <v>0.02</v>
      </c>
      <c r="O185" s="27" t="s">
        <v>161</v>
      </c>
      <c r="P185" s="30" t="s">
        <v>159</v>
      </c>
      <c r="Q185" s="31">
        <v>3765298448.04</v>
      </c>
      <c r="R185" s="31">
        <v>13235.12</v>
      </c>
      <c r="S185" s="32">
        <v>1.3395000000000001E-2</v>
      </c>
      <c r="T185" s="32" t="s">
        <v>139</v>
      </c>
      <c r="U185" s="32">
        <v>2.1599999999999999E-4</v>
      </c>
      <c r="V185" s="32">
        <v>1.5089999999999999E-3</v>
      </c>
      <c r="W185" s="32">
        <v>4.7679999999999997E-3</v>
      </c>
      <c r="X185" s="32">
        <v>9.9080000000000001E-3</v>
      </c>
      <c r="Y185" s="32">
        <v>2.0056000000000001E-2</v>
      </c>
      <c r="Z185" s="32">
        <v>4.2798999999999997E-2</v>
      </c>
      <c r="AA185" s="32">
        <v>7.1225999999999998E-2</v>
      </c>
      <c r="AB185" s="32">
        <v>0.108067</v>
      </c>
    </row>
    <row r="186" spans="1:28" ht="15.6" customHeight="1" x14ac:dyDescent="0.25">
      <c r="A186" s="24" t="s">
        <v>362</v>
      </c>
      <c r="B186" s="50">
        <v>3736</v>
      </c>
      <c r="C186" s="25" t="s">
        <v>363</v>
      </c>
      <c r="D186" s="25" t="s">
        <v>159</v>
      </c>
      <c r="E186" s="25" t="s">
        <v>194</v>
      </c>
      <c r="F186" s="25" t="s">
        <v>113</v>
      </c>
      <c r="G186" s="26" t="s">
        <v>198</v>
      </c>
      <c r="H186" s="27" t="s">
        <v>115</v>
      </c>
      <c r="I186" s="24" t="s">
        <v>106</v>
      </c>
      <c r="J186" s="24" t="s">
        <v>121</v>
      </c>
      <c r="K186" s="28" t="s">
        <v>108</v>
      </c>
      <c r="L186" s="29">
        <v>0</v>
      </c>
      <c r="M186" s="29">
        <v>0</v>
      </c>
      <c r="N186" s="29">
        <v>0.02</v>
      </c>
      <c r="O186" s="27" t="s">
        <v>161</v>
      </c>
      <c r="P186" s="30" t="s">
        <v>159</v>
      </c>
      <c r="Q186" s="31">
        <v>11007384085.83</v>
      </c>
      <c r="R186" s="31">
        <v>16309.7</v>
      </c>
      <c r="S186" s="32">
        <v>6.9290000000000003E-3</v>
      </c>
      <c r="T186" s="32" t="s">
        <v>139</v>
      </c>
      <c r="U186" s="32">
        <v>8.9499999999999996E-4</v>
      </c>
      <c r="V186" s="32">
        <v>3.3500000000000001E-3</v>
      </c>
      <c r="W186" s="32">
        <v>5.9969999999999997E-3</v>
      </c>
      <c r="X186" s="32">
        <v>5.7670000000000004E-3</v>
      </c>
      <c r="Y186" s="32">
        <v>8.1639999999999994E-3</v>
      </c>
      <c r="Z186" s="32">
        <v>7.0919999999999997E-2</v>
      </c>
      <c r="AA186" s="32">
        <v>0.135378</v>
      </c>
      <c r="AB186" s="32">
        <v>0.13611799999999999</v>
      </c>
    </row>
    <row r="187" spans="1:28" ht="15.6" customHeight="1" x14ac:dyDescent="0.25">
      <c r="A187" s="24" t="s">
        <v>364</v>
      </c>
      <c r="B187" s="50">
        <v>3737</v>
      </c>
      <c r="C187" s="25" t="s">
        <v>365</v>
      </c>
      <c r="D187" s="25" t="s">
        <v>159</v>
      </c>
      <c r="E187" s="25" t="s">
        <v>194</v>
      </c>
      <c r="F187" s="25" t="s">
        <v>113</v>
      </c>
      <c r="G187" s="26" t="s">
        <v>366</v>
      </c>
      <c r="H187" s="27" t="s">
        <v>367</v>
      </c>
      <c r="I187" s="24" t="s">
        <v>106</v>
      </c>
      <c r="J187" s="24" t="s">
        <v>121</v>
      </c>
      <c r="K187" s="28" t="s">
        <v>108</v>
      </c>
      <c r="L187" s="29">
        <v>0</v>
      </c>
      <c r="M187" s="29">
        <v>0</v>
      </c>
      <c r="N187" s="29">
        <v>0.02</v>
      </c>
      <c r="O187" s="27" t="s">
        <v>161</v>
      </c>
      <c r="P187" s="30" t="s">
        <v>159</v>
      </c>
      <c r="Q187" s="31">
        <v>2766543211.2399998</v>
      </c>
      <c r="R187" s="31">
        <v>1809.63</v>
      </c>
      <c r="S187" s="32">
        <v>1.3861E-2</v>
      </c>
      <c r="T187" s="32" t="s">
        <v>139</v>
      </c>
      <c r="U187" s="32">
        <v>5.5800000000000001E-4</v>
      </c>
      <c r="V187" s="32">
        <v>2.8869999999999998E-3</v>
      </c>
      <c r="W187" s="32">
        <v>6.7369999999999999E-3</v>
      </c>
      <c r="X187" s="32">
        <v>1.0187999999999999E-2</v>
      </c>
      <c r="Y187" s="32">
        <v>1.5727000000000001E-2</v>
      </c>
      <c r="Z187" s="32">
        <v>9.0749999999999997E-2</v>
      </c>
      <c r="AA187" s="32">
        <v>0.19647300000000001</v>
      </c>
      <c r="AB187" s="32">
        <v>0.18792800000000001</v>
      </c>
    </row>
    <row r="188" spans="1:28" ht="15.6" customHeight="1" x14ac:dyDescent="0.25">
      <c r="A188" s="24" t="s">
        <v>368</v>
      </c>
      <c r="B188" s="50">
        <v>3738</v>
      </c>
      <c r="C188" s="25" t="s">
        <v>369</v>
      </c>
      <c r="D188" s="25" t="s">
        <v>159</v>
      </c>
      <c r="E188" s="25" t="s">
        <v>194</v>
      </c>
      <c r="F188" s="25" t="s">
        <v>138</v>
      </c>
      <c r="G188" s="26" t="s">
        <v>139</v>
      </c>
      <c r="H188" s="27" t="s">
        <v>370</v>
      </c>
      <c r="I188" s="24" t="s">
        <v>106</v>
      </c>
      <c r="J188" s="24" t="s">
        <v>121</v>
      </c>
      <c r="K188" s="28" t="s">
        <v>108</v>
      </c>
      <c r="L188" s="29">
        <v>0</v>
      </c>
      <c r="M188" s="29">
        <v>0</v>
      </c>
      <c r="N188" s="29">
        <v>0.02</v>
      </c>
      <c r="O188" s="27" t="s">
        <v>161</v>
      </c>
      <c r="P188" s="30" t="s">
        <v>159</v>
      </c>
      <c r="Q188" s="31">
        <v>2222076377.1399999</v>
      </c>
      <c r="R188" s="31">
        <v>20075.86</v>
      </c>
      <c r="S188" s="32">
        <v>1.3037999999999999E-2</v>
      </c>
      <c r="T188" s="32" t="s">
        <v>139</v>
      </c>
      <c r="U188" s="32">
        <v>-2.1059999999999998E-3</v>
      </c>
      <c r="V188" s="32">
        <v>1.8824E-2</v>
      </c>
      <c r="W188" s="32">
        <v>7.4960000000000001E-3</v>
      </c>
      <c r="X188" s="32">
        <v>1.7659000000000001E-2</v>
      </c>
      <c r="Y188" s="32">
        <v>-1.9810000000000001E-2</v>
      </c>
      <c r="Z188" s="32">
        <v>0.18113000000000001</v>
      </c>
      <c r="AA188" s="32">
        <v>0.31822299999999998</v>
      </c>
      <c r="AB188" s="32">
        <v>0.26057399999999997</v>
      </c>
    </row>
    <row r="189" spans="1:28" ht="15.6" customHeight="1" x14ac:dyDescent="0.25">
      <c r="A189" s="24" t="s">
        <v>371</v>
      </c>
      <c r="B189" s="50">
        <v>3739</v>
      </c>
      <c r="C189" s="25" t="s">
        <v>372</v>
      </c>
      <c r="D189" s="25" t="s">
        <v>145</v>
      </c>
      <c r="E189" s="25" t="s">
        <v>194</v>
      </c>
      <c r="F189" s="25" t="s">
        <v>128</v>
      </c>
      <c r="G189" s="26" t="s">
        <v>129</v>
      </c>
      <c r="H189" s="27" t="s">
        <v>373</v>
      </c>
      <c r="I189" s="24" t="s">
        <v>106</v>
      </c>
      <c r="J189" s="24" t="s">
        <v>107</v>
      </c>
      <c r="K189" s="28" t="s">
        <v>108</v>
      </c>
      <c r="L189" s="29">
        <v>0.01</v>
      </c>
      <c r="M189" s="29">
        <v>0.01</v>
      </c>
      <c r="N189" s="29">
        <v>0.01</v>
      </c>
      <c r="O189" s="27" t="s">
        <v>148</v>
      </c>
      <c r="P189" s="30" t="s">
        <v>145</v>
      </c>
      <c r="Q189" s="31">
        <v>1093741898.03</v>
      </c>
      <c r="R189" s="31">
        <v>1516.85</v>
      </c>
      <c r="S189" s="32">
        <v>1.7576000000000001E-2</v>
      </c>
      <c r="T189" s="32" t="s">
        <v>139</v>
      </c>
      <c r="U189" s="32">
        <v>4.55E-4</v>
      </c>
      <c r="V189" s="32">
        <v>2.392E-3</v>
      </c>
      <c r="W189" s="32">
        <v>6.8370000000000002E-3</v>
      </c>
      <c r="X189" s="32">
        <v>1.3714E-2</v>
      </c>
      <c r="Y189" s="32">
        <v>2.4684000000000001E-2</v>
      </c>
      <c r="Z189" s="32">
        <v>5.9555999999999998E-2</v>
      </c>
      <c r="AA189" s="32">
        <v>0.10269</v>
      </c>
      <c r="AB189" s="32">
        <v>0.14546700000000001</v>
      </c>
    </row>
    <row r="190" spans="1:28" ht="15.6" customHeight="1" x14ac:dyDescent="0.25">
      <c r="A190" s="24" t="s">
        <v>374</v>
      </c>
      <c r="B190" s="50">
        <v>3740</v>
      </c>
      <c r="C190" s="25" t="s">
        <v>375</v>
      </c>
      <c r="D190" s="25" t="s">
        <v>137</v>
      </c>
      <c r="E190" s="25" t="s">
        <v>194</v>
      </c>
      <c r="F190" s="25" t="s">
        <v>155</v>
      </c>
      <c r="G190" s="26" t="s">
        <v>139</v>
      </c>
      <c r="H190" s="27" t="s">
        <v>139</v>
      </c>
      <c r="I190" s="24" t="s">
        <v>106</v>
      </c>
      <c r="J190" s="24" t="s">
        <v>107</v>
      </c>
      <c r="K190" s="28" t="s">
        <v>108</v>
      </c>
      <c r="L190" s="29">
        <v>2E-3</v>
      </c>
      <c r="M190" s="29">
        <v>2E-3</v>
      </c>
      <c r="N190" s="29">
        <v>0.02</v>
      </c>
      <c r="O190" s="27" t="s">
        <v>141</v>
      </c>
      <c r="P190" s="30" t="s">
        <v>142</v>
      </c>
      <c r="Q190" s="31">
        <v>25635219.974353999</v>
      </c>
      <c r="R190" s="31">
        <v>228.12</v>
      </c>
      <c r="S190" s="32">
        <v>-8.9632000000000003E-2</v>
      </c>
      <c r="T190" s="32" t="s">
        <v>139</v>
      </c>
      <c r="U190" s="32">
        <v>-4.4949999999999999E-3</v>
      </c>
      <c r="V190" s="32">
        <v>4.1834000000000003E-2</v>
      </c>
      <c r="W190" s="32">
        <v>1.0529999999999999E-3</v>
      </c>
      <c r="X190" s="32">
        <v>-4.5723E-2</v>
      </c>
      <c r="Y190" s="32">
        <v>-0.18019099999999999</v>
      </c>
      <c r="Z190" s="32">
        <v>0.22770599999999999</v>
      </c>
      <c r="AA190" s="32">
        <v>0.502965</v>
      </c>
      <c r="AB190" s="32">
        <v>0.50009899999999996</v>
      </c>
    </row>
    <row r="191" spans="1:28" ht="15.6" customHeight="1" x14ac:dyDescent="0.25">
      <c r="A191" s="24" t="s">
        <v>1247</v>
      </c>
      <c r="B191" s="50">
        <v>3742</v>
      </c>
      <c r="C191" s="25" t="s">
        <v>1248</v>
      </c>
      <c r="D191" s="25" t="s">
        <v>159</v>
      </c>
      <c r="E191" s="25" t="s">
        <v>194</v>
      </c>
      <c r="F191" s="25" t="s">
        <v>155</v>
      </c>
      <c r="G191" s="26" t="s">
        <v>139</v>
      </c>
      <c r="H191" s="27" t="s">
        <v>588</v>
      </c>
      <c r="I191" s="24" t="s">
        <v>998</v>
      </c>
      <c r="J191" s="24" t="s">
        <v>121</v>
      </c>
      <c r="K191" s="28" t="s">
        <v>108</v>
      </c>
      <c r="L191" s="29">
        <v>0</v>
      </c>
      <c r="M191" s="29">
        <v>0</v>
      </c>
      <c r="N191" s="29">
        <v>0.02</v>
      </c>
      <c r="O191" s="27" t="s">
        <v>161</v>
      </c>
      <c r="P191" s="30" t="s">
        <v>159</v>
      </c>
      <c r="Q191" s="31">
        <v>1493545660.3</v>
      </c>
      <c r="R191" s="31">
        <v>3434.88</v>
      </c>
      <c r="S191" s="32">
        <v>2.9062999999999999E-2</v>
      </c>
      <c r="T191" s="32" t="s">
        <v>139</v>
      </c>
      <c r="U191" s="32">
        <v>-9.5359999999999993E-3</v>
      </c>
      <c r="V191" s="32">
        <v>5.7556000000000003E-2</v>
      </c>
      <c r="W191" s="32">
        <v>1.8665999999999999E-2</v>
      </c>
      <c r="X191" s="32">
        <v>5.2546000000000002E-2</v>
      </c>
      <c r="Y191" s="32">
        <v>-8.1642000000000006E-2</v>
      </c>
      <c r="Z191" s="32">
        <v>0.43221399999999999</v>
      </c>
      <c r="AA191" s="32">
        <v>0.75097100000000006</v>
      </c>
      <c r="AB191" s="32">
        <v>0.74506399999999995</v>
      </c>
    </row>
    <row r="192" spans="1:28" ht="15.6" customHeight="1" x14ac:dyDescent="0.25">
      <c r="A192" s="24" t="s">
        <v>1249</v>
      </c>
      <c r="B192" s="50">
        <v>3743</v>
      </c>
      <c r="C192" s="25" t="s">
        <v>1250</v>
      </c>
      <c r="D192" s="25" t="s">
        <v>350</v>
      </c>
      <c r="E192" s="25" t="s">
        <v>194</v>
      </c>
      <c r="F192" s="25" t="s">
        <v>155</v>
      </c>
      <c r="G192" s="26" t="s">
        <v>139</v>
      </c>
      <c r="H192" s="27" t="s">
        <v>156</v>
      </c>
      <c r="I192" s="24" t="s">
        <v>998</v>
      </c>
      <c r="J192" s="24" t="s">
        <v>107</v>
      </c>
      <c r="K192" s="28" t="s">
        <v>108</v>
      </c>
      <c r="L192" s="29">
        <v>0.03</v>
      </c>
      <c r="M192" s="29">
        <v>1.4999999999999999E-2</v>
      </c>
      <c r="N192" s="29">
        <v>0.02</v>
      </c>
      <c r="O192" s="27" t="s">
        <v>166</v>
      </c>
      <c r="P192" s="30" t="s">
        <v>350</v>
      </c>
      <c r="Q192" s="31">
        <v>2903988.36</v>
      </c>
      <c r="R192" s="31">
        <v>292.32</v>
      </c>
      <c r="S192" s="32">
        <v>6.5656000000000006E-2</v>
      </c>
      <c r="T192" s="32" t="s">
        <v>139</v>
      </c>
      <c r="U192" s="32">
        <v>-9.9909999999999999E-3</v>
      </c>
      <c r="V192" s="32">
        <v>6.3561999999999994E-2</v>
      </c>
      <c r="W192" s="32">
        <v>2.572E-2</v>
      </c>
      <c r="X192" s="32">
        <v>8.9770000000000003E-2</v>
      </c>
      <c r="Y192" s="32">
        <v>-3.8325999999999999E-2</v>
      </c>
      <c r="Z192" s="32">
        <v>0.43851200000000001</v>
      </c>
      <c r="AA192" s="32">
        <v>0.69815300000000002</v>
      </c>
      <c r="AB192" s="32">
        <v>0.62979499999999999</v>
      </c>
    </row>
    <row r="193" spans="1:28" ht="15.6" customHeight="1" x14ac:dyDescent="0.25">
      <c r="A193" s="24" t="s">
        <v>376</v>
      </c>
      <c r="B193" s="50">
        <v>3744</v>
      </c>
      <c r="C193" s="25" t="s">
        <v>377</v>
      </c>
      <c r="D193" s="25" t="s">
        <v>145</v>
      </c>
      <c r="E193" s="25" t="s">
        <v>194</v>
      </c>
      <c r="F193" s="25" t="s">
        <v>103</v>
      </c>
      <c r="G193" s="26" t="s">
        <v>378</v>
      </c>
      <c r="H193" s="27" t="s">
        <v>379</v>
      </c>
      <c r="I193" s="24" t="s">
        <v>106</v>
      </c>
      <c r="J193" s="24" t="s">
        <v>107</v>
      </c>
      <c r="K193" s="28" t="s">
        <v>108</v>
      </c>
      <c r="L193" s="29">
        <v>0.01</v>
      </c>
      <c r="M193" s="29">
        <v>0.01</v>
      </c>
      <c r="N193" s="29">
        <v>0.01</v>
      </c>
      <c r="O193" s="27" t="s">
        <v>148</v>
      </c>
      <c r="P193" s="30" t="s">
        <v>145</v>
      </c>
      <c r="Q193" s="31">
        <v>7524399483.6899996</v>
      </c>
      <c r="R193" s="31">
        <v>145584.69</v>
      </c>
      <c r="S193" s="32">
        <v>1.8859999999999998E-2</v>
      </c>
      <c r="T193" s="32" t="s">
        <v>139</v>
      </c>
      <c r="U193" s="32">
        <v>2.92E-4</v>
      </c>
      <c r="V193" s="32">
        <v>2.0539999999999998E-3</v>
      </c>
      <c r="W193" s="32">
        <v>7.1609999999999998E-3</v>
      </c>
      <c r="X193" s="32">
        <v>1.4253999999999999E-2</v>
      </c>
      <c r="Y193" s="32">
        <v>2.7522000000000001E-2</v>
      </c>
      <c r="Z193" s="32">
        <v>6.0574999999999997E-2</v>
      </c>
      <c r="AA193" s="32">
        <v>9.7897999999999999E-2</v>
      </c>
      <c r="AB193" s="32">
        <v>0.14477300000000001</v>
      </c>
    </row>
    <row r="194" spans="1:28" ht="15.6" customHeight="1" x14ac:dyDescent="0.25">
      <c r="A194" s="24" t="s">
        <v>380</v>
      </c>
      <c r="B194" s="50">
        <v>3745</v>
      </c>
      <c r="C194" s="25" t="s">
        <v>381</v>
      </c>
      <c r="D194" s="25" t="s">
        <v>127</v>
      </c>
      <c r="E194" s="25" t="s">
        <v>194</v>
      </c>
      <c r="F194" s="25" t="s">
        <v>128</v>
      </c>
      <c r="G194" s="26" t="s">
        <v>250</v>
      </c>
      <c r="H194" s="27" t="s">
        <v>130</v>
      </c>
      <c r="I194" s="24" t="s">
        <v>106</v>
      </c>
      <c r="J194" s="24" t="s">
        <v>121</v>
      </c>
      <c r="K194" s="28" t="s">
        <v>180</v>
      </c>
      <c r="L194" s="29">
        <v>0</v>
      </c>
      <c r="M194" s="29">
        <v>0</v>
      </c>
      <c r="N194" s="29">
        <v>0.02</v>
      </c>
      <c r="O194" s="27" t="s">
        <v>131</v>
      </c>
      <c r="P194" s="30" t="s">
        <v>131</v>
      </c>
      <c r="Q194" s="31">
        <v>5739191.54</v>
      </c>
      <c r="R194" s="31">
        <v>1126.8699999999999</v>
      </c>
      <c r="S194" s="32">
        <v>1.5098E-2</v>
      </c>
      <c r="T194" s="32" t="s">
        <v>139</v>
      </c>
      <c r="U194" s="32">
        <v>3.8200000000000002E-4</v>
      </c>
      <c r="V194" s="32">
        <v>2.1250000000000002E-3</v>
      </c>
      <c r="W194" s="32">
        <v>5.6579999999999998E-3</v>
      </c>
      <c r="X194" s="32">
        <v>1.1390000000000001E-2</v>
      </c>
      <c r="Y194" s="32">
        <v>2.0844999999999999E-2</v>
      </c>
      <c r="Z194" s="32">
        <v>4.9061E-2</v>
      </c>
      <c r="AA194" s="32">
        <v>8.5355E-2</v>
      </c>
      <c r="AB194" s="32">
        <v>0.124722</v>
      </c>
    </row>
    <row r="195" spans="1:28" ht="15.6" customHeight="1" x14ac:dyDescent="0.25">
      <c r="A195" s="24" t="s">
        <v>1251</v>
      </c>
      <c r="B195" s="50">
        <v>3746</v>
      </c>
      <c r="C195" s="25" t="s">
        <v>1252</v>
      </c>
      <c r="D195" s="25" t="s">
        <v>261</v>
      </c>
      <c r="E195" s="25" t="s">
        <v>194</v>
      </c>
      <c r="F195" s="25" t="s">
        <v>155</v>
      </c>
      <c r="G195" s="26" t="s">
        <v>139</v>
      </c>
      <c r="H195" s="27" t="s">
        <v>156</v>
      </c>
      <c r="I195" s="24" t="s">
        <v>998</v>
      </c>
      <c r="J195" s="24" t="s">
        <v>107</v>
      </c>
      <c r="K195" s="28" t="s">
        <v>108</v>
      </c>
      <c r="L195" s="29">
        <v>0.02</v>
      </c>
      <c r="M195" s="29">
        <v>0.02</v>
      </c>
      <c r="N195" s="29">
        <v>0.02</v>
      </c>
      <c r="O195" s="27" t="s">
        <v>262</v>
      </c>
      <c r="P195" s="30" t="s">
        <v>261</v>
      </c>
      <c r="Q195" s="31">
        <v>3895146.59</v>
      </c>
      <c r="R195" s="31">
        <v>320.91000000000003</v>
      </c>
      <c r="S195" s="32">
        <v>-6.9098000000000007E-2</v>
      </c>
      <c r="T195" s="32" t="s">
        <v>139</v>
      </c>
      <c r="U195" s="32">
        <v>-6.8700000000000002E-3</v>
      </c>
      <c r="V195" s="32">
        <v>4.5956999999999998E-2</v>
      </c>
      <c r="W195" s="32">
        <v>3.4425999999999998E-2</v>
      </c>
      <c r="X195" s="32">
        <v>-1.9373999999999999E-2</v>
      </c>
      <c r="Y195" s="32">
        <v>-0.163578</v>
      </c>
      <c r="Z195" s="32">
        <v>0.18177099999999999</v>
      </c>
      <c r="AA195" s="32">
        <v>0.41532200000000002</v>
      </c>
      <c r="AB195" s="32">
        <v>0.37199700000000002</v>
      </c>
    </row>
    <row r="196" spans="1:28" ht="15.6" customHeight="1" x14ac:dyDescent="0.25">
      <c r="A196" s="24" t="s">
        <v>1253</v>
      </c>
      <c r="B196" s="50">
        <v>3747</v>
      </c>
      <c r="C196" s="25" t="s">
        <v>1254</v>
      </c>
      <c r="D196" s="25" t="s">
        <v>241</v>
      </c>
      <c r="E196" s="25" t="s">
        <v>194</v>
      </c>
      <c r="F196" s="25" t="s">
        <v>113</v>
      </c>
      <c r="G196" s="26" t="s">
        <v>1134</v>
      </c>
      <c r="H196" s="27" t="s">
        <v>115</v>
      </c>
      <c r="I196" s="24" t="s">
        <v>998</v>
      </c>
      <c r="J196" s="24" t="s">
        <v>107</v>
      </c>
      <c r="K196" s="28" t="s">
        <v>108</v>
      </c>
      <c r="L196" s="29">
        <v>0.03</v>
      </c>
      <c r="M196" s="29">
        <v>1.4999999999999999E-2</v>
      </c>
      <c r="N196" s="29">
        <v>0.02</v>
      </c>
      <c r="O196" s="27" t="s">
        <v>116</v>
      </c>
      <c r="P196" s="30" t="s">
        <v>241</v>
      </c>
      <c r="Q196" s="31">
        <v>1154921726.25</v>
      </c>
      <c r="R196" s="31">
        <v>1694.76</v>
      </c>
      <c r="S196" s="32">
        <v>-5.8430000000000001E-3</v>
      </c>
      <c r="T196" s="32" t="s">
        <v>139</v>
      </c>
      <c r="U196" s="32">
        <v>1.2400000000000001E-4</v>
      </c>
      <c r="V196" s="32">
        <v>5.3030000000000004E-3</v>
      </c>
      <c r="W196" s="32">
        <v>2.2590000000000002E-3</v>
      </c>
      <c r="X196" s="32">
        <v>3.5399999999999999E-4</v>
      </c>
      <c r="Y196" s="32">
        <v>-1.2107E-2</v>
      </c>
      <c r="Z196" s="32">
        <v>6.6746E-2</v>
      </c>
      <c r="AA196" s="32">
        <v>0.155886</v>
      </c>
      <c r="AB196" s="32">
        <v>8.8478000000000001E-2</v>
      </c>
    </row>
    <row r="197" spans="1:28" ht="15.6" customHeight="1" x14ac:dyDescent="0.25">
      <c r="A197" s="24" t="s">
        <v>382</v>
      </c>
      <c r="B197" s="50">
        <v>3748</v>
      </c>
      <c r="C197" s="25" t="s">
        <v>383</v>
      </c>
      <c r="D197" s="25" t="s">
        <v>355</v>
      </c>
      <c r="E197" s="25" t="s">
        <v>194</v>
      </c>
      <c r="F197" s="25" t="s">
        <v>128</v>
      </c>
      <c r="G197" s="26" t="s">
        <v>250</v>
      </c>
      <c r="H197" s="27" t="s">
        <v>130</v>
      </c>
      <c r="I197" s="24" t="s">
        <v>106</v>
      </c>
      <c r="J197" s="24" t="s">
        <v>107</v>
      </c>
      <c r="K197" s="28" t="s">
        <v>108</v>
      </c>
      <c r="L197" s="29">
        <v>0.02</v>
      </c>
      <c r="M197" s="29">
        <v>1.4999999999999999E-2</v>
      </c>
      <c r="N197" s="29">
        <v>0.02</v>
      </c>
      <c r="O197" s="27" t="s">
        <v>109</v>
      </c>
      <c r="P197" s="30" t="s">
        <v>355</v>
      </c>
      <c r="Q197" s="31">
        <v>650499096.82000005</v>
      </c>
      <c r="R197" s="31">
        <v>1459.1</v>
      </c>
      <c r="S197" s="32">
        <v>1.6143000000000001E-2</v>
      </c>
      <c r="T197" s="32" t="s">
        <v>139</v>
      </c>
      <c r="U197" s="32">
        <v>5.2800000000000004E-4</v>
      </c>
      <c r="V197" s="32">
        <v>2.232E-3</v>
      </c>
      <c r="W197" s="32">
        <v>6.4700000000000001E-3</v>
      </c>
      <c r="X197" s="32">
        <v>1.2181000000000001E-2</v>
      </c>
      <c r="Y197" s="32">
        <v>2.3635E-2</v>
      </c>
      <c r="Z197" s="32">
        <v>5.5369000000000002E-2</v>
      </c>
      <c r="AA197" s="32">
        <v>9.3359999999999999E-2</v>
      </c>
      <c r="AB197" s="32">
        <v>0.134992</v>
      </c>
    </row>
    <row r="198" spans="1:28" ht="15.6" customHeight="1" x14ac:dyDescent="0.25">
      <c r="A198" s="24" t="s">
        <v>1255</v>
      </c>
      <c r="B198" s="50">
        <v>3749</v>
      </c>
      <c r="C198" s="25" t="s">
        <v>1256</v>
      </c>
      <c r="D198" s="25" t="s">
        <v>101</v>
      </c>
      <c r="E198" s="25" t="s">
        <v>194</v>
      </c>
      <c r="F198" s="25" t="s">
        <v>113</v>
      </c>
      <c r="G198" s="26" t="s">
        <v>1257</v>
      </c>
      <c r="H198" s="27" t="s">
        <v>120</v>
      </c>
      <c r="I198" s="24" t="s">
        <v>998</v>
      </c>
      <c r="J198" s="24" t="s">
        <v>107</v>
      </c>
      <c r="K198" s="28" t="s">
        <v>108</v>
      </c>
      <c r="L198" s="29">
        <v>0</v>
      </c>
      <c r="M198" s="29">
        <v>0</v>
      </c>
      <c r="N198" s="29">
        <v>0.02</v>
      </c>
      <c r="O198" s="27" t="s">
        <v>109</v>
      </c>
      <c r="P198" s="30" t="s">
        <v>101</v>
      </c>
      <c r="Q198" s="31">
        <v>180443413.97999999</v>
      </c>
      <c r="R198" s="31">
        <v>1463.93</v>
      </c>
      <c r="S198" s="32">
        <v>3.8470000000000002E-3</v>
      </c>
      <c r="T198" s="32" t="s">
        <v>139</v>
      </c>
      <c r="U198" s="32">
        <v>8.4099999999999995E-4</v>
      </c>
      <c r="V198" s="32">
        <v>3.2420000000000001E-3</v>
      </c>
      <c r="W198" s="32">
        <v>3.0969999999999999E-3</v>
      </c>
      <c r="X198" s="32">
        <v>1.957E-3</v>
      </c>
      <c r="Y198" s="32">
        <v>2.0400000000000001E-3</v>
      </c>
      <c r="Z198" s="32">
        <v>6.7571999999999993E-2</v>
      </c>
      <c r="AA198" s="32">
        <v>0.12984599999999999</v>
      </c>
      <c r="AB198" s="32">
        <v>0.149253</v>
      </c>
    </row>
    <row r="199" spans="1:28" ht="15.6" customHeight="1" x14ac:dyDescent="0.25">
      <c r="A199" s="24" t="s">
        <v>1258</v>
      </c>
      <c r="B199" s="50">
        <v>3750</v>
      </c>
      <c r="C199" s="25" t="s">
        <v>1259</v>
      </c>
      <c r="D199" s="25" t="s">
        <v>101</v>
      </c>
      <c r="E199" s="25" t="s">
        <v>194</v>
      </c>
      <c r="F199" s="25" t="s">
        <v>113</v>
      </c>
      <c r="G199" s="26" t="s">
        <v>1160</v>
      </c>
      <c r="H199" s="27" t="s">
        <v>839</v>
      </c>
      <c r="I199" s="24" t="s">
        <v>998</v>
      </c>
      <c r="J199" s="24" t="s">
        <v>107</v>
      </c>
      <c r="K199" s="28" t="s">
        <v>108</v>
      </c>
      <c r="L199" s="29">
        <v>0.03</v>
      </c>
      <c r="M199" s="29">
        <v>1.4999999999999999E-2</v>
      </c>
      <c r="N199" s="29">
        <v>0.02</v>
      </c>
      <c r="O199" s="27" t="s">
        <v>109</v>
      </c>
      <c r="P199" s="30" t="s">
        <v>101</v>
      </c>
      <c r="Q199" s="31">
        <v>151895243.75</v>
      </c>
      <c r="R199" s="31">
        <v>1275.55</v>
      </c>
      <c r="S199" s="32">
        <v>7.3369999999999998E-3</v>
      </c>
      <c r="T199" s="32" t="s">
        <v>139</v>
      </c>
      <c r="U199" s="32">
        <v>1.256E-3</v>
      </c>
      <c r="V199" s="32">
        <v>3.8479999999999999E-3</v>
      </c>
      <c r="W199" s="32">
        <v>3.9350000000000001E-3</v>
      </c>
      <c r="X199" s="32">
        <v>7.6470000000000002E-3</v>
      </c>
      <c r="Y199" s="32">
        <v>-2.3793999999999999E-2</v>
      </c>
      <c r="Z199" s="32">
        <v>-8.0949999999999998E-3</v>
      </c>
      <c r="AA199" s="32">
        <v>1.3475000000000001E-2</v>
      </c>
      <c r="AB199" s="32">
        <v>1.7916000000000001E-2</v>
      </c>
    </row>
    <row r="200" spans="1:28" ht="15.6" customHeight="1" x14ac:dyDescent="0.25">
      <c r="A200" s="24" t="s">
        <v>384</v>
      </c>
      <c r="B200" s="50">
        <v>3751</v>
      </c>
      <c r="C200" s="25" t="s">
        <v>385</v>
      </c>
      <c r="D200" s="25" t="s">
        <v>137</v>
      </c>
      <c r="E200" s="25" t="s">
        <v>194</v>
      </c>
      <c r="F200" s="25" t="s">
        <v>103</v>
      </c>
      <c r="G200" s="26" t="s">
        <v>343</v>
      </c>
      <c r="H200" s="27" t="s">
        <v>386</v>
      </c>
      <c r="I200" s="24" t="s">
        <v>106</v>
      </c>
      <c r="J200" s="24" t="s">
        <v>107</v>
      </c>
      <c r="K200" s="28" t="s">
        <v>108</v>
      </c>
      <c r="L200" s="29">
        <v>5.0000000000000001E-3</v>
      </c>
      <c r="M200" s="29">
        <v>5.0000000000000001E-3</v>
      </c>
      <c r="N200" s="29">
        <v>4.0000000000000001E-3</v>
      </c>
      <c r="O200" s="27" t="s">
        <v>141</v>
      </c>
      <c r="P200" s="30" t="s">
        <v>142</v>
      </c>
      <c r="Q200" s="31">
        <v>136203076.53940099</v>
      </c>
      <c r="R200" s="31">
        <v>2432197.7999999998</v>
      </c>
      <c r="S200" s="32">
        <v>8.4250000000000002E-3</v>
      </c>
      <c r="T200" s="32" t="s">
        <v>139</v>
      </c>
      <c r="U200" s="32">
        <v>1.6799999999999999E-4</v>
      </c>
      <c r="V200" s="32">
        <v>1.0269999999999999E-3</v>
      </c>
      <c r="W200" s="32">
        <v>3.0040000000000002E-3</v>
      </c>
      <c r="X200" s="32">
        <v>6.1079999999999997E-3</v>
      </c>
      <c r="Y200" s="32">
        <v>5.3786E-2</v>
      </c>
      <c r="Z200" s="32">
        <v>5.0162999999999999E-2</v>
      </c>
      <c r="AA200" s="32">
        <v>3.9754999999999999E-2</v>
      </c>
      <c r="AB200" s="32">
        <v>2.1655000000000001E-2</v>
      </c>
    </row>
    <row r="201" spans="1:28" ht="15.6" customHeight="1" x14ac:dyDescent="0.25">
      <c r="A201" s="24" t="s">
        <v>1260</v>
      </c>
      <c r="B201" s="50">
        <v>3754</v>
      </c>
      <c r="C201" s="25" t="s">
        <v>1261</v>
      </c>
      <c r="D201" s="25" t="s">
        <v>137</v>
      </c>
      <c r="E201" s="25" t="s">
        <v>194</v>
      </c>
      <c r="F201" s="25" t="s">
        <v>155</v>
      </c>
      <c r="G201" s="26" t="s">
        <v>139</v>
      </c>
      <c r="H201" s="27" t="s">
        <v>202</v>
      </c>
      <c r="I201" s="24" t="s">
        <v>998</v>
      </c>
      <c r="J201" s="24" t="s">
        <v>107</v>
      </c>
      <c r="K201" s="28" t="s">
        <v>180</v>
      </c>
      <c r="L201" s="29">
        <v>4.5000000000000014E-3</v>
      </c>
      <c r="M201" s="29">
        <v>4.5000000000000014E-3</v>
      </c>
      <c r="N201" s="29">
        <v>0.02</v>
      </c>
      <c r="O201" s="27" t="s">
        <v>141</v>
      </c>
      <c r="P201" s="30" t="s">
        <v>142</v>
      </c>
      <c r="Q201" s="31">
        <v>447425942.70257097</v>
      </c>
      <c r="R201" s="31">
        <v>171.57</v>
      </c>
      <c r="S201" s="32">
        <v>-4.0225999999999998E-2</v>
      </c>
      <c r="T201" s="32" t="s">
        <v>139</v>
      </c>
      <c r="U201" s="32">
        <v>-2.8479999999999998E-3</v>
      </c>
      <c r="V201" s="32">
        <v>4.2028999999999997E-2</v>
      </c>
      <c r="W201" s="32">
        <v>2.7681999999999998E-2</v>
      </c>
      <c r="X201" s="32">
        <v>-7.7860000000000004E-3</v>
      </c>
      <c r="Y201" s="32">
        <v>-0.13733899999999999</v>
      </c>
      <c r="Z201" s="32">
        <v>0.20861499999999999</v>
      </c>
      <c r="AA201" s="32">
        <v>0.40112399999999998</v>
      </c>
      <c r="AB201" s="32">
        <v>0.34439599999999998</v>
      </c>
    </row>
    <row r="202" spans="1:28" ht="15.6" customHeight="1" x14ac:dyDescent="0.25">
      <c r="A202" s="24" t="s">
        <v>387</v>
      </c>
      <c r="B202" s="50">
        <v>3755</v>
      </c>
      <c r="C202" s="25" t="s">
        <v>388</v>
      </c>
      <c r="D202" s="25" t="s">
        <v>159</v>
      </c>
      <c r="E202" s="25" t="s">
        <v>194</v>
      </c>
      <c r="F202" s="25" t="s">
        <v>128</v>
      </c>
      <c r="G202" s="26" t="s">
        <v>389</v>
      </c>
      <c r="H202" s="27" t="s">
        <v>130</v>
      </c>
      <c r="I202" s="24" t="s">
        <v>106</v>
      </c>
      <c r="J202" s="24" t="s">
        <v>121</v>
      </c>
      <c r="K202" s="28" t="s">
        <v>108</v>
      </c>
      <c r="L202" s="29">
        <v>0</v>
      </c>
      <c r="M202" s="29">
        <v>0</v>
      </c>
      <c r="N202" s="29">
        <v>0.02</v>
      </c>
      <c r="O202" s="27" t="s">
        <v>161</v>
      </c>
      <c r="P202" s="30" t="s">
        <v>159</v>
      </c>
      <c r="Q202" s="31">
        <v>397177776.26999998</v>
      </c>
      <c r="R202" s="31">
        <v>1408.33</v>
      </c>
      <c r="S202" s="32">
        <v>1.6514000000000001E-2</v>
      </c>
      <c r="T202" s="32" t="s">
        <v>139</v>
      </c>
      <c r="U202" s="32">
        <v>3.2699999999999998E-4</v>
      </c>
      <c r="V202" s="32">
        <v>2.0709999999999999E-3</v>
      </c>
      <c r="W202" s="32">
        <v>6.1440000000000002E-3</v>
      </c>
      <c r="X202" s="32">
        <v>1.2713E-2</v>
      </c>
      <c r="Y202" s="32">
        <v>2.3191E-2</v>
      </c>
      <c r="Z202" s="32">
        <v>5.3373999999999998E-2</v>
      </c>
      <c r="AA202" s="32">
        <v>9.0443999999999997E-2</v>
      </c>
      <c r="AB202" s="32">
        <v>0.131934</v>
      </c>
    </row>
    <row r="203" spans="1:28" ht="15.6" customHeight="1" x14ac:dyDescent="0.25">
      <c r="A203" s="24" t="s">
        <v>390</v>
      </c>
      <c r="B203" s="50">
        <v>3756</v>
      </c>
      <c r="C203" s="25" t="s">
        <v>391</v>
      </c>
      <c r="D203" s="25" t="s">
        <v>101</v>
      </c>
      <c r="E203" s="25" t="s">
        <v>194</v>
      </c>
      <c r="F203" s="25" t="s">
        <v>103</v>
      </c>
      <c r="G203" s="26" t="s">
        <v>392</v>
      </c>
      <c r="H203" s="27" t="s">
        <v>337</v>
      </c>
      <c r="I203" s="24" t="s">
        <v>106</v>
      </c>
      <c r="J203" s="24" t="s">
        <v>121</v>
      </c>
      <c r="K203" s="28" t="s">
        <v>108</v>
      </c>
      <c r="L203" s="29">
        <v>0</v>
      </c>
      <c r="M203" s="29">
        <v>0</v>
      </c>
      <c r="N203" s="29">
        <v>0.02</v>
      </c>
      <c r="O203" s="27" t="s">
        <v>109</v>
      </c>
      <c r="P203" s="30" t="s">
        <v>101</v>
      </c>
      <c r="Q203" s="31">
        <v>29078363.02</v>
      </c>
      <c r="R203" s="31">
        <v>130983.62</v>
      </c>
      <c r="S203" s="32">
        <v>1.3523E-2</v>
      </c>
      <c r="T203" s="32" t="s">
        <v>139</v>
      </c>
      <c r="U203" s="32">
        <v>2.1900000000000001E-4</v>
      </c>
      <c r="V203" s="32">
        <v>1.601E-3</v>
      </c>
      <c r="W203" s="32">
        <v>4.8440000000000002E-3</v>
      </c>
      <c r="X203" s="32">
        <v>1.0175E-2</v>
      </c>
      <c r="Y203" s="32">
        <v>1.9545E-2</v>
      </c>
      <c r="Z203" s="32">
        <v>4.3421000000000001E-2</v>
      </c>
      <c r="AA203" s="32">
        <v>7.6977000000000004E-2</v>
      </c>
      <c r="AB203" s="32">
        <v>0.12056699999999999</v>
      </c>
    </row>
    <row r="204" spans="1:28" ht="15.6" customHeight="1" x14ac:dyDescent="0.25">
      <c r="A204" s="24" t="s">
        <v>1262</v>
      </c>
      <c r="B204" s="50">
        <v>3757</v>
      </c>
      <c r="C204" s="25" t="s">
        <v>1263</v>
      </c>
      <c r="D204" s="25" t="s">
        <v>159</v>
      </c>
      <c r="E204" s="25" t="s">
        <v>194</v>
      </c>
      <c r="F204" s="25" t="s">
        <v>113</v>
      </c>
      <c r="G204" s="26" t="s">
        <v>531</v>
      </c>
      <c r="H204" s="27" t="s">
        <v>1264</v>
      </c>
      <c r="I204" s="24" t="s">
        <v>998</v>
      </c>
      <c r="J204" s="24" t="s">
        <v>121</v>
      </c>
      <c r="K204" s="28" t="s">
        <v>108</v>
      </c>
      <c r="L204" s="29">
        <v>0</v>
      </c>
      <c r="M204" s="29">
        <v>0</v>
      </c>
      <c r="N204" s="29">
        <v>0.02</v>
      </c>
      <c r="O204" s="27" t="s">
        <v>161</v>
      </c>
      <c r="P204" s="30" t="s">
        <v>159</v>
      </c>
      <c r="Q204" s="31">
        <v>2717875380.6199999</v>
      </c>
      <c r="R204" s="31">
        <v>1671.29</v>
      </c>
      <c r="S204" s="32">
        <v>7.718E-3</v>
      </c>
      <c r="T204" s="32" t="s">
        <v>139</v>
      </c>
      <c r="U204" s="32">
        <v>4.9100000000000001E-4</v>
      </c>
      <c r="V204" s="32">
        <v>7.208E-3</v>
      </c>
      <c r="W204" s="32">
        <v>7.3720000000000001E-3</v>
      </c>
      <c r="X204" s="32">
        <v>7.554E-3</v>
      </c>
      <c r="Y204" s="32">
        <v>-9.0899999999999998E-4</v>
      </c>
      <c r="Z204" s="32">
        <v>9.8520999999999997E-2</v>
      </c>
      <c r="AA204" s="32">
        <v>0.19803999999999999</v>
      </c>
      <c r="AB204" s="32">
        <v>0.22410099999999999</v>
      </c>
    </row>
    <row r="205" spans="1:28" ht="15.6" customHeight="1" x14ac:dyDescent="0.25">
      <c r="A205" s="24" t="s">
        <v>1265</v>
      </c>
      <c r="B205" s="50">
        <v>3758</v>
      </c>
      <c r="C205" s="25" t="s">
        <v>1266</v>
      </c>
      <c r="D205" s="25" t="s">
        <v>145</v>
      </c>
      <c r="E205" s="25" t="s">
        <v>194</v>
      </c>
      <c r="F205" s="25" t="s">
        <v>113</v>
      </c>
      <c r="G205" s="26" t="s">
        <v>347</v>
      </c>
      <c r="H205" s="27" t="s">
        <v>1267</v>
      </c>
      <c r="I205" s="24" t="s">
        <v>998</v>
      </c>
      <c r="J205" s="24" t="s">
        <v>121</v>
      </c>
      <c r="K205" s="28" t="s">
        <v>108</v>
      </c>
      <c r="L205" s="29">
        <v>0.03</v>
      </c>
      <c r="M205" s="29">
        <v>0.03</v>
      </c>
      <c r="N205" s="29">
        <v>0.02</v>
      </c>
      <c r="O205" s="27" t="s">
        <v>148</v>
      </c>
      <c r="P205" s="30" t="s">
        <v>145</v>
      </c>
      <c r="Q205" s="31">
        <v>3820454683.23</v>
      </c>
      <c r="R205" s="31">
        <v>1697.42</v>
      </c>
      <c r="S205" s="32">
        <v>3.0730000000000002E-3</v>
      </c>
      <c r="T205" s="32" t="s">
        <v>139</v>
      </c>
      <c r="U205" s="32">
        <v>1.1800000000000001E-3</v>
      </c>
      <c r="V205" s="32">
        <v>6.7380000000000001E-3</v>
      </c>
      <c r="W205" s="32">
        <v>8.5319999999999997E-3</v>
      </c>
      <c r="X205" s="32">
        <v>3.9150000000000001E-3</v>
      </c>
      <c r="Y205" s="32">
        <v>-6.4559999999999999E-3</v>
      </c>
      <c r="Z205" s="32">
        <v>9.2747999999999997E-2</v>
      </c>
      <c r="AA205" s="32">
        <v>0.20190900000000001</v>
      </c>
      <c r="AB205" s="32">
        <v>0.228297</v>
      </c>
    </row>
    <row r="206" spans="1:28" ht="15.6" customHeight="1" x14ac:dyDescent="0.25">
      <c r="A206" s="24" t="s">
        <v>1268</v>
      </c>
      <c r="B206" s="50">
        <v>3759</v>
      </c>
      <c r="C206" s="25" t="s">
        <v>1269</v>
      </c>
      <c r="D206" s="25" t="s">
        <v>127</v>
      </c>
      <c r="E206" s="25" t="s">
        <v>194</v>
      </c>
      <c r="F206" s="25" t="s">
        <v>113</v>
      </c>
      <c r="G206" s="26" t="s">
        <v>347</v>
      </c>
      <c r="H206" s="27" t="s">
        <v>1270</v>
      </c>
      <c r="I206" s="24" t="s">
        <v>998</v>
      </c>
      <c r="J206" s="24" t="s">
        <v>121</v>
      </c>
      <c r="K206" s="28" t="s">
        <v>108</v>
      </c>
      <c r="L206" s="29">
        <v>0.03</v>
      </c>
      <c r="M206" s="29">
        <v>0.03</v>
      </c>
      <c r="N206" s="29">
        <v>0.02</v>
      </c>
      <c r="O206" s="27" t="s">
        <v>131</v>
      </c>
      <c r="P206" s="30" t="s">
        <v>131</v>
      </c>
      <c r="Q206" s="31">
        <v>2937337435.8200002</v>
      </c>
      <c r="R206" s="31">
        <v>1608.02</v>
      </c>
      <c r="S206" s="32">
        <v>4.3779999999999999E-3</v>
      </c>
      <c r="T206" s="32" t="s">
        <v>139</v>
      </c>
      <c r="U206" s="32">
        <v>6.0999999999999997E-4</v>
      </c>
      <c r="V206" s="32">
        <v>6.1630000000000001E-3</v>
      </c>
      <c r="W206" s="32">
        <v>7.9290000000000003E-3</v>
      </c>
      <c r="X206" s="32">
        <v>4.3909999999999999E-3</v>
      </c>
      <c r="Y206" s="32">
        <v>-7.9769999999999997E-3</v>
      </c>
      <c r="Z206" s="32">
        <v>8.2973000000000005E-2</v>
      </c>
      <c r="AA206" s="32">
        <v>0.178123</v>
      </c>
      <c r="AB206" s="32">
        <v>0.21573800000000001</v>
      </c>
    </row>
    <row r="207" spans="1:28" ht="15.6" customHeight="1" x14ac:dyDescent="0.25">
      <c r="A207" s="24" t="s">
        <v>393</v>
      </c>
      <c r="B207" s="50">
        <v>3761</v>
      </c>
      <c r="C207" s="25" t="s">
        <v>394</v>
      </c>
      <c r="D207" s="25" t="s">
        <v>241</v>
      </c>
      <c r="E207" s="25" t="s">
        <v>194</v>
      </c>
      <c r="F207" s="25" t="s">
        <v>128</v>
      </c>
      <c r="G207" s="26" t="s">
        <v>289</v>
      </c>
      <c r="H207" s="27" t="s">
        <v>130</v>
      </c>
      <c r="I207" s="24" t="s">
        <v>106</v>
      </c>
      <c r="J207" s="24" t="s">
        <v>107</v>
      </c>
      <c r="K207" s="28" t="s">
        <v>108</v>
      </c>
      <c r="L207" s="29">
        <v>0</v>
      </c>
      <c r="M207" s="29">
        <v>0</v>
      </c>
      <c r="N207" s="29">
        <v>0.02</v>
      </c>
      <c r="O207" s="27" t="s">
        <v>148</v>
      </c>
      <c r="P207" s="30" t="s">
        <v>241</v>
      </c>
      <c r="Q207" s="31">
        <v>4512733253.8400002</v>
      </c>
      <c r="R207" s="31">
        <v>1439.07</v>
      </c>
      <c r="S207" s="32">
        <v>1.9605000000000001E-2</v>
      </c>
      <c r="T207" s="32" t="s">
        <v>139</v>
      </c>
      <c r="U207" s="32">
        <v>3.68E-4</v>
      </c>
      <c r="V207" s="32">
        <v>2.5990000000000002E-3</v>
      </c>
      <c r="W207" s="32">
        <v>7.195E-3</v>
      </c>
      <c r="X207" s="32">
        <v>1.4880000000000001E-2</v>
      </c>
      <c r="Y207" s="32">
        <v>2.8171999999999999E-2</v>
      </c>
      <c r="Z207" s="32">
        <v>6.6626000000000005E-2</v>
      </c>
      <c r="AA207" s="32">
        <v>0.110805</v>
      </c>
      <c r="AB207" s="32">
        <v>0.16020300000000001</v>
      </c>
    </row>
    <row r="208" spans="1:28" ht="15.6" customHeight="1" x14ac:dyDescent="0.25">
      <c r="A208" s="24" t="s">
        <v>395</v>
      </c>
      <c r="B208" s="50">
        <v>3762</v>
      </c>
      <c r="C208" s="25" t="s">
        <v>396</v>
      </c>
      <c r="D208" s="25" t="s">
        <v>342</v>
      </c>
      <c r="E208" s="25" t="s">
        <v>194</v>
      </c>
      <c r="F208" s="25" t="s">
        <v>128</v>
      </c>
      <c r="G208" s="26" t="s">
        <v>289</v>
      </c>
      <c r="H208" s="27" t="s">
        <v>130</v>
      </c>
      <c r="I208" s="24" t="s">
        <v>106</v>
      </c>
      <c r="J208" s="24" t="s">
        <v>107</v>
      </c>
      <c r="K208" s="28" t="s">
        <v>108</v>
      </c>
      <c r="L208" s="29">
        <v>0.03</v>
      </c>
      <c r="M208" s="29">
        <v>0.03</v>
      </c>
      <c r="N208" s="29">
        <v>0.02</v>
      </c>
      <c r="O208" s="27" t="s">
        <v>148</v>
      </c>
      <c r="P208" s="30" t="s">
        <v>344</v>
      </c>
      <c r="Q208" s="31">
        <v>2557010220.0700002</v>
      </c>
      <c r="R208" s="31">
        <v>1373.36</v>
      </c>
      <c r="S208" s="32">
        <v>2.0274E-2</v>
      </c>
      <c r="T208" s="32" t="s">
        <v>139</v>
      </c>
      <c r="U208" s="32">
        <v>5.7600000000000001E-4</v>
      </c>
      <c r="V208" s="32">
        <v>2.7529999999999998E-3</v>
      </c>
      <c r="W208" s="32">
        <v>7.5420000000000001E-3</v>
      </c>
      <c r="X208" s="32">
        <v>1.5296000000000001E-2</v>
      </c>
      <c r="Y208" s="32">
        <v>2.8233000000000001E-2</v>
      </c>
      <c r="Z208" s="32">
        <v>6.6447000000000006E-2</v>
      </c>
      <c r="AA208" s="32">
        <v>0.113412</v>
      </c>
      <c r="AB208" s="32">
        <v>0.15481200000000001</v>
      </c>
    </row>
    <row r="209" spans="1:28" ht="15.6" customHeight="1" x14ac:dyDescent="0.25">
      <c r="A209" s="24" t="s">
        <v>397</v>
      </c>
      <c r="B209" s="50">
        <v>3763</v>
      </c>
      <c r="C209" s="25" t="s">
        <v>398</v>
      </c>
      <c r="D209" s="25" t="s">
        <v>342</v>
      </c>
      <c r="E209" s="25" t="s">
        <v>194</v>
      </c>
      <c r="F209" s="25" t="s">
        <v>103</v>
      </c>
      <c r="G209" s="26" t="s">
        <v>244</v>
      </c>
      <c r="H209" s="27" t="s">
        <v>130</v>
      </c>
      <c r="I209" s="24" t="s">
        <v>106</v>
      </c>
      <c r="J209" s="24" t="s">
        <v>107</v>
      </c>
      <c r="K209" s="28" t="s">
        <v>108</v>
      </c>
      <c r="L209" s="29">
        <v>0.03</v>
      </c>
      <c r="M209" s="29">
        <v>0.03</v>
      </c>
      <c r="N209" s="29">
        <v>0.02</v>
      </c>
      <c r="O209" s="27" t="s">
        <v>148</v>
      </c>
      <c r="P209" s="30" t="s">
        <v>344</v>
      </c>
      <c r="Q209" s="31">
        <v>578575713.36000001</v>
      </c>
      <c r="R209" s="31">
        <v>1303.48</v>
      </c>
      <c r="S209" s="32">
        <v>1.7017000000000001E-2</v>
      </c>
      <c r="T209" s="32" t="s">
        <v>139</v>
      </c>
      <c r="U209" s="32">
        <v>2.61E-4</v>
      </c>
      <c r="V209" s="32">
        <v>2.1450000000000002E-3</v>
      </c>
      <c r="W209" s="32">
        <v>6.1440000000000002E-3</v>
      </c>
      <c r="X209" s="32">
        <v>1.2703000000000001E-2</v>
      </c>
      <c r="Y209" s="32">
        <v>2.4507000000000001E-2</v>
      </c>
      <c r="Z209" s="32">
        <v>5.6125000000000001E-2</v>
      </c>
      <c r="AA209" s="32">
        <v>9.1911000000000007E-2</v>
      </c>
      <c r="AB209" s="32">
        <v>0.135772</v>
      </c>
    </row>
    <row r="210" spans="1:28" ht="15.6" customHeight="1" x14ac:dyDescent="0.25">
      <c r="A210" s="24" t="s">
        <v>1271</v>
      </c>
      <c r="B210" s="50">
        <v>3764</v>
      </c>
      <c r="C210" s="25" t="s">
        <v>1272</v>
      </c>
      <c r="D210" s="25" t="s">
        <v>342</v>
      </c>
      <c r="E210" s="25" t="s">
        <v>194</v>
      </c>
      <c r="F210" s="25" t="s">
        <v>138</v>
      </c>
      <c r="G210" s="26" t="s">
        <v>139</v>
      </c>
      <c r="H210" s="27" t="s">
        <v>1273</v>
      </c>
      <c r="I210" s="24" t="s">
        <v>998</v>
      </c>
      <c r="J210" s="24" t="s">
        <v>107</v>
      </c>
      <c r="K210" s="28" t="s">
        <v>108</v>
      </c>
      <c r="L210" s="29">
        <v>0.03</v>
      </c>
      <c r="M210" s="29">
        <v>0.03</v>
      </c>
      <c r="N210" s="29">
        <v>0.02</v>
      </c>
      <c r="O210" s="27" t="s">
        <v>148</v>
      </c>
      <c r="P210" s="30" t="s">
        <v>344</v>
      </c>
      <c r="Q210" s="31">
        <v>1455680982.03</v>
      </c>
      <c r="R210" s="31">
        <v>1379.49</v>
      </c>
      <c r="S210" s="32">
        <v>-1.9838000000000001E-2</v>
      </c>
      <c r="T210" s="32" t="s">
        <v>139</v>
      </c>
      <c r="U210" s="32">
        <v>-6.9470000000000001E-3</v>
      </c>
      <c r="V210" s="32">
        <v>3.4318000000000001E-2</v>
      </c>
      <c r="W210" s="32">
        <v>1.0971E-2</v>
      </c>
      <c r="X210" s="32">
        <v>3.5869999999999999E-3</v>
      </c>
      <c r="Y210" s="32">
        <v>-0.10625900000000001</v>
      </c>
      <c r="Z210" s="32">
        <v>0.18157599999999999</v>
      </c>
      <c r="AA210" s="32">
        <v>0.40974300000000002</v>
      </c>
      <c r="AB210" s="32">
        <v>0.26842700000000003</v>
      </c>
    </row>
    <row r="211" spans="1:28" ht="15.6" customHeight="1" x14ac:dyDescent="0.25">
      <c r="A211" s="24" t="s">
        <v>1274</v>
      </c>
      <c r="B211" s="50">
        <v>3765</v>
      </c>
      <c r="C211" s="25" t="s">
        <v>1275</v>
      </c>
      <c r="D211" s="25" t="s">
        <v>355</v>
      </c>
      <c r="E211" s="25" t="s">
        <v>194</v>
      </c>
      <c r="F211" s="25" t="s">
        <v>155</v>
      </c>
      <c r="G211" s="26" t="s">
        <v>139</v>
      </c>
      <c r="H211" s="27" t="s">
        <v>156</v>
      </c>
      <c r="I211" s="24" t="s">
        <v>998</v>
      </c>
      <c r="J211" s="24" t="s">
        <v>107</v>
      </c>
      <c r="K211" s="28" t="s">
        <v>108</v>
      </c>
      <c r="L211" s="29">
        <v>0.02</v>
      </c>
      <c r="M211" s="29">
        <v>1.4999999999999999E-2</v>
      </c>
      <c r="N211" s="29">
        <v>0.02</v>
      </c>
      <c r="O211" s="27" t="s">
        <v>109</v>
      </c>
      <c r="P211" s="30" t="s">
        <v>355</v>
      </c>
      <c r="Q211" s="31">
        <v>1420965790.4400001</v>
      </c>
      <c r="R211" s="31">
        <v>2383.6</v>
      </c>
      <c r="S211" s="32">
        <v>-1.9384999999999999E-2</v>
      </c>
      <c r="T211" s="32" t="s">
        <v>139</v>
      </c>
      <c r="U211" s="32">
        <v>-9.8239999999999994E-3</v>
      </c>
      <c r="V211" s="32">
        <v>5.0650000000000001E-2</v>
      </c>
      <c r="W211" s="32">
        <v>9.7820000000000008E-3</v>
      </c>
      <c r="X211" s="32">
        <v>1.9137999999999999E-2</v>
      </c>
      <c r="Y211" s="32">
        <v>-0.130609</v>
      </c>
      <c r="Z211" s="32">
        <v>0.271789</v>
      </c>
      <c r="AA211" s="32">
        <v>0.536775</v>
      </c>
      <c r="AB211" s="32">
        <v>0.457289</v>
      </c>
    </row>
    <row r="212" spans="1:28" ht="15.6" customHeight="1" x14ac:dyDescent="0.25">
      <c r="A212" s="24" t="s">
        <v>1276</v>
      </c>
      <c r="B212" s="50">
        <v>3766</v>
      </c>
      <c r="C212" s="25" t="s">
        <v>1277</v>
      </c>
      <c r="D212" s="25" t="s">
        <v>908</v>
      </c>
      <c r="E212" s="25" t="s">
        <v>194</v>
      </c>
      <c r="F212" s="25" t="s">
        <v>138</v>
      </c>
      <c r="G212" s="26" t="s">
        <v>139</v>
      </c>
      <c r="H212" s="27" t="s">
        <v>757</v>
      </c>
      <c r="I212" s="24" t="s">
        <v>998</v>
      </c>
      <c r="J212" s="24" t="s">
        <v>121</v>
      </c>
      <c r="K212" s="28" t="s">
        <v>108</v>
      </c>
      <c r="L212" s="29">
        <v>5.0000000000000001E-3</v>
      </c>
      <c r="M212" s="29">
        <v>2.5000000000000001E-3</v>
      </c>
      <c r="N212" s="29">
        <v>0.02</v>
      </c>
      <c r="O212" s="27" t="s">
        <v>262</v>
      </c>
      <c r="P212" s="30" t="s">
        <v>908</v>
      </c>
      <c r="Q212" s="31">
        <v>659121060.57000005</v>
      </c>
      <c r="R212" s="31">
        <v>1806.82</v>
      </c>
      <c r="S212" s="32">
        <v>5.7473000000000003E-2</v>
      </c>
      <c r="T212" s="32" t="s">
        <v>139</v>
      </c>
      <c r="U212" s="32">
        <v>-4.7540000000000004E-3</v>
      </c>
      <c r="V212" s="32">
        <v>3.3118000000000002E-2</v>
      </c>
      <c r="W212" s="32">
        <v>1.6478E-2</v>
      </c>
      <c r="X212" s="32">
        <v>5.6824E-2</v>
      </c>
      <c r="Y212" s="32">
        <v>1.0831E-2</v>
      </c>
      <c r="Z212" s="32">
        <v>0.27767199999999997</v>
      </c>
      <c r="AA212" s="32">
        <v>0.459007</v>
      </c>
      <c r="AB212" s="32">
        <v>0.46417399999999998</v>
      </c>
    </row>
    <row r="213" spans="1:28" ht="15.6" customHeight="1" x14ac:dyDescent="0.25">
      <c r="A213" s="24" t="s">
        <v>399</v>
      </c>
      <c r="B213" s="50">
        <v>3767</v>
      </c>
      <c r="C213" s="25" t="s">
        <v>400</v>
      </c>
      <c r="D213" s="25" t="s">
        <v>145</v>
      </c>
      <c r="E213" s="25" t="s">
        <v>194</v>
      </c>
      <c r="F213" s="25" t="s">
        <v>103</v>
      </c>
      <c r="G213" s="26" t="s">
        <v>401</v>
      </c>
      <c r="H213" s="27" t="s">
        <v>379</v>
      </c>
      <c r="I213" s="24" t="s">
        <v>106</v>
      </c>
      <c r="J213" s="24" t="s">
        <v>107</v>
      </c>
      <c r="K213" s="28" t="s">
        <v>108</v>
      </c>
      <c r="L213" s="29">
        <v>0.01</v>
      </c>
      <c r="M213" s="29">
        <v>5.0000000000000001E-3</v>
      </c>
      <c r="N213" s="29">
        <v>4.0000000000000001E-3</v>
      </c>
      <c r="O213" s="27" t="s">
        <v>148</v>
      </c>
      <c r="P213" s="30" t="s">
        <v>145</v>
      </c>
      <c r="Q213" s="31">
        <v>184965376.53999999</v>
      </c>
      <c r="R213" s="31">
        <v>1293.5999999999999</v>
      </c>
      <c r="S213" s="32">
        <v>1.5401E-2</v>
      </c>
      <c r="T213" s="32" t="s">
        <v>139</v>
      </c>
      <c r="U213" s="32">
        <v>2.24E-4</v>
      </c>
      <c r="V213" s="32">
        <v>1.572E-3</v>
      </c>
      <c r="W213" s="32">
        <v>6.9280000000000001E-3</v>
      </c>
      <c r="X213" s="32">
        <v>1.2071999999999999E-2</v>
      </c>
      <c r="Y213" s="32">
        <v>2.1987E-2</v>
      </c>
      <c r="Z213" s="32">
        <v>4.6365000000000003E-2</v>
      </c>
      <c r="AA213" s="32">
        <v>7.6232999999999995E-2</v>
      </c>
      <c r="AB213" s="32">
        <v>0.117398</v>
      </c>
    </row>
    <row r="214" spans="1:28" ht="15.6" customHeight="1" x14ac:dyDescent="0.25">
      <c r="A214" s="24" t="s">
        <v>1278</v>
      </c>
      <c r="B214" s="50">
        <v>3768</v>
      </c>
      <c r="C214" s="25" t="s">
        <v>1279</v>
      </c>
      <c r="D214" s="25" t="s">
        <v>145</v>
      </c>
      <c r="E214" s="25" t="s">
        <v>194</v>
      </c>
      <c r="F214" s="25" t="s">
        <v>113</v>
      </c>
      <c r="G214" s="26" t="s">
        <v>347</v>
      </c>
      <c r="H214" s="27" t="s">
        <v>115</v>
      </c>
      <c r="I214" s="24" t="s">
        <v>998</v>
      </c>
      <c r="J214" s="24" t="s">
        <v>121</v>
      </c>
      <c r="K214" s="28" t="s">
        <v>108</v>
      </c>
      <c r="L214" s="29">
        <v>0</v>
      </c>
      <c r="M214" s="29">
        <v>0</v>
      </c>
      <c r="N214" s="29">
        <v>0.01</v>
      </c>
      <c r="O214" s="27" t="s">
        <v>148</v>
      </c>
      <c r="P214" s="30" t="s">
        <v>145</v>
      </c>
      <c r="Q214" s="31">
        <v>201074076.59</v>
      </c>
      <c r="R214" s="31">
        <v>1372.27</v>
      </c>
      <c r="S214" s="32">
        <v>5.9740000000000001E-3</v>
      </c>
      <c r="T214" s="32" t="s">
        <v>139</v>
      </c>
      <c r="U214" s="32">
        <v>1.175E-3</v>
      </c>
      <c r="V214" s="32">
        <v>5.6280000000000002E-3</v>
      </c>
      <c r="W214" s="32">
        <v>3.6419999999999998E-3</v>
      </c>
      <c r="X214" s="32">
        <v>1.614E-3</v>
      </c>
      <c r="Y214" s="32">
        <v>-1.7080000000000001E-3</v>
      </c>
      <c r="Z214" s="32">
        <v>0.109846</v>
      </c>
      <c r="AA214" s="32">
        <v>0.23971200000000001</v>
      </c>
      <c r="AB214" s="32">
        <v>0.18276300000000001</v>
      </c>
    </row>
    <row r="215" spans="1:28" ht="15.6" customHeight="1" x14ac:dyDescent="0.25">
      <c r="A215" s="24" t="s">
        <v>1280</v>
      </c>
      <c r="B215" s="50">
        <v>3770</v>
      </c>
      <c r="C215" s="25" t="s">
        <v>1281</v>
      </c>
      <c r="D215" s="25" t="s">
        <v>101</v>
      </c>
      <c r="E215" s="25" t="s">
        <v>194</v>
      </c>
      <c r="F215" s="25" t="s">
        <v>138</v>
      </c>
      <c r="G215" s="26" t="s">
        <v>139</v>
      </c>
      <c r="H215" s="27" t="s">
        <v>1282</v>
      </c>
      <c r="I215" s="24" t="s">
        <v>998</v>
      </c>
      <c r="J215" s="24" t="s">
        <v>107</v>
      </c>
      <c r="K215" s="28" t="s">
        <v>108</v>
      </c>
      <c r="L215" s="29">
        <v>2E-3</v>
      </c>
      <c r="M215" s="29">
        <v>1E-3</v>
      </c>
      <c r="N215" s="29">
        <v>0.02</v>
      </c>
      <c r="O215" s="27" t="s">
        <v>109</v>
      </c>
      <c r="P215" s="30" t="s">
        <v>101</v>
      </c>
      <c r="Q215" s="31">
        <v>1267710.23</v>
      </c>
      <c r="R215" s="31">
        <v>126.77</v>
      </c>
      <c r="S215" s="32">
        <v>7.8899999999999999E-4</v>
      </c>
      <c r="T215" s="32" t="s">
        <v>139</v>
      </c>
      <c r="U215" s="32">
        <v>-1.024E-3</v>
      </c>
      <c r="V215" s="32">
        <v>1.2864E-2</v>
      </c>
      <c r="W215" s="32">
        <v>1.7742000000000001E-2</v>
      </c>
      <c r="X215" s="32">
        <v>8.5120000000000005E-3</v>
      </c>
      <c r="Y215" s="32">
        <v>-3.5675999999999999E-2</v>
      </c>
      <c r="Z215" s="32">
        <v>8.5638000000000006E-2</v>
      </c>
      <c r="AA215" s="32">
        <v>0.11809799999999999</v>
      </c>
      <c r="AB215" s="32">
        <v>0.120966</v>
      </c>
    </row>
    <row r="216" spans="1:28" ht="15.6" customHeight="1" x14ac:dyDescent="0.25">
      <c r="A216" s="24" t="s">
        <v>402</v>
      </c>
      <c r="B216" s="50">
        <v>3771</v>
      </c>
      <c r="C216" s="25" t="s">
        <v>403</v>
      </c>
      <c r="D216" s="25" t="s">
        <v>145</v>
      </c>
      <c r="E216" s="25" t="s">
        <v>194</v>
      </c>
      <c r="F216" s="25" t="s">
        <v>128</v>
      </c>
      <c r="G216" s="26" t="s">
        <v>129</v>
      </c>
      <c r="H216" s="27" t="s">
        <v>130</v>
      </c>
      <c r="I216" s="24" t="s">
        <v>106</v>
      </c>
      <c r="J216" s="24" t="s">
        <v>107</v>
      </c>
      <c r="K216" s="28" t="s">
        <v>108</v>
      </c>
      <c r="L216" s="29">
        <v>0.03</v>
      </c>
      <c r="M216" s="29">
        <v>1.4999999999999999E-2</v>
      </c>
      <c r="N216" s="29">
        <v>0.01</v>
      </c>
      <c r="O216" s="27" t="s">
        <v>148</v>
      </c>
      <c r="P216" s="30" t="s">
        <v>145</v>
      </c>
      <c r="Q216" s="31">
        <v>5756155009</v>
      </c>
      <c r="R216" s="31">
        <v>2587.29</v>
      </c>
      <c r="S216" s="32">
        <v>2.0167999999999998E-2</v>
      </c>
      <c r="T216" s="32" t="s">
        <v>139</v>
      </c>
      <c r="U216" s="32">
        <v>4.8299999999999998E-4</v>
      </c>
      <c r="V216" s="32">
        <v>2.6389999999999999E-3</v>
      </c>
      <c r="W216" s="32">
        <v>8.038E-3</v>
      </c>
      <c r="X216" s="32">
        <v>1.5654999999999999E-2</v>
      </c>
      <c r="Y216" s="32">
        <v>2.7889000000000001E-2</v>
      </c>
      <c r="Z216" s="32">
        <v>6.6849000000000006E-2</v>
      </c>
      <c r="AA216" s="32">
        <v>0.110468</v>
      </c>
      <c r="AB216" s="32">
        <v>0.152499</v>
      </c>
    </row>
    <row r="217" spans="1:28" ht="15.6" customHeight="1" x14ac:dyDescent="0.25">
      <c r="A217" s="24" t="s">
        <v>404</v>
      </c>
      <c r="B217" s="50">
        <v>3772</v>
      </c>
      <c r="C217" s="25" t="s">
        <v>405</v>
      </c>
      <c r="D217" s="25" t="s">
        <v>145</v>
      </c>
      <c r="E217" s="25" t="s">
        <v>194</v>
      </c>
      <c r="F217" s="25" t="s">
        <v>113</v>
      </c>
      <c r="G217" s="26" t="s">
        <v>406</v>
      </c>
      <c r="H217" s="27" t="s">
        <v>407</v>
      </c>
      <c r="I217" s="24" t="s">
        <v>106</v>
      </c>
      <c r="J217" s="24" t="s">
        <v>107</v>
      </c>
      <c r="K217" s="28" t="s">
        <v>108</v>
      </c>
      <c r="L217" s="29">
        <v>0.01</v>
      </c>
      <c r="M217" s="29">
        <v>5.0000000000000001E-3</v>
      </c>
      <c r="N217" s="29">
        <v>0.01</v>
      </c>
      <c r="O217" s="27" t="s">
        <v>148</v>
      </c>
      <c r="P217" s="30" t="s">
        <v>145</v>
      </c>
      <c r="Q217" s="31">
        <v>1195659965.0599999</v>
      </c>
      <c r="R217" s="31">
        <v>152741.43</v>
      </c>
      <c r="S217" s="32">
        <v>7.6400000000000001E-3</v>
      </c>
      <c r="T217" s="32" t="s">
        <v>139</v>
      </c>
      <c r="U217" s="32">
        <v>1.021E-3</v>
      </c>
      <c r="V217" s="32">
        <v>5.8999999999999999E-3</v>
      </c>
      <c r="W217" s="32">
        <v>6.3489999999999996E-3</v>
      </c>
      <c r="X217" s="32">
        <v>5.6880000000000003E-3</v>
      </c>
      <c r="Y217" s="32">
        <v>2.5799999999999998E-3</v>
      </c>
      <c r="Z217" s="32">
        <v>9.7966999999999999E-2</v>
      </c>
      <c r="AA217" s="32">
        <v>0.18002299999999999</v>
      </c>
      <c r="AB217" s="32">
        <v>0.179809</v>
      </c>
    </row>
    <row r="218" spans="1:28" ht="15.6" customHeight="1" x14ac:dyDescent="0.25">
      <c r="A218" s="24" t="s">
        <v>408</v>
      </c>
      <c r="B218" s="50">
        <v>3774</v>
      </c>
      <c r="C218" s="25" t="s">
        <v>409</v>
      </c>
      <c r="D218" s="25" t="s">
        <v>145</v>
      </c>
      <c r="E218" s="25" t="s">
        <v>194</v>
      </c>
      <c r="F218" s="25" t="s">
        <v>138</v>
      </c>
      <c r="G218" s="26" t="s">
        <v>139</v>
      </c>
      <c r="H218" s="27" t="s">
        <v>283</v>
      </c>
      <c r="I218" s="24" t="s">
        <v>106</v>
      </c>
      <c r="J218" s="24" t="s">
        <v>107</v>
      </c>
      <c r="K218" s="28" t="s">
        <v>108</v>
      </c>
      <c r="L218" s="29">
        <v>0.01</v>
      </c>
      <c r="M218" s="29">
        <v>5.0000000000000001E-3</v>
      </c>
      <c r="N218" s="29">
        <v>0.02</v>
      </c>
      <c r="O218" s="27" t="s">
        <v>148</v>
      </c>
      <c r="P218" s="30" t="s">
        <v>145</v>
      </c>
      <c r="Q218" s="31">
        <v>30051104.09</v>
      </c>
      <c r="R218" s="31">
        <v>162438.39999999999</v>
      </c>
      <c r="S218" s="32">
        <v>-2.7060000000000001E-3</v>
      </c>
      <c r="T218" s="32" t="s">
        <v>139</v>
      </c>
      <c r="U218" s="32">
        <v>-1.818E-3</v>
      </c>
      <c r="V218" s="32">
        <v>1.6924000000000002E-2</v>
      </c>
      <c r="W218" s="32">
        <v>3.9979999999999998E-3</v>
      </c>
      <c r="X218" s="32">
        <v>7.2420000000000002E-3</v>
      </c>
      <c r="Y218" s="32">
        <v>-3.3999000000000001E-2</v>
      </c>
      <c r="Z218" s="32">
        <v>0.128251</v>
      </c>
      <c r="AA218" s="32">
        <v>0.25333600000000001</v>
      </c>
      <c r="AB218" s="32">
        <v>0.16802300000000001</v>
      </c>
    </row>
    <row r="219" spans="1:28" ht="15.6" customHeight="1" x14ac:dyDescent="0.25">
      <c r="A219" s="24" t="s">
        <v>410</v>
      </c>
      <c r="B219" s="50">
        <v>3775</v>
      </c>
      <c r="C219" s="25" t="s">
        <v>411</v>
      </c>
      <c r="D219" s="25" t="s">
        <v>145</v>
      </c>
      <c r="E219" s="25" t="s">
        <v>194</v>
      </c>
      <c r="F219" s="25" t="s">
        <v>155</v>
      </c>
      <c r="G219" s="26" t="s">
        <v>139</v>
      </c>
      <c r="H219" s="27" t="s">
        <v>156</v>
      </c>
      <c r="I219" s="24" t="s">
        <v>106</v>
      </c>
      <c r="J219" s="24" t="s">
        <v>107</v>
      </c>
      <c r="K219" s="28" t="s">
        <v>108</v>
      </c>
      <c r="L219" s="29">
        <v>0.02</v>
      </c>
      <c r="M219" s="29">
        <v>0.01</v>
      </c>
      <c r="N219" s="29">
        <v>0.02</v>
      </c>
      <c r="O219" s="27" t="s">
        <v>148</v>
      </c>
      <c r="P219" s="30" t="s">
        <v>145</v>
      </c>
      <c r="Q219" s="31">
        <v>4688814.34</v>
      </c>
      <c r="R219" s="31">
        <v>2152.8000000000002</v>
      </c>
      <c r="S219" s="32">
        <v>1.6229E-2</v>
      </c>
      <c r="T219" s="32" t="s">
        <v>139</v>
      </c>
      <c r="U219" s="32">
        <v>-1.1115999999999999E-2</v>
      </c>
      <c r="V219" s="32">
        <v>5.9000999999999998E-2</v>
      </c>
      <c r="W219" s="32">
        <v>2.0173E-2</v>
      </c>
      <c r="X219" s="32">
        <v>4.8147000000000002E-2</v>
      </c>
      <c r="Y219" s="32">
        <v>-7.0028999999999994E-2</v>
      </c>
      <c r="Z219" s="32">
        <v>0.44457000000000002</v>
      </c>
      <c r="AA219" s="32">
        <v>0.81134399999999995</v>
      </c>
      <c r="AB219" s="32">
        <v>0.69985600000000003</v>
      </c>
    </row>
    <row r="220" spans="1:28" ht="15.6" customHeight="1" x14ac:dyDescent="0.25">
      <c r="A220" s="24" t="s">
        <v>412</v>
      </c>
      <c r="B220" s="50">
        <v>3779</v>
      </c>
      <c r="C220" s="25" t="s">
        <v>413</v>
      </c>
      <c r="D220" s="25" t="s">
        <v>164</v>
      </c>
      <c r="E220" s="25" t="s">
        <v>194</v>
      </c>
      <c r="F220" s="25" t="s">
        <v>128</v>
      </c>
      <c r="G220" s="26" t="s">
        <v>129</v>
      </c>
      <c r="H220" s="27" t="s">
        <v>130</v>
      </c>
      <c r="I220" s="24" t="s">
        <v>106</v>
      </c>
      <c r="J220" s="24" t="s">
        <v>107</v>
      </c>
      <c r="K220" s="28" t="s">
        <v>108</v>
      </c>
      <c r="L220" s="29">
        <v>0.03</v>
      </c>
      <c r="M220" s="29">
        <v>1.4999999999999999E-2</v>
      </c>
      <c r="N220" s="29">
        <v>0.02</v>
      </c>
      <c r="O220" s="27" t="s">
        <v>173</v>
      </c>
      <c r="P220" s="30" t="s">
        <v>414</v>
      </c>
      <c r="Q220" s="31">
        <v>3146302822.5999999</v>
      </c>
      <c r="R220" s="31">
        <v>2793.28</v>
      </c>
      <c r="S220" s="32">
        <v>1.7826000000000002E-2</v>
      </c>
      <c r="T220" s="32" t="s">
        <v>139</v>
      </c>
      <c r="U220" s="32">
        <v>3.4400000000000001E-4</v>
      </c>
      <c r="V220" s="32">
        <v>2.3110000000000001E-3</v>
      </c>
      <c r="W220" s="32">
        <v>6.6490000000000004E-3</v>
      </c>
      <c r="X220" s="32">
        <v>1.3453E-2</v>
      </c>
      <c r="Y220" s="32">
        <v>2.5056999999999999E-2</v>
      </c>
      <c r="Z220" s="32">
        <v>5.8791000000000003E-2</v>
      </c>
      <c r="AA220" s="32">
        <v>0.10041799999999999</v>
      </c>
      <c r="AB220" s="32">
        <v>0.146036</v>
      </c>
    </row>
    <row r="221" spans="1:28" ht="15.6" customHeight="1" x14ac:dyDescent="0.25">
      <c r="A221" s="24" t="s">
        <v>1283</v>
      </c>
      <c r="B221" s="50">
        <v>3780</v>
      </c>
      <c r="C221" s="25" t="s">
        <v>1284</v>
      </c>
      <c r="D221" s="25" t="s">
        <v>241</v>
      </c>
      <c r="E221" s="25" t="s">
        <v>194</v>
      </c>
      <c r="F221" s="25" t="s">
        <v>113</v>
      </c>
      <c r="G221" s="26" t="s">
        <v>676</v>
      </c>
      <c r="H221" s="27" t="s">
        <v>115</v>
      </c>
      <c r="I221" s="24" t="s">
        <v>998</v>
      </c>
      <c r="J221" s="24" t="s">
        <v>121</v>
      </c>
      <c r="K221" s="28" t="s">
        <v>108</v>
      </c>
      <c r="L221" s="29">
        <v>0</v>
      </c>
      <c r="M221" s="29">
        <v>0</v>
      </c>
      <c r="N221" s="29">
        <v>0.02</v>
      </c>
      <c r="O221" s="27" t="s">
        <v>166</v>
      </c>
      <c r="P221" s="30" t="s">
        <v>241</v>
      </c>
      <c r="Q221" s="31">
        <v>655401464.09000003</v>
      </c>
      <c r="R221" s="31">
        <v>1359.92</v>
      </c>
      <c r="S221" s="32">
        <v>6.0439999999999999E-3</v>
      </c>
      <c r="T221" s="32" t="s">
        <v>139</v>
      </c>
      <c r="U221" s="32">
        <v>6.9899999999999997E-4</v>
      </c>
      <c r="V221" s="32">
        <v>6.4609999999999997E-3</v>
      </c>
      <c r="W221" s="32">
        <v>5.9550000000000002E-3</v>
      </c>
      <c r="X221" s="32">
        <v>4.0980000000000001E-3</v>
      </c>
      <c r="Y221" s="32">
        <v>-2.1589999999999999E-3</v>
      </c>
      <c r="Z221" s="32">
        <v>9.6756999999999996E-2</v>
      </c>
      <c r="AA221" s="32">
        <v>0.20536299999999999</v>
      </c>
      <c r="AB221" s="32">
        <v>0.179179</v>
      </c>
    </row>
    <row r="222" spans="1:28" ht="15.6" customHeight="1" x14ac:dyDescent="0.25">
      <c r="A222" s="24" t="s">
        <v>415</v>
      </c>
      <c r="B222" s="50">
        <v>3781</v>
      </c>
      <c r="C222" s="25" t="s">
        <v>416</v>
      </c>
      <c r="D222" s="25" t="s">
        <v>137</v>
      </c>
      <c r="E222" s="25" t="s">
        <v>194</v>
      </c>
      <c r="F222" s="25" t="s">
        <v>103</v>
      </c>
      <c r="G222" s="26" t="s">
        <v>216</v>
      </c>
      <c r="H222" s="27" t="s">
        <v>386</v>
      </c>
      <c r="I222" s="24" t="s">
        <v>106</v>
      </c>
      <c r="J222" s="24" t="s">
        <v>107</v>
      </c>
      <c r="K222" s="28" t="s">
        <v>108</v>
      </c>
      <c r="L222" s="29">
        <v>5.0000000000000001E-3</v>
      </c>
      <c r="M222" s="29">
        <v>5.0000000000000001E-3</v>
      </c>
      <c r="N222" s="29">
        <v>6.0000000000000001E-3</v>
      </c>
      <c r="O222" s="27" t="s">
        <v>141</v>
      </c>
      <c r="P222" s="30" t="s">
        <v>142</v>
      </c>
      <c r="Q222" s="31">
        <v>97886036.035462007</v>
      </c>
      <c r="R222" s="31">
        <v>1256.8499999999999</v>
      </c>
      <c r="S222" s="32">
        <v>1.4848999999999999E-2</v>
      </c>
      <c r="T222" s="32" t="s">
        <v>139</v>
      </c>
      <c r="U222" s="32">
        <v>2.3900000000000001E-4</v>
      </c>
      <c r="V222" s="32">
        <v>1.8090000000000001E-3</v>
      </c>
      <c r="W222" s="32">
        <v>5.4079999999999996E-3</v>
      </c>
      <c r="X222" s="32">
        <v>1.1273E-2</v>
      </c>
      <c r="Y222" s="32">
        <v>2.0999E-2</v>
      </c>
      <c r="Z222" s="32">
        <v>4.7445000000000001E-2</v>
      </c>
      <c r="AA222" s="32">
        <v>8.0241000000000007E-2</v>
      </c>
      <c r="AB222" s="32">
        <v>0.121877</v>
      </c>
    </row>
    <row r="223" spans="1:28" ht="15.6" customHeight="1" x14ac:dyDescent="0.25">
      <c r="A223" s="24" t="s">
        <v>1285</v>
      </c>
      <c r="B223" s="50">
        <v>3782</v>
      </c>
      <c r="C223" s="25" t="s">
        <v>1286</v>
      </c>
      <c r="D223" s="25" t="s">
        <v>137</v>
      </c>
      <c r="E223" s="25" t="s">
        <v>194</v>
      </c>
      <c r="F223" s="25" t="s">
        <v>113</v>
      </c>
      <c r="G223" s="26" t="s">
        <v>198</v>
      </c>
      <c r="H223" s="27" t="s">
        <v>1287</v>
      </c>
      <c r="I223" s="24" t="s">
        <v>998</v>
      </c>
      <c r="J223" s="24" t="s">
        <v>121</v>
      </c>
      <c r="K223" s="28" t="s">
        <v>108</v>
      </c>
      <c r="L223" s="29">
        <v>0.02</v>
      </c>
      <c r="M223" s="29">
        <v>0.02</v>
      </c>
      <c r="N223" s="29">
        <v>0.02</v>
      </c>
      <c r="O223" s="27" t="s">
        <v>148</v>
      </c>
      <c r="P223" s="30" t="s">
        <v>1288</v>
      </c>
      <c r="Q223" s="31">
        <v>53449471.272606999</v>
      </c>
      <c r="R223" s="31">
        <v>1034.78</v>
      </c>
      <c r="S223" s="32">
        <v>-2.8999999999999998E-3</v>
      </c>
      <c r="T223" s="32" t="s">
        <v>139</v>
      </c>
      <c r="U223" s="32">
        <v>5.22E-4</v>
      </c>
      <c r="V223" s="32">
        <v>1.142E-3</v>
      </c>
      <c r="W223" s="32">
        <v>1.1709999999999999E-3</v>
      </c>
      <c r="X223" s="32">
        <v>6.96E-4</v>
      </c>
      <c r="Y223" s="32">
        <v>-6.9959999999999996E-3</v>
      </c>
      <c r="Z223" s="32">
        <v>1.1367E-2</v>
      </c>
      <c r="AA223" s="32">
        <v>3.6968000000000001E-2</v>
      </c>
      <c r="AB223" s="32">
        <v>2.2449E-2</v>
      </c>
    </row>
    <row r="224" spans="1:28" ht="15.6" customHeight="1" x14ac:dyDescent="0.25">
      <c r="A224" s="24" t="s">
        <v>1289</v>
      </c>
      <c r="B224" s="50">
        <v>3783</v>
      </c>
      <c r="C224" s="25" t="s">
        <v>1290</v>
      </c>
      <c r="D224" s="25" t="s">
        <v>355</v>
      </c>
      <c r="E224" s="25" t="s">
        <v>194</v>
      </c>
      <c r="F224" s="25" t="s">
        <v>113</v>
      </c>
      <c r="G224" s="26" t="s">
        <v>198</v>
      </c>
      <c r="H224" s="27" t="s">
        <v>120</v>
      </c>
      <c r="I224" s="24" t="s">
        <v>998</v>
      </c>
      <c r="J224" s="24" t="s">
        <v>107</v>
      </c>
      <c r="K224" s="28" t="s">
        <v>108</v>
      </c>
      <c r="L224" s="29">
        <v>0.02</v>
      </c>
      <c r="M224" s="29">
        <v>1.4999999999999999E-2</v>
      </c>
      <c r="N224" s="29">
        <v>0.02</v>
      </c>
      <c r="O224" s="27" t="s">
        <v>109</v>
      </c>
      <c r="P224" s="30" t="s">
        <v>355</v>
      </c>
      <c r="Q224" s="31">
        <v>1218594165.4400001</v>
      </c>
      <c r="R224" s="31">
        <v>1246.48</v>
      </c>
      <c r="S224" s="32">
        <v>-9.9989999999999992E-3</v>
      </c>
      <c r="T224" s="32" t="s">
        <v>139</v>
      </c>
      <c r="U224" s="32">
        <v>1.2E-4</v>
      </c>
      <c r="V224" s="32">
        <v>5.1770000000000002E-3</v>
      </c>
      <c r="W224" s="32">
        <v>-8.7999999999999998E-5</v>
      </c>
      <c r="X224" s="32">
        <v>-7.1760000000000001E-3</v>
      </c>
      <c r="Y224" s="32">
        <v>-2.5090999999999999E-2</v>
      </c>
      <c r="Z224" s="32">
        <v>4.4153999999999999E-2</v>
      </c>
      <c r="AA224" s="32">
        <v>0.104507</v>
      </c>
      <c r="AB224" s="32">
        <v>4.1884999999999999E-2</v>
      </c>
    </row>
    <row r="225" spans="1:28" ht="15.6" customHeight="1" x14ac:dyDescent="0.25">
      <c r="A225" s="24" t="s">
        <v>1291</v>
      </c>
      <c r="B225" s="50">
        <v>3787</v>
      </c>
      <c r="C225" s="25" t="s">
        <v>1292</v>
      </c>
      <c r="D225" s="25" t="s">
        <v>322</v>
      </c>
      <c r="E225" s="25" t="s">
        <v>194</v>
      </c>
      <c r="F225" s="25" t="s">
        <v>113</v>
      </c>
      <c r="G225" s="26" t="s">
        <v>1293</v>
      </c>
      <c r="H225" s="27" t="s">
        <v>115</v>
      </c>
      <c r="I225" s="24" t="s">
        <v>998</v>
      </c>
      <c r="J225" s="24" t="s">
        <v>107</v>
      </c>
      <c r="K225" s="28" t="s">
        <v>108</v>
      </c>
      <c r="L225" s="29">
        <v>0.03</v>
      </c>
      <c r="M225" s="29">
        <v>1.4999999999999999E-2</v>
      </c>
      <c r="N225" s="29">
        <v>0.02</v>
      </c>
      <c r="O225" s="27" t="s">
        <v>166</v>
      </c>
      <c r="P225" s="30" t="s">
        <v>322</v>
      </c>
      <c r="Q225" s="31">
        <v>558989421.05999994</v>
      </c>
      <c r="R225" s="31">
        <v>126.87</v>
      </c>
      <c r="S225" s="32">
        <v>-3.3779999999999999E-3</v>
      </c>
      <c r="T225" s="32" t="s">
        <v>139</v>
      </c>
      <c r="U225" s="32">
        <v>2.3699999999999999E-4</v>
      </c>
      <c r="V225" s="32">
        <v>2.7659999999999998E-3</v>
      </c>
      <c r="W225" s="32">
        <v>1.737E-3</v>
      </c>
      <c r="X225" s="32">
        <v>-8.6600000000000002E-4</v>
      </c>
      <c r="Y225" s="32">
        <v>-7.8980000000000005E-3</v>
      </c>
      <c r="Z225" s="32">
        <v>5.2426E-2</v>
      </c>
      <c r="AA225" s="32">
        <v>0.12503300000000001</v>
      </c>
      <c r="AB225" s="32">
        <v>4.4455000000000001E-2</v>
      </c>
    </row>
    <row r="226" spans="1:28" ht="15.6" customHeight="1" x14ac:dyDescent="0.25">
      <c r="A226" s="24" t="s">
        <v>417</v>
      </c>
      <c r="B226" s="50">
        <v>3788</v>
      </c>
      <c r="C226" s="25" t="s">
        <v>418</v>
      </c>
      <c r="D226" s="25" t="s">
        <v>322</v>
      </c>
      <c r="E226" s="25" t="s">
        <v>194</v>
      </c>
      <c r="F226" s="25" t="s">
        <v>128</v>
      </c>
      <c r="G226" s="26" t="s">
        <v>289</v>
      </c>
      <c r="H226" s="27" t="s">
        <v>130</v>
      </c>
      <c r="I226" s="24" t="s">
        <v>106</v>
      </c>
      <c r="J226" s="24" t="s">
        <v>107</v>
      </c>
      <c r="K226" s="28" t="s">
        <v>108</v>
      </c>
      <c r="L226" s="29">
        <v>0.03</v>
      </c>
      <c r="M226" s="29">
        <v>1.4999999999999999E-2</v>
      </c>
      <c r="N226" s="29">
        <v>0.02</v>
      </c>
      <c r="O226" s="27" t="s">
        <v>148</v>
      </c>
      <c r="P226" s="30" t="s">
        <v>322</v>
      </c>
      <c r="Q226" s="31">
        <v>2682241149.5100002</v>
      </c>
      <c r="R226" s="31">
        <v>133.27000000000001</v>
      </c>
      <c r="S226" s="32">
        <v>2.0990999999999999E-2</v>
      </c>
      <c r="T226" s="32" t="s">
        <v>139</v>
      </c>
      <c r="U226" s="32">
        <v>4.4999999999999999E-4</v>
      </c>
      <c r="V226" s="32">
        <v>2.5579999999999999E-3</v>
      </c>
      <c r="W226" s="32">
        <v>7.7130000000000002E-3</v>
      </c>
      <c r="X226" s="32">
        <v>1.5313E-2</v>
      </c>
      <c r="Y226" s="32">
        <v>2.9748E-2</v>
      </c>
      <c r="Z226" s="32">
        <v>6.7526000000000003E-2</v>
      </c>
      <c r="AA226" s="32">
        <v>0.109474</v>
      </c>
      <c r="AB226" s="32">
        <v>0.15146000000000001</v>
      </c>
    </row>
    <row r="227" spans="1:28" ht="15.6" customHeight="1" x14ac:dyDescent="0.25">
      <c r="A227" s="24" t="s">
        <v>1294</v>
      </c>
      <c r="B227" s="50">
        <v>3793</v>
      </c>
      <c r="C227" s="25" t="s">
        <v>1295</v>
      </c>
      <c r="D227" s="25" t="s">
        <v>164</v>
      </c>
      <c r="E227" s="25" t="s">
        <v>194</v>
      </c>
      <c r="F227" s="25" t="s">
        <v>138</v>
      </c>
      <c r="G227" s="26" t="s">
        <v>139</v>
      </c>
      <c r="H227" s="27" t="s">
        <v>1296</v>
      </c>
      <c r="I227" s="24" t="s">
        <v>998</v>
      </c>
      <c r="J227" s="24" t="s">
        <v>107</v>
      </c>
      <c r="K227" s="28" t="s">
        <v>227</v>
      </c>
      <c r="L227" s="29">
        <v>0</v>
      </c>
      <c r="M227" s="29">
        <v>0</v>
      </c>
      <c r="N227" s="29">
        <v>0.02</v>
      </c>
      <c r="O227" s="27" t="s">
        <v>166</v>
      </c>
      <c r="P227" s="30" t="s">
        <v>164</v>
      </c>
      <c r="Q227" s="31">
        <v>416973997.74000001</v>
      </c>
      <c r="R227" s="31">
        <v>543642.76</v>
      </c>
      <c r="S227" s="32">
        <v>5.3620000000000001E-2</v>
      </c>
      <c r="T227" s="32" t="s">
        <v>139</v>
      </c>
      <c r="U227" s="32">
        <v>-6.0239999999999998E-3</v>
      </c>
      <c r="V227" s="32">
        <v>5.4696000000000002E-2</v>
      </c>
      <c r="W227" s="32">
        <v>9.8960000000000003E-3</v>
      </c>
      <c r="X227" s="32">
        <v>5.9274E-2</v>
      </c>
      <c r="Y227" s="32">
        <v>1.9480999999999998E-2</v>
      </c>
      <c r="Z227" s="32">
        <v>0.39719300000000002</v>
      </c>
      <c r="AA227" s="32">
        <v>0.60946100000000003</v>
      </c>
      <c r="AB227" s="32">
        <v>0.58452499999999996</v>
      </c>
    </row>
    <row r="228" spans="1:28" ht="15.6" customHeight="1" x14ac:dyDescent="0.25">
      <c r="A228" s="24" t="s">
        <v>419</v>
      </c>
      <c r="B228" s="50">
        <v>3794</v>
      </c>
      <c r="C228" s="25" t="s">
        <v>420</v>
      </c>
      <c r="D228" s="25" t="s">
        <v>145</v>
      </c>
      <c r="E228" s="25" t="s">
        <v>194</v>
      </c>
      <c r="F228" s="25" t="s">
        <v>138</v>
      </c>
      <c r="G228" s="26" t="s">
        <v>139</v>
      </c>
      <c r="H228" s="27" t="s">
        <v>421</v>
      </c>
      <c r="I228" s="24" t="s">
        <v>106</v>
      </c>
      <c r="J228" s="24" t="s">
        <v>107</v>
      </c>
      <c r="K228" s="28" t="s">
        <v>108</v>
      </c>
      <c r="L228" s="29">
        <v>0.01</v>
      </c>
      <c r="M228" s="29">
        <v>5.0000000000000001E-3</v>
      </c>
      <c r="N228" s="29">
        <v>0.02</v>
      </c>
      <c r="O228" s="27" t="s">
        <v>148</v>
      </c>
      <c r="P228" s="30" t="s">
        <v>145</v>
      </c>
      <c r="Q228" s="31">
        <v>1966913.26</v>
      </c>
      <c r="R228" s="31">
        <v>1415.04</v>
      </c>
      <c r="S228" s="32">
        <v>-8.0680000000000005E-3</v>
      </c>
      <c r="T228" s="32" t="s">
        <v>139</v>
      </c>
      <c r="U228" s="32">
        <v>6.5799999999999995E-4</v>
      </c>
      <c r="V228" s="32">
        <v>7.9059999999999998E-3</v>
      </c>
      <c r="W228" s="32">
        <v>6.6230000000000004E-3</v>
      </c>
      <c r="X228" s="32">
        <v>1.4799999999999999E-4</v>
      </c>
      <c r="Y228" s="32">
        <v>-3.3752999999999998E-2</v>
      </c>
      <c r="Z228" s="32">
        <v>0.116517</v>
      </c>
      <c r="AA228" s="32">
        <v>0.20946699999999999</v>
      </c>
      <c r="AB228" s="32">
        <v>0.24090400000000001</v>
      </c>
    </row>
    <row r="229" spans="1:28" ht="15.6" customHeight="1" x14ac:dyDescent="0.25">
      <c r="A229" s="24" t="s">
        <v>422</v>
      </c>
      <c r="B229" s="50">
        <v>3795</v>
      </c>
      <c r="C229" s="25" t="s">
        <v>423</v>
      </c>
      <c r="D229" s="25" t="s">
        <v>355</v>
      </c>
      <c r="E229" s="25" t="s">
        <v>194</v>
      </c>
      <c r="F229" s="25" t="s">
        <v>103</v>
      </c>
      <c r="G229" s="26" t="s">
        <v>392</v>
      </c>
      <c r="H229" s="27" t="s">
        <v>424</v>
      </c>
      <c r="I229" s="24" t="s">
        <v>106</v>
      </c>
      <c r="J229" s="24" t="s">
        <v>107</v>
      </c>
      <c r="K229" s="28" t="s">
        <v>108</v>
      </c>
      <c r="L229" s="29">
        <v>0.02</v>
      </c>
      <c r="M229" s="29">
        <v>1.4999999999999999E-2</v>
      </c>
      <c r="N229" s="29">
        <v>0.02</v>
      </c>
      <c r="O229" s="27" t="s">
        <v>166</v>
      </c>
      <c r="P229" s="30" t="s">
        <v>355</v>
      </c>
      <c r="Q229" s="31">
        <v>1598635356.1199999</v>
      </c>
      <c r="R229" s="31">
        <v>1287.4100000000001</v>
      </c>
      <c r="S229" s="32">
        <v>1.8674E-2</v>
      </c>
      <c r="T229" s="32" t="s">
        <v>139</v>
      </c>
      <c r="U229" s="32">
        <v>3.0299999999999999E-4</v>
      </c>
      <c r="V229" s="32">
        <v>2.0630000000000002E-3</v>
      </c>
      <c r="W229" s="32">
        <v>6.9379999999999997E-3</v>
      </c>
      <c r="X229" s="32">
        <v>1.4331999999999999E-2</v>
      </c>
      <c r="Y229" s="32">
        <v>2.6683999999999999E-2</v>
      </c>
      <c r="Z229" s="32">
        <v>5.7629E-2</v>
      </c>
      <c r="AA229" s="32">
        <v>9.4010999999999997E-2</v>
      </c>
      <c r="AB229" s="32">
        <v>0.144487</v>
      </c>
    </row>
    <row r="230" spans="1:28" ht="15.6" customHeight="1" x14ac:dyDescent="0.25">
      <c r="A230" s="24" t="s">
        <v>425</v>
      </c>
      <c r="B230" s="50">
        <v>3796</v>
      </c>
      <c r="C230" s="25" t="s">
        <v>426</v>
      </c>
      <c r="D230" s="25" t="s">
        <v>355</v>
      </c>
      <c r="E230" s="25" t="s">
        <v>194</v>
      </c>
      <c r="F230" s="25" t="s">
        <v>128</v>
      </c>
      <c r="G230" s="26" t="s">
        <v>289</v>
      </c>
      <c r="H230" s="27" t="s">
        <v>130</v>
      </c>
      <c r="I230" s="24" t="s">
        <v>106</v>
      </c>
      <c r="J230" s="24" t="s">
        <v>107</v>
      </c>
      <c r="K230" s="28" t="s">
        <v>108</v>
      </c>
      <c r="L230" s="29">
        <v>0.02</v>
      </c>
      <c r="M230" s="29">
        <v>1.4999999999999999E-2</v>
      </c>
      <c r="N230" s="29">
        <v>0.02</v>
      </c>
      <c r="O230" s="27" t="s">
        <v>166</v>
      </c>
      <c r="P230" s="30" t="s">
        <v>355</v>
      </c>
      <c r="Q230" s="31">
        <v>3886035926.96</v>
      </c>
      <c r="R230" s="31">
        <v>1309.9100000000001</v>
      </c>
      <c r="S230" s="32">
        <v>2.0577000000000002E-2</v>
      </c>
      <c r="T230" s="32" t="s">
        <v>139</v>
      </c>
      <c r="U230" s="32">
        <v>3.8200000000000002E-4</v>
      </c>
      <c r="V230" s="32">
        <v>2.4870000000000001E-3</v>
      </c>
      <c r="W230" s="32">
        <v>7.8250000000000004E-3</v>
      </c>
      <c r="X230" s="32">
        <v>1.5851000000000001E-2</v>
      </c>
      <c r="Y230" s="32">
        <v>2.9027000000000001E-2</v>
      </c>
      <c r="Z230" s="32">
        <v>6.6770999999999997E-2</v>
      </c>
      <c r="AA230" s="32">
        <v>0.111544</v>
      </c>
      <c r="AB230" s="32">
        <v>0.14479600000000001</v>
      </c>
    </row>
    <row r="231" spans="1:28" ht="15.6" customHeight="1" x14ac:dyDescent="0.25">
      <c r="A231" s="24" t="s">
        <v>1297</v>
      </c>
      <c r="B231" s="50">
        <v>3798</v>
      </c>
      <c r="C231" s="25" t="s">
        <v>1298</v>
      </c>
      <c r="D231" s="25" t="s">
        <v>355</v>
      </c>
      <c r="E231" s="25" t="s">
        <v>194</v>
      </c>
      <c r="F231" s="25" t="s">
        <v>138</v>
      </c>
      <c r="G231" s="26" t="s">
        <v>139</v>
      </c>
      <c r="H231" s="27" t="s">
        <v>577</v>
      </c>
      <c r="I231" s="24" t="s">
        <v>998</v>
      </c>
      <c r="J231" s="24" t="s">
        <v>107</v>
      </c>
      <c r="K231" s="28" t="s">
        <v>108</v>
      </c>
      <c r="L231" s="29">
        <v>0.02</v>
      </c>
      <c r="M231" s="29">
        <v>1.4999999999999999E-2</v>
      </c>
      <c r="N231" s="29">
        <v>0.02</v>
      </c>
      <c r="O231" s="27" t="s">
        <v>161</v>
      </c>
      <c r="P231" s="30" t="s">
        <v>355</v>
      </c>
      <c r="Q231" s="31">
        <v>857591514.96000004</v>
      </c>
      <c r="R231" s="31">
        <v>1386.91</v>
      </c>
      <c r="S231" s="32">
        <v>-2.7623999999999999E-2</v>
      </c>
      <c r="T231" s="32" t="s">
        <v>139</v>
      </c>
      <c r="U231" s="32">
        <v>-5.764E-3</v>
      </c>
      <c r="V231" s="32">
        <v>2.9506999999999999E-2</v>
      </c>
      <c r="W231" s="32">
        <v>4.7889999999999999E-3</v>
      </c>
      <c r="X231" s="32">
        <v>-2.23E-4</v>
      </c>
      <c r="Y231" s="32">
        <v>-0.10345500000000001</v>
      </c>
      <c r="Z231" s="32">
        <v>0.13625300000000001</v>
      </c>
      <c r="AA231" s="32">
        <v>0.28878199999999998</v>
      </c>
      <c r="AB231" s="32">
        <v>0.17189099999999999</v>
      </c>
    </row>
    <row r="232" spans="1:28" ht="15.6" customHeight="1" x14ac:dyDescent="0.25">
      <c r="A232" s="24" t="s">
        <v>1299</v>
      </c>
      <c r="B232" s="50">
        <v>3799</v>
      </c>
      <c r="C232" s="25" t="s">
        <v>1300</v>
      </c>
      <c r="D232" s="25" t="s">
        <v>355</v>
      </c>
      <c r="E232" s="25" t="s">
        <v>194</v>
      </c>
      <c r="F232" s="25" t="s">
        <v>113</v>
      </c>
      <c r="G232" s="26" t="s">
        <v>151</v>
      </c>
      <c r="H232" s="27" t="s">
        <v>115</v>
      </c>
      <c r="I232" s="24" t="s">
        <v>998</v>
      </c>
      <c r="J232" s="24" t="s">
        <v>107</v>
      </c>
      <c r="K232" s="28" t="s">
        <v>108</v>
      </c>
      <c r="L232" s="29">
        <v>0.02</v>
      </c>
      <c r="M232" s="29">
        <v>1.4999999999999999E-2</v>
      </c>
      <c r="N232" s="29">
        <v>0.02</v>
      </c>
      <c r="O232" s="27" t="s">
        <v>161</v>
      </c>
      <c r="P232" s="30" t="s">
        <v>355</v>
      </c>
      <c r="Q232" s="31">
        <v>1126564.07</v>
      </c>
      <c r="R232" s="31">
        <v>1203.5899999999999</v>
      </c>
      <c r="S232" s="32">
        <v>5.4130000000000003E-3</v>
      </c>
      <c r="T232" s="32" t="s">
        <v>139</v>
      </c>
      <c r="U232" s="32">
        <v>1.99E-3</v>
      </c>
      <c r="V232" s="32">
        <v>3.6189999999999998E-3</v>
      </c>
      <c r="W232" s="32">
        <v>4.1970000000000002E-3</v>
      </c>
      <c r="X232" s="32">
        <v>6.9690000000000004E-3</v>
      </c>
      <c r="Y232" s="32">
        <v>2.3990000000000001E-3</v>
      </c>
      <c r="Z232" s="32">
        <v>4.9355999999999997E-2</v>
      </c>
      <c r="AA232" s="32">
        <v>0.11704199999999999</v>
      </c>
      <c r="AB232" s="32">
        <v>2.3251999999999998E-2</v>
      </c>
    </row>
    <row r="233" spans="1:28" ht="15.6" customHeight="1" x14ac:dyDescent="0.25">
      <c r="A233" s="24" t="s">
        <v>427</v>
      </c>
      <c r="B233" s="50">
        <v>3800</v>
      </c>
      <c r="C233" s="25" t="s">
        <v>428</v>
      </c>
      <c r="D233" s="25" t="s">
        <v>137</v>
      </c>
      <c r="E233" s="25" t="s">
        <v>194</v>
      </c>
      <c r="F233" s="25" t="s">
        <v>128</v>
      </c>
      <c r="G233" s="26" t="s">
        <v>250</v>
      </c>
      <c r="H233" s="27" t="s">
        <v>210</v>
      </c>
      <c r="I233" s="24" t="s">
        <v>106</v>
      </c>
      <c r="J233" s="24" t="s">
        <v>107</v>
      </c>
      <c r="K233" s="28" t="s">
        <v>108</v>
      </c>
      <c r="L233" s="29">
        <v>0</v>
      </c>
      <c r="M233" s="29">
        <v>0</v>
      </c>
      <c r="N233" s="29">
        <v>0.01</v>
      </c>
      <c r="O233" s="27" t="s">
        <v>141</v>
      </c>
      <c r="P233" s="30" t="s">
        <v>137</v>
      </c>
      <c r="Q233" s="31">
        <v>2212481635.7812519</v>
      </c>
      <c r="R233" s="31">
        <v>1293092.72</v>
      </c>
      <c r="S233" s="32">
        <v>1.9757E-2</v>
      </c>
      <c r="T233" s="32" t="s">
        <v>139</v>
      </c>
      <c r="U233" s="32">
        <v>4.1399999999999998E-4</v>
      </c>
      <c r="V233" s="32">
        <v>2.4789999999999999E-3</v>
      </c>
      <c r="W233" s="32">
        <v>6.9230000000000003E-3</v>
      </c>
      <c r="X233" s="32">
        <v>1.5334E-2</v>
      </c>
      <c r="Y233" s="32">
        <v>2.8591999999999999E-2</v>
      </c>
      <c r="Z233" s="32">
        <v>6.9418999999999995E-2</v>
      </c>
      <c r="AA233" s="32">
        <v>0.115283</v>
      </c>
      <c r="AB233" s="32">
        <v>0.16301299999999999</v>
      </c>
    </row>
    <row r="234" spans="1:28" ht="15.6" customHeight="1" x14ac:dyDescent="0.25">
      <c r="A234" s="24" t="s">
        <v>429</v>
      </c>
      <c r="B234" s="50">
        <v>3805</v>
      </c>
      <c r="C234" s="25" t="s">
        <v>430</v>
      </c>
      <c r="D234" s="25" t="s">
        <v>355</v>
      </c>
      <c r="E234" s="25" t="s">
        <v>194</v>
      </c>
      <c r="F234" s="25" t="s">
        <v>113</v>
      </c>
      <c r="G234" s="26" t="s">
        <v>431</v>
      </c>
      <c r="H234" s="27" t="s">
        <v>432</v>
      </c>
      <c r="I234" s="24" t="s">
        <v>106</v>
      </c>
      <c r="J234" s="24" t="s">
        <v>107</v>
      </c>
      <c r="K234" s="28" t="s">
        <v>108</v>
      </c>
      <c r="L234" s="29">
        <v>0.03</v>
      </c>
      <c r="M234" s="29">
        <v>1.4999999999999999E-2</v>
      </c>
      <c r="N234" s="29">
        <v>0.02</v>
      </c>
      <c r="O234" s="27" t="s">
        <v>166</v>
      </c>
      <c r="P234" s="30" t="s">
        <v>433</v>
      </c>
      <c r="Q234" s="31">
        <v>753256142.41999996</v>
      </c>
      <c r="R234" s="31">
        <v>1343.52</v>
      </c>
      <c r="S234" s="32">
        <v>2.9991E-2</v>
      </c>
      <c r="T234" s="32" t="s">
        <v>139</v>
      </c>
      <c r="U234" s="32">
        <v>8.1899999999999996E-4</v>
      </c>
      <c r="V234" s="32">
        <v>2.7539999999999999E-3</v>
      </c>
      <c r="W234" s="32">
        <v>1.3480000000000001E-2</v>
      </c>
      <c r="X234" s="32">
        <v>2.5697000000000001E-2</v>
      </c>
      <c r="Y234" s="32">
        <v>3.5180999999999997E-2</v>
      </c>
      <c r="Z234" s="32">
        <v>9.9732000000000001E-2</v>
      </c>
      <c r="AA234" s="32">
        <v>0.230826</v>
      </c>
      <c r="AB234" s="32">
        <v>0.19886499999999999</v>
      </c>
    </row>
    <row r="235" spans="1:28" ht="15.6" customHeight="1" x14ac:dyDescent="0.25">
      <c r="A235" s="24" t="s">
        <v>1301</v>
      </c>
      <c r="B235" s="50">
        <v>3806</v>
      </c>
      <c r="C235" s="25" t="s">
        <v>1302</v>
      </c>
      <c r="D235" s="25" t="s">
        <v>355</v>
      </c>
      <c r="E235" s="25" t="s">
        <v>194</v>
      </c>
      <c r="F235" s="25" t="s">
        <v>155</v>
      </c>
      <c r="G235" s="26" t="s">
        <v>139</v>
      </c>
      <c r="H235" s="27" t="s">
        <v>588</v>
      </c>
      <c r="I235" s="24" t="s">
        <v>998</v>
      </c>
      <c r="J235" s="24" t="s">
        <v>121</v>
      </c>
      <c r="K235" s="28" t="s">
        <v>180</v>
      </c>
      <c r="L235" s="29">
        <v>0</v>
      </c>
      <c r="M235" s="29">
        <v>0</v>
      </c>
      <c r="N235" s="29">
        <v>0.02</v>
      </c>
      <c r="O235" s="27" t="s">
        <v>166</v>
      </c>
      <c r="P235" s="30" t="s">
        <v>355</v>
      </c>
      <c r="Q235" s="31">
        <v>249046752.88</v>
      </c>
      <c r="R235" s="31">
        <v>1742.94</v>
      </c>
      <c r="S235" s="32">
        <v>3.8595999999999998E-2</v>
      </c>
      <c r="T235" s="32" t="s">
        <v>139</v>
      </c>
      <c r="U235" s="32">
        <v>-9.6930000000000002E-3</v>
      </c>
      <c r="V235" s="32">
        <v>5.4091E-2</v>
      </c>
      <c r="W235" s="32">
        <v>1.2625000000000001E-2</v>
      </c>
      <c r="X235" s="32">
        <v>5.1427E-2</v>
      </c>
      <c r="Y235" s="32">
        <v>-9.6991999999999995E-2</v>
      </c>
      <c r="Z235" s="32">
        <v>0.37073899999999999</v>
      </c>
      <c r="AA235" s="32">
        <v>0.695496</v>
      </c>
      <c r="AB235" s="32">
        <v>0.69035000000000002</v>
      </c>
    </row>
    <row r="236" spans="1:28" ht="15.6" customHeight="1" x14ac:dyDescent="0.25">
      <c r="A236" s="24" t="s">
        <v>434</v>
      </c>
      <c r="B236" s="50">
        <v>3807</v>
      </c>
      <c r="C236" s="25" t="s">
        <v>435</v>
      </c>
      <c r="D236" s="25" t="s">
        <v>355</v>
      </c>
      <c r="E236" s="25" t="s">
        <v>194</v>
      </c>
      <c r="F236" s="25" t="s">
        <v>138</v>
      </c>
      <c r="G236" s="26" t="s">
        <v>139</v>
      </c>
      <c r="H236" s="27" t="s">
        <v>436</v>
      </c>
      <c r="I236" s="24" t="s">
        <v>106</v>
      </c>
      <c r="J236" s="24" t="s">
        <v>107</v>
      </c>
      <c r="K236" s="28" t="s">
        <v>108</v>
      </c>
      <c r="L236" s="29">
        <v>0.03</v>
      </c>
      <c r="M236" s="29">
        <v>1.4999999999999999E-2</v>
      </c>
      <c r="N236" s="29">
        <v>0.02</v>
      </c>
      <c r="O236" s="27" t="s">
        <v>166</v>
      </c>
      <c r="P236" s="30" t="s">
        <v>355</v>
      </c>
      <c r="Q236" s="31">
        <v>1105419849.1400001</v>
      </c>
      <c r="R236" s="31">
        <v>1229.24</v>
      </c>
      <c r="S236" s="32">
        <v>-3.0727999999999998E-2</v>
      </c>
      <c r="T236" s="32" t="s">
        <v>139</v>
      </c>
      <c r="U236" s="32">
        <v>-5.5420000000000001E-3</v>
      </c>
      <c r="V236" s="32">
        <v>3.0896E-2</v>
      </c>
      <c r="W236" s="32">
        <v>3.4780000000000002E-3</v>
      </c>
      <c r="X236" s="32">
        <v>3.3399999999999999E-4</v>
      </c>
      <c r="Y236" s="32">
        <v>-9.8922999999999997E-2</v>
      </c>
      <c r="Z236" s="32">
        <v>0.13350400000000001</v>
      </c>
      <c r="AA236" s="32">
        <v>0.275476</v>
      </c>
      <c r="AB236" s="32">
        <v>0.15425900000000001</v>
      </c>
    </row>
    <row r="237" spans="1:28" ht="15.6" customHeight="1" x14ac:dyDescent="0.25">
      <c r="A237" s="24" t="s">
        <v>1303</v>
      </c>
      <c r="B237" s="50">
        <v>3809</v>
      </c>
      <c r="C237" s="25" t="s">
        <v>1304</v>
      </c>
      <c r="D237" s="25" t="s">
        <v>241</v>
      </c>
      <c r="E237" s="25" t="s">
        <v>194</v>
      </c>
      <c r="F237" s="25" t="s">
        <v>138</v>
      </c>
      <c r="G237" s="26" t="s">
        <v>139</v>
      </c>
      <c r="H237" s="27" t="s">
        <v>283</v>
      </c>
      <c r="I237" s="24" t="s">
        <v>998</v>
      </c>
      <c r="J237" s="24" t="s">
        <v>107</v>
      </c>
      <c r="K237" s="28" t="s">
        <v>108</v>
      </c>
      <c r="L237" s="29">
        <v>0.03</v>
      </c>
      <c r="M237" s="29">
        <v>1.4999999999999999E-2</v>
      </c>
      <c r="N237" s="29">
        <v>0.02</v>
      </c>
      <c r="O237" s="27" t="s">
        <v>148</v>
      </c>
      <c r="P237" s="30" t="s">
        <v>241</v>
      </c>
      <c r="Q237" s="31">
        <v>969183749.40999997</v>
      </c>
      <c r="R237" s="31">
        <v>1312.08</v>
      </c>
      <c r="S237" s="32">
        <v>1.6570000000000001E-3</v>
      </c>
      <c r="T237" s="32" t="s">
        <v>139</v>
      </c>
      <c r="U237" s="32">
        <v>-3.509E-3</v>
      </c>
      <c r="V237" s="32">
        <v>2.5359E-2</v>
      </c>
      <c r="W237" s="32">
        <v>1.4184E-2</v>
      </c>
      <c r="X237" s="32">
        <v>1.5204000000000001E-2</v>
      </c>
      <c r="Y237" s="32">
        <v>-5.4316999999999997E-2</v>
      </c>
      <c r="Z237" s="32">
        <v>0.21246999999999999</v>
      </c>
      <c r="AA237" s="32">
        <v>0.425209</v>
      </c>
      <c r="AB237" s="32">
        <v>0.34464099999999998</v>
      </c>
    </row>
    <row r="238" spans="1:28" ht="15.6" customHeight="1" x14ac:dyDescent="0.25">
      <c r="A238" s="24" t="s">
        <v>437</v>
      </c>
      <c r="B238" s="50">
        <v>3810</v>
      </c>
      <c r="C238" s="25" t="s">
        <v>438</v>
      </c>
      <c r="D238" s="25" t="s">
        <v>241</v>
      </c>
      <c r="E238" s="25" t="s">
        <v>194</v>
      </c>
      <c r="F238" s="25" t="s">
        <v>113</v>
      </c>
      <c r="G238" s="26" t="s">
        <v>439</v>
      </c>
      <c r="H238" s="27" t="s">
        <v>440</v>
      </c>
      <c r="I238" s="24" t="s">
        <v>106</v>
      </c>
      <c r="J238" s="24" t="s">
        <v>121</v>
      </c>
      <c r="K238" s="28" t="s">
        <v>108</v>
      </c>
      <c r="L238" s="29">
        <v>0.03</v>
      </c>
      <c r="M238" s="29">
        <v>1.4999999999999999E-2</v>
      </c>
      <c r="N238" s="29">
        <v>0.02</v>
      </c>
      <c r="O238" s="27" t="s">
        <v>116</v>
      </c>
      <c r="P238" s="30" t="s">
        <v>241</v>
      </c>
      <c r="Q238" s="31">
        <v>3824974432.9400001</v>
      </c>
      <c r="R238" s="31">
        <v>1377.18</v>
      </c>
      <c r="S238" s="32">
        <v>8.3840000000000008E-3</v>
      </c>
      <c r="T238" s="32" t="s">
        <v>139</v>
      </c>
      <c r="U238" s="32">
        <v>1.1050000000000001E-3</v>
      </c>
      <c r="V238" s="32">
        <v>3.98E-3</v>
      </c>
      <c r="W238" s="32">
        <v>6.0410000000000004E-3</v>
      </c>
      <c r="X238" s="32">
        <v>6.6439999999999997E-3</v>
      </c>
      <c r="Y238" s="32">
        <v>7.9559999999999995E-3</v>
      </c>
      <c r="Z238" s="32">
        <v>8.8869000000000004E-2</v>
      </c>
      <c r="AA238" s="32">
        <v>0.186171</v>
      </c>
      <c r="AB238" s="32">
        <v>0.18980900000000001</v>
      </c>
    </row>
    <row r="239" spans="1:28" ht="15.6" customHeight="1" x14ac:dyDescent="0.25">
      <c r="A239" s="24" t="s">
        <v>441</v>
      </c>
      <c r="B239" s="50">
        <v>3811</v>
      </c>
      <c r="C239" s="25" t="s">
        <v>442</v>
      </c>
      <c r="D239" s="25" t="s">
        <v>241</v>
      </c>
      <c r="E239" s="25" t="s">
        <v>194</v>
      </c>
      <c r="F239" s="25" t="s">
        <v>128</v>
      </c>
      <c r="G239" s="26" t="s">
        <v>289</v>
      </c>
      <c r="H239" s="27" t="s">
        <v>130</v>
      </c>
      <c r="I239" s="24" t="s">
        <v>106</v>
      </c>
      <c r="J239" s="24" t="s">
        <v>107</v>
      </c>
      <c r="K239" s="28" t="s">
        <v>108</v>
      </c>
      <c r="L239" s="29">
        <v>0.03</v>
      </c>
      <c r="M239" s="29">
        <v>1.4999999999999999E-2</v>
      </c>
      <c r="N239" s="29">
        <v>0.02</v>
      </c>
      <c r="O239" s="27" t="s">
        <v>161</v>
      </c>
      <c r="P239" s="30" t="s">
        <v>241</v>
      </c>
      <c r="Q239" s="31">
        <v>55952153.229999997</v>
      </c>
      <c r="R239" s="31">
        <v>1213.97</v>
      </c>
      <c r="S239" s="32">
        <v>1.3889E-2</v>
      </c>
      <c r="T239" s="32" t="s">
        <v>139</v>
      </c>
      <c r="U239" s="32">
        <v>2.6400000000000002E-4</v>
      </c>
      <c r="V239" s="32">
        <v>1.7819999999999999E-3</v>
      </c>
      <c r="W239" s="32">
        <v>5.267E-3</v>
      </c>
      <c r="X239" s="32">
        <v>1.0782999999999999E-2</v>
      </c>
      <c r="Y239" s="32">
        <v>1.9869000000000001E-2</v>
      </c>
      <c r="Z239" s="32">
        <v>4.7736000000000001E-2</v>
      </c>
      <c r="AA239" s="32">
        <v>8.1526000000000001E-2</v>
      </c>
      <c r="AB239" s="32">
        <v>0.115525</v>
      </c>
    </row>
    <row r="240" spans="1:28" ht="15.6" customHeight="1" x14ac:dyDescent="0.25">
      <c r="A240" s="24" t="s">
        <v>443</v>
      </c>
      <c r="B240" s="50">
        <v>3812</v>
      </c>
      <c r="C240" s="25" t="s">
        <v>444</v>
      </c>
      <c r="D240" s="25" t="s">
        <v>241</v>
      </c>
      <c r="E240" s="25" t="s">
        <v>194</v>
      </c>
      <c r="F240" s="25" t="s">
        <v>103</v>
      </c>
      <c r="G240" s="26" t="s">
        <v>445</v>
      </c>
      <c r="H240" s="27" t="s">
        <v>446</v>
      </c>
      <c r="I240" s="24" t="s">
        <v>106</v>
      </c>
      <c r="J240" s="24" t="s">
        <v>107</v>
      </c>
      <c r="K240" s="28" t="s">
        <v>108</v>
      </c>
      <c r="L240" s="29">
        <v>0</v>
      </c>
      <c r="M240" s="29">
        <v>0</v>
      </c>
      <c r="N240" s="29">
        <v>0.02</v>
      </c>
      <c r="O240" s="27" t="s">
        <v>161</v>
      </c>
      <c r="P240" s="30" t="s">
        <v>241</v>
      </c>
      <c r="Q240" s="31">
        <v>515064710.70999998</v>
      </c>
      <c r="R240" s="31">
        <v>1176.68</v>
      </c>
      <c r="S240" s="32">
        <v>1.2276E-2</v>
      </c>
      <c r="T240" s="32" t="s">
        <v>139</v>
      </c>
      <c r="U240" s="32">
        <v>2.3000000000000001E-4</v>
      </c>
      <c r="V240" s="32">
        <v>1.668E-3</v>
      </c>
      <c r="W240" s="32">
        <v>4.2420000000000001E-3</v>
      </c>
      <c r="X240" s="32">
        <v>9.0819999999999998E-3</v>
      </c>
      <c r="Y240" s="32">
        <v>1.8814999999999998E-2</v>
      </c>
      <c r="Z240" s="32">
        <v>4.3156E-2</v>
      </c>
      <c r="AA240" s="32">
        <v>7.3672000000000001E-2</v>
      </c>
      <c r="AB240" s="32">
        <v>0.11085100000000001</v>
      </c>
    </row>
    <row r="241" spans="1:28" ht="15.6" customHeight="1" x14ac:dyDescent="0.25">
      <c r="A241" s="24" t="s">
        <v>1305</v>
      </c>
      <c r="B241" s="50">
        <v>3813</v>
      </c>
      <c r="C241" s="25" t="s">
        <v>1306</v>
      </c>
      <c r="D241" s="25" t="s">
        <v>145</v>
      </c>
      <c r="E241" s="25" t="s">
        <v>194</v>
      </c>
      <c r="F241" s="25" t="s">
        <v>138</v>
      </c>
      <c r="G241" s="26" t="s">
        <v>139</v>
      </c>
      <c r="H241" s="27" t="s">
        <v>1307</v>
      </c>
      <c r="I241" s="24" t="s">
        <v>998</v>
      </c>
      <c r="J241" s="24" t="s">
        <v>121</v>
      </c>
      <c r="K241" s="28" t="s">
        <v>108</v>
      </c>
      <c r="L241" s="29">
        <v>0.03</v>
      </c>
      <c r="M241" s="29">
        <v>0.03</v>
      </c>
      <c r="N241" s="29">
        <v>0.02</v>
      </c>
      <c r="O241" s="27" t="s">
        <v>148</v>
      </c>
      <c r="P241" s="30" t="s">
        <v>145</v>
      </c>
      <c r="Q241" s="31">
        <v>636604610.98000002</v>
      </c>
      <c r="R241" s="31">
        <v>1421.4</v>
      </c>
      <c r="S241" s="32">
        <v>2.928E-3</v>
      </c>
      <c r="T241" s="32" t="s">
        <v>139</v>
      </c>
      <c r="U241" s="32">
        <v>-2.0430000000000001E-3</v>
      </c>
      <c r="V241" s="32">
        <v>2.2037999999999999E-2</v>
      </c>
      <c r="W241" s="32">
        <v>8.7290000000000006E-3</v>
      </c>
      <c r="X241" s="32">
        <v>1.4185E-2</v>
      </c>
      <c r="Y241" s="32">
        <v>-4.052E-2</v>
      </c>
      <c r="Z241" s="32">
        <v>0.186277</v>
      </c>
      <c r="AA241" s="32">
        <v>0.36563699999999999</v>
      </c>
      <c r="AB241" s="32">
        <v>0.279387</v>
      </c>
    </row>
    <row r="242" spans="1:28" ht="15.6" customHeight="1" x14ac:dyDescent="0.25">
      <c r="A242" s="24" t="s">
        <v>447</v>
      </c>
      <c r="B242" s="50">
        <v>3814</v>
      </c>
      <c r="C242" s="25" t="s">
        <v>448</v>
      </c>
      <c r="D242" s="25" t="s">
        <v>137</v>
      </c>
      <c r="E242" s="25" t="s">
        <v>194</v>
      </c>
      <c r="F242" s="25" t="s">
        <v>138</v>
      </c>
      <c r="G242" s="26" t="s">
        <v>139</v>
      </c>
      <c r="H242" s="27" t="s">
        <v>449</v>
      </c>
      <c r="I242" s="24" t="s">
        <v>106</v>
      </c>
      <c r="J242" s="24" t="s">
        <v>107</v>
      </c>
      <c r="K242" s="28" t="s">
        <v>108</v>
      </c>
      <c r="L242" s="29">
        <v>2E-3</v>
      </c>
      <c r="M242" s="29">
        <v>1E-3</v>
      </c>
      <c r="N242" s="29">
        <v>0.02</v>
      </c>
      <c r="O242" s="27" t="s">
        <v>141</v>
      </c>
      <c r="P242" s="30" t="s">
        <v>142</v>
      </c>
      <c r="Q242" s="31">
        <v>44565811.14621</v>
      </c>
      <c r="R242" s="31">
        <v>1382.87</v>
      </c>
      <c r="S242" s="32">
        <v>1.7600000000000001E-3</v>
      </c>
      <c r="T242" s="32" t="s">
        <v>139</v>
      </c>
      <c r="U242" s="32">
        <v>-1.408E-3</v>
      </c>
      <c r="V242" s="32">
        <v>1.2669E-2</v>
      </c>
      <c r="W242" s="32">
        <v>8.7170000000000008E-3</v>
      </c>
      <c r="X242" s="32">
        <v>1.025E-2</v>
      </c>
      <c r="Y242" s="32">
        <v>-2.6155000000000001E-2</v>
      </c>
      <c r="Z242" s="32">
        <v>0.12807199999999999</v>
      </c>
      <c r="AA242" s="32">
        <v>0.21179999999999999</v>
      </c>
      <c r="AB242" s="32">
        <v>0.25688</v>
      </c>
    </row>
    <row r="243" spans="1:28" ht="15.6" customHeight="1" x14ac:dyDescent="0.25">
      <c r="A243" s="24" t="s">
        <v>450</v>
      </c>
      <c r="B243" s="50">
        <v>3815</v>
      </c>
      <c r="C243" s="25" t="s">
        <v>451</v>
      </c>
      <c r="D243" s="25" t="s">
        <v>137</v>
      </c>
      <c r="E243" s="25" t="s">
        <v>194</v>
      </c>
      <c r="F243" s="25" t="s">
        <v>155</v>
      </c>
      <c r="G243" s="26" t="s">
        <v>139</v>
      </c>
      <c r="H243" s="27" t="s">
        <v>452</v>
      </c>
      <c r="I243" s="24" t="s">
        <v>106</v>
      </c>
      <c r="J243" s="24" t="s">
        <v>107</v>
      </c>
      <c r="K243" s="28" t="s">
        <v>108</v>
      </c>
      <c r="L243" s="29">
        <v>2.5000000000000001E-3</v>
      </c>
      <c r="M243" s="29">
        <v>2.5000000000000001E-3</v>
      </c>
      <c r="N243" s="29">
        <v>0.02</v>
      </c>
      <c r="O243" s="27" t="s">
        <v>141</v>
      </c>
      <c r="P243" s="30" t="s">
        <v>142</v>
      </c>
      <c r="Q243" s="31">
        <v>41119148.258158997</v>
      </c>
      <c r="R243" s="31">
        <v>1690.55</v>
      </c>
      <c r="S243" s="32">
        <v>-2.0346E-2</v>
      </c>
      <c r="T243" s="32" t="s">
        <v>139</v>
      </c>
      <c r="U243" s="32">
        <v>-8.8409999999999999E-3</v>
      </c>
      <c r="V243" s="32">
        <v>5.6257000000000001E-2</v>
      </c>
      <c r="W243" s="32">
        <v>1.0792E-2</v>
      </c>
      <c r="X243" s="32">
        <v>8.4530000000000004E-3</v>
      </c>
      <c r="Y243" s="32">
        <v>-0.11552999999999999</v>
      </c>
      <c r="Z243" s="32">
        <v>0.26876299999999997</v>
      </c>
      <c r="AA243" s="32">
        <v>0.48726999999999998</v>
      </c>
      <c r="AB243" s="32">
        <v>0.52880300000000002</v>
      </c>
    </row>
    <row r="244" spans="1:28" ht="15.6" customHeight="1" x14ac:dyDescent="0.25">
      <c r="A244" s="24" t="s">
        <v>453</v>
      </c>
      <c r="B244" s="50">
        <v>3816</v>
      </c>
      <c r="C244" s="25" t="s">
        <v>454</v>
      </c>
      <c r="D244" s="25" t="s">
        <v>137</v>
      </c>
      <c r="E244" s="25" t="s">
        <v>194</v>
      </c>
      <c r="F244" s="25" t="s">
        <v>113</v>
      </c>
      <c r="G244" s="26" t="s">
        <v>455</v>
      </c>
      <c r="H244" s="27" t="s">
        <v>456</v>
      </c>
      <c r="I244" s="24" t="s">
        <v>106</v>
      </c>
      <c r="J244" s="24" t="s">
        <v>107</v>
      </c>
      <c r="K244" s="28" t="s">
        <v>108</v>
      </c>
      <c r="L244" s="29">
        <v>0</v>
      </c>
      <c r="M244" s="29">
        <v>0</v>
      </c>
      <c r="N244" s="29">
        <v>0.02</v>
      </c>
      <c r="O244" s="27" t="s">
        <v>141</v>
      </c>
      <c r="P244" s="30" t="s">
        <v>142</v>
      </c>
      <c r="Q244" s="31">
        <v>31677437.763648</v>
      </c>
      <c r="R244" s="31">
        <v>1178.9100000000001</v>
      </c>
      <c r="S244" s="32">
        <v>1.2650000000000001E-3</v>
      </c>
      <c r="T244" s="32" t="s">
        <v>139</v>
      </c>
      <c r="U244" s="32">
        <v>5.5199999999999997E-4</v>
      </c>
      <c r="V244" s="32">
        <v>3.7550000000000001E-3</v>
      </c>
      <c r="W244" s="32">
        <v>2.0479999999999999E-3</v>
      </c>
      <c r="X244" s="32">
        <v>5.587E-3</v>
      </c>
      <c r="Y244" s="32">
        <v>-6.7229999999999998E-3</v>
      </c>
      <c r="Z244" s="32">
        <v>5.7480000000000003E-2</v>
      </c>
      <c r="AA244" s="32">
        <v>0.107155</v>
      </c>
      <c r="AB244" s="32">
        <v>0.10804999999999999</v>
      </c>
    </row>
    <row r="245" spans="1:28" ht="15.6" customHeight="1" x14ac:dyDescent="0.25">
      <c r="A245" s="24" t="s">
        <v>457</v>
      </c>
      <c r="B245" s="50">
        <v>3817</v>
      </c>
      <c r="C245" s="25" t="s">
        <v>458</v>
      </c>
      <c r="D245" s="25" t="s">
        <v>137</v>
      </c>
      <c r="E245" s="25" t="s">
        <v>194</v>
      </c>
      <c r="F245" s="25" t="s">
        <v>113</v>
      </c>
      <c r="G245" s="26" t="s">
        <v>459</v>
      </c>
      <c r="H245" s="27" t="s">
        <v>407</v>
      </c>
      <c r="I245" s="24" t="s">
        <v>106</v>
      </c>
      <c r="J245" s="24" t="s">
        <v>107</v>
      </c>
      <c r="K245" s="28" t="s">
        <v>108</v>
      </c>
      <c r="L245" s="29">
        <v>0</v>
      </c>
      <c r="M245" s="29">
        <v>0</v>
      </c>
      <c r="N245" s="29">
        <v>0.02</v>
      </c>
      <c r="O245" s="27" t="s">
        <v>141</v>
      </c>
      <c r="P245" s="30" t="s">
        <v>142</v>
      </c>
      <c r="Q245" s="31">
        <v>102989491.066563</v>
      </c>
      <c r="R245" s="31">
        <v>1179.77</v>
      </c>
      <c r="S245" s="32">
        <v>1.5616E-2</v>
      </c>
      <c r="T245" s="32" t="s">
        <v>139</v>
      </c>
      <c r="U245" s="32">
        <v>3.48E-4</v>
      </c>
      <c r="V245" s="32">
        <v>2.1489999999999999E-3</v>
      </c>
      <c r="W245" s="32">
        <v>5.96E-3</v>
      </c>
      <c r="X245" s="32">
        <v>1.2026999999999999E-2</v>
      </c>
      <c r="Y245" s="32">
        <v>2.0253E-2</v>
      </c>
      <c r="Z245" s="32">
        <v>4.9682999999999998E-2</v>
      </c>
      <c r="AA245" s="32">
        <v>8.6513999999999994E-2</v>
      </c>
      <c r="AB245" s="32">
        <v>0.10911899999999999</v>
      </c>
    </row>
    <row r="246" spans="1:28" ht="15.6" customHeight="1" x14ac:dyDescent="0.25">
      <c r="A246" s="24" t="s">
        <v>460</v>
      </c>
      <c r="B246" s="50">
        <v>3818</v>
      </c>
      <c r="C246" s="25" t="s">
        <v>461</v>
      </c>
      <c r="D246" s="25" t="s">
        <v>137</v>
      </c>
      <c r="E246" s="25" t="s">
        <v>194</v>
      </c>
      <c r="F246" s="25" t="s">
        <v>138</v>
      </c>
      <c r="G246" s="26" t="s">
        <v>139</v>
      </c>
      <c r="H246" s="27" t="s">
        <v>462</v>
      </c>
      <c r="I246" s="24" t="s">
        <v>106</v>
      </c>
      <c r="J246" s="24" t="s">
        <v>107</v>
      </c>
      <c r="K246" s="28" t="s">
        <v>108</v>
      </c>
      <c r="L246" s="29">
        <v>2E-3</v>
      </c>
      <c r="M246" s="29">
        <v>2E-3</v>
      </c>
      <c r="N246" s="29">
        <v>0.02</v>
      </c>
      <c r="O246" s="27" t="s">
        <v>141</v>
      </c>
      <c r="P246" s="30" t="s">
        <v>142</v>
      </c>
      <c r="Q246" s="31">
        <v>15724475.453034</v>
      </c>
      <c r="R246" s="31">
        <v>1404.85</v>
      </c>
      <c r="S246" s="32">
        <v>-1.9979E-2</v>
      </c>
      <c r="T246" s="32" t="s">
        <v>139</v>
      </c>
      <c r="U246" s="32">
        <v>-3.7439999999999999E-3</v>
      </c>
      <c r="V246" s="32">
        <v>1.9432999999999999E-2</v>
      </c>
      <c r="W246" s="32">
        <v>1.1906E-2</v>
      </c>
      <c r="X246" s="32">
        <v>-1.0380000000000001E-3</v>
      </c>
      <c r="Y246" s="32">
        <v>-5.7981999999999999E-2</v>
      </c>
      <c r="Z246" s="32">
        <v>0.171294</v>
      </c>
      <c r="AA246" s="32">
        <v>0.29689599999999999</v>
      </c>
      <c r="AB246" s="32">
        <v>0.276034</v>
      </c>
    </row>
    <row r="247" spans="1:28" ht="15.6" customHeight="1" x14ac:dyDescent="0.25">
      <c r="A247" s="24" t="s">
        <v>463</v>
      </c>
      <c r="B247" s="50">
        <v>3820</v>
      </c>
      <c r="C247" s="25" t="s">
        <v>464</v>
      </c>
      <c r="D247" s="25" t="s">
        <v>241</v>
      </c>
      <c r="E247" s="25" t="s">
        <v>194</v>
      </c>
      <c r="F247" s="25" t="s">
        <v>113</v>
      </c>
      <c r="G247" s="26" t="s">
        <v>465</v>
      </c>
      <c r="H247" s="27" t="s">
        <v>115</v>
      </c>
      <c r="I247" s="24" t="s">
        <v>106</v>
      </c>
      <c r="J247" s="24" t="s">
        <v>107</v>
      </c>
      <c r="K247" s="28" t="s">
        <v>108</v>
      </c>
      <c r="L247" s="29">
        <v>0.03</v>
      </c>
      <c r="M247" s="29">
        <v>1.4999999999999999E-2</v>
      </c>
      <c r="N247" s="29">
        <v>0.02</v>
      </c>
      <c r="O247" s="27" t="s">
        <v>161</v>
      </c>
      <c r="P247" s="30" t="s">
        <v>466</v>
      </c>
      <c r="Q247" s="31">
        <v>2221946039.04</v>
      </c>
      <c r="R247" s="31">
        <v>1209.3499999999999</v>
      </c>
      <c r="S247" s="32">
        <v>-1.173E-3</v>
      </c>
      <c r="T247" s="32" t="s">
        <v>139</v>
      </c>
      <c r="U247" s="32">
        <v>3.7199999999999999E-4</v>
      </c>
      <c r="V247" s="32">
        <v>5.6210000000000001E-3</v>
      </c>
      <c r="W247" s="32">
        <v>3.094E-3</v>
      </c>
      <c r="X247" s="32">
        <v>2.745E-3</v>
      </c>
      <c r="Y247" s="32">
        <v>-8.2249999999999997E-3</v>
      </c>
      <c r="Z247" s="32">
        <v>6.7575999999999997E-2</v>
      </c>
      <c r="AA247" s="32">
        <v>0.14887300000000001</v>
      </c>
      <c r="AB247" s="32">
        <v>9.7235000000000002E-2</v>
      </c>
    </row>
    <row r="248" spans="1:28" ht="15.6" customHeight="1" x14ac:dyDescent="0.25">
      <c r="A248" s="24" t="s">
        <v>467</v>
      </c>
      <c r="B248" s="50">
        <v>3821</v>
      </c>
      <c r="C248" s="25" t="s">
        <v>468</v>
      </c>
      <c r="D248" s="25" t="s">
        <v>241</v>
      </c>
      <c r="E248" s="25" t="s">
        <v>194</v>
      </c>
      <c r="F248" s="25" t="s">
        <v>155</v>
      </c>
      <c r="G248" s="26" t="s">
        <v>139</v>
      </c>
      <c r="H248" s="27" t="s">
        <v>156</v>
      </c>
      <c r="I248" s="24" t="s">
        <v>106</v>
      </c>
      <c r="J248" s="24" t="s">
        <v>121</v>
      </c>
      <c r="K248" s="28" t="s">
        <v>108</v>
      </c>
      <c r="L248" s="29">
        <v>0</v>
      </c>
      <c r="M248" s="29">
        <v>0</v>
      </c>
      <c r="N248" s="29">
        <v>0.02</v>
      </c>
      <c r="O248" s="27" t="s">
        <v>161</v>
      </c>
      <c r="P248" s="30" t="s">
        <v>466</v>
      </c>
      <c r="Q248" s="31">
        <v>2152813245.9299998</v>
      </c>
      <c r="R248" s="31">
        <v>2132.6799999999998</v>
      </c>
      <c r="S248" s="32">
        <v>3.9409E-2</v>
      </c>
      <c r="T248" s="32" t="s">
        <v>139</v>
      </c>
      <c r="U248" s="32">
        <v>-9.3550000000000005E-3</v>
      </c>
      <c r="V248" s="32">
        <v>6.1858999999999997E-2</v>
      </c>
      <c r="W248" s="32">
        <v>3.4157E-2</v>
      </c>
      <c r="X248" s="32">
        <v>6.7700999999999997E-2</v>
      </c>
      <c r="Y248" s="32">
        <v>-5.8394000000000001E-2</v>
      </c>
      <c r="Z248" s="32">
        <v>0.45764500000000002</v>
      </c>
      <c r="AA248" s="32">
        <v>0.81086999999999998</v>
      </c>
      <c r="AB248" s="32">
        <v>0.80364199999999997</v>
      </c>
    </row>
    <row r="249" spans="1:28" ht="15.6" customHeight="1" x14ac:dyDescent="0.25">
      <c r="A249" s="24" t="s">
        <v>1308</v>
      </c>
      <c r="B249" s="50">
        <v>3822</v>
      </c>
      <c r="C249" s="25" t="s">
        <v>1309</v>
      </c>
      <c r="D249" s="25" t="s">
        <v>159</v>
      </c>
      <c r="E249" s="25" t="s">
        <v>194</v>
      </c>
      <c r="F249" s="25" t="s">
        <v>138</v>
      </c>
      <c r="G249" s="26" t="s">
        <v>139</v>
      </c>
      <c r="H249" s="27" t="s">
        <v>1310</v>
      </c>
      <c r="I249" s="24" t="s">
        <v>998</v>
      </c>
      <c r="J249" s="24" t="s">
        <v>121</v>
      </c>
      <c r="K249" s="28" t="s">
        <v>227</v>
      </c>
      <c r="L249" s="29">
        <v>0</v>
      </c>
      <c r="M249" s="29">
        <v>0</v>
      </c>
      <c r="N249" s="29">
        <v>0.02</v>
      </c>
      <c r="O249" s="27" t="s">
        <v>161</v>
      </c>
      <c r="P249" s="30" t="s">
        <v>159</v>
      </c>
      <c r="Q249" s="31">
        <v>302725808.49000001</v>
      </c>
      <c r="R249" s="31">
        <v>1519.96</v>
      </c>
      <c r="S249" s="32">
        <v>9.8729999999999998E-3</v>
      </c>
      <c r="T249" s="32" t="s">
        <v>139</v>
      </c>
      <c r="U249" s="32">
        <v>-2.63E-4</v>
      </c>
      <c r="V249" s="32">
        <v>9.2359999999999994E-3</v>
      </c>
      <c r="W249" s="32">
        <v>6.6090000000000003E-3</v>
      </c>
      <c r="X249" s="32">
        <v>9.9129999999999999E-3</v>
      </c>
      <c r="Y249" s="32">
        <v>-1.485E-3</v>
      </c>
      <c r="Z249" s="32">
        <v>0.13802700000000001</v>
      </c>
      <c r="AA249" s="32">
        <v>0.27623700000000001</v>
      </c>
      <c r="AB249" s="32">
        <v>0.26042599999999999</v>
      </c>
    </row>
    <row r="250" spans="1:28" ht="15.6" customHeight="1" x14ac:dyDescent="0.25">
      <c r="A250" s="24" t="s">
        <v>469</v>
      </c>
      <c r="B250" s="50">
        <v>3823</v>
      </c>
      <c r="C250" s="25" t="s">
        <v>470</v>
      </c>
      <c r="D250" s="25" t="s">
        <v>145</v>
      </c>
      <c r="E250" s="25" t="s">
        <v>194</v>
      </c>
      <c r="F250" s="25" t="s">
        <v>113</v>
      </c>
      <c r="G250" s="26" t="s">
        <v>439</v>
      </c>
      <c r="H250" s="27" t="s">
        <v>471</v>
      </c>
      <c r="I250" s="24" t="s">
        <v>106</v>
      </c>
      <c r="J250" s="24" t="s">
        <v>121</v>
      </c>
      <c r="K250" s="28" t="s">
        <v>108</v>
      </c>
      <c r="L250" s="29">
        <v>0.03</v>
      </c>
      <c r="M250" s="29">
        <v>0.03</v>
      </c>
      <c r="N250" s="29">
        <v>0.02</v>
      </c>
      <c r="O250" s="27" t="s">
        <v>148</v>
      </c>
      <c r="P250" s="30" t="s">
        <v>145</v>
      </c>
      <c r="Q250" s="31">
        <v>3448446059.1100001</v>
      </c>
      <c r="R250" s="31">
        <v>1325.09</v>
      </c>
      <c r="S250" s="32">
        <v>7.7039999999999999E-3</v>
      </c>
      <c r="T250" s="32" t="s">
        <v>139</v>
      </c>
      <c r="U250" s="32">
        <v>1.1410000000000001E-3</v>
      </c>
      <c r="V250" s="32">
        <v>3.9319999999999997E-3</v>
      </c>
      <c r="W250" s="32">
        <v>5.9290000000000002E-3</v>
      </c>
      <c r="X250" s="32">
        <v>4.7619999999999997E-3</v>
      </c>
      <c r="Y250" s="32">
        <v>7.0990000000000003E-3</v>
      </c>
      <c r="Z250" s="32">
        <v>8.8575000000000001E-2</v>
      </c>
      <c r="AA250" s="32">
        <v>0.18726100000000001</v>
      </c>
      <c r="AB250" s="32">
        <v>0.18468200000000001</v>
      </c>
    </row>
    <row r="251" spans="1:28" ht="15.6" customHeight="1" x14ac:dyDescent="0.25">
      <c r="A251" s="24" t="s">
        <v>1311</v>
      </c>
      <c r="B251" s="50">
        <v>3824</v>
      </c>
      <c r="C251" s="25" t="s">
        <v>1312</v>
      </c>
      <c r="D251" s="25" t="s">
        <v>145</v>
      </c>
      <c r="E251" s="25" t="s">
        <v>194</v>
      </c>
      <c r="F251" s="25" t="s">
        <v>138</v>
      </c>
      <c r="G251" s="26" t="s">
        <v>139</v>
      </c>
      <c r="H251" s="27" t="s">
        <v>1313</v>
      </c>
      <c r="I251" s="24" t="s">
        <v>998</v>
      </c>
      <c r="J251" s="24" t="s">
        <v>121</v>
      </c>
      <c r="K251" s="28" t="s">
        <v>108</v>
      </c>
      <c r="L251" s="29">
        <v>0</v>
      </c>
      <c r="M251" s="29">
        <v>0</v>
      </c>
      <c r="N251" s="29">
        <v>0.02</v>
      </c>
      <c r="O251" s="27" t="s">
        <v>148</v>
      </c>
      <c r="P251" s="30" t="s">
        <v>145</v>
      </c>
      <c r="Q251" s="31">
        <v>309166128.43000001</v>
      </c>
      <c r="R251" s="31">
        <v>1550.33</v>
      </c>
      <c r="S251" s="32">
        <v>1.6617E-2</v>
      </c>
      <c r="T251" s="32" t="s">
        <v>139</v>
      </c>
      <c r="U251" s="32">
        <v>-5.22E-4</v>
      </c>
      <c r="V251" s="32">
        <v>1.004E-2</v>
      </c>
      <c r="W251" s="32">
        <v>8.2070000000000008E-3</v>
      </c>
      <c r="X251" s="32">
        <v>1.3129E-2</v>
      </c>
      <c r="Y251" s="32">
        <v>1.201E-3</v>
      </c>
      <c r="Z251" s="32">
        <v>0.159585</v>
      </c>
      <c r="AA251" s="32">
        <v>0.29933700000000002</v>
      </c>
      <c r="AB251" s="32">
        <v>0.28330100000000003</v>
      </c>
    </row>
    <row r="252" spans="1:28" ht="15.6" customHeight="1" x14ac:dyDescent="0.25">
      <c r="A252" s="24" t="s">
        <v>472</v>
      </c>
      <c r="B252" s="50">
        <v>3825</v>
      </c>
      <c r="C252" s="25" t="s">
        <v>473</v>
      </c>
      <c r="D252" s="25" t="s">
        <v>355</v>
      </c>
      <c r="E252" s="25" t="s">
        <v>194</v>
      </c>
      <c r="F252" s="25" t="s">
        <v>138</v>
      </c>
      <c r="G252" s="26" t="s">
        <v>139</v>
      </c>
      <c r="H252" s="27" t="s">
        <v>474</v>
      </c>
      <c r="I252" s="24" t="s">
        <v>106</v>
      </c>
      <c r="J252" s="24" t="s">
        <v>107</v>
      </c>
      <c r="K252" s="28" t="s">
        <v>108</v>
      </c>
      <c r="L252" s="29">
        <v>0.03</v>
      </c>
      <c r="M252" s="29">
        <v>1.4999999999999999E-2</v>
      </c>
      <c r="N252" s="29">
        <v>0.02</v>
      </c>
      <c r="O252" s="27" t="s">
        <v>109</v>
      </c>
      <c r="P252" s="30" t="s">
        <v>475</v>
      </c>
      <c r="Q252" s="31">
        <v>1542850021.47</v>
      </c>
      <c r="R252" s="31">
        <v>1311.95</v>
      </c>
      <c r="S252" s="32">
        <v>-2.0714E-2</v>
      </c>
      <c r="T252" s="32" t="s">
        <v>139</v>
      </c>
      <c r="U252" s="32">
        <v>-4.7939999999999997E-3</v>
      </c>
      <c r="V252" s="32">
        <v>2.894E-2</v>
      </c>
      <c r="W252" s="32">
        <v>6.7679999999999997E-3</v>
      </c>
      <c r="X252" s="32">
        <v>3.143E-3</v>
      </c>
      <c r="Y252" s="32">
        <v>-8.0674999999999997E-2</v>
      </c>
      <c r="Z252" s="32">
        <v>0.142704</v>
      </c>
      <c r="AA252" s="32">
        <v>0.28128900000000001</v>
      </c>
      <c r="AB252" s="32">
        <v>0.166157</v>
      </c>
    </row>
    <row r="253" spans="1:28" ht="15.6" customHeight="1" x14ac:dyDescent="0.25">
      <c r="A253" s="24" t="s">
        <v>476</v>
      </c>
      <c r="B253" s="50">
        <v>3826</v>
      </c>
      <c r="C253" s="25" t="s">
        <v>477</v>
      </c>
      <c r="D253" s="25" t="s">
        <v>355</v>
      </c>
      <c r="E253" s="25" t="s">
        <v>194</v>
      </c>
      <c r="F253" s="25" t="s">
        <v>113</v>
      </c>
      <c r="G253" s="26" t="s">
        <v>465</v>
      </c>
      <c r="H253" s="27" t="s">
        <v>478</v>
      </c>
      <c r="I253" s="24" t="s">
        <v>106</v>
      </c>
      <c r="J253" s="24" t="s">
        <v>107</v>
      </c>
      <c r="K253" s="28" t="s">
        <v>108</v>
      </c>
      <c r="L253" s="29">
        <v>0.03</v>
      </c>
      <c r="M253" s="29">
        <v>1.4999999999999999E-2</v>
      </c>
      <c r="N253" s="29">
        <v>0.02</v>
      </c>
      <c r="O253" s="27" t="s">
        <v>109</v>
      </c>
      <c r="P253" s="30" t="s">
        <v>475</v>
      </c>
      <c r="Q253" s="31">
        <v>1531462030.0799999</v>
      </c>
      <c r="R253" s="31">
        <v>1202.17</v>
      </c>
      <c r="S253" s="32">
        <v>-4.8200000000000001E-4</v>
      </c>
      <c r="T253" s="32" t="s">
        <v>139</v>
      </c>
      <c r="U253" s="32">
        <v>1.108E-3</v>
      </c>
      <c r="V253" s="32">
        <v>6.5469999999999999E-3</v>
      </c>
      <c r="W253" s="32">
        <v>7.0029999999999997E-3</v>
      </c>
      <c r="X253" s="32">
        <v>1.9250000000000001E-3</v>
      </c>
      <c r="Y253" s="32">
        <v>-1.4663000000000001E-2</v>
      </c>
      <c r="Z253" s="32">
        <v>6.0143000000000002E-2</v>
      </c>
      <c r="AA253" s="32">
        <v>0.138214</v>
      </c>
      <c r="AB253" s="32">
        <v>8.3640999999999993E-2</v>
      </c>
    </row>
    <row r="254" spans="1:28" ht="15.6" customHeight="1" x14ac:dyDescent="0.25">
      <c r="A254" s="24" t="s">
        <v>1314</v>
      </c>
      <c r="B254" s="50">
        <v>3827</v>
      </c>
      <c r="C254" s="25" t="s">
        <v>1315</v>
      </c>
      <c r="D254" s="25" t="s">
        <v>355</v>
      </c>
      <c r="E254" s="25" t="s">
        <v>194</v>
      </c>
      <c r="F254" s="25" t="s">
        <v>138</v>
      </c>
      <c r="G254" s="26" t="s">
        <v>139</v>
      </c>
      <c r="H254" s="27" t="s">
        <v>1316</v>
      </c>
      <c r="I254" s="24" t="s">
        <v>998</v>
      </c>
      <c r="J254" s="24" t="s">
        <v>121</v>
      </c>
      <c r="K254" s="28" t="s">
        <v>227</v>
      </c>
      <c r="L254" s="29">
        <v>0</v>
      </c>
      <c r="M254" s="29">
        <v>0</v>
      </c>
      <c r="N254" s="29">
        <v>0.02</v>
      </c>
      <c r="O254" s="27" t="s">
        <v>109</v>
      </c>
      <c r="P254" s="30" t="s">
        <v>355</v>
      </c>
      <c r="Q254" s="31">
        <v>419786730.02999997</v>
      </c>
      <c r="R254" s="31">
        <v>1262.1400000000001</v>
      </c>
      <c r="S254" s="32">
        <v>-1.3275E-2</v>
      </c>
      <c r="T254" s="32" t="s">
        <v>139</v>
      </c>
      <c r="U254" s="32">
        <v>-2.7889999999999998E-3</v>
      </c>
      <c r="V254" s="32">
        <v>2.5163000000000001E-2</v>
      </c>
      <c r="W254" s="32">
        <v>2.908E-3</v>
      </c>
      <c r="X254" s="32">
        <v>3.3310000000000002E-3</v>
      </c>
      <c r="Y254" s="32">
        <v>-9.8735000000000003E-2</v>
      </c>
      <c r="Z254" s="32">
        <v>0.14688499999999999</v>
      </c>
      <c r="AA254" s="32">
        <v>0.31255699999999997</v>
      </c>
      <c r="AB254" s="32">
        <v>0.26683699999999999</v>
      </c>
    </row>
    <row r="255" spans="1:28" ht="15.6" customHeight="1" x14ac:dyDescent="0.25">
      <c r="A255" s="24" t="s">
        <v>479</v>
      </c>
      <c r="B255" s="50">
        <v>3828</v>
      </c>
      <c r="C255" s="25" t="s">
        <v>480</v>
      </c>
      <c r="D255" s="25" t="s">
        <v>355</v>
      </c>
      <c r="E255" s="25" t="s">
        <v>194</v>
      </c>
      <c r="F255" s="25" t="s">
        <v>113</v>
      </c>
      <c r="G255" s="26" t="s">
        <v>465</v>
      </c>
      <c r="H255" s="27" t="s">
        <v>309</v>
      </c>
      <c r="I255" s="24" t="s">
        <v>106</v>
      </c>
      <c r="J255" s="24" t="s">
        <v>107</v>
      </c>
      <c r="K255" s="28" t="s">
        <v>108</v>
      </c>
      <c r="L255" s="29">
        <v>0.03</v>
      </c>
      <c r="M255" s="29">
        <v>1.4999999999999999E-2</v>
      </c>
      <c r="N255" s="29">
        <v>0.02</v>
      </c>
      <c r="O255" s="27" t="s">
        <v>109</v>
      </c>
      <c r="P255" s="30" t="s">
        <v>475</v>
      </c>
      <c r="Q255" s="31">
        <v>1142746.32</v>
      </c>
      <c r="R255" s="31">
        <v>1093.54</v>
      </c>
      <c r="S255" s="32">
        <v>7.3140000000000002E-3</v>
      </c>
      <c r="T255" s="32" t="s">
        <v>139</v>
      </c>
      <c r="U255" s="32">
        <v>7.0500000000000001E-4</v>
      </c>
      <c r="V255" s="32">
        <v>2.5760000000000002E-3</v>
      </c>
      <c r="W255" s="32">
        <v>4.5189999999999996E-3</v>
      </c>
      <c r="X255" s="32">
        <v>5.0920000000000002E-3</v>
      </c>
      <c r="Y255" s="32">
        <v>5.6829999999999997E-3</v>
      </c>
      <c r="Z255" s="32">
        <v>4.4990000000000002E-2</v>
      </c>
      <c r="AA255" s="32">
        <v>9.7589999999999996E-2</v>
      </c>
      <c r="AB255" s="32">
        <v>-7.7400000000000004E-3</v>
      </c>
    </row>
    <row r="256" spans="1:28" ht="15.6" customHeight="1" x14ac:dyDescent="0.25">
      <c r="A256" s="24" t="s">
        <v>1317</v>
      </c>
      <c r="B256" s="50">
        <v>3829</v>
      </c>
      <c r="C256" s="25" t="s">
        <v>1318</v>
      </c>
      <c r="D256" s="25" t="s">
        <v>350</v>
      </c>
      <c r="E256" s="25" t="s">
        <v>194</v>
      </c>
      <c r="F256" s="25" t="s">
        <v>138</v>
      </c>
      <c r="G256" s="26" t="s">
        <v>139</v>
      </c>
      <c r="H256" s="27" t="s">
        <v>1319</v>
      </c>
      <c r="I256" s="24" t="s">
        <v>998</v>
      </c>
      <c r="J256" s="24" t="s">
        <v>107</v>
      </c>
      <c r="K256" s="28" t="s">
        <v>227</v>
      </c>
      <c r="L256" s="29">
        <v>0.03</v>
      </c>
      <c r="M256" s="29">
        <v>0.03</v>
      </c>
      <c r="N256" s="29">
        <v>0.02</v>
      </c>
      <c r="O256" s="27" t="s">
        <v>262</v>
      </c>
      <c r="P256" s="30" t="s">
        <v>350</v>
      </c>
      <c r="Q256" s="31">
        <v>604701635.87</v>
      </c>
      <c r="R256" s="31">
        <v>1202.47</v>
      </c>
      <c r="S256" s="32">
        <v>-8.7200000000000005E-4</v>
      </c>
      <c r="T256" s="32" t="s">
        <v>139</v>
      </c>
      <c r="U256" s="32">
        <v>3.0800000000000001E-4</v>
      </c>
      <c r="V256" s="32">
        <v>2.0582E-2</v>
      </c>
      <c r="W256" s="32">
        <v>7.4989999999999996E-3</v>
      </c>
      <c r="X256" s="32">
        <v>1.1712E-2</v>
      </c>
      <c r="Y256" s="32">
        <v>-4.4452999999999999E-2</v>
      </c>
      <c r="Z256" s="32">
        <v>0.13649600000000001</v>
      </c>
      <c r="AA256" s="32">
        <v>0.244729</v>
      </c>
      <c r="AB256" s="32">
        <v>0.20675399999999999</v>
      </c>
    </row>
    <row r="257" spans="1:28" ht="15.6" customHeight="1" x14ac:dyDescent="0.25">
      <c r="A257" s="24" t="s">
        <v>481</v>
      </c>
      <c r="B257" s="50">
        <v>3830</v>
      </c>
      <c r="C257" s="25" t="s">
        <v>482</v>
      </c>
      <c r="D257" s="25" t="s">
        <v>137</v>
      </c>
      <c r="E257" s="25" t="s">
        <v>194</v>
      </c>
      <c r="F257" s="25" t="s">
        <v>113</v>
      </c>
      <c r="G257" s="26" t="s">
        <v>238</v>
      </c>
      <c r="H257" s="27" t="s">
        <v>115</v>
      </c>
      <c r="I257" s="24" t="s">
        <v>106</v>
      </c>
      <c r="J257" s="24" t="s">
        <v>107</v>
      </c>
      <c r="K257" s="28" t="s">
        <v>108</v>
      </c>
      <c r="L257" s="29">
        <v>0</v>
      </c>
      <c r="M257" s="29">
        <v>0</v>
      </c>
      <c r="N257" s="29">
        <v>0.02</v>
      </c>
      <c r="O257" s="27" t="s">
        <v>141</v>
      </c>
      <c r="P257" s="30" t="s">
        <v>142</v>
      </c>
      <c r="Q257" s="31">
        <v>1596373181.272681</v>
      </c>
      <c r="R257" s="31">
        <v>1673.5</v>
      </c>
      <c r="S257" s="32">
        <v>5.3999999999999998E-5</v>
      </c>
      <c r="T257" s="32" t="s">
        <v>139</v>
      </c>
      <c r="U257" s="32">
        <v>5.3799999999999996E-4</v>
      </c>
      <c r="V257" s="32">
        <v>8.9829999999999997E-3</v>
      </c>
      <c r="W257" s="32">
        <v>4.0800000000000003E-3</v>
      </c>
      <c r="X257" s="32">
        <v>2.5639999999999999E-3</v>
      </c>
      <c r="Y257" s="32">
        <v>-7.2139999999999999E-3</v>
      </c>
      <c r="Z257" s="32">
        <v>7.5776999999999997E-2</v>
      </c>
      <c r="AA257" s="32">
        <v>0.173958</v>
      </c>
      <c r="AB257" s="32">
        <v>0.21618000000000001</v>
      </c>
    </row>
    <row r="258" spans="1:28" ht="15.6" customHeight="1" x14ac:dyDescent="0.25">
      <c r="A258" s="24" t="s">
        <v>483</v>
      </c>
      <c r="B258" s="50">
        <v>3831</v>
      </c>
      <c r="C258" s="25" t="s">
        <v>484</v>
      </c>
      <c r="D258" s="25" t="s">
        <v>137</v>
      </c>
      <c r="E258" s="25" t="s">
        <v>194</v>
      </c>
      <c r="F258" s="25" t="s">
        <v>113</v>
      </c>
      <c r="G258" s="26" t="s">
        <v>238</v>
      </c>
      <c r="H258" s="27" t="s">
        <v>115</v>
      </c>
      <c r="I258" s="24" t="s">
        <v>106</v>
      </c>
      <c r="J258" s="24" t="s">
        <v>107</v>
      </c>
      <c r="K258" s="28" t="s">
        <v>108</v>
      </c>
      <c r="L258" s="29">
        <v>0</v>
      </c>
      <c r="M258" s="29">
        <v>0</v>
      </c>
      <c r="N258" s="29">
        <v>0.02</v>
      </c>
      <c r="O258" s="27" t="s">
        <v>141</v>
      </c>
      <c r="P258" s="30" t="s">
        <v>142</v>
      </c>
      <c r="Q258" s="31">
        <v>239303836.97176301</v>
      </c>
      <c r="R258" s="31">
        <v>1494.5</v>
      </c>
      <c r="S258" s="32">
        <v>-2.7759999999999998E-3</v>
      </c>
      <c r="T258" s="32" t="s">
        <v>139</v>
      </c>
      <c r="U258" s="32">
        <v>7.6999999999999996E-4</v>
      </c>
      <c r="V258" s="32">
        <v>3.64E-3</v>
      </c>
      <c r="W258" s="32">
        <v>1.843E-3</v>
      </c>
      <c r="X258" s="32">
        <v>-4.7149999999999996E-3</v>
      </c>
      <c r="Y258" s="32">
        <v>-4.4299999999999999E-3</v>
      </c>
      <c r="Z258" s="32">
        <v>8.2665000000000002E-2</v>
      </c>
      <c r="AA258" s="32">
        <v>0.18445700000000001</v>
      </c>
      <c r="AB258" s="32">
        <v>0.116198</v>
      </c>
    </row>
    <row r="259" spans="1:28" ht="15.6" customHeight="1" x14ac:dyDescent="0.25">
      <c r="A259" s="24" t="s">
        <v>485</v>
      </c>
      <c r="B259" s="50">
        <v>3833</v>
      </c>
      <c r="C259" s="25" t="s">
        <v>486</v>
      </c>
      <c r="D259" s="25" t="s">
        <v>322</v>
      </c>
      <c r="E259" s="25" t="s">
        <v>194</v>
      </c>
      <c r="F259" s="25" t="s">
        <v>103</v>
      </c>
      <c r="G259" s="26" t="s">
        <v>487</v>
      </c>
      <c r="H259" s="27" t="s">
        <v>188</v>
      </c>
      <c r="I259" s="24" t="s">
        <v>106</v>
      </c>
      <c r="J259" s="24" t="s">
        <v>107</v>
      </c>
      <c r="K259" s="28" t="s">
        <v>108</v>
      </c>
      <c r="L259" s="29">
        <v>0.03</v>
      </c>
      <c r="M259" s="29">
        <v>1.4999999999999999E-2</v>
      </c>
      <c r="N259" s="29">
        <v>0.02</v>
      </c>
      <c r="O259" s="27" t="s">
        <v>166</v>
      </c>
      <c r="P259" s="30" t="s">
        <v>322</v>
      </c>
      <c r="Q259" s="31">
        <v>304393592.81</v>
      </c>
      <c r="R259" s="31">
        <v>119.81</v>
      </c>
      <c r="S259" s="32">
        <v>1.8360000000000001E-2</v>
      </c>
      <c r="T259" s="32" t="s">
        <v>139</v>
      </c>
      <c r="U259" s="32">
        <v>3.3399999999999999E-4</v>
      </c>
      <c r="V259" s="32">
        <v>1.923E-3</v>
      </c>
      <c r="W259" s="32">
        <v>6.8910000000000004E-3</v>
      </c>
      <c r="X259" s="32">
        <v>1.4479000000000001E-2</v>
      </c>
      <c r="Y259" s="32">
        <v>2.6474000000000001E-2</v>
      </c>
      <c r="Z259" s="32">
        <v>7.5107999999999994E-2</v>
      </c>
      <c r="AA259" s="32">
        <v>0.19142799999999999</v>
      </c>
      <c r="AB259" s="32">
        <v>0.133491</v>
      </c>
    </row>
    <row r="260" spans="1:28" ht="15.6" customHeight="1" x14ac:dyDescent="0.25">
      <c r="A260" s="24" t="s">
        <v>1320</v>
      </c>
      <c r="B260" s="50">
        <v>3834</v>
      </c>
      <c r="C260" s="25" t="s">
        <v>1321</v>
      </c>
      <c r="D260" s="25" t="s">
        <v>322</v>
      </c>
      <c r="E260" s="25" t="s">
        <v>194</v>
      </c>
      <c r="F260" s="25" t="s">
        <v>113</v>
      </c>
      <c r="G260" s="26" t="s">
        <v>1322</v>
      </c>
      <c r="H260" s="27" t="s">
        <v>115</v>
      </c>
      <c r="I260" s="24" t="s">
        <v>998</v>
      </c>
      <c r="J260" s="24" t="s">
        <v>107</v>
      </c>
      <c r="K260" s="28" t="s">
        <v>108</v>
      </c>
      <c r="L260" s="29">
        <v>0.03</v>
      </c>
      <c r="M260" s="29">
        <v>1.4999999999999999E-2</v>
      </c>
      <c r="N260" s="29">
        <v>0.02</v>
      </c>
      <c r="O260" s="27" t="s">
        <v>116</v>
      </c>
      <c r="P260" s="30" t="s">
        <v>322</v>
      </c>
      <c r="Q260" s="31">
        <v>957137.32</v>
      </c>
      <c r="R260" s="31">
        <v>128.25</v>
      </c>
      <c r="S260" s="32">
        <v>1.7179999999999999E-3</v>
      </c>
      <c r="T260" s="32" t="s">
        <v>139</v>
      </c>
      <c r="U260" s="32">
        <v>5.4600000000000004E-4</v>
      </c>
      <c r="V260" s="32">
        <v>2.3449999999999999E-3</v>
      </c>
      <c r="W260" s="32">
        <v>3.5209999999999998E-3</v>
      </c>
      <c r="X260" s="32">
        <v>8.5800000000000004E-4</v>
      </c>
      <c r="Y260" s="32">
        <v>-3.6510000000000002E-3</v>
      </c>
      <c r="Z260" s="32">
        <v>4.8908E-2</v>
      </c>
      <c r="AA260" s="32">
        <v>0.18673100000000001</v>
      </c>
      <c r="AB260" s="32">
        <v>0.20547000000000001</v>
      </c>
    </row>
    <row r="261" spans="1:28" ht="15.6" customHeight="1" x14ac:dyDescent="0.25">
      <c r="A261" s="24" t="s">
        <v>488</v>
      </c>
      <c r="B261" s="50">
        <v>3835</v>
      </c>
      <c r="C261" s="25" t="s">
        <v>489</v>
      </c>
      <c r="D261" s="25" t="s">
        <v>322</v>
      </c>
      <c r="E261" s="25" t="s">
        <v>194</v>
      </c>
      <c r="F261" s="25" t="s">
        <v>138</v>
      </c>
      <c r="G261" s="26" t="s">
        <v>139</v>
      </c>
      <c r="H261" s="27" t="s">
        <v>490</v>
      </c>
      <c r="I261" s="24" t="s">
        <v>106</v>
      </c>
      <c r="J261" s="24" t="s">
        <v>107</v>
      </c>
      <c r="K261" s="28" t="s">
        <v>108</v>
      </c>
      <c r="L261" s="29">
        <v>0.03</v>
      </c>
      <c r="M261" s="29">
        <v>1.4999999999999999E-2</v>
      </c>
      <c r="N261" s="29">
        <v>0.02</v>
      </c>
      <c r="O261" s="27" t="s">
        <v>166</v>
      </c>
      <c r="P261" s="30" t="s">
        <v>322</v>
      </c>
      <c r="Q261" s="31">
        <v>3094936469.5700002</v>
      </c>
      <c r="R261" s="31">
        <v>124.66</v>
      </c>
      <c r="S261" s="32">
        <v>-1.189E-2</v>
      </c>
      <c r="T261" s="32" t="s">
        <v>139</v>
      </c>
      <c r="U261" s="32">
        <v>-4.8690000000000001E-3</v>
      </c>
      <c r="V261" s="32">
        <v>2.9567E-2</v>
      </c>
      <c r="W261" s="32">
        <v>7.3540000000000003E-3</v>
      </c>
      <c r="X261" s="32">
        <v>1.1932999999999999E-2</v>
      </c>
      <c r="Y261" s="32">
        <v>-8.1221000000000002E-2</v>
      </c>
      <c r="Z261" s="32">
        <v>0.18149899999999999</v>
      </c>
      <c r="AA261" s="32">
        <v>0.34447800000000001</v>
      </c>
      <c r="AB261" s="32">
        <v>0.20050100000000001</v>
      </c>
    </row>
    <row r="262" spans="1:28" ht="15.6" customHeight="1" x14ac:dyDescent="0.25">
      <c r="A262" s="24" t="s">
        <v>491</v>
      </c>
      <c r="B262" s="50">
        <v>3836</v>
      </c>
      <c r="C262" s="25" t="s">
        <v>492</v>
      </c>
      <c r="D262" s="25" t="s">
        <v>145</v>
      </c>
      <c r="E262" s="25" t="s">
        <v>194</v>
      </c>
      <c r="F262" s="25" t="s">
        <v>113</v>
      </c>
      <c r="G262" s="26" t="s">
        <v>493</v>
      </c>
      <c r="H262" s="27" t="s">
        <v>115</v>
      </c>
      <c r="I262" s="24" t="s">
        <v>106</v>
      </c>
      <c r="J262" s="24" t="s">
        <v>107</v>
      </c>
      <c r="K262" s="28" t="s">
        <v>108</v>
      </c>
      <c r="L262" s="29">
        <v>0.02</v>
      </c>
      <c r="M262" s="29">
        <v>0.02</v>
      </c>
      <c r="N262" s="29">
        <v>0.01</v>
      </c>
      <c r="O262" s="27" t="s">
        <v>148</v>
      </c>
      <c r="P262" s="30" t="s">
        <v>494</v>
      </c>
      <c r="Q262" s="31">
        <v>4164736051.9200001</v>
      </c>
      <c r="R262" s="31">
        <v>1245.6300000000001</v>
      </c>
      <c r="S262" s="32">
        <v>3.0200000000000001E-3</v>
      </c>
      <c r="T262" s="32" t="s">
        <v>139</v>
      </c>
      <c r="U262" s="32">
        <v>1.1980000000000001E-3</v>
      </c>
      <c r="V262" s="32">
        <v>4.2729999999999999E-3</v>
      </c>
      <c r="W262" s="32">
        <v>4.4349999999999997E-3</v>
      </c>
      <c r="X262" s="32">
        <v>1.294E-3</v>
      </c>
      <c r="Y262" s="32">
        <v>1.45E-4</v>
      </c>
      <c r="Z262" s="32">
        <v>8.7051000000000003E-2</v>
      </c>
      <c r="AA262" s="32">
        <v>0.19198999999999999</v>
      </c>
      <c r="AB262" s="32">
        <v>0.13961200000000001</v>
      </c>
    </row>
    <row r="263" spans="1:28" ht="15.6" customHeight="1" x14ac:dyDescent="0.25">
      <c r="A263" s="24" t="s">
        <v>495</v>
      </c>
      <c r="B263" s="50">
        <v>3837</v>
      </c>
      <c r="C263" s="25" t="s">
        <v>496</v>
      </c>
      <c r="D263" s="25" t="s">
        <v>145</v>
      </c>
      <c r="E263" s="25" t="s">
        <v>194</v>
      </c>
      <c r="F263" s="25" t="s">
        <v>138</v>
      </c>
      <c r="G263" s="26" t="s">
        <v>139</v>
      </c>
      <c r="H263" s="27" t="s">
        <v>497</v>
      </c>
      <c r="I263" s="24" t="s">
        <v>106</v>
      </c>
      <c r="J263" s="24" t="s">
        <v>107</v>
      </c>
      <c r="K263" s="28" t="s">
        <v>108</v>
      </c>
      <c r="L263" s="29">
        <v>0.03</v>
      </c>
      <c r="M263" s="29">
        <v>0.03</v>
      </c>
      <c r="N263" s="29">
        <v>0.02</v>
      </c>
      <c r="O263" s="27" t="s">
        <v>148</v>
      </c>
      <c r="P263" s="30" t="s">
        <v>494</v>
      </c>
      <c r="Q263" s="31">
        <v>1292667.8500000001</v>
      </c>
      <c r="R263" s="31">
        <v>1309.69</v>
      </c>
      <c r="S263" s="32">
        <v>-1.7295000000000001E-2</v>
      </c>
      <c r="T263" s="32" t="s">
        <v>139</v>
      </c>
      <c r="U263" s="32">
        <v>2.2100000000000001E-4</v>
      </c>
      <c r="V263" s="32">
        <v>7.7409999999999996E-3</v>
      </c>
      <c r="W263" s="32">
        <v>4.2859999999999999E-3</v>
      </c>
      <c r="X263" s="32">
        <v>-7.6080000000000002E-3</v>
      </c>
      <c r="Y263" s="32">
        <v>-5.0089000000000002E-2</v>
      </c>
      <c r="Z263" s="32">
        <v>0.11436399999999999</v>
      </c>
      <c r="AA263" s="32">
        <v>0.25609300000000002</v>
      </c>
      <c r="AB263" s="32">
        <v>0.25095800000000001</v>
      </c>
    </row>
    <row r="264" spans="1:28" ht="15.6" customHeight="1" x14ac:dyDescent="0.25">
      <c r="A264" s="24" t="s">
        <v>498</v>
      </c>
      <c r="B264" s="50">
        <v>3838</v>
      </c>
      <c r="C264" s="25" t="s">
        <v>499</v>
      </c>
      <c r="D264" s="25" t="s">
        <v>145</v>
      </c>
      <c r="E264" s="25" t="s">
        <v>194</v>
      </c>
      <c r="F264" s="25" t="s">
        <v>128</v>
      </c>
      <c r="G264" s="26" t="s">
        <v>289</v>
      </c>
      <c r="H264" s="27" t="s">
        <v>373</v>
      </c>
      <c r="I264" s="24" t="s">
        <v>106</v>
      </c>
      <c r="J264" s="24" t="s">
        <v>107</v>
      </c>
      <c r="K264" s="28" t="s">
        <v>108</v>
      </c>
      <c r="L264" s="29">
        <v>0.01</v>
      </c>
      <c r="M264" s="29">
        <v>0.01</v>
      </c>
      <c r="N264" s="29">
        <v>0.01</v>
      </c>
      <c r="O264" s="27" t="s">
        <v>148</v>
      </c>
      <c r="P264" s="30" t="s">
        <v>494</v>
      </c>
      <c r="Q264" s="31">
        <v>3470205232.4499998</v>
      </c>
      <c r="R264" s="31">
        <v>1239.49</v>
      </c>
      <c r="S264" s="32">
        <v>2.1384E-2</v>
      </c>
      <c r="T264" s="32" t="s">
        <v>139</v>
      </c>
      <c r="U264" s="32">
        <v>3.39E-4</v>
      </c>
      <c r="V264" s="32">
        <v>2.313E-3</v>
      </c>
      <c r="W264" s="32">
        <v>7.3309999999999998E-3</v>
      </c>
      <c r="X264" s="32">
        <v>1.5741999999999999E-2</v>
      </c>
      <c r="Y264" s="32">
        <v>2.9648000000000001E-2</v>
      </c>
      <c r="Z264" s="32">
        <v>6.8350999999999995E-2</v>
      </c>
      <c r="AA264" s="32">
        <v>0.111022</v>
      </c>
      <c r="AB264" s="32">
        <v>0.170235</v>
      </c>
    </row>
    <row r="265" spans="1:28" ht="15.6" customHeight="1" x14ac:dyDescent="0.25">
      <c r="A265" s="24" t="s">
        <v>500</v>
      </c>
      <c r="B265" s="50">
        <v>3839</v>
      </c>
      <c r="C265" s="25" t="s">
        <v>501</v>
      </c>
      <c r="D265" s="25" t="s">
        <v>145</v>
      </c>
      <c r="E265" s="25" t="s">
        <v>194</v>
      </c>
      <c r="F265" s="25" t="s">
        <v>138</v>
      </c>
      <c r="G265" s="26" t="s">
        <v>139</v>
      </c>
      <c r="H265" s="27" t="s">
        <v>497</v>
      </c>
      <c r="I265" s="24" t="s">
        <v>106</v>
      </c>
      <c r="J265" s="24" t="s">
        <v>107</v>
      </c>
      <c r="K265" s="28" t="s">
        <v>108</v>
      </c>
      <c r="L265" s="29">
        <v>0.03</v>
      </c>
      <c r="M265" s="29">
        <v>0.03</v>
      </c>
      <c r="N265" s="29">
        <v>0.02</v>
      </c>
      <c r="O265" s="27" t="s">
        <v>148</v>
      </c>
      <c r="P265" s="30" t="s">
        <v>494</v>
      </c>
      <c r="Q265" s="31">
        <v>1122164.4099999999</v>
      </c>
      <c r="R265" s="31">
        <v>1122.1600000000001</v>
      </c>
      <c r="S265" s="32">
        <v>-1.3043000000000001E-2</v>
      </c>
      <c r="T265" s="32" t="s">
        <v>139</v>
      </c>
      <c r="U265" s="32">
        <v>9.7999999999999997E-5</v>
      </c>
      <c r="V265" s="32">
        <v>7.045E-3</v>
      </c>
      <c r="W265" s="32">
        <v>4.0439999999999999E-3</v>
      </c>
      <c r="X265" s="32">
        <v>-7.3769999999999999E-3</v>
      </c>
      <c r="Y265" s="32">
        <v>-4.6455000000000003E-2</v>
      </c>
      <c r="Z265" s="32">
        <v>5.3058000000000001E-2</v>
      </c>
      <c r="AA265" s="32">
        <v>0.10034</v>
      </c>
      <c r="AB265" s="32">
        <v>0.107366</v>
      </c>
    </row>
    <row r="266" spans="1:28" ht="15.6" customHeight="1" x14ac:dyDescent="0.25">
      <c r="A266" s="24" t="s">
        <v>1323</v>
      </c>
      <c r="B266" s="50">
        <v>3840</v>
      </c>
      <c r="C266" s="25" t="s">
        <v>1324</v>
      </c>
      <c r="D266" s="25" t="s">
        <v>504</v>
      </c>
      <c r="E266" s="25" t="s">
        <v>194</v>
      </c>
      <c r="F266" s="25" t="s">
        <v>138</v>
      </c>
      <c r="G266" s="26" t="s">
        <v>139</v>
      </c>
      <c r="H266" s="27" t="s">
        <v>577</v>
      </c>
      <c r="I266" s="24" t="s">
        <v>998</v>
      </c>
      <c r="J266" s="24" t="s">
        <v>107</v>
      </c>
      <c r="K266" s="28" t="s">
        <v>108</v>
      </c>
      <c r="L266" s="29">
        <v>0.02</v>
      </c>
      <c r="M266" s="29">
        <v>0.02</v>
      </c>
      <c r="N266" s="29">
        <v>0.02</v>
      </c>
      <c r="O266" s="27" t="s">
        <v>161</v>
      </c>
      <c r="P266" s="30" t="s">
        <v>504</v>
      </c>
      <c r="Q266" s="31">
        <v>2928060869.8800001</v>
      </c>
      <c r="R266" s="31">
        <v>1335.93</v>
      </c>
      <c r="S266" s="32">
        <v>-2.2492999999999999E-2</v>
      </c>
      <c r="T266" s="32" t="s">
        <v>139</v>
      </c>
      <c r="U266" s="32">
        <v>-4.0260000000000001E-3</v>
      </c>
      <c r="V266" s="32">
        <v>2.4447E-2</v>
      </c>
      <c r="W266" s="32">
        <v>5.2599999999999999E-3</v>
      </c>
      <c r="X266" s="32">
        <v>-7.85E-4</v>
      </c>
      <c r="Y266" s="32">
        <v>-7.9044000000000003E-2</v>
      </c>
      <c r="Z266" s="32">
        <v>0.162052</v>
      </c>
      <c r="AA266" s="32">
        <v>0.313031</v>
      </c>
      <c r="AB266" s="32">
        <v>0.25471199999999999</v>
      </c>
    </row>
    <row r="267" spans="1:28" ht="15.6" customHeight="1" x14ac:dyDescent="0.25">
      <c r="A267" s="24" t="s">
        <v>502</v>
      </c>
      <c r="B267" s="50">
        <v>3841</v>
      </c>
      <c r="C267" s="25" t="s">
        <v>503</v>
      </c>
      <c r="D267" s="25" t="s">
        <v>504</v>
      </c>
      <c r="E267" s="25" t="s">
        <v>194</v>
      </c>
      <c r="F267" s="25" t="s">
        <v>128</v>
      </c>
      <c r="G267" s="26" t="s">
        <v>289</v>
      </c>
      <c r="H267" s="27" t="s">
        <v>130</v>
      </c>
      <c r="I267" s="24" t="s">
        <v>106</v>
      </c>
      <c r="J267" s="24" t="s">
        <v>107</v>
      </c>
      <c r="K267" s="28" t="s">
        <v>108</v>
      </c>
      <c r="L267" s="29">
        <v>0.02</v>
      </c>
      <c r="M267" s="29">
        <v>0.02</v>
      </c>
      <c r="N267" s="29">
        <v>0.02</v>
      </c>
      <c r="O267" s="27" t="s">
        <v>148</v>
      </c>
      <c r="P267" s="30" t="s">
        <v>504</v>
      </c>
      <c r="Q267" s="31">
        <v>2886408300.7199998</v>
      </c>
      <c r="R267" s="31">
        <v>1191.73</v>
      </c>
      <c r="S267" s="32">
        <v>1.779E-2</v>
      </c>
      <c r="T267" s="32" t="s">
        <v>139</v>
      </c>
      <c r="U267" s="32">
        <v>4.6999999999999999E-4</v>
      </c>
      <c r="V267" s="32">
        <v>2.4139999999999999E-3</v>
      </c>
      <c r="W267" s="32">
        <v>6.6389999999999999E-3</v>
      </c>
      <c r="X267" s="32">
        <v>1.3945000000000001E-2</v>
      </c>
      <c r="Y267" s="32">
        <v>2.4500999999999998E-2</v>
      </c>
      <c r="Z267" s="32">
        <v>5.8657000000000001E-2</v>
      </c>
      <c r="AA267" s="32">
        <v>0.10220899999999999</v>
      </c>
      <c r="AB267" s="32">
        <v>0.138179</v>
      </c>
    </row>
    <row r="268" spans="1:28" ht="15.6" customHeight="1" x14ac:dyDescent="0.25">
      <c r="A268" s="24" t="s">
        <v>1325</v>
      </c>
      <c r="B268" s="50">
        <v>3842</v>
      </c>
      <c r="C268" s="25" t="s">
        <v>1326</v>
      </c>
      <c r="D268" s="25" t="s">
        <v>316</v>
      </c>
      <c r="E268" s="25" t="s">
        <v>194</v>
      </c>
      <c r="F268" s="25" t="s">
        <v>138</v>
      </c>
      <c r="G268" s="26" t="s">
        <v>139</v>
      </c>
      <c r="H268" s="27" t="s">
        <v>1327</v>
      </c>
      <c r="I268" s="24" t="s">
        <v>998</v>
      </c>
      <c r="J268" s="24" t="s">
        <v>107</v>
      </c>
      <c r="K268" s="28" t="s">
        <v>108</v>
      </c>
      <c r="L268" s="29">
        <v>0.03</v>
      </c>
      <c r="M268" s="29">
        <v>0.03</v>
      </c>
      <c r="N268" s="29">
        <v>0.02</v>
      </c>
      <c r="O268" s="27" t="s">
        <v>166</v>
      </c>
      <c r="P268" s="30" t="s">
        <v>316</v>
      </c>
      <c r="Q268" s="31">
        <v>345260152.68000001</v>
      </c>
      <c r="R268" s="31">
        <v>1189.3800000000001</v>
      </c>
      <c r="S268" s="32">
        <v>3.5950000000000001E-3</v>
      </c>
      <c r="T268" s="32" t="s">
        <v>139</v>
      </c>
      <c r="U268" s="32">
        <v>-5.0109999999999998E-3</v>
      </c>
      <c r="V268" s="32">
        <v>3.0605E-2</v>
      </c>
      <c r="W268" s="32">
        <v>1.6773E-2</v>
      </c>
      <c r="X268" s="32">
        <v>2.1777999999999999E-2</v>
      </c>
      <c r="Y268" s="32">
        <v>-6.4827999999999997E-2</v>
      </c>
      <c r="Z268" s="32">
        <v>0.195769</v>
      </c>
      <c r="AA268" s="32">
        <v>0.372367</v>
      </c>
      <c r="AB268" s="32">
        <v>0.22287000000000001</v>
      </c>
    </row>
    <row r="269" spans="1:28" ht="15.6" customHeight="1" x14ac:dyDescent="0.25">
      <c r="A269" s="24" t="s">
        <v>505</v>
      </c>
      <c r="B269" s="50">
        <v>3843</v>
      </c>
      <c r="C269" s="25" t="s">
        <v>506</v>
      </c>
      <c r="D269" s="25" t="s">
        <v>316</v>
      </c>
      <c r="E269" s="25" t="s">
        <v>194</v>
      </c>
      <c r="F269" s="25" t="s">
        <v>128</v>
      </c>
      <c r="G269" s="26" t="s">
        <v>289</v>
      </c>
      <c r="H269" s="27" t="s">
        <v>130</v>
      </c>
      <c r="I269" s="24" t="s">
        <v>106</v>
      </c>
      <c r="J269" s="24" t="s">
        <v>107</v>
      </c>
      <c r="K269" s="28" t="s">
        <v>108</v>
      </c>
      <c r="L269" s="29">
        <v>0.03</v>
      </c>
      <c r="M269" s="29">
        <v>0.03</v>
      </c>
      <c r="N269" s="29">
        <v>0.02</v>
      </c>
      <c r="O269" s="27" t="s">
        <v>161</v>
      </c>
      <c r="P269" s="30" t="s">
        <v>316</v>
      </c>
      <c r="Q269" s="31">
        <v>1497694692.4200001</v>
      </c>
      <c r="R269" s="31">
        <v>119978.75</v>
      </c>
      <c r="S269" s="32">
        <v>1.6624E-2</v>
      </c>
      <c r="T269" s="32" t="s">
        <v>139</v>
      </c>
      <c r="U269" s="32">
        <v>5.1900000000000004E-4</v>
      </c>
      <c r="V269" s="32">
        <v>2.405E-3</v>
      </c>
      <c r="W269" s="32">
        <v>5.8170000000000001E-3</v>
      </c>
      <c r="X269" s="32">
        <v>1.2307999999999999E-2</v>
      </c>
      <c r="Y269" s="32">
        <v>2.3061000000000002E-2</v>
      </c>
      <c r="Z269" s="32">
        <v>5.8900000000000001E-2</v>
      </c>
      <c r="AA269" s="32">
        <v>0.101769</v>
      </c>
      <c r="AB269" s="32">
        <v>0.14180100000000001</v>
      </c>
    </row>
    <row r="270" spans="1:28" ht="15.6" customHeight="1" x14ac:dyDescent="0.25">
      <c r="A270" s="24" t="s">
        <v>507</v>
      </c>
      <c r="B270" s="50">
        <v>3844</v>
      </c>
      <c r="C270" s="25" t="s">
        <v>508</v>
      </c>
      <c r="D270" s="25" t="s">
        <v>504</v>
      </c>
      <c r="E270" s="25" t="s">
        <v>194</v>
      </c>
      <c r="F270" s="25" t="s">
        <v>103</v>
      </c>
      <c r="G270" s="26" t="s">
        <v>216</v>
      </c>
      <c r="H270" s="27" t="s">
        <v>509</v>
      </c>
      <c r="I270" s="24" t="s">
        <v>106</v>
      </c>
      <c r="J270" s="24" t="s">
        <v>107</v>
      </c>
      <c r="K270" s="28" t="s">
        <v>108</v>
      </c>
      <c r="L270" s="29">
        <v>0.02</v>
      </c>
      <c r="M270" s="29">
        <v>0.02</v>
      </c>
      <c r="N270" s="29">
        <v>0.02</v>
      </c>
      <c r="O270" s="27" t="s">
        <v>161</v>
      </c>
      <c r="P270" s="30" t="s">
        <v>504</v>
      </c>
      <c r="Q270" s="31">
        <v>2110008715.4200001</v>
      </c>
      <c r="R270" s="31">
        <v>1174.99</v>
      </c>
      <c r="S270" s="32">
        <v>1.7651E-2</v>
      </c>
      <c r="T270" s="32" t="s">
        <v>139</v>
      </c>
      <c r="U270" s="32">
        <v>2.81E-4</v>
      </c>
      <c r="V270" s="32">
        <v>1.9949999999999998E-3</v>
      </c>
      <c r="W270" s="32">
        <v>6.2599999999999999E-3</v>
      </c>
      <c r="X270" s="32">
        <v>1.3559999999999999E-2</v>
      </c>
      <c r="Y270" s="32">
        <v>2.6318000000000001E-2</v>
      </c>
      <c r="Z270" s="32">
        <v>5.8073E-2</v>
      </c>
      <c r="AA270" s="32">
        <v>9.5143000000000005E-2</v>
      </c>
      <c r="AB270" s="32">
        <v>0.13969400000000001</v>
      </c>
    </row>
    <row r="271" spans="1:28" ht="15.6" customHeight="1" x14ac:dyDescent="0.25">
      <c r="A271" s="24" t="s">
        <v>1328</v>
      </c>
      <c r="B271" s="50">
        <v>3849</v>
      </c>
      <c r="C271" s="25" t="s">
        <v>1329</v>
      </c>
      <c r="D271" s="25" t="s">
        <v>159</v>
      </c>
      <c r="E271" s="25" t="s">
        <v>194</v>
      </c>
      <c r="F271" s="25" t="s">
        <v>113</v>
      </c>
      <c r="G271" s="26" t="s">
        <v>465</v>
      </c>
      <c r="H271" s="27" t="s">
        <v>120</v>
      </c>
      <c r="I271" s="24" t="s">
        <v>998</v>
      </c>
      <c r="J271" s="24" t="s">
        <v>107</v>
      </c>
      <c r="K271" s="28" t="s">
        <v>227</v>
      </c>
      <c r="L271" s="29">
        <v>0</v>
      </c>
      <c r="M271" s="29">
        <v>0</v>
      </c>
      <c r="N271" s="29">
        <v>0.02</v>
      </c>
      <c r="O271" s="27" t="s">
        <v>161</v>
      </c>
      <c r="P271" s="30" t="s">
        <v>513</v>
      </c>
      <c r="Q271" s="31">
        <v>2271386066.4299998</v>
      </c>
      <c r="R271" s="31">
        <v>1170.6300000000001</v>
      </c>
      <c r="S271" s="32">
        <v>4.7210000000000004E-3</v>
      </c>
      <c r="T271" s="32" t="s">
        <v>139</v>
      </c>
      <c r="U271" s="32">
        <v>1.0859999999999999E-3</v>
      </c>
      <c r="V271" s="32">
        <v>3.5149999999999999E-3</v>
      </c>
      <c r="W271" s="32">
        <v>5.0049999999999999E-3</v>
      </c>
      <c r="X271" s="32">
        <v>2.5010000000000002E-3</v>
      </c>
      <c r="Y271" s="32">
        <v>5.3160000000000004E-3</v>
      </c>
      <c r="Z271" s="32">
        <v>6.6350999999999993E-2</v>
      </c>
      <c r="AA271" s="32">
        <v>0.14871300000000001</v>
      </c>
      <c r="AB271" s="32">
        <v>0.106937</v>
      </c>
    </row>
    <row r="272" spans="1:28" ht="15.6" customHeight="1" x14ac:dyDescent="0.25">
      <c r="A272" s="24" t="s">
        <v>510</v>
      </c>
      <c r="B272" s="50">
        <v>3850</v>
      </c>
      <c r="C272" s="25" t="s">
        <v>511</v>
      </c>
      <c r="D272" s="25" t="s">
        <v>159</v>
      </c>
      <c r="E272" s="25" t="s">
        <v>194</v>
      </c>
      <c r="F272" s="25" t="s">
        <v>128</v>
      </c>
      <c r="G272" s="26" t="s">
        <v>289</v>
      </c>
      <c r="H272" s="27" t="s">
        <v>512</v>
      </c>
      <c r="I272" s="24" t="s">
        <v>106</v>
      </c>
      <c r="J272" s="24" t="s">
        <v>121</v>
      </c>
      <c r="K272" s="28" t="s">
        <v>227</v>
      </c>
      <c r="L272" s="29">
        <v>0</v>
      </c>
      <c r="M272" s="29">
        <v>0</v>
      </c>
      <c r="N272" s="29">
        <v>0.02</v>
      </c>
      <c r="O272" s="27" t="s">
        <v>161</v>
      </c>
      <c r="P272" s="30" t="s">
        <v>513</v>
      </c>
      <c r="Q272" s="31">
        <v>1205451398.3099999</v>
      </c>
      <c r="R272" s="31">
        <v>1156.6400000000001</v>
      </c>
      <c r="S272" s="32">
        <v>1.5789999999999998E-2</v>
      </c>
      <c r="T272" s="32" t="s">
        <v>139</v>
      </c>
      <c r="U272" s="32">
        <v>3.8099999999999999E-4</v>
      </c>
      <c r="V272" s="32">
        <v>2.0790000000000001E-3</v>
      </c>
      <c r="W272" s="32">
        <v>5.7650000000000002E-3</v>
      </c>
      <c r="X272" s="32">
        <v>1.2252000000000001E-2</v>
      </c>
      <c r="Y272" s="32">
        <v>2.1604000000000002E-2</v>
      </c>
      <c r="Z272" s="32">
        <v>5.0899E-2</v>
      </c>
      <c r="AA272" s="32">
        <v>8.7516999999999998E-2</v>
      </c>
      <c r="AB272" s="32">
        <v>0.124316</v>
      </c>
    </row>
    <row r="273" spans="1:28" ht="15.6" customHeight="1" x14ac:dyDescent="0.25">
      <c r="A273" s="24" t="s">
        <v>1330</v>
      </c>
      <c r="B273" s="50">
        <v>3851</v>
      </c>
      <c r="C273" s="25" t="s">
        <v>1331</v>
      </c>
      <c r="D273" s="25" t="s">
        <v>159</v>
      </c>
      <c r="E273" s="25" t="s">
        <v>194</v>
      </c>
      <c r="F273" s="25" t="s">
        <v>128</v>
      </c>
      <c r="G273" s="26" t="s">
        <v>289</v>
      </c>
      <c r="H273" s="27" t="s">
        <v>1332</v>
      </c>
      <c r="I273" s="24" t="s">
        <v>998</v>
      </c>
      <c r="J273" s="24" t="s">
        <v>107</v>
      </c>
      <c r="K273" s="28" t="s">
        <v>227</v>
      </c>
      <c r="L273" s="29">
        <v>0</v>
      </c>
      <c r="M273" s="29">
        <v>0</v>
      </c>
      <c r="N273" s="29">
        <v>0.02</v>
      </c>
      <c r="O273" s="27" t="s">
        <v>161</v>
      </c>
      <c r="P273" s="30" t="s">
        <v>513</v>
      </c>
      <c r="Q273" s="31">
        <v>1457987189.8800001</v>
      </c>
      <c r="R273" s="31">
        <v>1183.97</v>
      </c>
      <c r="S273" s="32">
        <v>2.2303E-2</v>
      </c>
      <c r="T273" s="32" t="s">
        <v>139</v>
      </c>
      <c r="U273" s="32">
        <v>4.8999999999999998E-4</v>
      </c>
      <c r="V273" s="32">
        <v>2.9480000000000001E-3</v>
      </c>
      <c r="W273" s="32">
        <v>8.2000000000000007E-3</v>
      </c>
      <c r="X273" s="32">
        <v>1.7052000000000001E-2</v>
      </c>
      <c r="Y273" s="32">
        <v>3.0974000000000002E-2</v>
      </c>
      <c r="Z273" s="32">
        <v>6.4999000000000001E-2</v>
      </c>
      <c r="AA273" s="32">
        <v>0.105543</v>
      </c>
      <c r="AB273" s="32">
        <v>0.14858199999999999</v>
      </c>
    </row>
    <row r="274" spans="1:28" ht="15.6" customHeight="1" x14ac:dyDescent="0.25">
      <c r="A274" s="24" t="s">
        <v>514</v>
      </c>
      <c r="B274" s="50">
        <v>3852</v>
      </c>
      <c r="C274" s="25" t="s">
        <v>515</v>
      </c>
      <c r="D274" s="25" t="s">
        <v>355</v>
      </c>
      <c r="E274" s="25" t="s">
        <v>194</v>
      </c>
      <c r="F274" s="25" t="s">
        <v>113</v>
      </c>
      <c r="G274" s="26" t="s">
        <v>465</v>
      </c>
      <c r="H274" s="27" t="s">
        <v>309</v>
      </c>
      <c r="I274" s="24" t="s">
        <v>106</v>
      </c>
      <c r="J274" s="24" t="s">
        <v>107</v>
      </c>
      <c r="K274" s="28" t="s">
        <v>108</v>
      </c>
      <c r="L274" s="29">
        <v>0.03</v>
      </c>
      <c r="M274" s="29">
        <v>1.4999999999999999E-2</v>
      </c>
      <c r="N274" s="29">
        <v>0.02</v>
      </c>
      <c r="O274" s="27" t="s">
        <v>262</v>
      </c>
      <c r="P274" s="30" t="s">
        <v>516</v>
      </c>
      <c r="Q274" s="31">
        <v>609099739.03999996</v>
      </c>
      <c r="R274" s="31">
        <v>1200.96</v>
      </c>
      <c r="S274" s="32">
        <v>-4.2950000000000002E-3</v>
      </c>
      <c r="T274" s="32" t="s">
        <v>139</v>
      </c>
      <c r="U274" s="32">
        <v>-9.2299999999999999E-4</v>
      </c>
      <c r="V274" s="32">
        <v>1.0250000000000001E-3</v>
      </c>
      <c r="W274" s="32">
        <v>-3.9309999999999996E-3</v>
      </c>
      <c r="X274" s="32">
        <v>-2.5500000000000002E-3</v>
      </c>
      <c r="Y274" s="32">
        <v>-7.2659999999999999E-3</v>
      </c>
      <c r="Z274" s="32">
        <v>4.5622000000000003E-2</v>
      </c>
      <c r="AA274" s="32">
        <v>0.16914699999999999</v>
      </c>
      <c r="AB274" s="32">
        <v>0.14313999999999999</v>
      </c>
    </row>
    <row r="275" spans="1:28" ht="15.6" customHeight="1" x14ac:dyDescent="0.25">
      <c r="A275" s="24" t="s">
        <v>517</v>
      </c>
      <c r="B275" s="50">
        <v>3853</v>
      </c>
      <c r="C275" s="25" t="s">
        <v>518</v>
      </c>
      <c r="D275" s="25" t="s">
        <v>355</v>
      </c>
      <c r="E275" s="25" t="s">
        <v>194</v>
      </c>
      <c r="F275" s="25" t="s">
        <v>128</v>
      </c>
      <c r="G275" s="26" t="s">
        <v>289</v>
      </c>
      <c r="H275" s="27" t="s">
        <v>130</v>
      </c>
      <c r="I275" s="24" t="s">
        <v>106</v>
      </c>
      <c r="J275" s="24" t="s">
        <v>107</v>
      </c>
      <c r="K275" s="28" t="s">
        <v>108</v>
      </c>
      <c r="L275" s="29">
        <v>0.02</v>
      </c>
      <c r="M275" s="29">
        <v>1.4999999999999999E-2</v>
      </c>
      <c r="N275" s="29">
        <v>0.02</v>
      </c>
      <c r="O275" s="27" t="s">
        <v>262</v>
      </c>
      <c r="P275" s="30" t="s">
        <v>516</v>
      </c>
      <c r="Q275" s="31">
        <v>1057951.79</v>
      </c>
      <c r="R275" s="31">
        <v>1142.5</v>
      </c>
      <c r="S275" s="32">
        <v>9.3290000000000005E-3</v>
      </c>
      <c r="T275" s="32" t="s">
        <v>139</v>
      </c>
      <c r="U275" s="32">
        <v>2.1000000000000001E-4</v>
      </c>
      <c r="V275" s="32">
        <v>1.3760000000000001E-3</v>
      </c>
      <c r="W275" s="32">
        <v>4.3870000000000003E-3</v>
      </c>
      <c r="X275" s="32">
        <v>7.5040000000000003E-3</v>
      </c>
      <c r="Y275" s="32">
        <v>1.2378999999999999E-2</v>
      </c>
      <c r="Z275" s="32">
        <v>3.3637E-2</v>
      </c>
      <c r="AA275" s="32">
        <v>6.2494000000000001E-2</v>
      </c>
      <c r="AB275" s="32">
        <v>0.111349</v>
      </c>
    </row>
    <row r="276" spans="1:28" ht="15.6" customHeight="1" x14ac:dyDescent="0.25">
      <c r="A276" s="24" t="s">
        <v>1333</v>
      </c>
      <c r="B276" s="50">
        <v>3854</v>
      </c>
      <c r="C276" s="25" t="s">
        <v>1334</v>
      </c>
      <c r="D276" s="25" t="s">
        <v>355</v>
      </c>
      <c r="E276" s="25" t="s">
        <v>194</v>
      </c>
      <c r="F276" s="25" t="s">
        <v>113</v>
      </c>
      <c r="G276" s="26" t="s">
        <v>531</v>
      </c>
      <c r="H276" s="27" t="s">
        <v>327</v>
      </c>
      <c r="I276" s="24" t="s">
        <v>998</v>
      </c>
      <c r="J276" s="24" t="s">
        <v>121</v>
      </c>
      <c r="K276" s="28" t="s">
        <v>227</v>
      </c>
      <c r="L276" s="29">
        <v>0</v>
      </c>
      <c r="M276" s="29">
        <v>0</v>
      </c>
      <c r="N276" s="29">
        <v>0.02</v>
      </c>
      <c r="O276" s="27" t="s">
        <v>161</v>
      </c>
      <c r="P276" s="30" t="s">
        <v>355</v>
      </c>
      <c r="Q276" s="31">
        <v>1023137662.37</v>
      </c>
      <c r="R276" s="31">
        <v>1181.79</v>
      </c>
      <c r="S276" s="32">
        <v>-1.115E-2</v>
      </c>
      <c r="T276" s="32" t="s">
        <v>139</v>
      </c>
      <c r="U276" s="32">
        <v>1.619E-3</v>
      </c>
      <c r="V276" s="32">
        <v>5.8729999999999997E-3</v>
      </c>
      <c r="W276" s="32">
        <v>5.1599999999999997E-4</v>
      </c>
      <c r="X276" s="32">
        <v>-5.535E-3</v>
      </c>
      <c r="Y276" s="32">
        <v>-3.0651000000000001E-2</v>
      </c>
      <c r="Z276" s="32">
        <v>0.117601</v>
      </c>
      <c r="AA276" s="32">
        <v>0.25572299999999998</v>
      </c>
      <c r="AB276" s="32">
        <v>0.19425000000000001</v>
      </c>
    </row>
    <row r="277" spans="1:28" ht="15.6" customHeight="1" x14ac:dyDescent="0.25">
      <c r="A277" s="24" t="s">
        <v>519</v>
      </c>
      <c r="B277" s="50">
        <v>3855</v>
      </c>
      <c r="C277" s="25" t="s">
        <v>520</v>
      </c>
      <c r="D277" s="25" t="s">
        <v>159</v>
      </c>
      <c r="E277" s="25" t="s">
        <v>194</v>
      </c>
      <c r="F277" s="25" t="s">
        <v>138</v>
      </c>
      <c r="G277" s="26" t="s">
        <v>139</v>
      </c>
      <c r="H277" s="27" t="s">
        <v>521</v>
      </c>
      <c r="I277" s="24" t="s">
        <v>106</v>
      </c>
      <c r="J277" s="24" t="s">
        <v>121</v>
      </c>
      <c r="K277" s="28" t="s">
        <v>227</v>
      </c>
      <c r="L277" s="29">
        <v>0</v>
      </c>
      <c r="M277" s="29">
        <v>0</v>
      </c>
      <c r="N277" s="29">
        <v>0.02</v>
      </c>
      <c r="O277" s="27" t="s">
        <v>161</v>
      </c>
      <c r="P277" s="30" t="s">
        <v>513</v>
      </c>
      <c r="Q277" s="31">
        <v>1241101105.22</v>
      </c>
      <c r="R277" s="31">
        <v>1289.58</v>
      </c>
      <c r="S277" s="32">
        <v>1.8259999999999999E-3</v>
      </c>
      <c r="T277" s="32" t="s">
        <v>139</v>
      </c>
      <c r="U277" s="32">
        <v>-2.0279999999999999E-3</v>
      </c>
      <c r="V277" s="32">
        <v>1.8874999999999999E-2</v>
      </c>
      <c r="W277" s="32">
        <v>7.437E-3</v>
      </c>
      <c r="X277" s="32">
        <v>1.2166E-2</v>
      </c>
      <c r="Y277" s="32">
        <v>-3.2993000000000001E-2</v>
      </c>
      <c r="Z277" s="32">
        <v>0.19606299999999999</v>
      </c>
      <c r="AA277" s="32">
        <v>0.387266</v>
      </c>
      <c r="AB277" s="32">
        <v>0.36240499999999998</v>
      </c>
    </row>
    <row r="278" spans="1:28" ht="15.6" customHeight="1" x14ac:dyDescent="0.25">
      <c r="A278" s="24" t="s">
        <v>1335</v>
      </c>
      <c r="B278" s="50">
        <v>3856</v>
      </c>
      <c r="C278" s="25" t="s">
        <v>1336</v>
      </c>
      <c r="D278" s="25" t="s">
        <v>241</v>
      </c>
      <c r="E278" s="25" t="s">
        <v>194</v>
      </c>
      <c r="F278" s="25" t="s">
        <v>155</v>
      </c>
      <c r="G278" s="26" t="s">
        <v>139</v>
      </c>
      <c r="H278" s="27" t="s">
        <v>156</v>
      </c>
      <c r="I278" s="24" t="s">
        <v>998</v>
      </c>
      <c r="J278" s="24" t="s">
        <v>107</v>
      </c>
      <c r="K278" s="28" t="s">
        <v>108</v>
      </c>
      <c r="L278" s="29">
        <v>0.03</v>
      </c>
      <c r="M278" s="29">
        <v>1.4999999999999999E-2</v>
      </c>
      <c r="N278" s="29">
        <v>0.02</v>
      </c>
      <c r="O278" s="27" t="s">
        <v>166</v>
      </c>
      <c r="P278" s="30" t="s">
        <v>241</v>
      </c>
      <c r="Q278" s="31">
        <v>360485414.88999999</v>
      </c>
      <c r="R278" s="31">
        <v>1982.3</v>
      </c>
      <c r="S278" s="32">
        <v>1.5975E-2</v>
      </c>
      <c r="T278" s="32" t="s">
        <v>139</v>
      </c>
      <c r="U278" s="32">
        <v>-9.3900000000000008E-3</v>
      </c>
      <c r="V278" s="32">
        <v>6.3546000000000005E-2</v>
      </c>
      <c r="W278" s="32">
        <v>1.9251000000000001E-2</v>
      </c>
      <c r="X278" s="32">
        <v>4.7295999999999998E-2</v>
      </c>
      <c r="Y278" s="32">
        <v>-8.0378000000000005E-2</v>
      </c>
      <c r="Z278" s="32">
        <v>0.40922399999999998</v>
      </c>
      <c r="AA278" s="32">
        <v>0.728051</v>
      </c>
      <c r="AB278" s="32">
        <v>0.68606800000000001</v>
      </c>
    </row>
    <row r="279" spans="1:28" ht="15.6" customHeight="1" x14ac:dyDescent="0.25">
      <c r="A279" s="24" t="s">
        <v>1337</v>
      </c>
      <c r="B279" s="50">
        <v>3857</v>
      </c>
      <c r="C279" s="25" t="s">
        <v>1338</v>
      </c>
      <c r="D279" s="25" t="s">
        <v>241</v>
      </c>
      <c r="E279" s="25" t="s">
        <v>194</v>
      </c>
      <c r="F279" s="25" t="s">
        <v>138</v>
      </c>
      <c r="G279" s="26" t="s">
        <v>139</v>
      </c>
      <c r="H279" s="27" t="s">
        <v>283</v>
      </c>
      <c r="I279" s="24" t="s">
        <v>998</v>
      </c>
      <c r="J279" s="24" t="s">
        <v>107</v>
      </c>
      <c r="K279" s="28" t="s">
        <v>108</v>
      </c>
      <c r="L279" s="29">
        <v>0.03</v>
      </c>
      <c r="M279" s="29">
        <v>1.4999999999999999E-2</v>
      </c>
      <c r="N279" s="29">
        <v>0.02</v>
      </c>
      <c r="O279" s="27" t="s">
        <v>116</v>
      </c>
      <c r="P279" s="30" t="s">
        <v>241</v>
      </c>
      <c r="Q279" s="31">
        <v>1103665474.01</v>
      </c>
      <c r="R279" s="31">
        <v>1198.08</v>
      </c>
      <c r="S279" s="32">
        <v>-1.1627999999999999E-2</v>
      </c>
      <c r="T279" s="32" t="s">
        <v>139</v>
      </c>
      <c r="U279" s="32">
        <v>-2.5309999999999998E-3</v>
      </c>
      <c r="V279" s="32">
        <v>4.1763000000000002E-2</v>
      </c>
      <c r="W279" s="32">
        <v>2.9526E-2</v>
      </c>
      <c r="X279" s="32">
        <v>1.8307E-2</v>
      </c>
      <c r="Y279" s="32">
        <v>-7.6430999999999999E-2</v>
      </c>
      <c r="Z279" s="32">
        <v>0.14799899999999999</v>
      </c>
      <c r="AA279" s="32">
        <v>0.24233199999999999</v>
      </c>
      <c r="AB279" s="32">
        <v>0.12562899999999999</v>
      </c>
    </row>
    <row r="280" spans="1:28" ht="15.6" customHeight="1" x14ac:dyDescent="0.25">
      <c r="A280" s="24" t="s">
        <v>1339</v>
      </c>
      <c r="B280" s="50">
        <v>3858</v>
      </c>
      <c r="C280" s="25" t="s">
        <v>1340</v>
      </c>
      <c r="D280" s="25" t="s">
        <v>355</v>
      </c>
      <c r="E280" s="25" t="s">
        <v>194</v>
      </c>
      <c r="F280" s="25" t="s">
        <v>138</v>
      </c>
      <c r="G280" s="26" t="s">
        <v>139</v>
      </c>
      <c r="H280" s="27" t="s">
        <v>1341</v>
      </c>
      <c r="I280" s="24" t="s">
        <v>998</v>
      </c>
      <c r="J280" s="24" t="s">
        <v>121</v>
      </c>
      <c r="K280" s="28" t="s">
        <v>227</v>
      </c>
      <c r="L280" s="29">
        <v>0</v>
      </c>
      <c r="M280" s="29">
        <v>0</v>
      </c>
      <c r="N280" s="29">
        <v>0.02</v>
      </c>
      <c r="O280" s="27" t="s">
        <v>166</v>
      </c>
      <c r="P280" s="30" t="s">
        <v>355</v>
      </c>
      <c r="Q280" s="31">
        <v>1201657988.78</v>
      </c>
      <c r="R280" s="31">
        <v>1378.23</v>
      </c>
      <c r="S280" s="32">
        <v>-1.0689000000000001E-2</v>
      </c>
      <c r="T280" s="32" t="s">
        <v>139</v>
      </c>
      <c r="U280" s="32">
        <v>-3.8240000000000001E-3</v>
      </c>
      <c r="V280" s="32">
        <v>2.8093E-2</v>
      </c>
      <c r="W280" s="32">
        <v>7.1250000000000003E-3</v>
      </c>
      <c r="X280" s="32">
        <v>-9.3600000000000003E-3</v>
      </c>
      <c r="Y280" s="32">
        <v>-6.8793999999999994E-2</v>
      </c>
      <c r="Z280" s="32">
        <v>0.15299199999999999</v>
      </c>
      <c r="AA280" s="32">
        <v>0.35115499999999999</v>
      </c>
      <c r="AB280" s="32">
        <v>0.35201199999999999</v>
      </c>
    </row>
    <row r="281" spans="1:28" ht="15.6" customHeight="1" x14ac:dyDescent="0.25">
      <c r="A281" s="24" t="s">
        <v>1342</v>
      </c>
      <c r="B281" s="50">
        <v>3859</v>
      </c>
      <c r="C281" s="25" t="s">
        <v>1343</v>
      </c>
      <c r="D281" s="25" t="s">
        <v>159</v>
      </c>
      <c r="E281" s="25" t="s">
        <v>194</v>
      </c>
      <c r="F281" s="25" t="s">
        <v>113</v>
      </c>
      <c r="G281" s="26" t="s">
        <v>1344</v>
      </c>
      <c r="H281" s="27" t="s">
        <v>115</v>
      </c>
      <c r="I281" s="24" t="s">
        <v>998</v>
      </c>
      <c r="J281" s="24" t="s">
        <v>121</v>
      </c>
      <c r="K281" s="28" t="s">
        <v>227</v>
      </c>
      <c r="L281" s="29">
        <v>0</v>
      </c>
      <c r="M281" s="29">
        <v>0</v>
      </c>
      <c r="N281" s="29">
        <v>0.02</v>
      </c>
      <c r="O281" s="27" t="s">
        <v>161</v>
      </c>
      <c r="P281" s="30" t="s">
        <v>159</v>
      </c>
      <c r="Q281" s="31">
        <v>3166657992.6199999</v>
      </c>
      <c r="R281" s="31">
        <v>1224.19</v>
      </c>
      <c r="S281" s="32">
        <v>2.12E-4</v>
      </c>
      <c r="T281" s="32" t="s">
        <v>139</v>
      </c>
      <c r="U281" s="32">
        <v>1.0139999999999999E-3</v>
      </c>
      <c r="V281" s="32">
        <v>3.813E-3</v>
      </c>
      <c r="W281" s="32">
        <v>3.4099999999999998E-3</v>
      </c>
      <c r="X281" s="32">
        <v>-2.3800000000000002E-3</v>
      </c>
      <c r="Y281" s="32">
        <v>-5.6300000000000002E-4</v>
      </c>
      <c r="Z281" s="32">
        <v>8.5344000000000003E-2</v>
      </c>
      <c r="AA281" s="32">
        <v>0.185471</v>
      </c>
      <c r="AB281" s="32">
        <v>0.17862800000000001</v>
      </c>
    </row>
    <row r="282" spans="1:28" ht="15.6" customHeight="1" x14ac:dyDescent="0.25">
      <c r="A282" s="24" t="s">
        <v>522</v>
      </c>
      <c r="B282" s="50">
        <v>3860</v>
      </c>
      <c r="C282" s="25" t="s">
        <v>523</v>
      </c>
      <c r="D282" s="25" t="s">
        <v>524</v>
      </c>
      <c r="E282" s="25" t="s">
        <v>194</v>
      </c>
      <c r="F282" s="25" t="s">
        <v>103</v>
      </c>
      <c r="G282" s="26" t="s">
        <v>392</v>
      </c>
      <c r="H282" s="27" t="s">
        <v>188</v>
      </c>
      <c r="I282" s="24" t="s">
        <v>106</v>
      </c>
      <c r="J282" s="24" t="s">
        <v>107</v>
      </c>
      <c r="K282" s="28" t="s">
        <v>108</v>
      </c>
      <c r="L282" s="29">
        <v>0</v>
      </c>
      <c r="M282" s="29">
        <v>0</v>
      </c>
      <c r="N282" s="29">
        <v>6.0000000000000001E-3</v>
      </c>
      <c r="O282" s="27" t="s">
        <v>141</v>
      </c>
      <c r="P282" s="30" t="s">
        <v>525</v>
      </c>
      <c r="Q282" s="31">
        <v>1189069363.1600001</v>
      </c>
      <c r="R282" s="31">
        <v>1166.22</v>
      </c>
      <c r="S282" s="32">
        <v>1.6278000000000001E-2</v>
      </c>
      <c r="T282" s="32" t="s">
        <v>139</v>
      </c>
      <c r="U282" s="32">
        <v>2.7399999999999999E-4</v>
      </c>
      <c r="V282" s="32">
        <v>1.89E-3</v>
      </c>
      <c r="W282" s="32">
        <v>5.6389999999999999E-3</v>
      </c>
      <c r="X282" s="32">
        <v>1.2272999999999999E-2</v>
      </c>
      <c r="Y282" s="32">
        <v>2.4563999999999999E-2</v>
      </c>
      <c r="Z282" s="32">
        <v>5.6158E-2</v>
      </c>
      <c r="AA282" s="32">
        <v>9.4147999999999996E-2</v>
      </c>
      <c r="AB282" s="32">
        <v>0.13964399999999999</v>
      </c>
    </row>
    <row r="283" spans="1:28" ht="15.6" customHeight="1" x14ac:dyDescent="0.25">
      <c r="A283" s="24" t="s">
        <v>1345</v>
      </c>
      <c r="B283" s="50">
        <v>3861</v>
      </c>
      <c r="C283" s="25" t="s">
        <v>1346</v>
      </c>
      <c r="D283" s="25" t="s">
        <v>524</v>
      </c>
      <c r="E283" s="25" t="s">
        <v>194</v>
      </c>
      <c r="F283" s="25" t="s">
        <v>113</v>
      </c>
      <c r="G283" s="26" t="s">
        <v>465</v>
      </c>
      <c r="H283" s="27" t="s">
        <v>120</v>
      </c>
      <c r="I283" s="24" t="s">
        <v>998</v>
      </c>
      <c r="J283" s="24" t="s">
        <v>107</v>
      </c>
      <c r="K283" s="28" t="s">
        <v>108</v>
      </c>
      <c r="L283" s="29">
        <v>0</v>
      </c>
      <c r="M283" s="29">
        <v>0</v>
      </c>
      <c r="N283" s="29">
        <v>0.01</v>
      </c>
      <c r="O283" s="27" t="s">
        <v>141</v>
      </c>
      <c r="P283" s="30" t="s">
        <v>525</v>
      </c>
      <c r="Q283" s="31">
        <v>190299389.27000001</v>
      </c>
      <c r="R283" s="31">
        <v>1171.04</v>
      </c>
      <c r="S283" s="32">
        <v>6.515E-3</v>
      </c>
      <c r="T283" s="32" t="s">
        <v>139</v>
      </c>
      <c r="U283" s="32">
        <v>-3.9300000000000001E-4</v>
      </c>
      <c r="V283" s="32">
        <v>7.7190000000000002E-3</v>
      </c>
      <c r="W283" s="32">
        <v>2.5249999999999999E-3</v>
      </c>
      <c r="X283" s="32">
        <v>1.0135999999999999E-2</v>
      </c>
      <c r="Y283" s="32">
        <v>-4.9119999999999997E-3</v>
      </c>
      <c r="Z283" s="32">
        <v>3.1753000000000003E-2</v>
      </c>
      <c r="AA283" s="32">
        <v>6.9609000000000004E-2</v>
      </c>
      <c r="AB283" s="32">
        <v>0.12787599999999999</v>
      </c>
    </row>
    <row r="284" spans="1:28" ht="15.6" customHeight="1" x14ac:dyDescent="0.25">
      <c r="A284" s="24" t="s">
        <v>1347</v>
      </c>
      <c r="B284" s="50">
        <v>3862</v>
      </c>
      <c r="C284" s="25" t="s">
        <v>1348</v>
      </c>
      <c r="D284" s="25" t="s">
        <v>355</v>
      </c>
      <c r="E284" s="25" t="s">
        <v>194</v>
      </c>
      <c r="F284" s="25" t="s">
        <v>113</v>
      </c>
      <c r="G284" s="26" t="s">
        <v>1349</v>
      </c>
      <c r="H284" s="27" t="s">
        <v>115</v>
      </c>
      <c r="I284" s="24" t="s">
        <v>998</v>
      </c>
      <c r="J284" s="24" t="s">
        <v>121</v>
      </c>
      <c r="K284" s="28" t="s">
        <v>108</v>
      </c>
      <c r="L284" s="29">
        <v>0</v>
      </c>
      <c r="M284" s="29">
        <v>0</v>
      </c>
      <c r="N284" s="29">
        <v>0.02</v>
      </c>
      <c r="O284" s="27" t="s">
        <v>548</v>
      </c>
      <c r="P284" s="30" t="s">
        <v>355</v>
      </c>
      <c r="Q284" s="31">
        <v>2547490196.9299998</v>
      </c>
      <c r="R284" s="31">
        <v>121239.78</v>
      </c>
      <c r="S284" s="32">
        <v>2.699E-3</v>
      </c>
      <c r="T284" s="32" t="s">
        <v>139</v>
      </c>
      <c r="U284" s="32">
        <v>3.01E-4</v>
      </c>
      <c r="V284" s="32">
        <v>7.1850000000000004E-3</v>
      </c>
      <c r="W284" s="32">
        <v>5.071E-3</v>
      </c>
      <c r="X284" s="32">
        <v>2.9099999999999998E-3</v>
      </c>
      <c r="Y284" s="32">
        <v>-9.8230000000000001E-3</v>
      </c>
      <c r="Z284" s="32">
        <v>0.10099900000000001</v>
      </c>
      <c r="AA284" s="32">
        <v>0.221329</v>
      </c>
      <c r="AB284" s="32">
        <v>0.161662</v>
      </c>
    </row>
    <row r="285" spans="1:28" ht="15.6" customHeight="1" x14ac:dyDescent="0.25">
      <c r="A285" s="24" t="s">
        <v>1350</v>
      </c>
      <c r="B285" s="50">
        <v>3863</v>
      </c>
      <c r="C285" s="25" t="s">
        <v>1351</v>
      </c>
      <c r="D285" s="25" t="s">
        <v>316</v>
      </c>
      <c r="E285" s="25" t="s">
        <v>194</v>
      </c>
      <c r="F285" s="25" t="s">
        <v>113</v>
      </c>
      <c r="G285" s="26" t="s">
        <v>1349</v>
      </c>
      <c r="H285" s="27" t="s">
        <v>115</v>
      </c>
      <c r="I285" s="24" t="s">
        <v>998</v>
      </c>
      <c r="J285" s="24" t="s">
        <v>121</v>
      </c>
      <c r="K285" s="28" t="s">
        <v>108</v>
      </c>
      <c r="L285" s="29">
        <v>0</v>
      </c>
      <c r="M285" s="29">
        <v>0</v>
      </c>
      <c r="N285" s="29">
        <v>0.02</v>
      </c>
      <c r="O285" s="27" t="s">
        <v>548</v>
      </c>
      <c r="P285" s="30" t="s">
        <v>316</v>
      </c>
      <c r="Q285" s="31">
        <v>3039371299.4099998</v>
      </c>
      <c r="R285" s="31">
        <v>1215.27</v>
      </c>
      <c r="S285" s="32">
        <v>-2.6020000000000001E-3</v>
      </c>
      <c r="T285" s="32" t="s">
        <v>139</v>
      </c>
      <c r="U285" s="32">
        <v>8.6499999999999999E-4</v>
      </c>
      <c r="V285" s="32">
        <v>7.8449999999999995E-3</v>
      </c>
      <c r="W285" s="32">
        <v>5.3189999999999999E-3</v>
      </c>
      <c r="X285" s="32">
        <v>-8.7100000000000003E-4</v>
      </c>
      <c r="Y285" s="32">
        <v>-1.3547999999999999E-2</v>
      </c>
      <c r="Z285" s="32">
        <v>9.0799000000000005E-2</v>
      </c>
      <c r="AA285" s="32">
        <v>0.20801</v>
      </c>
      <c r="AB285" s="32">
        <v>0.165492</v>
      </c>
    </row>
    <row r="286" spans="1:28" ht="15.6" customHeight="1" x14ac:dyDescent="0.25">
      <c r="A286" s="24" t="s">
        <v>1352</v>
      </c>
      <c r="B286" s="50">
        <v>3864</v>
      </c>
      <c r="C286" s="25" t="s">
        <v>1353</v>
      </c>
      <c r="D286" s="25" t="s">
        <v>504</v>
      </c>
      <c r="E286" s="25" t="s">
        <v>194</v>
      </c>
      <c r="F286" s="25" t="s">
        <v>113</v>
      </c>
      <c r="G286" s="26" t="s">
        <v>1349</v>
      </c>
      <c r="H286" s="27" t="s">
        <v>115</v>
      </c>
      <c r="I286" s="24" t="s">
        <v>998</v>
      </c>
      <c r="J286" s="24" t="s">
        <v>121</v>
      </c>
      <c r="K286" s="28" t="s">
        <v>108</v>
      </c>
      <c r="L286" s="29">
        <v>0</v>
      </c>
      <c r="M286" s="29">
        <v>0</v>
      </c>
      <c r="N286" s="29">
        <v>0.02</v>
      </c>
      <c r="O286" s="27" t="s">
        <v>548</v>
      </c>
      <c r="P286" s="30" t="s">
        <v>504</v>
      </c>
      <c r="Q286" s="31">
        <v>3024268420.27</v>
      </c>
      <c r="R286" s="31">
        <v>123087.84</v>
      </c>
      <c r="S286" s="32">
        <v>-2.4329999999999998E-3</v>
      </c>
      <c r="T286" s="32" t="s">
        <v>139</v>
      </c>
      <c r="U286" s="32">
        <v>3.6299999999999999E-4</v>
      </c>
      <c r="V286" s="32">
        <v>6.6169999999999996E-3</v>
      </c>
      <c r="W286" s="32">
        <v>3.1120000000000002E-3</v>
      </c>
      <c r="X286" s="32">
        <v>-9.6900000000000003E-4</v>
      </c>
      <c r="Y286" s="32">
        <v>-1.3169E-2</v>
      </c>
      <c r="Z286" s="32">
        <v>9.7317000000000001E-2</v>
      </c>
      <c r="AA286" s="32">
        <v>0.20580799999999999</v>
      </c>
      <c r="AB286" s="32">
        <v>0.183342</v>
      </c>
    </row>
    <row r="287" spans="1:28" ht="15.6" customHeight="1" x14ac:dyDescent="0.25">
      <c r="A287" s="24" t="s">
        <v>526</v>
      </c>
      <c r="B287" s="50">
        <v>3865</v>
      </c>
      <c r="C287" s="25" t="s">
        <v>527</v>
      </c>
      <c r="D287" s="25" t="s">
        <v>524</v>
      </c>
      <c r="E287" s="25" t="s">
        <v>194</v>
      </c>
      <c r="F287" s="25" t="s">
        <v>128</v>
      </c>
      <c r="G287" s="26" t="s">
        <v>289</v>
      </c>
      <c r="H287" s="27" t="s">
        <v>130</v>
      </c>
      <c r="I287" s="24" t="s">
        <v>106</v>
      </c>
      <c r="J287" s="24" t="s">
        <v>107</v>
      </c>
      <c r="K287" s="28" t="s">
        <v>108</v>
      </c>
      <c r="L287" s="29">
        <v>0</v>
      </c>
      <c r="M287" s="29">
        <v>0</v>
      </c>
      <c r="N287" s="29">
        <v>8.0000000000000002E-3</v>
      </c>
      <c r="O287" s="27" t="s">
        <v>262</v>
      </c>
      <c r="P287" s="30" t="s">
        <v>528</v>
      </c>
      <c r="Q287" s="31">
        <v>1140371370.9100001</v>
      </c>
      <c r="R287" s="31">
        <v>1190.01</v>
      </c>
      <c r="S287" s="32">
        <v>1.9761000000000001E-2</v>
      </c>
      <c r="T287" s="32" t="s">
        <v>139</v>
      </c>
      <c r="U287" s="32">
        <v>5.3799999999999996E-4</v>
      </c>
      <c r="V287" s="32">
        <v>2.7720000000000002E-3</v>
      </c>
      <c r="W287" s="32">
        <v>7.4590000000000004E-3</v>
      </c>
      <c r="X287" s="32">
        <v>1.5730999999999998E-2</v>
      </c>
      <c r="Y287" s="32">
        <v>2.7199000000000001E-2</v>
      </c>
      <c r="Z287" s="32">
        <v>6.8596000000000004E-2</v>
      </c>
      <c r="AA287" s="32">
        <v>0.11082</v>
      </c>
      <c r="AB287" s="32">
        <v>0.15889400000000001</v>
      </c>
    </row>
    <row r="288" spans="1:28" ht="15.6" customHeight="1" x14ac:dyDescent="0.25">
      <c r="A288" s="24" t="s">
        <v>1354</v>
      </c>
      <c r="B288" s="50">
        <v>3866</v>
      </c>
      <c r="C288" s="25" t="s">
        <v>1355</v>
      </c>
      <c r="D288" s="25" t="s">
        <v>322</v>
      </c>
      <c r="E288" s="25" t="s">
        <v>194</v>
      </c>
      <c r="F288" s="25" t="s">
        <v>113</v>
      </c>
      <c r="G288" s="26" t="s">
        <v>1349</v>
      </c>
      <c r="H288" s="27" t="s">
        <v>115</v>
      </c>
      <c r="I288" s="24" t="s">
        <v>998</v>
      </c>
      <c r="J288" s="24" t="s">
        <v>121</v>
      </c>
      <c r="K288" s="28" t="s">
        <v>108</v>
      </c>
      <c r="L288" s="29">
        <v>0</v>
      </c>
      <c r="M288" s="29">
        <v>0</v>
      </c>
      <c r="N288" s="29">
        <v>0.02</v>
      </c>
      <c r="O288" s="27" t="s">
        <v>548</v>
      </c>
      <c r="P288" s="30" t="s">
        <v>322</v>
      </c>
      <c r="Q288" s="31">
        <v>3329570722.9000001</v>
      </c>
      <c r="R288" s="31">
        <v>119.57</v>
      </c>
      <c r="S288" s="32">
        <v>-3.0019999999999999E-3</v>
      </c>
      <c r="T288" s="32" t="s">
        <v>139</v>
      </c>
      <c r="U288" s="32">
        <v>4.1800000000000002E-4</v>
      </c>
      <c r="V288" s="32">
        <v>7.9240000000000005E-3</v>
      </c>
      <c r="W288" s="32">
        <v>4.1149999999999997E-3</v>
      </c>
      <c r="X288" s="32">
        <v>9.2100000000000005E-4</v>
      </c>
      <c r="Y288" s="32">
        <v>-1.6046999999999999E-2</v>
      </c>
      <c r="Z288" s="32">
        <v>8.9376999999999998E-2</v>
      </c>
      <c r="AA288" s="32">
        <v>0.205343</v>
      </c>
      <c r="AB288" s="32">
        <v>0.146954</v>
      </c>
    </row>
    <row r="289" spans="1:28" ht="15.6" customHeight="1" x14ac:dyDescent="0.25">
      <c r="A289" s="24" t="s">
        <v>1356</v>
      </c>
      <c r="B289" s="50">
        <v>3867</v>
      </c>
      <c r="C289" s="25" t="s">
        <v>1357</v>
      </c>
      <c r="D289" s="25" t="s">
        <v>145</v>
      </c>
      <c r="E289" s="25" t="s">
        <v>194</v>
      </c>
      <c r="F289" s="25" t="s">
        <v>113</v>
      </c>
      <c r="G289" s="26" t="s">
        <v>1358</v>
      </c>
      <c r="H289" s="27" t="s">
        <v>120</v>
      </c>
      <c r="I289" s="24" t="s">
        <v>998</v>
      </c>
      <c r="J289" s="24" t="s">
        <v>121</v>
      </c>
      <c r="K289" s="28" t="s">
        <v>108</v>
      </c>
      <c r="L289" s="29">
        <v>0.02</v>
      </c>
      <c r="M289" s="29">
        <v>0.02</v>
      </c>
      <c r="N289" s="29">
        <v>0.02</v>
      </c>
      <c r="O289" s="27" t="s">
        <v>148</v>
      </c>
      <c r="P289" s="30" t="s">
        <v>145</v>
      </c>
      <c r="Q289" s="31">
        <v>11334818798.799999</v>
      </c>
      <c r="R289" s="31">
        <v>1877.94</v>
      </c>
      <c r="S289" s="32">
        <v>1.2585000000000001E-2</v>
      </c>
      <c r="T289" s="32" t="s">
        <v>139</v>
      </c>
      <c r="U289" s="32">
        <v>1.1299999999999999E-3</v>
      </c>
      <c r="V289" s="32">
        <v>3.5479999999999999E-3</v>
      </c>
      <c r="W289" s="32">
        <v>6.1879999999999999E-3</v>
      </c>
      <c r="X289" s="32">
        <v>1.0775E-2</v>
      </c>
      <c r="Y289" s="32">
        <v>1.4888999999999999E-2</v>
      </c>
      <c r="Z289" s="32">
        <v>6.1402999999999999E-2</v>
      </c>
      <c r="AA289" s="32">
        <v>0.11618000000000001</v>
      </c>
      <c r="AB289" s="32">
        <v>0.13231200000000001</v>
      </c>
    </row>
    <row r="290" spans="1:28" ht="15.6" customHeight="1" x14ac:dyDescent="0.25">
      <c r="A290" s="24" t="s">
        <v>1359</v>
      </c>
      <c r="B290" s="50">
        <v>3868</v>
      </c>
      <c r="C290" s="25" t="s">
        <v>1360</v>
      </c>
      <c r="D290" s="25" t="s">
        <v>145</v>
      </c>
      <c r="E290" s="25" t="s">
        <v>194</v>
      </c>
      <c r="F290" s="25" t="s">
        <v>113</v>
      </c>
      <c r="G290" s="26" t="s">
        <v>198</v>
      </c>
      <c r="H290" s="27" t="s">
        <v>120</v>
      </c>
      <c r="I290" s="24" t="s">
        <v>998</v>
      </c>
      <c r="J290" s="24" t="s">
        <v>121</v>
      </c>
      <c r="K290" s="28" t="s">
        <v>108</v>
      </c>
      <c r="L290" s="29">
        <v>0.02</v>
      </c>
      <c r="M290" s="29">
        <v>0.02</v>
      </c>
      <c r="N290" s="29">
        <v>0.02</v>
      </c>
      <c r="O290" s="27" t="s">
        <v>148</v>
      </c>
      <c r="P290" s="30" t="s">
        <v>145</v>
      </c>
      <c r="Q290" s="31">
        <v>1169539521.5</v>
      </c>
      <c r="R290" s="31">
        <v>29.48</v>
      </c>
      <c r="S290" s="32">
        <v>1.1320999999999999E-2</v>
      </c>
      <c r="T290" s="32" t="s">
        <v>139</v>
      </c>
      <c r="U290" s="32">
        <v>3.39E-4</v>
      </c>
      <c r="V290" s="32">
        <v>3.0620000000000001E-3</v>
      </c>
      <c r="W290" s="32">
        <v>5.457E-3</v>
      </c>
      <c r="X290" s="32">
        <v>7.8630000000000002E-3</v>
      </c>
      <c r="Y290" s="32">
        <v>1.6201E-2</v>
      </c>
      <c r="Z290" s="32">
        <v>6.7343E-2</v>
      </c>
      <c r="AA290" s="32">
        <v>0.124762</v>
      </c>
      <c r="AB290" s="32">
        <v>0.14219300000000001</v>
      </c>
    </row>
    <row r="291" spans="1:28" ht="15.6" customHeight="1" x14ac:dyDescent="0.25">
      <c r="A291" s="24" t="s">
        <v>1361</v>
      </c>
      <c r="B291" s="50">
        <v>3869</v>
      </c>
      <c r="C291" s="25" t="s">
        <v>1362</v>
      </c>
      <c r="D291" s="25" t="s">
        <v>145</v>
      </c>
      <c r="E291" s="25" t="s">
        <v>194</v>
      </c>
      <c r="F291" s="25" t="s">
        <v>113</v>
      </c>
      <c r="G291" s="26" t="s">
        <v>198</v>
      </c>
      <c r="H291" s="27" t="s">
        <v>120</v>
      </c>
      <c r="I291" s="24" t="s">
        <v>998</v>
      </c>
      <c r="J291" s="24" t="s">
        <v>121</v>
      </c>
      <c r="K291" s="28" t="s">
        <v>108</v>
      </c>
      <c r="L291" s="29">
        <v>0.02</v>
      </c>
      <c r="M291" s="29">
        <v>0.02</v>
      </c>
      <c r="N291" s="29">
        <v>0.02</v>
      </c>
      <c r="O291" s="27" t="s">
        <v>148</v>
      </c>
      <c r="P291" s="30" t="s">
        <v>145</v>
      </c>
      <c r="Q291" s="31">
        <v>1649189340.6900001</v>
      </c>
      <c r="R291" s="31">
        <v>1603.22</v>
      </c>
      <c r="S291" s="32">
        <v>1.0697999999999999E-2</v>
      </c>
      <c r="T291" s="32" t="s">
        <v>139</v>
      </c>
      <c r="U291" s="32">
        <v>7.0500000000000001E-4</v>
      </c>
      <c r="V291" s="32">
        <v>3.6120000000000002E-3</v>
      </c>
      <c r="W291" s="32">
        <v>5.2989999999999999E-3</v>
      </c>
      <c r="X291" s="32">
        <v>7.757E-3</v>
      </c>
      <c r="Y291" s="32">
        <v>1.6265999999999999E-2</v>
      </c>
      <c r="Z291" s="32">
        <v>6.7752999999999994E-2</v>
      </c>
      <c r="AA291" s="32">
        <v>0.12399399999999999</v>
      </c>
      <c r="AB291" s="32">
        <v>0.12707599999999999</v>
      </c>
    </row>
    <row r="292" spans="1:28" ht="15.6" customHeight="1" x14ac:dyDescent="0.25">
      <c r="A292" s="24" t="s">
        <v>1363</v>
      </c>
      <c r="B292" s="50">
        <v>3870</v>
      </c>
      <c r="C292" s="25" t="s">
        <v>1364</v>
      </c>
      <c r="D292" s="25" t="s">
        <v>101</v>
      </c>
      <c r="E292" s="25" t="s">
        <v>194</v>
      </c>
      <c r="F292" s="25" t="s">
        <v>138</v>
      </c>
      <c r="G292" s="26" t="s">
        <v>139</v>
      </c>
      <c r="H292" s="27" t="s">
        <v>139</v>
      </c>
      <c r="I292" s="24" t="s">
        <v>998</v>
      </c>
      <c r="J292" s="24" t="s">
        <v>121</v>
      </c>
      <c r="K292" s="28" t="s">
        <v>108</v>
      </c>
      <c r="L292" s="29">
        <v>0</v>
      </c>
      <c r="M292" s="29">
        <v>0</v>
      </c>
      <c r="N292" s="29">
        <v>0.02</v>
      </c>
      <c r="O292" s="27" t="s">
        <v>109</v>
      </c>
      <c r="P292" s="30" t="s">
        <v>101</v>
      </c>
      <c r="Q292" s="31">
        <v>74665705.439999998</v>
      </c>
      <c r="R292" s="31">
        <v>612013.98</v>
      </c>
      <c r="S292" s="32">
        <v>-1.2253999999999999E-2</v>
      </c>
      <c r="T292" s="32" t="s">
        <v>139</v>
      </c>
      <c r="U292" s="32">
        <v>-1.5740000000000001E-3</v>
      </c>
      <c r="V292" s="32">
        <v>1.4733E-2</v>
      </c>
      <c r="W292" s="32">
        <v>1.1756000000000001E-2</v>
      </c>
      <c r="X292" s="32">
        <v>1.8500000000000001E-3</v>
      </c>
      <c r="Y292" s="32">
        <v>-3.7525000000000003E-2</v>
      </c>
      <c r="Z292" s="32">
        <v>9.0204000000000006E-2</v>
      </c>
      <c r="AA292" s="32">
        <v>0.204013</v>
      </c>
      <c r="AB292" s="32">
        <v>0.22028200000000001</v>
      </c>
    </row>
    <row r="293" spans="1:28" ht="15.6" customHeight="1" x14ac:dyDescent="0.25">
      <c r="A293" s="24" t="s">
        <v>1365</v>
      </c>
      <c r="B293" s="50">
        <v>3871</v>
      </c>
      <c r="C293" s="25" t="s">
        <v>1366</v>
      </c>
      <c r="D293" s="25" t="s">
        <v>350</v>
      </c>
      <c r="E293" s="25" t="s">
        <v>194</v>
      </c>
      <c r="F293" s="25" t="s">
        <v>113</v>
      </c>
      <c r="G293" s="26" t="s">
        <v>406</v>
      </c>
      <c r="H293" s="27" t="s">
        <v>839</v>
      </c>
      <c r="I293" s="24" t="s">
        <v>998</v>
      </c>
      <c r="J293" s="24" t="s">
        <v>107</v>
      </c>
      <c r="K293" s="28" t="s">
        <v>108</v>
      </c>
      <c r="L293" s="29">
        <v>0.03</v>
      </c>
      <c r="M293" s="29">
        <v>0.03</v>
      </c>
      <c r="N293" s="29">
        <v>0.02</v>
      </c>
      <c r="O293" s="27" t="s">
        <v>148</v>
      </c>
      <c r="P293" s="30" t="s">
        <v>350</v>
      </c>
      <c r="Q293" s="31">
        <v>93026753.329999998</v>
      </c>
      <c r="R293" s="31">
        <v>147.87</v>
      </c>
      <c r="S293" s="32">
        <v>4.8250000000000003E-3</v>
      </c>
      <c r="T293" s="32" t="s">
        <v>139</v>
      </c>
      <c r="U293" s="32">
        <v>4.06E-4</v>
      </c>
      <c r="V293" s="32">
        <v>3.7330000000000002E-3</v>
      </c>
      <c r="W293" s="32">
        <v>4.8250000000000003E-3</v>
      </c>
      <c r="X293" s="32">
        <v>5.1659999999999996E-3</v>
      </c>
      <c r="Y293" s="32">
        <v>8.3879999999999996E-3</v>
      </c>
      <c r="Z293" s="32">
        <v>0.15065000000000001</v>
      </c>
      <c r="AA293" s="32">
        <v>0.226628</v>
      </c>
      <c r="AB293" s="32">
        <v>0.19067600000000001</v>
      </c>
    </row>
    <row r="294" spans="1:28" ht="15.6" customHeight="1" x14ac:dyDescent="0.25">
      <c r="A294" s="24" t="s">
        <v>1367</v>
      </c>
      <c r="B294" s="50">
        <v>3872</v>
      </c>
      <c r="C294" s="25" t="s">
        <v>1368</v>
      </c>
      <c r="D294" s="25" t="s">
        <v>127</v>
      </c>
      <c r="E294" s="25" t="s">
        <v>194</v>
      </c>
      <c r="F294" s="25" t="s">
        <v>155</v>
      </c>
      <c r="G294" s="26" t="s">
        <v>139</v>
      </c>
      <c r="H294" s="27" t="s">
        <v>1218</v>
      </c>
      <c r="I294" s="24" t="s">
        <v>998</v>
      </c>
      <c r="J294" s="24" t="s">
        <v>121</v>
      </c>
      <c r="K294" s="28" t="s">
        <v>227</v>
      </c>
      <c r="L294" s="29">
        <v>0.03</v>
      </c>
      <c r="M294" s="29">
        <v>0.02</v>
      </c>
      <c r="N294" s="29">
        <v>0.02</v>
      </c>
      <c r="O294" s="27" t="s">
        <v>131</v>
      </c>
      <c r="P294" s="30" t="s">
        <v>131</v>
      </c>
      <c r="Q294" s="31">
        <v>624294920.41999996</v>
      </c>
      <c r="R294" s="31">
        <v>1979.06</v>
      </c>
      <c r="S294" s="32">
        <v>1.8364999999999999E-2</v>
      </c>
      <c r="T294" s="32" t="s">
        <v>139</v>
      </c>
      <c r="U294" s="32">
        <v>-1.0515E-2</v>
      </c>
      <c r="V294" s="32">
        <v>6.0101000000000002E-2</v>
      </c>
      <c r="W294" s="32">
        <v>1.3332999999999999E-2</v>
      </c>
      <c r="X294" s="32">
        <v>5.1153999999999998E-2</v>
      </c>
      <c r="Y294" s="32">
        <v>-9.1398999999999994E-2</v>
      </c>
      <c r="Z294" s="32">
        <v>0.34024500000000002</v>
      </c>
      <c r="AA294" s="32">
        <v>0.67003599999999996</v>
      </c>
      <c r="AB294" s="32">
        <v>0.61010500000000001</v>
      </c>
    </row>
    <row r="295" spans="1:28" ht="15.6" customHeight="1" x14ac:dyDescent="0.25">
      <c r="A295" s="24" t="s">
        <v>529</v>
      </c>
      <c r="B295" s="50">
        <v>3873</v>
      </c>
      <c r="C295" s="25" t="s">
        <v>530</v>
      </c>
      <c r="D295" s="25" t="s">
        <v>127</v>
      </c>
      <c r="E295" s="25" t="s">
        <v>194</v>
      </c>
      <c r="F295" s="25" t="s">
        <v>113</v>
      </c>
      <c r="G295" s="26" t="s">
        <v>531</v>
      </c>
      <c r="H295" s="27" t="s">
        <v>309</v>
      </c>
      <c r="I295" s="24" t="s">
        <v>106</v>
      </c>
      <c r="J295" s="24" t="s">
        <v>121</v>
      </c>
      <c r="K295" s="28" t="s">
        <v>108</v>
      </c>
      <c r="L295" s="29">
        <v>0.03</v>
      </c>
      <c r="M295" s="29">
        <v>0.02</v>
      </c>
      <c r="N295" s="29">
        <v>0.02</v>
      </c>
      <c r="O295" s="27" t="s">
        <v>131</v>
      </c>
      <c r="P295" s="30" t="s">
        <v>131</v>
      </c>
      <c r="Q295" s="31">
        <v>2086568796.5</v>
      </c>
      <c r="R295" s="31">
        <v>1248.0899999999999</v>
      </c>
      <c r="S295" s="32">
        <v>8.0529999999999994E-3</v>
      </c>
      <c r="T295" s="32" t="s">
        <v>139</v>
      </c>
      <c r="U295" s="32">
        <v>1.067E-3</v>
      </c>
      <c r="V295" s="32">
        <v>4.1920000000000004E-3</v>
      </c>
      <c r="W295" s="32">
        <v>6.2560000000000003E-3</v>
      </c>
      <c r="X295" s="32">
        <v>6.8250000000000003E-3</v>
      </c>
      <c r="Y295" s="32">
        <v>9.8469999999999999E-3</v>
      </c>
      <c r="Z295" s="32">
        <v>8.6088999999999999E-2</v>
      </c>
      <c r="AA295" s="32">
        <v>0.18204899999999999</v>
      </c>
      <c r="AB295" s="32">
        <v>0.186025</v>
      </c>
    </row>
    <row r="296" spans="1:28" ht="15.6" customHeight="1" x14ac:dyDescent="0.25">
      <c r="A296" s="24" t="s">
        <v>532</v>
      </c>
      <c r="B296" s="50">
        <v>3875</v>
      </c>
      <c r="C296" s="25" t="s">
        <v>533</v>
      </c>
      <c r="D296" s="25" t="s">
        <v>241</v>
      </c>
      <c r="E296" s="25" t="s">
        <v>194</v>
      </c>
      <c r="F296" s="25" t="s">
        <v>128</v>
      </c>
      <c r="G296" s="26" t="s">
        <v>289</v>
      </c>
      <c r="H296" s="27" t="s">
        <v>130</v>
      </c>
      <c r="I296" s="24" t="s">
        <v>106</v>
      </c>
      <c r="J296" s="24" t="s">
        <v>107</v>
      </c>
      <c r="K296" s="28" t="s">
        <v>108</v>
      </c>
      <c r="L296" s="29">
        <v>0.03</v>
      </c>
      <c r="M296" s="29">
        <v>1.4999999999999999E-2</v>
      </c>
      <c r="N296" s="29">
        <v>0.02</v>
      </c>
      <c r="O296" s="27" t="s">
        <v>166</v>
      </c>
      <c r="P296" s="30" t="s">
        <v>534</v>
      </c>
      <c r="Q296" s="31">
        <v>3311011017.0100002</v>
      </c>
      <c r="R296" s="31">
        <v>1170.69</v>
      </c>
      <c r="S296" s="32">
        <v>1.9099000000000001E-2</v>
      </c>
      <c r="T296" s="32" t="s">
        <v>139</v>
      </c>
      <c r="U296" s="32">
        <v>4.2700000000000002E-4</v>
      </c>
      <c r="V296" s="32">
        <v>2.4659999999999999E-3</v>
      </c>
      <c r="W296" s="32">
        <v>7.1840000000000003E-3</v>
      </c>
      <c r="X296" s="32">
        <v>1.4832E-2</v>
      </c>
      <c r="Y296" s="32">
        <v>2.7236E-2</v>
      </c>
      <c r="Z296" s="32">
        <v>6.3529000000000002E-2</v>
      </c>
      <c r="AA296" s="32">
        <v>0.10703500000000001</v>
      </c>
      <c r="AB296" s="32">
        <v>0.14194699999999999</v>
      </c>
    </row>
    <row r="297" spans="1:28" ht="15.6" customHeight="1" x14ac:dyDescent="0.25">
      <c r="A297" s="24" t="s">
        <v>535</v>
      </c>
      <c r="B297" s="50">
        <v>3876</v>
      </c>
      <c r="C297" s="25" t="s">
        <v>536</v>
      </c>
      <c r="D297" s="25" t="s">
        <v>241</v>
      </c>
      <c r="E297" s="25" t="s">
        <v>194</v>
      </c>
      <c r="F297" s="25" t="s">
        <v>103</v>
      </c>
      <c r="G297" s="26" t="s">
        <v>244</v>
      </c>
      <c r="H297" s="27" t="s">
        <v>188</v>
      </c>
      <c r="I297" s="24" t="s">
        <v>106</v>
      </c>
      <c r="J297" s="24" t="s">
        <v>107</v>
      </c>
      <c r="K297" s="28" t="s">
        <v>108</v>
      </c>
      <c r="L297" s="29">
        <v>0.03</v>
      </c>
      <c r="M297" s="29">
        <v>1.4999999999999999E-2</v>
      </c>
      <c r="N297" s="29">
        <v>0.02</v>
      </c>
      <c r="O297" s="27" t="s">
        <v>116</v>
      </c>
      <c r="P297" s="30" t="s">
        <v>534</v>
      </c>
      <c r="Q297" s="31">
        <v>1797961484.6700001</v>
      </c>
      <c r="R297" s="31">
        <v>1155.74</v>
      </c>
      <c r="S297" s="32">
        <v>1.6910999999999999E-2</v>
      </c>
      <c r="T297" s="32" t="s">
        <v>139</v>
      </c>
      <c r="U297" s="32">
        <v>2.7700000000000001E-4</v>
      </c>
      <c r="V297" s="32">
        <v>1.9940000000000001E-3</v>
      </c>
      <c r="W297" s="32">
        <v>5.8830000000000002E-3</v>
      </c>
      <c r="X297" s="32">
        <v>1.243E-2</v>
      </c>
      <c r="Y297" s="32">
        <v>2.5902000000000001E-2</v>
      </c>
      <c r="Z297" s="32">
        <v>5.7952999999999998E-2</v>
      </c>
      <c r="AA297" s="32">
        <v>9.6361000000000002E-2</v>
      </c>
      <c r="AB297" s="32">
        <v>0.142623</v>
      </c>
    </row>
    <row r="298" spans="1:28" ht="15.6" customHeight="1" x14ac:dyDescent="0.25">
      <c r="A298" s="24" t="s">
        <v>537</v>
      </c>
      <c r="B298" s="50">
        <v>3877</v>
      </c>
      <c r="C298" s="25" t="s">
        <v>538</v>
      </c>
      <c r="D298" s="25" t="s">
        <v>241</v>
      </c>
      <c r="E298" s="25" t="s">
        <v>194</v>
      </c>
      <c r="F298" s="25" t="s">
        <v>113</v>
      </c>
      <c r="G298" s="26" t="s">
        <v>531</v>
      </c>
      <c r="H298" s="27" t="s">
        <v>309</v>
      </c>
      <c r="I298" s="24" t="s">
        <v>106</v>
      </c>
      <c r="J298" s="24" t="s">
        <v>121</v>
      </c>
      <c r="K298" s="28" t="s">
        <v>108</v>
      </c>
      <c r="L298" s="29">
        <v>0.03</v>
      </c>
      <c r="M298" s="29">
        <v>1.4999999999999999E-2</v>
      </c>
      <c r="N298" s="29">
        <v>0.02</v>
      </c>
      <c r="O298" s="27" t="s">
        <v>262</v>
      </c>
      <c r="P298" s="30" t="s">
        <v>241</v>
      </c>
      <c r="Q298" s="31">
        <v>1295207480.9300001</v>
      </c>
      <c r="R298" s="31">
        <v>1160.9000000000001</v>
      </c>
      <c r="S298" s="32">
        <v>-2.715E-3</v>
      </c>
      <c r="T298" s="32" t="s">
        <v>139</v>
      </c>
      <c r="U298" s="32">
        <v>4.8299999999999998E-4</v>
      </c>
      <c r="V298" s="32">
        <v>6.5550000000000001E-3</v>
      </c>
      <c r="W298" s="32">
        <v>9.0480000000000005E-3</v>
      </c>
      <c r="X298" s="32">
        <v>3.8479999999999999E-3</v>
      </c>
      <c r="Y298" s="32">
        <v>-9.3860000000000002E-3</v>
      </c>
      <c r="Z298" s="32">
        <v>8.3474999999999994E-2</v>
      </c>
      <c r="AA298" s="32">
        <v>0.16636999999999999</v>
      </c>
      <c r="AB298" s="32">
        <v>0.12117700000000001</v>
      </c>
    </row>
    <row r="299" spans="1:28" ht="15.6" customHeight="1" x14ac:dyDescent="0.25">
      <c r="A299" s="24" t="s">
        <v>1369</v>
      </c>
      <c r="B299" s="50">
        <v>3878</v>
      </c>
      <c r="C299" s="25" t="s">
        <v>1370</v>
      </c>
      <c r="D299" s="25" t="s">
        <v>241</v>
      </c>
      <c r="E299" s="25" t="s">
        <v>194</v>
      </c>
      <c r="F299" s="25" t="s">
        <v>113</v>
      </c>
      <c r="G299" s="26" t="s">
        <v>531</v>
      </c>
      <c r="H299" s="27" t="s">
        <v>115</v>
      </c>
      <c r="I299" s="24" t="s">
        <v>998</v>
      </c>
      <c r="J299" s="24" t="s">
        <v>121</v>
      </c>
      <c r="K299" s="28" t="s">
        <v>108</v>
      </c>
      <c r="L299" s="29">
        <v>0.03</v>
      </c>
      <c r="M299" s="29">
        <v>1.4999999999999999E-2</v>
      </c>
      <c r="N299" s="29">
        <v>0.02</v>
      </c>
      <c r="O299" s="27" t="s">
        <v>262</v>
      </c>
      <c r="P299" s="30" t="s">
        <v>241</v>
      </c>
      <c r="Q299" s="31">
        <v>149098700.19999999</v>
      </c>
      <c r="R299" s="31">
        <v>1211.97</v>
      </c>
      <c r="S299" s="32">
        <v>7.4650000000000003E-3</v>
      </c>
      <c r="T299" s="32" t="s">
        <v>139</v>
      </c>
      <c r="U299" s="32">
        <v>9.9099999999999991E-4</v>
      </c>
      <c r="V299" s="32">
        <v>4.0759999999999998E-3</v>
      </c>
      <c r="W299" s="32">
        <v>6.0679999999999996E-3</v>
      </c>
      <c r="X299" s="32">
        <v>5.7260000000000002E-3</v>
      </c>
      <c r="Y299" s="32">
        <v>4.8170000000000001E-3</v>
      </c>
      <c r="Z299" s="32">
        <v>0.111389</v>
      </c>
      <c r="AA299" s="32">
        <v>0.233319</v>
      </c>
      <c r="AB299" s="32">
        <v>0.21879499999999999</v>
      </c>
    </row>
    <row r="300" spans="1:28" ht="15.6" customHeight="1" x14ac:dyDescent="0.25">
      <c r="A300" s="24" t="s">
        <v>1371</v>
      </c>
      <c r="B300" s="50">
        <v>3879</v>
      </c>
      <c r="C300" s="25" t="s">
        <v>1372</v>
      </c>
      <c r="D300" s="25" t="s">
        <v>159</v>
      </c>
      <c r="E300" s="25" t="s">
        <v>194</v>
      </c>
      <c r="F300" s="25" t="s">
        <v>113</v>
      </c>
      <c r="G300" s="26" t="s">
        <v>638</v>
      </c>
      <c r="H300" s="27" t="s">
        <v>1157</v>
      </c>
      <c r="I300" s="24" t="s">
        <v>998</v>
      </c>
      <c r="J300" s="24" t="s">
        <v>121</v>
      </c>
      <c r="K300" s="28" t="s">
        <v>227</v>
      </c>
      <c r="L300" s="29">
        <v>0</v>
      </c>
      <c r="M300" s="29">
        <v>0</v>
      </c>
      <c r="N300" s="29">
        <v>0.02</v>
      </c>
      <c r="O300" s="27" t="s">
        <v>161</v>
      </c>
      <c r="P300" s="30" t="s">
        <v>159</v>
      </c>
      <c r="Q300" s="31">
        <v>713214095.62</v>
      </c>
      <c r="R300" s="31">
        <v>1200.94</v>
      </c>
      <c r="S300" s="32">
        <v>1.059E-3</v>
      </c>
      <c r="T300" s="32" t="s">
        <v>139</v>
      </c>
      <c r="U300" s="32">
        <v>6.0800000000000003E-4</v>
      </c>
      <c r="V300" s="32">
        <v>7.1789999999999996E-3</v>
      </c>
      <c r="W300" s="32">
        <v>4.9620000000000003E-3</v>
      </c>
      <c r="X300" s="32">
        <v>1.835E-3</v>
      </c>
      <c r="Y300" s="32">
        <v>-1.0106E-2</v>
      </c>
      <c r="Z300" s="32">
        <v>0.107817</v>
      </c>
      <c r="AA300" s="32">
        <v>0.22092700000000001</v>
      </c>
      <c r="AB300" s="32">
        <v>0.192047</v>
      </c>
    </row>
    <row r="301" spans="1:28" ht="15.6" customHeight="1" x14ac:dyDescent="0.25">
      <c r="A301" s="24" t="s">
        <v>1373</v>
      </c>
      <c r="B301" s="50">
        <v>3880</v>
      </c>
      <c r="C301" s="25" t="s">
        <v>1374</v>
      </c>
      <c r="D301" s="25" t="s">
        <v>159</v>
      </c>
      <c r="E301" s="25" t="s">
        <v>194</v>
      </c>
      <c r="F301" s="25" t="s">
        <v>113</v>
      </c>
      <c r="G301" s="26" t="s">
        <v>1179</v>
      </c>
      <c r="H301" s="27" t="s">
        <v>309</v>
      </c>
      <c r="I301" s="24" t="s">
        <v>998</v>
      </c>
      <c r="J301" s="24" t="s">
        <v>121</v>
      </c>
      <c r="K301" s="28" t="s">
        <v>227</v>
      </c>
      <c r="L301" s="29">
        <v>0</v>
      </c>
      <c r="M301" s="29">
        <v>0</v>
      </c>
      <c r="N301" s="29">
        <v>0.02</v>
      </c>
      <c r="O301" s="27" t="s">
        <v>161</v>
      </c>
      <c r="P301" s="30" t="s">
        <v>159</v>
      </c>
      <c r="Q301" s="31">
        <v>604180992.70000005</v>
      </c>
      <c r="R301" s="31">
        <v>3106.33</v>
      </c>
      <c r="S301" s="32">
        <v>8.4309999999999993E-3</v>
      </c>
      <c r="T301" s="32" t="s">
        <v>139</v>
      </c>
      <c r="U301" s="32">
        <v>7.6999999999999996E-4</v>
      </c>
      <c r="V301" s="32">
        <v>3.362E-3</v>
      </c>
      <c r="W301" s="32">
        <v>5.4900000000000001E-3</v>
      </c>
      <c r="X301" s="32">
        <v>4.1859999999999996E-3</v>
      </c>
      <c r="Y301" s="32">
        <v>7.8259999999999996E-3</v>
      </c>
      <c r="Z301" s="32">
        <v>7.6496999999999996E-2</v>
      </c>
      <c r="AA301" s="32">
        <v>0.151892</v>
      </c>
      <c r="AB301" s="32">
        <v>2.0834199999999998</v>
      </c>
    </row>
    <row r="302" spans="1:28" ht="15.6" customHeight="1" x14ac:dyDescent="0.25">
      <c r="A302" s="24" t="s">
        <v>539</v>
      </c>
      <c r="B302" s="50">
        <v>3881</v>
      </c>
      <c r="C302" s="25" t="s">
        <v>540</v>
      </c>
      <c r="D302" s="25" t="s">
        <v>112</v>
      </c>
      <c r="E302" s="25" t="s">
        <v>194</v>
      </c>
      <c r="F302" s="25" t="s">
        <v>128</v>
      </c>
      <c r="G302" s="26" t="s">
        <v>289</v>
      </c>
      <c r="H302" s="27" t="s">
        <v>258</v>
      </c>
      <c r="I302" s="24" t="s">
        <v>106</v>
      </c>
      <c r="J302" s="24" t="s">
        <v>107</v>
      </c>
      <c r="K302" s="28" t="s">
        <v>108</v>
      </c>
      <c r="L302" s="29">
        <v>0.03</v>
      </c>
      <c r="M302" s="29">
        <v>1.4999999999999999E-2</v>
      </c>
      <c r="N302" s="29">
        <v>0.02</v>
      </c>
      <c r="O302" s="27" t="s">
        <v>116</v>
      </c>
      <c r="P302" s="30" t="s">
        <v>112</v>
      </c>
      <c r="Q302" s="31">
        <v>1103526.54</v>
      </c>
      <c r="R302" s="31">
        <v>1103.52</v>
      </c>
      <c r="S302" s="32">
        <v>1.2636E-2</v>
      </c>
      <c r="T302" s="32" t="s">
        <v>139</v>
      </c>
      <c r="U302" s="32">
        <v>2.2699999999999999E-4</v>
      </c>
      <c r="V302" s="32">
        <v>1.552E-3</v>
      </c>
      <c r="W302" s="32">
        <v>4.4419999999999998E-3</v>
      </c>
      <c r="X302" s="32">
        <v>9.3760000000000007E-3</v>
      </c>
      <c r="Y302" s="32">
        <v>1.7388000000000001E-2</v>
      </c>
      <c r="Z302" s="32">
        <v>4.0654000000000003E-2</v>
      </c>
      <c r="AA302" s="32">
        <v>6.8722000000000005E-2</v>
      </c>
      <c r="AB302" s="32">
        <v>9.8653000000000005E-2</v>
      </c>
    </row>
    <row r="303" spans="1:28" ht="15.6" customHeight="1" x14ac:dyDescent="0.25">
      <c r="A303" s="24" t="s">
        <v>541</v>
      </c>
      <c r="B303" s="50">
        <v>3882</v>
      </c>
      <c r="C303" s="25" t="s">
        <v>542</v>
      </c>
      <c r="D303" s="25" t="s">
        <v>112</v>
      </c>
      <c r="E303" s="25" t="s">
        <v>194</v>
      </c>
      <c r="F303" s="25" t="s">
        <v>155</v>
      </c>
      <c r="G303" s="26" t="s">
        <v>139</v>
      </c>
      <c r="H303" s="27" t="s">
        <v>543</v>
      </c>
      <c r="I303" s="24" t="s">
        <v>106</v>
      </c>
      <c r="J303" s="24" t="s">
        <v>107</v>
      </c>
      <c r="K303" s="28" t="s">
        <v>108</v>
      </c>
      <c r="L303" s="29">
        <v>0.03</v>
      </c>
      <c r="M303" s="29">
        <v>1.4999999999999999E-2</v>
      </c>
      <c r="N303" s="29">
        <v>0.02</v>
      </c>
      <c r="O303" s="27" t="s">
        <v>116</v>
      </c>
      <c r="P303" s="30" t="s">
        <v>544</v>
      </c>
      <c r="Q303" s="31">
        <v>47670538.030000001</v>
      </c>
      <c r="R303" s="31">
        <v>1352.58</v>
      </c>
      <c r="S303" s="32">
        <v>-9.6539E-2</v>
      </c>
      <c r="T303" s="32" t="s">
        <v>139</v>
      </c>
      <c r="U303" s="32">
        <v>-9.1859999999999997E-3</v>
      </c>
      <c r="V303" s="32">
        <v>3.2181000000000001E-2</v>
      </c>
      <c r="W303" s="32">
        <v>-2.0074999999999999E-2</v>
      </c>
      <c r="X303" s="32">
        <v>-3.5484000000000002E-2</v>
      </c>
      <c r="Y303" s="32">
        <v>-0.183895</v>
      </c>
      <c r="Z303" s="32">
        <v>0.165515</v>
      </c>
      <c r="AA303" s="32">
        <v>0.36599399999999999</v>
      </c>
      <c r="AB303" s="32">
        <v>0.25080200000000002</v>
      </c>
    </row>
    <row r="304" spans="1:28" ht="15.6" customHeight="1" x14ac:dyDescent="0.25">
      <c r="A304" s="24" t="s">
        <v>1375</v>
      </c>
      <c r="B304" s="50">
        <v>3883</v>
      </c>
      <c r="C304" s="25" t="s">
        <v>1376</v>
      </c>
      <c r="D304" s="25" t="s">
        <v>137</v>
      </c>
      <c r="E304" s="25" t="s">
        <v>194</v>
      </c>
      <c r="F304" s="25" t="s">
        <v>138</v>
      </c>
      <c r="G304" s="26" t="s">
        <v>139</v>
      </c>
      <c r="H304" s="27" t="s">
        <v>1377</v>
      </c>
      <c r="I304" s="24" t="s">
        <v>998</v>
      </c>
      <c r="J304" s="24" t="s">
        <v>121</v>
      </c>
      <c r="K304" s="28" t="s">
        <v>227</v>
      </c>
      <c r="L304" s="29">
        <v>0</v>
      </c>
      <c r="M304" s="29">
        <v>0</v>
      </c>
      <c r="N304" s="29">
        <v>0.02</v>
      </c>
      <c r="O304" s="27" t="s">
        <v>141</v>
      </c>
      <c r="P304" s="30" t="s">
        <v>137</v>
      </c>
      <c r="Q304" s="31">
        <v>836910707.21357703</v>
      </c>
      <c r="R304" s="31">
        <v>12008.02</v>
      </c>
      <c r="S304" s="32">
        <v>2.7999999999999998E-4</v>
      </c>
      <c r="T304" s="32" t="s">
        <v>139</v>
      </c>
      <c r="U304" s="32">
        <v>-1.684E-3</v>
      </c>
      <c r="V304" s="32">
        <v>2.0930000000000001E-2</v>
      </c>
      <c r="W304" s="32">
        <v>4.9919999999999999E-3</v>
      </c>
      <c r="X304" s="32">
        <v>3.9899999999999996E-3</v>
      </c>
      <c r="Y304" s="32">
        <v>-3.7116999999999997E-2</v>
      </c>
      <c r="Z304" s="32">
        <v>0.153971</v>
      </c>
      <c r="AA304" s="32">
        <v>0.28001999999999999</v>
      </c>
      <c r="AB304" s="32">
        <v>0.259573</v>
      </c>
    </row>
    <row r="305" spans="1:28" ht="15.6" customHeight="1" x14ac:dyDescent="0.25">
      <c r="A305" s="24" t="s">
        <v>545</v>
      </c>
      <c r="B305" s="50">
        <v>3884</v>
      </c>
      <c r="C305" s="25" t="s">
        <v>546</v>
      </c>
      <c r="D305" s="25" t="s">
        <v>159</v>
      </c>
      <c r="E305" s="25" t="s">
        <v>194</v>
      </c>
      <c r="F305" s="25" t="s">
        <v>138</v>
      </c>
      <c r="G305" s="26" t="s">
        <v>139</v>
      </c>
      <c r="H305" s="27" t="s">
        <v>547</v>
      </c>
      <c r="I305" s="24" t="s">
        <v>106</v>
      </c>
      <c r="J305" s="24" t="s">
        <v>121</v>
      </c>
      <c r="K305" s="28" t="s">
        <v>108</v>
      </c>
      <c r="L305" s="29">
        <v>0</v>
      </c>
      <c r="M305" s="29">
        <v>0</v>
      </c>
      <c r="N305" s="29">
        <v>0.02</v>
      </c>
      <c r="O305" s="27" t="s">
        <v>548</v>
      </c>
      <c r="P305" s="30" t="s">
        <v>159</v>
      </c>
      <c r="Q305" s="31">
        <v>5845360109.8800001</v>
      </c>
      <c r="R305" s="31">
        <v>1327.39</v>
      </c>
      <c r="S305" s="32">
        <v>7.8659999999999997E-3</v>
      </c>
      <c r="T305" s="32" t="s">
        <v>139</v>
      </c>
      <c r="U305" s="32">
        <v>-2.0820000000000001E-3</v>
      </c>
      <c r="V305" s="32">
        <v>1.9359999999999999E-2</v>
      </c>
      <c r="W305" s="32">
        <v>9.3679999999999996E-3</v>
      </c>
      <c r="X305" s="32">
        <v>1.6277E-2</v>
      </c>
      <c r="Y305" s="32">
        <v>-2.6283000000000001E-2</v>
      </c>
      <c r="Z305" s="32">
        <v>0.175097</v>
      </c>
      <c r="AA305" s="32">
        <v>0.32843899999999998</v>
      </c>
      <c r="AB305" s="32">
        <v>0.28149999999999997</v>
      </c>
    </row>
    <row r="306" spans="1:28" ht="15.6" customHeight="1" x14ac:dyDescent="0.25">
      <c r="A306" s="24" t="s">
        <v>549</v>
      </c>
      <c r="B306" s="50">
        <v>3885</v>
      </c>
      <c r="C306" s="25" t="s">
        <v>550</v>
      </c>
      <c r="D306" s="25" t="s">
        <v>322</v>
      </c>
      <c r="E306" s="25" t="s">
        <v>194</v>
      </c>
      <c r="F306" s="25" t="s">
        <v>138</v>
      </c>
      <c r="G306" s="26" t="s">
        <v>139</v>
      </c>
      <c r="H306" s="27" t="s">
        <v>551</v>
      </c>
      <c r="I306" s="24" t="s">
        <v>106</v>
      </c>
      <c r="J306" s="24" t="s">
        <v>121</v>
      </c>
      <c r="K306" s="28" t="s">
        <v>108</v>
      </c>
      <c r="L306" s="29">
        <v>0.03</v>
      </c>
      <c r="M306" s="29">
        <v>1.4999999999999999E-2</v>
      </c>
      <c r="N306" s="29">
        <v>0.02</v>
      </c>
      <c r="O306" s="27" t="s">
        <v>548</v>
      </c>
      <c r="P306" s="30" t="s">
        <v>322</v>
      </c>
      <c r="Q306" s="31">
        <v>1887499367.8399999</v>
      </c>
      <c r="R306" s="31">
        <v>1351.65</v>
      </c>
      <c r="S306" s="32">
        <v>2.0992E-2</v>
      </c>
      <c r="T306" s="32" t="s">
        <v>139</v>
      </c>
      <c r="U306" s="32">
        <v>-3.0019999999999999E-3</v>
      </c>
      <c r="V306" s="32">
        <v>2.6934E-2</v>
      </c>
      <c r="W306" s="32">
        <v>1.6080000000000001E-2</v>
      </c>
      <c r="X306" s="32">
        <v>2.9609E-2</v>
      </c>
      <c r="Y306" s="32">
        <v>-1.4652999999999999E-2</v>
      </c>
      <c r="Z306" s="32">
        <v>0.17841199999999999</v>
      </c>
      <c r="AA306" s="32">
        <v>0.324044</v>
      </c>
      <c r="AB306" s="32">
        <v>0.29877700000000001</v>
      </c>
    </row>
    <row r="307" spans="1:28" ht="15.6" customHeight="1" x14ac:dyDescent="0.25">
      <c r="A307" s="24" t="s">
        <v>552</v>
      </c>
      <c r="B307" s="50">
        <v>3886</v>
      </c>
      <c r="C307" s="25" t="s">
        <v>553</v>
      </c>
      <c r="D307" s="25" t="s">
        <v>145</v>
      </c>
      <c r="E307" s="25" t="s">
        <v>194</v>
      </c>
      <c r="F307" s="25" t="s">
        <v>138</v>
      </c>
      <c r="G307" s="26" t="s">
        <v>139</v>
      </c>
      <c r="H307" s="27" t="s">
        <v>554</v>
      </c>
      <c r="I307" s="24" t="s">
        <v>106</v>
      </c>
      <c r="J307" s="24" t="s">
        <v>121</v>
      </c>
      <c r="K307" s="28" t="s">
        <v>108</v>
      </c>
      <c r="L307" s="29">
        <v>0.03</v>
      </c>
      <c r="M307" s="29">
        <v>1.4999999999999999E-2</v>
      </c>
      <c r="N307" s="29">
        <v>0.02</v>
      </c>
      <c r="O307" s="27" t="s">
        <v>548</v>
      </c>
      <c r="P307" s="30" t="s">
        <v>145</v>
      </c>
      <c r="Q307" s="31">
        <v>5823431999.4899998</v>
      </c>
      <c r="R307" s="31">
        <v>1327.67</v>
      </c>
      <c r="S307" s="32">
        <v>7.4440000000000001E-3</v>
      </c>
      <c r="T307" s="32" t="s">
        <v>139</v>
      </c>
      <c r="U307" s="32">
        <v>-2.225E-3</v>
      </c>
      <c r="V307" s="32">
        <v>2.1725000000000001E-2</v>
      </c>
      <c r="W307" s="32">
        <v>1.0649E-2</v>
      </c>
      <c r="X307" s="32">
        <v>1.6351000000000001E-2</v>
      </c>
      <c r="Y307" s="32">
        <v>-2.7113000000000002E-2</v>
      </c>
      <c r="Z307" s="32">
        <v>0.16661799999999999</v>
      </c>
      <c r="AA307" s="32">
        <v>0.31827100000000003</v>
      </c>
      <c r="AB307" s="32">
        <v>0.27740399999999998</v>
      </c>
    </row>
    <row r="308" spans="1:28" ht="15.6" customHeight="1" x14ac:dyDescent="0.25">
      <c r="A308" s="24" t="s">
        <v>555</v>
      </c>
      <c r="B308" s="50">
        <v>3887</v>
      </c>
      <c r="C308" s="25" t="s">
        <v>556</v>
      </c>
      <c r="D308" s="25" t="s">
        <v>137</v>
      </c>
      <c r="E308" s="25" t="s">
        <v>194</v>
      </c>
      <c r="F308" s="25" t="s">
        <v>138</v>
      </c>
      <c r="G308" s="26" t="s">
        <v>139</v>
      </c>
      <c r="H308" s="27" t="s">
        <v>557</v>
      </c>
      <c r="I308" s="24" t="s">
        <v>106</v>
      </c>
      <c r="J308" s="24" t="s">
        <v>121</v>
      </c>
      <c r="K308" s="28" t="s">
        <v>108</v>
      </c>
      <c r="L308" s="29">
        <v>0.03</v>
      </c>
      <c r="M308" s="29">
        <v>1.4999999999999999E-2</v>
      </c>
      <c r="N308" s="29">
        <v>0.02</v>
      </c>
      <c r="O308" s="27" t="s">
        <v>141</v>
      </c>
      <c r="P308" s="30" t="s">
        <v>137</v>
      </c>
      <c r="Q308" s="31">
        <v>2590343818.7593951</v>
      </c>
      <c r="R308" s="31">
        <v>1372.68</v>
      </c>
      <c r="S308" s="32">
        <v>7.4640000000000001E-3</v>
      </c>
      <c r="T308" s="32" t="s">
        <v>139</v>
      </c>
      <c r="U308" s="32">
        <v>-2.2820000000000002E-3</v>
      </c>
      <c r="V308" s="32">
        <v>2.1118999999999999E-2</v>
      </c>
      <c r="W308" s="32">
        <v>6.7990000000000004E-3</v>
      </c>
      <c r="X308" s="32">
        <v>1.5535999999999999E-2</v>
      </c>
      <c r="Y308" s="32">
        <v>-2.8590000000000001E-2</v>
      </c>
      <c r="Z308" s="32">
        <v>0.17350199999999999</v>
      </c>
      <c r="AA308" s="32">
        <v>0.32998699999999997</v>
      </c>
      <c r="AB308" s="32">
        <v>0.32161299999999998</v>
      </c>
    </row>
    <row r="309" spans="1:28" ht="15.6" customHeight="1" x14ac:dyDescent="0.25">
      <c r="A309" s="24" t="s">
        <v>1378</v>
      </c>
      <c r="B309" s="50">
        <v>3888</v>
      </c>
      <c r="C309" s="25" t="s">
        <v>1379</v>
      </c>
      <c r="D309" s="25" t="s">
        <v>164</v>
      </c>
      <c r="E309" s="25" t="s">
        <v>194</v>
      </c>
      <c r="F309" s="25" t="s">
        <v>155</v>
      </c>
      <c r="G309" s="26" t="s">
        <v>139</v>
      </c>
      <c r="H309" s="27" t="s">
        <v>588</v>
      </c>
      <c r="I309" s="24" t="s">
        <v>998</v>
      </c>
      <c r="J309" s="24" t="s">
        <v>121</v>
      </c>
      <c r="K309" s="28" t="s">
        <v>227</v>
      </c>
      <c r="L309" s="29">
        <v>0.03</v>
      </c>
      <c r="M309" s="29">
        <v>1.4999999999999999E-2</v>
      </c>
      <c r="N309" s="29">
        <v>0.02</v>
      </c>
      <c r="O309" s="27" t="s">
        <v>166</v>
      </c>
      <c r="P309" s="30" t="s">
        <v>164</v>
      </c>
      <c r="Q309" s="31">
        <v>242606392.30000001</v>
      </c>
      <c r="R309" s="31">
        <v>18910.78</v>
      </c>
      <c r="S309" s="32">
        <v>7.8314999999999996E-2</v>
      </c>
      <c r="T309" s="32" t="s">
        <v>139</v>
      </c>
      <c r="U309" s="32">
        <v>-8.6239999999999997E-3</v>
      </c>
      <c r="V309" s="32">
        <v>6.8090999999999999E-2</v>
      </c>
      <c r="W309" s="32">
        <v>3.3557999999999998E-2</v>
      </c>
      <c r="X309" s="32">
        <v>9.6403000000000003E-2</v>
      </c>
      <c r="Y309" s="32">
        <v>-1.044E-3</v>
      </c>
      <c r="Z309" s="32">
        <v>0.46673300000000001</v>
      </c>
      <c r="AA309" s="32">
        <v>0.77414400000000005</v>
      </c>
      <c r="AB309" s="32">
        <v>0.699457</v>
      </c>
    </row>
    <row r="310" spans="1:28" ht="15.6" customHeight="1" x14ac:dyDescent="0.25">
      <c r="A310" s="24" t="s">
        <v>558</v>
      </c>
      <c r="B310" s="50">
        <v>3889</v>
      </c>
      <c r="C310" s="25" t="s">
        <v>559</v>
      </c>
      <c r="D310" s="25" t="s">
        <v>137</v>
      </c>
      <c r="E310" s="25" t="s">
        <v>194</v>
      </c>
      <c r="F310" s="25" t="s">
        <v>103</v>
      </c>
      <c r="G310" s="26" t="s">
        <v>244</v>
      </c>
      <c r="H310" s="27" t="s">
        <v>217</v>
      </c>
      <c r="I310" s="24" t="s">
        <v>106</v>
      </c>
      <c r="J310" s="24" t="s">
        <v>107</v>
      </c>
      <c r="K310" s="28" t="s">
        <v>108</v>
      </c>
      <c r="L310" s="29">
        <v>5.0000000000000001E-3</v>
      </c>
      <c r="M310" s="29">
        <v>5.0000000000000001E-3</v>
      </c>
      <c r="N310" s="29">
        <v>0.02</v>
      </c>
      <c r="O310" s="27" t="s">
        <v>141</v>
      </c>
      <c r="P310" s="30" t="s">
        <v>142</v>
      </c>
      <c r="Q310" s="31">
        <v>5254447696.1493187</v>
      </c>
      <c r="R310" s="31">
        <v>1523.66</v>
      </c>
      <c r="S310" s="32">
        <v>1.7843000000000001E-2</v>
      </c>
      <c r="T310" s="32" t="s">
        <v>139</v>
      </c>
      <c r="U310" s="32">
        <v>2.9500000000000001E-4</v>
      </c>
      <c r="V310" s="32">
        <v>2.078E-3</v>
      </c>
      <c r="W310" s="32">
        <v>6.4200000000000004E-3</v>
      </c>
      <c r="X310" s="32">
        <v>1.3523E-2</v>
      </c>
      <c r="Y310" s="32">
        <v>2.5763999999999999E-2</v>
      </c>
      <c r="Z310" s="32">
        <v>5.6432000000000003E-2</v>
      </c>
      <c r="AA310" s="32">
        <v>9.4088000000000005E-2</v>
      </c>
      <c r="AB310" s="32">
        <v>0.14042099999999999</v>
      </c>
    </row>
    <row r="311" spans="1:28" ht="15.6" customHeight="1" x14ac:dyDescent="0.25">
      <c r="A311" s="24" t="s">
        <v>560</v>
      </c>
      <c r="B311" s="50">
        <v>3890</v>
      </c>
      <c r="C311" s="25" t="s">
        <v>561</v>
      </c>
      <c r="D311" s="25" t="s">
        <v>355</v>
      </c>
      <c r="E311" s="25" t="s">
        <v>194</v>
      </c>
      <c r="F311" s="25" t="s">
        <v>113</v>
      </c>
      <c r="G311" s="26" t="s">
        <v>562</v>
      </c>
      <c r="H311" s="27" t="s">
        <v>309</v>
      </c>
      <c r="I311" s="24" t="s">
        <v>106</v>
      </c>
      <c r="J311" s="24" t="s">
        <v>121</v>
      </c>
      <c r="K311" s="28" t="s">
        <v>108</v>
      </c>
      <c r="L311" s="29">
        <v>0</v>
      </c>
      <c r="M311" s="29">
        <v>0</v>
      </c>
      <c r="N311" s="29">
        <v>0.02</v>
      </c>
      <c r="O311" s="27" t="s">
        <v>161</v>
      </c>
      <c r="P311" s="30" t="s">
        <v>355</v>
      </c>
      <c r="Q311" s="31">
        <v>1028908848.86</v>
      </c>
      <c r="R311" s="31">
        <v>1180.57</v>
      </c>
      <c r="S311" s="32">
        <v>3.9199999999999999E-3</v>
      </c>
      <c r="T311" s="32" t="s">
        <v>139</v>
      </c>
      <c r="U311" s="32">
        <v>3.3E-4</v>
      </c>
      <c r="V311" s="32">
        <v>6.8050000000000003E-3</v>
      </c>
      <c r="W311" s="32">
        <v>4.4409999999999996E-3</v>
      </c>
      <c r="X311" s="32">
        <v>2.48E-3</v>
      </c>
      <c r="Y311" s="32">
        <v>-7.6579999999999999E-3</v>
      </c>
      <c r="Z311" s="32">
        <v>7.7890000000000001E-2</v>
      </c>
      <c r="AA311" s="32">
        <v>0.16889299999999999</v>
      </c>
      <c r="AB311" s="32">
        <v>0.17429900000000001</v>
      </c>
    </row>
    <row r="312" spans="1:28" ht="15.6" customHeight="1" x14ac:dyDescent="0.25">
      <c r="A312" s="24" t="s">
        <v>1380</v>
      </c>
      <c r="B312" s="50">
        <v>3891</v>
      </c>
      <c r="C312" s="25" t="s">
        <v>1381</v>
      </c>
      <c r="D312" s="25" t="s">
        <v>159</v>
      </c>
      <c r="E312" s="25" t="s">
        <v>194</v>
      </c>
      <c r="F312" s="25" t="s">
        <v>138</v>
      </c>
      <c r="G312" s="26" t="s">
        <v>139</v>
      </c>
      <c r="H312" s="27" t="s">
        <v>741</v>
      </c>
      <c r="I312" s="24" t="s">
        <v>998</v>
      </c>
      <c r="J312" s="24" t="s">
        <v>121</v>
      </c>
      <c r="K312" s="28" t="s">
        <v>227</v>
      </c>
      <c r="L312" s="29">
        <v>0</v>
      </c>
      <c r="M312" s="29">
        <v>0</v>
      </c>
      <c r="N312" s="29">
        <v>0.02</v>
      </c>
      <c r="O312" s="27" t="s">
        <v>161</v>
      </c>
      <c r="P312" s="30" t="s">
        <v>513</v>
      </c>
      <c r="Q312" s="31">
        <v>24438578.469999999</v>
      </c>
      <c r="R312" s="31">
        <v>1110.8399999999999</v>
      </c>
      <c r="S312" s="32">
        <v>-2.0839999999999999E-3</v>
      </c>
      <c r="T312" s="32" t="s">
        <v>139</v>
      </c>
      <c r="U312" s="32">
        <v>-9.0000000000000002E-6</v>
      </c>
      <c r="V312" s="32">
        <v>6.4599999999999996E-3</v>
      </c>
      <c r="W312" s="32">
        <v>8.1410000000000007E-3</v>
      </c>
      <c r="X312" s="32">
        <v>2.7439999999999999E-3</v>
      </c>
      <c r="Y312" s="32">
        <v>-6.6E-3</v>
      </c>
      <c r="Z312" s="32">
        <v>9.1026999999999997E-2</v>
      </c>
      <c r="AA312" s="32">
        <v>0.13222800000000001</v>
      </c>
      <c r="AB312" s="32">
        <v>0.10979700000000001</v>
      </c>
    </row>
    <row r="313" spans="1:28" ht="15.6" customHeight="1" x14ac:dyDescent="0.25">
      <c r="A313" s="24" t="s">
        <v>563</v>
      </c>
      <c r="B313" s="50">
        <v>3892</v>
      </c>
      <c r="C313" s="25" t="s">
        <v>564</v>
      </c>
      <c r="D313" s="25" t="s">
        <v>112</v>
      </c>
      <c r="E313" s="25" t="s">
        <v>194</v>
      </c>
      <c r="F313" s="25" t="s">
        <v>128</v>
      </c>
      <c r="G313" s="26" t="s">
        <v>289</v>
      </c>
      <c r="H313" s="27" t="s">
        <v>373</v>
      </c>
      <c r="I313" s="24" t="s">
        <v>106</v>
      </c>
      <c r="J313" s="24" t="s">
        <v>107</v>
      </c>
      <c r="K313" s="28" t="s">
        <v>108</v>
      </c>
      <c r="L313" s="29">
        <v>0.03</v>
      </c>
      <c r="M313" s="29">
        <v>1.4999999999999999E-2</v>
      </c>
      <c r="N313" s="29">
        <v>0.02</v>
      </c>
      <c r="O313" s="27" t="s">
        <v>166</v>
      </c>
      <c r="P313" s="30" t="s">
        <v>112</v>
      </c>
      <c r="Q313" s="31">
        <v>1121321.77</v>
      </c>
      <c r="R313" s="31">
        <v>1121.32</v>
      </c>
      <c r="S313" s="32">
        <v>1.3275E-2</v>
      </c>
      <c r="T313" s="32" t="s">
        <v>139</v>
      </c>
      <c r="U313" s="32">
        <v>4.55E-4</v>
      </c>
      <c r="V313" s="32">
        <v>1.9480000000000001E-3</v>
      </c>
      <c r="W313" s="32">
        <v>5.2259999999999997E-3</v>
      </c>
      <c r="X313" s="32">
        <v>1.0397999999999999E-2</v>
      </c>
      <c r="Y313" s="32">
        <v>1.8419000000000001E-2</v>
      </c>
      <c r="Z313" s="32">
        <v>4.2797000000000002E-2</v>
      </c>
      <c r="AA313" s="32">
        <v>7.3474999999999999E-2</v>
      </c>
      <c r="AB313" s="32">
        <v>0.117109</v>
      </c>
    </row>
    <row r="314" spans="1:28" ht="15.6" customHeight="1" x14ac:dyDescent="0.25">
      <c r="A314" s="24" t="s">
        <v>1382</v>
      </c>
      <c r="B314" s="50">
        <v>3893</v>
      </c>
      <c r="C314" s="25" t="s">
        <v>1383</v>
      </c>
      <c r="D314" s="25" t="s">
        <v>504</v>
      </c>
      <c r="E314" s="25" t="s">
        <v>194</v>
      </c>
      <c r="F314" s="25" t="s">
        <v>113</v>
      </c>
      <c r="G314" s="26" t="s">
        <v>493</v>
      </c>
      <c r="H314" s="27" t="s">
        <v>115</v>
      </c>
      <c r="I314" s="24" t="s">
        <v>998</v>
      </c>
      <c r="J314" s="24" t="s">
        <v>121</v>
      </c>
      <c r="K314" s="28" t="s">
        <v>227</v>
      </c>
      <c r="L314" s="29">
        <v>0</v>
      </c>
      <c r="M314" s="29">
        <v>0</v>
      </c>
      <c r="N314" s="29">
        <v>0.02</v>
      </c>
      <c r="O314" s="27" t="s">
        <v>161</v>
      </c>
      <c r="P314" s="30" t="s">
        <v>504</v>
      </c>
      <c r="Q314" s="31">
        <v>531586717.80000001</v>
      </c>
      <c r="R314" s="31">
        <v>1084.29</v>
      </c>
      <c r="S314" s="32">
        <v>-2.016E-3</v>
      </c>
      <c r="T314" s="32" t="s">
        <v>139</v>
      </c>
      <c r="U314" s="32">
        <v>7.4799999999999997E-4</v>
      </c>
      <c r="V314" s="32">
        <v>4.7070000000000002E-3</v>
      </c>
      <c r="W314" s="32">
        <v>2.8300000000000001E-3</v>
      </c>
      <c r="X314" s="32">
        <v>-5.5000000000000002E-5</v>
      </c>
      <c r="Y314" s="32">
        <v>-9.5549999999999993E-3</v>
      </c>
      <c r="Z314" s="32">
        <v>8.4473999999999994E-2</v>
      </c>
      <c r="AA314" s="32">
        <v>0.18462799999999999</v>
      </c>
      <c r="AB314" s="32">
        <v>7.8756000000000007E-2</v>
      </c>
    </row>
    <row r="315" spans="1:28" ht="15.6" customHeight="1" x14ac:dyDescent="0.25">
      <c r="A315" s="24" t="s">
        <v>565</v>
      </c>
      <c r="B315" s="50">
        <v>3894</v>
      </c>
      <c r="C315" s="25" t="s">
        <v>566</v>
      </c>
      <c r="D315" s="25" t="s">
        <v>112</v>
      </c>
      <c r="E315" s="25" t="s">
        <v>194</v>
      </c>
      <c r="F315" s="25" t="s">
        <v>103</v>
      </c>
      <c r="G315" s="26" t="s">
        <v>401</v>
      </c>
      <c r="H315" s="27" t="s">
        <v>567</v>
      </c>
      <c r="I315" s="24" t="s">
        <v>106</v>
      </c>
      <c r="J315" s="24" t="s">
        <v>107</v>
      </c>
      <c r="K315" s="28" t="s">
        <v>108</v>
      </c>
      <c r="L315" s="29">
        <v>0.03</v>
      </c>
      <c r="M315" s="29">
        <v>1.4999999999999999E-2</v>
      </c>
      <c r="N315" s="29">
        <v>0.02</v>
      </c>
      <c r="O315" s="27" t="s">
        <v>166</v>
      </c>
      <c r="P315" s="30" t="s">
        <v>112</v>
      </c>
      <c r="Q315" s="31">
        <v>4960027.51</v>
      </c>
      <c r="R315" s="31">
        <v>1118.6300000000001</v>
      </c>
      <c r="S315" s="32">
        <v>1.5017000000000001E-2</v>
      </c>
      <c r="T315" s="32" t="s">
        <v>139</v>
      </c>
      <c r="U315" s="32">
        <v>2.5000000000000001E-4</v>
      </c>
      <c r="V315" s="32">
        <v>1.7819999999999999E-3</v>
      </c>
      <c r="W315" s="32">
        <v>5.6280000000000002E-3</v>
      </c>
      <c r="X315" s="32">
        <v>1.1173000000000001E-2</v>
      </c>
      <c r="Y315" s="32">
        <v>2.1683000000000001E-2</v>
      </c>
      <c r="Z315" s="32">
        <v>4.6065000000000002E-2</v>
      </c>
      <c r="AA315" s="32">
        <v>7.5089000000000003E-2</v>
      </c>
      <c r="AB315" s="32">
        <v>0.11652</v>
      </c>
    </row>
    <row r="316" spans="1:28" ht="15.6" customHeight="1" x14ac:dyDescent="0.25">
      <c r="A316" s="24" t="s">
        <v>568</v>
      </c>
      <c r="B316" s="50">
        <v>3895</v>
      </c>
      <c r="C316" s="25" t="s">
        <v>569</v>
      </c>
      <c r="D316" s="25" t="s">
        <v>570</v>
      </c>
      <c r="E316" s="25" t="s">
        <v>194</v>
      </c>
      <c r="F316" s="25" t="s">
        <v>103</v>
      </c>
      <c r="G316" s="26" t="s">
        <v>244</v>
      </c>
      <c r="H316" s="27" t="s">
        <v>188</v>
      </c>
      <c r="I316" s="24" t="s">
        <v>106</v>
      </c>
      <c r="J316" s="24" t="s">
        <v>107</v>
      </c>
      <c r="K316" s="28" t="s">
        <v>227</v>
      </c>
      <c r="L316" s="29">
        <v>0.03</v>
      </c>
      <c r="M316" s="29">
        <v>1.4999999999999999E-2</v>
      </c>
      <c r="N316" s="29">
        <v>0.02</v>
      </c>
      <c r="O316" s="27" t="s">
        <v>131</v>
      </c>
      <c r="P316" s="30" t="s">
        <v>570</v>
      </c>
      <c r="Q316" s="31">
        <v>2828399938.8699999</v>
      </c>
      <c r="R316" s="31">
        <v>1841.43</v>
      </c>
      <c r="S316" s="32">
        <v>1.8338E-2</v>
      </c>
      <c r="T316" s="32" t="s">
        <v>139</v>
      </c>
      <c r="U316" s="32">
        <v>2.7700000000000001E-4</v>
      </c>
      <c r="V316" s="32">
        <v>2.1610000000000002E-3</v>
      </c>
      <c r="W316" s="32">
        <v>6.4710000000000002E-3</v>
      </c>
      <c r="X316" s="32">
        <v>1.3624000000000001E-2</v>
      </c>
      <c r="Y316" s="32">
        <v>2.6890000000000001E-2</v>
      </c>
      <c r="Z316" s="32">
        <v>6.0999999999999999E-2</v>
      </c>
      <c r="AA316" s="32">
        <v>9.9801000000000001E-2</v>
      </c>
      <c r="AB316" s="32">
        <v>0.15307699999999999</v>
      </c>
    </row>
    <row r="317" spans="1:28" ht="15.6" customHeight="1" x14ac:dyDescent="0.25">
      <c r="A317" s="24" t="s">
        <v>571</v>
      </c>
      <c r="B317" s="50">
        <v>3896</v>
      </c>
      <c r="C317" s="25" t="s">
        <v>572</v>
      </c>
      <c r="D317" s="25" t="s">
        <v>570</v>
      </c>
      <c r="E317" s="25" t="s">
        <v>194</v>
      </c>
      <c r="F317" s="25" t="s">
        <v>128</v>
      </c>
      <c r="G317" s="26" t="s">
        <v>289</v>
      </c>
      <c r="H317" s="27" t="s">
        <v>130</v>
      </c>
      <c r="I317" s="24" t="s">
        <v>106</v>
      </c>
      <c r="J317" s="24" t="s">
        <v>107</v>
      </c>
      <c r="K317" s="28" t="s">
        <v>227</v>
      </c>
      <c r="L317" s="29">
        <v>0.03</v>
      </c>
      <c r="M317" s="29">
        <v>1.4999999999999999E-2</v>
      </c>
      <c r="N317" s="29">
        <v>0.02</v>
      </c>
      <c r="O317" s="27" t="s">
        <v>131</v>
      </c>
      <c r="P317" s="30" t="s">
        <v>570</v>
      </c>
      <c r="Q317" s="31">
        <v>6542813479.3000002</v>
      </c>
      <c r="R317" s="31">
        <v>1925.94</v>
      </c>
      <c r="S317" s="32">
        <v>2.1447999999999998E-2</v>
      </c>
      <c r="T317" s="32" t="s">
        <v>139</v>
      </c>
      <c r="U317" s="32">
        <v>5.0900000000000001E-4</v>
      </c>
      <c r="V317" s="32">
        <v>2.6450000000000002E-3</v>
      </c>
      <c r="W317" s="32">
        <v>7.6600000000000001E-3</v>
      </c>
      <c r="X317" s="32">
        <v>1.5887999999999999E-2</v>
      </c>
      <c r="Y317" s="32">
        <v>2.9798999999999999E-2</v>
      </c>
      <c r="Z317" s="32">
        <v>7.0288000000000003E-2</v>
      </c>
      <c r="AA317" s="32">
        <v>0.11776300000000001</v>
      </c>
      <c r="AB317" s="32">
        <v>0.17785100000000001</v>
      </c>
    </row>
    <row r="318" spans="1:28" ht="15.6" customHeight="1" x14ac:dyDescent="0.25">
      <c r="A318" s="24" t="s">
        <v>573</v>
      </c>
      <c r="B318" s="50">
        <v>3897</v>
      </c>
      <c r="C318" s="25" t="s">
        <v>574</v>
      </c>
      <c r="D318" s="25" t="s">
        <v>570</v>
      </c>
      <c r="E318" s="25" t="s">
        <v>194</v>
      </c>
      <c r="F318" s="25" t="s">
        <v>113</v>
      </c>
      <c r="G318" s="26" t="s">
        <v>493</v>
      </c>
      <c r="H318" s="27" t="s">
        <v>115</v>
      </c>
      <c r="I318" s="24" t="s">
        <v>106</v>
      </c>
      <c r="J318" s="24" t="s">
        <v>107</v>
      </c>
      <c r="K318" s="28" t="s">
        <v>108</v>
      </c>
      <c r="L318" s="29">
        <v>0.03</v>
      </c>
      <c r="M318" s="29">
        <v>0.03</v>
      </c>
      <c r="N318" s="29">
        <v>0.02</v>
      </c>
      <c r="O318" s="27" t="s">
        <v>131</v>
      </c>
      <c r="P318" s="30" t="s">
        <v>570</v>
      </c>
      <c r="Q318" s="31">
        <v>1100635972.04</v>
      </c>
      <c r="R318" s="31">
        <v>2424.36</v>
      </c>
      <c r="S318" s="32">
        <v>-9.9640000000000006E-3</v>
      </c>
      <c r="T318" s="32" t="s">
        <v>139</v>
      </c>
      <c r="U318" s="32">
        <v>-2.31E-4</v>
      </c>
      <c r="V318" s="32">
        <v>8.5570000000000004E-3</v>
      </c>
      <c r="W318" s="32">
        <v>1.835E-3</v>
      </c>
      <c r="X318" s="32">
        <v>-6.463E-3</v>
      </c>
      <c r="Y318" s="32">
        <v>-2.5038000000000001E-2</v>
      </c>
      <c r="Z318" s="32">
        <v>7.5218999999999994E-2</v>
      </c>
      <c r="AA318" s="32">
        <v>0.18285699999999999</v>
      </c>
      <c r="AB318" s="32">
        <v>0.20808499999999999</v>
      </c>
    </row>
    <row r="319" spans="1:28" ht="15.6" customHeight="1" x14ac:dyDescent="0.25">
      <c r="A319" s="24" t="s">
        <v>575</v>
      </c>
      <c r="B319" s="50">
        <v>3898</v>
      </c>
      <c r="C319" s="25" t="s">
        <v>576</v>
      </c>
      <c r="D319" s="25" t="s">
        <v>570</v>
      </c>
      <c r="E319" s="25" t="s">
        <v>194</v>
      </c>
      <c r="F319" s="25" t="s">
        <v>138</v>
      </c>
      <c r="G319" s="26" t="s">
        <v>139</v>
      </c>
      <c r="H319" s="27" t="s">
        <v>577</v>
      </c>
      <c r="I319" s="24" t="s">
        <v>106</v>
      </c>
      <c r="J319" s="24" t="s">
        <v>107</v>
      </c>
      <c r="K319" s="28" t="s">
        <v>227</v>
      </c>
      <c r="L319" s="29">
        <v>0.03</v>
      </c>
      <c r="M319" s="29">
        <v>1.4999999999999999E-2</v>
      </c>
      <c r="N319" s="29">
        <v>0.02</v>
      </c>
      <c r="O319" s="27" t="s">
        <v>131</v>
      </c>
      <c r="P319" s="30" t="s">
        <v>570</v>
      </c>
      <c r="Q319" s="31">
        <v>2155195542.4499998</v>
      </c>
      <c r="R319" s="31">
        <v>4677.0600000000004</v>
      </c>
      <c r="S319" s="32">
        <v>-1.4094000000000001E-2</v>
      </c>
      <c r="T319" s="32" t="s">
        <v>139</v>
      </c>
      <c r="U319" s="32">
        <v>-4.3769999999999998E-3</v>
      </c>
      <c r="V319" s="32">
        <v>3.4055000000000002E-2</v>
      </c>
      <c r="W319" s="32">
        <v>6.4559999999999999E-3</v>
      </c>
      <c r="X319" s="32">
        <v>1.0293E-2</v>
      </c>
      <c r="Y319" s="32">
        <v>-8.2590999999999998E-2</v>
      </c>
      <c r="Z319" s="32">
        <v>0.16061800000000001</v>
      </c>
      <c r="AA319" s="32">
        <v>0.33094099999999999</v>
      </c>
      <c r="AB319" s="32">
        <v>0.279395</v>
      </c>
    </row>
    <row r="320" spans="1:28" ht="15.6" customHeight="1" x14ac:dyDescent="0.25">
      <c r="A320" s="24" t="s">
        <v>578</v>
      </c>
      <c r="B320" s="50">
        <v>3899</v>
      </c>
      <c r="C320" s="25" t="s">
        <v>14</v>
      </c>
      <c r="D320" s="25" t="s">
        <v>570</v>
      </c>
      <c r="E320" s="25" t="s">
        <v>194</v>
      </c>
      <c r="F320" s="25" t="s">
        <v>155</v>
      </c>
      <c r="G320" s="26" t="s">
        <v>139</v>
      </c>
      <c r="H320" s="27" t="s">
        <v>156</v>
      </c>
      <c r="I320" s="24" t="s">
        <v>106</v>
      </c>
      <c r="J320" s="24" t="s">
        <v>107</v>
      </c>
      <c r="K320" s="28" t="s">
        <v>227</v>
      </c>
      <c r="L320" s="29">
        <v>0.03</v>
      </c>
      <c r="M320" s="29">
        <v>1.4999999999999999E-2</v>
      </c>
      <c r="N320" s="29">
        <v>0.02</v>
      </c>
      <c r="O320" s="27" t="s">
        <v>131</v>
      </c>
      <c r="P320" s="30" t="s">
        <v>570</v>
      </c>
      <c r="Q320" s="31">
        <v>1081331464.6099999</v>
      </c>
      <c r="R320" s="31">
        <v>8656.5300000000007</v>
      </c>
      <c r="S320" s="32">
        <v>1.8112E-2</v>
      </c>
      <c r="T320" s="32" t="s">
        <v>139</v>
      </c>
      <c r="U320" s="32">
        <v>-9.9659999999999992E-3</v>
      </c>
      <c r="V320" s="32">
        <v>6.0417999999999999E-2</v>
      </c>
      <c r="W320" s="32">
        <v>1.5219999999999999E-2</v>
      </c>
      <c r="X320" s="32">
        <v>5.4533999999999999E-2</v>
      </c>
      <c r="Y320" s="32">
        <v>-0.103515</v>
      </c>
      <c r="Z320" s="32">
        <v>0.36163600000000001</v>
      </c>
      <c r="AA320" s="32">
        <v>0.62453499999999995</v>
      </c>
      <c r="AB320" s="32">
        <v>0.57523199999999997</v>
      </c>
    </row>
    <row r="321" spans="1:28" ht="15.6" customHeight="1" x14ac:dyDescent="0.25">
      <c r="A321" s="24" t="s">
        <v>579</v>
      </c>
      <c r="B321" s="50">
        <v>3900</v>
      </c>
      <c r="C321" s="25" t="s">
        <v>580</v>
      </c>
      <c r="D321" s="25" t="s">
        <v>159</v>
      </c>
      <c r="E321" s="25" t="s">
        <v>194</v>
      </c>
      <c r="F321" s="25" t="s">
        <v>113</v>
      </c>
      <c r="G321" s="26" t="s">
        <v>465</v>
      </c>
      <c r="H321" s="27" t="s">
        <v>512</v>
      </c>
      <c r="I321" s="24" t="s">
        <v>106</v>
      </c>
      <c r="J321" s="24" t="s">
        <v>107</v>
      </c>
      <c r="K321" s="28" t="s">
        <v>227</v>
      </c>
      <c r="L321" s="29">
        <v>0</v>
      </c>
      <c r="M321" s="29">
        <v>0</v>
      </c>
      <c r="N321" s="29">
        <v>0.02</v>
      </c>
      <c r="O321" s="27" t="s">
        <v>161</v>
      </c>
      <c r="P321" s="30" t="s">
        <v>581</v>
      </c>
      <c r="Q321" s="31">
        <v>1102564.3600000001</v>
      </c>
      <c r="R321" s="31">
        <v>1092.73</v>
      </c>
      <c r="S321" s="32">
        <v>1.6625000000000001E-2</v>
      </c>
      <c r="T321" s="32" t="s">
        <v>139</v>
      </c>
      <c r="U321" s="32">
        <v>1.843E-3</v>
      </c>
      <c r="V321" s="32">
        <v>4.4209999999999996E-3</v>
      </c>
      <c r="W321" s="32">
        <v>9.8049999999999995E-3</v>
      </c>
      <c r="X321" s="32">
        <v>1.4973E-2</v>
      </c>
      <c r="Y321" s="32">
        <v>2.0604000000000001E-2</v>
      </c>
      <c r="Z321" s="32">
        <v>5.4128000000000003E-2</v>
      </c>
      <c r="AA321" s="32">
        <v>9.6865000000000007E-2</v>
      </c>
      <c r="AB321" s="32">
        <v>9.2490000000000003E-2</v>
      </c>
    </row>
    <row r="322" spans="1:28" ht="15.6" customHeight="1" x14ac:dyDescent="0.25">
      <c r="A322" s="24" t="s">
        <v>582</v>
      </c>
      <c r="B322" s="50">
        <v>3901</v>
      </c>
      <c r="C322" s="25" t="s">
        <v>583</v>
      </c>
      <c r="D322" s="25" t="s">
        <v>159</v>
      </c>
      <c r="E322" s="25" t="s">
        <v>194</v>
      </c>
      <c r="F322" s="25" t="s">
        <v>128</v>
      </c>
      <c r="G322" s="26" t="s">
        <v>289</v>
      </c>
      <c r="H322" s="27" t="s">
        <v>270</v>
      </c>
      <c r="I322" s="24" t="s">
        <v>106</v>
      </c>
      <c r="J322" s="24" t="s">
        <v>107</v>
      </c>
      <c r="K322" s="28" t="s">
        <v>227</v>
      </c>
      <c r="L322" s="29">
        <v>0</v>
      </c>
      <c r="M322" s="29">
        <v>0</v>
      </c>
      <c r="N322" s="29">
        <v>0.02</v>
      </c>
      <c r="O322" s="27" t="s">
        <v>161</v>
      </c>
      <c r="P322" s="30" t="s">
        <v>581</v>
      </c>
      <c r="Q322" s="31">
        <v>1109678.17</v>
      </c>
      <c r="R322" s="31">
        <v>1109.68</v>
      </c>
      <c r="S322" s="32">
        <v>1.3101E-2</v>
      </c>
      <c r="T322" s="32" t="s">
        <v>139</v>
      </c>
      <c r="U322" s="32">
        <v>2.43E-4</v>
      </c>
      <c r="V322" s="32">
        <v>1.634E-3</v>
      </c>
      <c r="W322" s="32">
        <v>4.9449999999999997E-3</v>
      </c>
      <c r="X322" s="32">
        <v>1.0049000000000001E-2</v>
      </c>
      <c r="Y322" s="32">
        <v>1.8176000000000001E-2</v>
      </c>
      <c r="Z322" s="32">
        <v>4.4345999999999997E-2</v>
      </c>
      <c r="AA322" s="32">
        <v>7.8448000000000004E-2</v>
      </c>
      <c r="AB322" s="32">
        <v>0.107764</v>
      </c>
    </row>
    <row r="323" spans="1:28" ht="15.6" customHeight="1" x14ac:dyDescent="0.25">
      <c r="A323" s="24" t="s">
        <v>1384</v>
      </c>
      <c r="B323" s="50">
        <v>3902</v>
      </c>
      <c r="C323" s="25" t="s">
        <v>1385</v>
      </c>
      <c r="D323" s="25" t="s">
        <v>145</v>
      </c>
      <c r="E323" s="25" t="s">
        <v>194</v>
      </c>
      <c r="F323" s="25" t="s">
        <v>155</v>
      </c>
      <c r="G323" s="26" t="s">
        <v>139</v>
      </c>
      <c r="H323" s="27" t="s">
        <v>156</v>
      </c>
      <c r="I323" s="24" t="s">
        <v>998</v>
      </c>
      <c r="J323" s="24" t="s">
        <v>121</v>
      </c>
      <c r="K323" s="28" t="s">
        <v>227</v>
      </c>
      <c r="L323" s="29">
        <v>0</v>
      </c>
      <c r="M323" s="29">
        <v>0</v>
      </c>
      <c r="N323" s="29">
        <v>0.02</v>
      </c>
      <c r="O323" s="27" t="s">
        <v>148</v>
      </c>
      <c r="P323" s="30" t="s">
        <v>145</v>
      </c>
      <c r="Q323" s="31">
        <v>230786359.28</v>
      </c>
      <c r="R323" s="31">
        <v>242.42</v>
      </c>
      <c r="S323" s="32">
        <v>2.5075E-2</v>
      </c>
      <c r="T323" s="32" t="s">
        <v>139</v>
      </c>
      <c r="U323" s="32">
        <v>-1.0005E-2</v>
      </c>
      <c r="V323" s="32">
        <v>6.3524999999999998E-2</v>
      </c>
      <c r="W323" s="32">
        <v>2.2653E-2</v>
      </c>
      <c r="X323" s="32">
        <v>5.8048000000000002E-2</v>
      </c>
      <c r="Y323" s="32">
        <v>-8.1278000000000003E-2</v>
      </c>
      <c r="Z323" s="32">
        <v>0.43388199999999999</v>
      </c>
      <c r="AA323" s="32">
        <v>0.77181999999999995</v>
      </c>
      <c r="AB323" s="32">
        <v>0.70545899999999995</v>
      </c>
    </row>
    <row r="324" spans="1:28" ht="15.6" customHeight="1" x14ac:dyDescent="0.25">
      <c r="A324" s="24" t="s">
        <v>584</v>
      </c>
      <c r="B324" s="50">
        <v>3903</v>
      </c>
      <c r="C324" s="25" t="s">
        <v>585</v>
      </c>
      <c r="D324" s="25" t="s">
        <v>145</v>
      </c>
      <c r="E324" s="25" t="s">
        <v>194</v>
      </c>
      <c r="F324" s="25" t="s">
        <v>155</v>
      </c>
      <c r="G324" s="26" t="s">
        <v>139</v>
      </c>
      <c r="H324" s="27" t="s">
        <v>156</v>
      </c>
      <c r="I324" s="24" t="s">
        <v>106</v>
      </c>
      <c r="J324" s="24" t="s">
        <v>121</v>
      </c>
      <c r="K324" s="28" t="s">
        <v>227</v>
      </c>
      <c r="L324" s="29">
        <v>0</v>
      </c>
      <c r="M324" s="29">
        <v>0</v>
      </c>
      <c r="N324" s="29">
        <v>0.02</v>
      </c>
      <c r="O324" s="27" t="s">
        <v>148</v>
      </c>
      <c r="P324" s="30" t="s">
        <v>145</v>
      </c>
      <c r="Q324" s="31">
        <v>1450684222.8299999</v>
      </c>
      <c r="R324" s="31">
        <v>1817.2</v>
      </c>
      <c r="S324" s="32">
        <v>2.3446000000000002E-2</v>
      </c>
      <c r="T324" s="32" t="s">
        <v>139</v>
      </c>
      <c r="U324" s="32">
        <v>-9.8729999999999998E-3</v>
      </c>
      <c r="V324" s="32">
        <v>6.3418000000000002E-2</v>
      </c>
      <c r="W324" s="32">
        <v>2.1673999999999999E-2</v>
      </c>
      <c r="X324" s="32">
        <v>5.5504999999999999E-2</v>
      </c>
      <c r="Y324" s="32">
        <v>-8.2625000000000004E-2</v>
      </c>
      <c r="Z324" s="32">
        <v>0.41927700000000001</v>
      </c>
      <c r="AA324" s="32">
        <v>0.75473199999999996</v>
      </c>
      <c r="AB324" s="32">
        <v>0.70832799999999996</v>
      </c>
    </row>
    <row r="325" spans="1:28" ht="15.6" customHeight="1" x14ac:dyDescent="0.25">
      <c r="A325" s="24" t="s">
        <v>586</v>
      </c>
      <c r="B325" s="50">
        <v>3905</v>
      </c>
      <c r="C325" s="25" t="s">
        <v>587</v>
      </c>
      <c r="D325" s="25" t="s">
        <v>164</v>
      </c>
      <c r="E325" s="25" t="s">
        <v>194</v>
      </c>
      <c r="F325" s="25" t="s">
        <v>155</v>
      </c>
      <c r="G325" s="26" t="s">
        <v>139</v>
      </c>
      <c r="H325" s="27" t="s">
        <v>588</v>
      </c>
      <c r="I325" s="24" t="s">
        <v>106</v>
      </c>
      <c r="J325" s="24" t="s">
        <v>107</v>
      </c>
      <c r="K325" s="28" t="s">
        <v>227</v>
      </c>
      <c r="L325" s="29">
        <v>0</v>
      </c>
      <c r="M325" s="29">
        <v>0</v>
      </c>
      <c r="N325" s="29">
        <v>0.01</v>
      </c>
      <c r="O325" s="27" t="s">
        <v>166</v>
      </c>
      <c r="P325" s="30" t="s">
        <v>164</v>
      </c>
      <c r="Q325" s="31">
        <v>215989602</v>
      </c>
      <c r="R325" s="31">
        <v>1623.19</v>
      </c>
      <c r="S325" s="32">
        <v>0.11376500000000001</v>
      </c>
      <c r="T325" s="32" t="s">
        <v>139</v>
      </c>
      <c r="U325" s="32">
        <v>-1.0630000000000001E-2</v>
      </c>
      <c r="V325" s="32">
        <v>6.2275999999999998E-2</v>
      </c>
      <c r="W325" s="32">
        <v>3.3904999999999998E-2</v>
      </c>
      <c r="X325" s="32">
        <v>0.11485099999999999</v>
      </c>
      <c r="Y325" s="32">
        <v>4.0419999999999998E-2</v>
      </c>
      <c r="Z325" s="32">
        <v>0.48176999999999998</v>
      </c>
      <c r="AA325" s="32">
        <v>0.70135000000000003</v>
      </c>
      <c r="AB325" s="32" t="s">
        <v>139</v>
      </c>
    </row>
    <row r="326" spans="1:28" ht="15.6" customHeight="1" x14ac:dyDescent="0.25">
      <c r="A326" s="24" t="s">
        <v>1386</v>
      </c>
      <c r="B326" s="50">
        <v>3906</v>
      </c>
      <c r="C326" s="25" t="s">
        <v>1387</v>
      </c>
      <c r="D326" s="25" t="s">
        <v>164</v>
      </c>
      <c r="E326" s="25" t="s">
        <v>194</v>
      </c>
      <c r="F326" s="25" t="s">
        <v>155</v>
      </c>
      <c r="G326" s="26" t="s">
        <v>139</v>
      </c>
      <c r="H326" s="27" t="s">
        <v>588</v>
      </c>
      <c r="I326" s="24" t="s">
        <v>998</v>
      </c>
      <c r="J326" s="24" t="s">
        <v>107</v>
      </c>
      <c r="K326" s="28" t="s">
        <v>108</v>
      </c>
      <c r="L326" s="29">
        <v>0</v>
      </c>
      <c r="M326" s="29">
        <v>0</v>
      </c>
      <c r="N326" s="29">
        <v>0.01</v>
      </c>
      <c r="O326" s="27" t="s">
        <v>166</v>
      </c>
      <c r="P326" s="30" t="s">
        <v>164</v>
      </c>
      <c r="Q326" s="31">
        <v>210025571.05000001</v>
      </c>
      <c r="R326" s="31">
        <v>1519.96</v>
      </c>
      <c r="S326" s="32">
        <v>0.100392</v>
      </c>
      <c r="T326" s="32" t="s">
        <v>139</v>
      </c>
      <c r="U326" s="32">
        <v>-1.1124999999999999E-2</v>
      </c>
      <c r="V326" s="32">
        <v>6.0187999999999998E-2</v>
      </c>
      <c r="W326" s="32">
        <v>1.8541999999999999E-2</v>
      </c>
      <c r="X326" s="32">
        <v>0.10567500000000001</v>
      </c>
      <c r="Y326" s="32">
        <v>-5.1060000000000003E-3</v>
      </c>
      <c r="Z326" s="32">
        <v>0.46676099999999998</v>
      </c>
      <c r="AA326" s="32">
        <v>0.68319600000000003</v>
      </c>
      <c r="AB326" s="32" t="s">
        <v>139</v>
      </c>
    </row>
    <row r="327" spans="1:28" ht="15.6" customHeight="1" x14ac:dyDescent="0.25">
      <c r="A327" s="24" t="s">
        <v>589</v>
      </c>
      <c r="B327" s="50">
        <v>3907</v>
      </c>
      <c r="C327" s="25" t="s">
        <v>590</v>
      </c>
      <c r="D327" s="25" t="s">
        <v>322</v>
      </c>
      <c r="E327" s="25" t="s">
        <v>194</v>
      </c>
      <c r="F327" s="25" t="s">
        <v>113</v>
      </c>
      <c r="G327" s="26" t="s">
        <v>465</v>
      </c>
      <c r="H327" s="27" t="s">
        <v>120</v>
      </c>
      <c r="I327" s="24" t="s">
        <v>106</v>
      </c>
      <c r="J327" s="24" t="s">
        <v>107</v>
      </c>
      <c r="K327" s="28" t="s">
        <v>108</v>
      </c>
      <c r="L327" s="29">
        <v>0.03</v>
      </c>
      <c r="M327" s="29">
        <v>1.4999999999999999E-2</v>
      </c>
      <c r="N327" s="29">
        <v>0.02</v>
      </c>
      <c r="O327" s="27" t="s">
        <v>548</v>
      </c>
      <c r="P327" s="30" t="s">
        <v>322</v>
      </c>
      <c r="Q327" s="31">
        <v>444316951.76999998</v>
      </c>
      <c r="R327" s="31">
        <v>104.87</v>
      </c>
      <c r="S327" s="32">
        <v>-1.6180000000000001E-3</v>
      </c>
      <c r="T327" s="32" t="s">
        <v>139</v>
      </c>
      <c r="U327" s="32">
        <v>0</v>
      </c>
      <c r="V327" s="32">
        <v>7.2030000000000002E-3</v>
      </c>
      <c r="W327" s="32">
        <v>4.117E-3</v>
      </c>
      <c r="X327" s="32">
        <v>3.4450000000000001E-3</v>
      </c>
      <c r="Y327" s="32">
        <v>-9.1649999999999995E-3</v>
      </c>
      <c r="Z327" s="32">
        <v>5.0486000000000003E-2</v>
      </c>
      <c r="AA327" s="32">
        <v>0.107977</v>
      </c>
      <c r="AB327" s="32" t="s">
        <v>139</v>
      </c>
    </row>
    <row r="328" spans="1:28" ht="15.6" customHeight="1" x14ac:dyDescent="0.25">
      <c r="A328" s="24" t="s">
        <v>1388</v>
      </c>
      <c r="B328" s="50">
        <v>3908</v>
      </c>
      <c r="C328" s="25" t="s">
        <v>1389</v>
      </c>
      <c r="D328" s="25" t="s">
        <v>322</v>
      </c>
      <c r="E328" s="25" t="s">
        <v>194</v>
      </c>
      <c r="F328" s="25" t="s">
        <v>113</v>
      </c>
      <c r="G328" s="26" t="s">
        <v>638</v>
      </c>
      <c r="H328" s="27" t="s">
        <v>1390</v>
      </c>
      <c r="I328" s="24" t="s">
        <v>998</v>
      </c>
      <c r="J328" s="24" t="s">
        <v>107</v>
      </c>
      <c r="K328" s="28" t="s">
        <v>108</v>
      </c>
      <c r="L328" s="29">
        <v>0.03</v>
      </c>
      <c r="M328" s="29">
        <v>1.4999999999999999E-2</v>
      </c>
      <c r="N328" s="29">
        <v>0.02</v>
      </c>
      <c r="O328" s="27" t="s">
        <v>166</v>
      </c>
      <c r="P328" s="30" t="s">
        <v>322</v>
      </c>
      <c r="Q328" s="31">
        <v>128442052.03</v>
      </c>
      <c r="R328" s="31">
        <v>113.72</v>
      </c>
      <c r="S328" s="32">
        <v>-1.1731999999999999E-2</v>
      </c>
      <c r="T328" s="32" t="s">
        <v>139</v>
      </c>
      <c r="U328" s="32">
        <v>6.1600000000000001E-4</v>
      </c>
      <c r="V328" s="32">
        <v>1.9380000000000001E-3</v>
      </c>
      <c r="W328" s="32">
        <v>-2.281E-3</v>
      </c>
      <c r="X328" s="32">
        <v>-8.7170000000000008E-3</v>
      </c>
      <c r="Y328" s="32">
        <v>-1.7877000000000001E-2</v>
      </c>
      <c r="Z328" s="32">
        <v>5.3744E-2</v>
      </c>
      <c r="AA328" s="32">
        <v>0.31727100000000003</v>
      </c>
      <c r="AB328" s="32" t="s">
        <v>139</v>
      </c>
    </row>
    <row r="329" spans="1:28" ht="15.6" customHeight="1" x14ac:dyDescent="0.25">
      <c r="A329" s="24" t="s">
        <v>591</v>
      </c>
      <c r="B329" s="50">
        <v>3909</v>
      </c>
      <c r="C329" s="25" t="s">
        <v>592</v>
      </c>
      <c r="D329" s="25" t="s">
        <v>355</v>
      </c>
      <c r="E329" s="25" t="s">
        <v>194</v>
      </c>
      <c r="F329" s="25" t="s">
        <v>155</v>
      </c>
      <c r="G329" s="26" t="s">
        <v>139</v>
      </c>
      <c r="H329" s="27" t="s">
        <v>156</v>
      </c>
      <c r="I329" s="24" t="s">
        <v>106</v>
      </c>
      <c r="J329" s="24" t="s">
        <v>107</v>
      </c>
      <c r="K329" s="28" t="s">
        <v>108</v>
      </c>
      <c r="L329" s="29">
        <v>0.03</v>
      </c>
      <c r="M329" s="29">
        <v>1.4999999999999999E-2</v>
      </c>
      <c r="N329" s="29">
        <v>0.02</v>
      </c>
      <c r="O329" s="27" t="s">
        <v>161</v>
      </c>
      <c r="P329" s="30" t="s">
        <v>355</v>
      </c>
      <c r="Q329" s="31">
        <v>922979058.99000001</v>
      </c>
      <c r="R329" s="31">
        <v>1467.89</v>
      </c>
      <c r="S329" s="32">
        <v>-2.6553E-2</v>
      </c>
      <c r="T329" s="32" t="s">
        <v>139</v>
      </c>
      <c r="U329" s="32">
        <v>-9.7680000000000006E-3</v>
      </c>
      <c r="V329" s="32">
        <v>5.8999999999999997E-2</v>
      </c>
      <c r="W329" s="32">
        <v>1.4893E-2</v>
      </c>
      <c r="X329" s="32">
        <v>1.2526000000000001E-2</v>
      </c>
      <c r="Y329" s="32">
        <v>-0.13816300000000001</v>
      </c>
      <c r="Z329" s="32">
        <v>0.28120600000000001</v>
      </c>
      <c r="AA329" s="32">
        <v>0.58252800000000005</v>
      </c>
      <c r="AB329" s="32" t="s">
        <v>139</v>
      </c>
    </row>
    <row r="330" spans="1:28" ht="15.6" customHeight="1" x14ac:dyDescent="0.25">
      <c r="A330" s="24" t="s">
        <v>1391</v>
      </c>
      <c r="B330" s="50">
        <v>3910</v>
      </c>
      <c r="C330" s="25" t="s">
        <v>1392</v>
      </c>
      <c r="D330" s="25" t="s">
        <v>159</v>
      </c>
      <c r="E330" s="25" t="s">
        <v>194</v>
      </c>
      <c r="F330" s="25" t="s">
        <v>138</v>
      </c>
      <c r="G330" s="26" t="s">
        <v>139</v>
      </c>
      <c r="H330" s="27" t="s">
        <v>139</v>
      </c>
      <c r="I330" s="24" t="s">
        <v>998</v>
      </c>
      <c r="J330" s="24" t="s">
        <v>107</v>
      </c>
      <c r="K330" s="28" t="s">
        <v>108</v>
      </c>
      <c r="L330" s="29">
        <v>2E-3</v>
      </c>
      <c r="M330" s="29">
        <v>2E-3</v>
      </c>
      <c r="N330" s="29">
        <v>0.02</v>
      </c>
      <c r="O330" s="27" t="s">
        <v>161</v>
      </c>
      <c r="P330" s="30" t="s">
        <v>1393</v>
      </c>
      <c r="Q330" s="31">
        <v>570091520.16999996</v>
      </c>
      <c r="R330" s="31">
        <v>1176.33</v>
      </c>
      <c r="S330" s="32">
        <v>8.116E-3</v>
      </c>
      <c r="T330" s="32" t="s">
        <v>139</v>
      </c>
      <c r="U330" s="32">
        <v>-3.212E-3</v>
      </c>
      <c r="V330" s="32">
        <v>1.7675E-2</v>
      </c>
      <c r="W330" s="32">
        <v>5.5050000000000003E-3</v>
      </c>
      <c r="X330" s="32">
        <v>1.3099E-2</v>
      </c>
      <c r="Y330" s="32">
        <v>-1.4857E-2</v>
      </c>
      <c r="Z330" s="32">
        <v>0.114635</v>
      </c>
      <c r="AA330" s="32">
        <v>0.18056800000000001</v>
      </c>
      <c r="AB330" s="32" t="s">
        <v>139</v>
      </c>
    </row>
    <row r="331" spans="1:28" ht="15.6" customHeight="1" x14ac:dyDescent="0.25">
      <c r="A331" s="24" t="s">
        <v>593</v>
      </c>
      <c r="B331" s="50">
        <v>3911</v>
      </c>
      <c r="C331" s="25" t="s">
        <v>594</v>
      </c>
      <c r="D331" s="25" t="s">
        <v>261</v>
      </c>
      <c r="E331" s="25" t="s">
        <v>194</v>
      </c>
      <c r="F331" s="25" t="s">
        <v>128</v>
      </c>
      <c r="G331" s="26" t="s">
        <v>289</v>
      </c>
      <c r="H331" s="27" t="s">
        <v>270</v>
      </c>
      <c r="I331" s="24" t="s">
        <v>106</v>
      </c>
      <c r="J331" s="24" t="s">
        <v>107</v>
      </c>
      <c r="K331" s="28" t="s">
        <v>108</v>
      </c>
      <c r="L331" s="29">
        <v>0.03</v>
      </c>
      <c r="M331" s="29">
        <v>1.4999999999999999E-2</v>
      </c>
      <c r="N331" s="29">
        <v>0.02</v>
      </c>
      <c r="O331" s="27" t="s">
        <v>262</v>
      </c>
      <c r="P331" s="30" t="s">
        <v>595</v>
      </c>
      <c r="Q331" s="31">
        <v>2123092368.8299999</v>
      </c>
      <c r="R331" s="31">
        <v>1147.55</v>
      </c>
      <c r="S331" s="32">
        <v>1.8894000000000001E-2</v>
      </c>
      <c r="T331" s="32" t="s">
        <v>139</v>
      </c>
      <c r="U331" s="32">
        <v>4.8000000000000001E-4</v>
      </c>
      <c r="V331" s="32">
        <v>2.5600000000000002E-3</v>
      </c>
      <c r="W331" s="32">
        <v>6.4549999999999998E-3</v>
      </c>
      <c r="X331" s="32">
        <v>1.4113000000000001E-2</v>
      </c>
      <c r="Y331" s="32">
        <v>2.7515999999999999E-2</v>
      </c>
      <c r="Z331" s="32">
        <v>6.4804E-2</v>
      </c>
      <c r="AA331" s="32">
        <v>0.108873</v>
      </c>
      <c r="AB331" s="32" t="s">
        <v>139</v>
      </c>
    </row>
    <row r="332" spans="1:28" ht="15.6" customHeight="1" x14ac:dyDescent="0.25">
      <c r="A332" s="24" t="s">
        <v>596</v>
      </c>
      <c r="B332" s="50">
        <v>3912</v>
      </c>
      <c r="C332" s="25" t="s">
        <v>597</v>
      </c>
      <c r="D332" s="25" t="s">
        <v>261</v>
      </c>
      <c r="E332" s="25" t="s">
        <v>194</v>
      </c>
      <c r="F332" s="25" t="s">
        <v>113</v>
      </c>
      <c r="G332" s="26" t="s">
        <v>465</v>
      </c>
      <c r="H332" s="27" t="s">
        <v>598</v>
      </c>
      <c r="I332" s="24" t="s">
        <v>106</v>
      </c>
      <c r="J332" s="24" t="s">
        <v>107</v>
      </c>
      <c r="K332" s="28" t="s">
        <v>108</v>
      </c>
      <c r="L332" s="29">
        <v>0.03</v>
      </c>
      <c r="M332" s="29">
        <v>1.4999999999999999E-2</v>
      </c>
      <c r="N332" s="29">
        <v>0.02</v>
      </c>
      <c r="O332" s="27" t="s">
        <v>262</v>
      </c>
      <c r="P332" s="30" t="s">
        <v>595</v>
      </c>
      <c r="Q332" s="31">
        <v>402422270.87</v>
      </c>
      <c r="R332" s="31">
        <v>1154.32</v>
      </c>
      <c r="S332" s="32">
        <v>-2.833E-3</v>
      </c>
      <c r="T332" s="32" t="s">
        <v>139</v>
      </c>
      <c r="U332" s="32">
        <v>1.067E-3</v>
      </c>
      <c r="V332" s="32">
        <v>5.6979999999999999E-3</v>
      </c>
      <c r="W332" s="32">
        <v>4.5430000000000002E-3</v>
      </c>
      <c r="X332" s="32">
        <v>-1.885E-3</v>
      </c>
      <c r="Y332" s="32">
        <v>-6.6259999999999999E-3</v>
      </c>
      <c r="Z332" s="32">
        <v>7.2249999999999995E-2</v>
      </c>
      <c r="AA332" s="32">
        <v>0.14038500000000001</v>
      </c>
      <c r="AB332" s="32" t="s">
        <v>139</v>
      </c>
    </row>
    <row r="333" spans="1:28" ht="15.6" customHeight="1" x14ac:dyDescent="0.25">
      <c r="A333" s="24" t="s">
        <v>1394</v>
      </c>
      <c r="B333" s="50">
        <v>3913</v>
      </c>
      <c r="C333" s="25" t="s">
        <v>11</v>
      </c>
      <c r="D333" s="25" t="s">
        <v>112</v>
      </c>
      <c r="E333" s="25" t="s">
        <v>194</v>
      </c>
      <c r="F333" s="25" t="s">
        <v>155</v>
      </c>
      <c r="G333" s="26" t="s">
        <v>139</v>
      </c>
      <c r="H333" s="27" t="s">
        <v>1395</v>
      </c>
      <c r="I333" s="24" t="s">
        <v>998</v>
      </c>
      <c r="J333" s="24" t="s">
        <v>107</v>
      </c>
      <c r="K333" s="28" t="s">
        <v>108</v>
      </c>
      <c r="L333" s="29">
        <v>0.03</v>
      </c>
      <c r="M333" s="29">
        <v>1.4999999999999999E-2</v>
      </c>
      <c r="N333" s="29">
        <v>0.02</v>
      </c>
      <c r="O333" s="27" t="s">
        <v>116</v>
      </c>
      <c r="P333" s="30" t="s">
        <v>112</v>
      </c>
      <c r="Q333" s="31">
        <v>250045586.47999999</v>
      </c>
      <c r="R333" s="31">
        <v>962.54</v>
      </c>
      <c r="S333" s="32">
        <v>1.8044000000000001E-2</v>
      </c>
      <c r="T333" s="32" t="s">
        <v>139</v>
      </c>
      <c r="U333" s="32">
        <v>-1.1015E-2</v>
      </c>
      <c r="V333" s="32">
        <v>5.5972000000000001E-2</v>
      </c>
      <c r="W333" s="32">
        <v>2.2369E-2</v>
      </c>
      <c r="X333" s="32">
        <v>5.2979999999999999E-2</v>
      </c>
      <c r="Y333" s="32">
        <v>-8.5741999999999999E-2</v>
      </c>
      <c r="Z333" s="32">
        <v>3.4756000000000002E-2</v>
      </c>
      <c r="AA333" s="32">
        <v>0.111247</v>
      </c>
      <c r="AB333" s="32" t="s">
        <v>139</v>
      </c>
    </row>
    <row r="334" spans="1:28" ht="15.6" customHeight="1" x14ac:dyDescent="0.25">
      <c r="A334" s="24" t="s">
        <v>599</v>
      </c>
      <c r="B334" s="50">
        <v>3914</v>
      </c>
      <c r="C334" s="25" t="s">
        <v>600</v>
      </c>
      <c r="D334" s="25" t="s">
        <v>342</v>
      </c>
      <c r="E334" s="25" t="s">
        <v>194</v>
      </c>
      <c r="F334" s="25" t="s">
        <v>128</v>
      </c>
      <c r="G334" s="26" t="s">
        <v>289</v>
      </c>
      <c r="H334" s="27" t="s">
        <v>130</v>
      </c>
      <c r="I334" s="24" t="s">
        <v>106</v>
      </c>
      <c r="J334" s="24" t="s">
        <v>107</v>
      </c>
      <c r="K334" s="28" t="s">
        <v>108</v>
      </c>
      <c r="L334" s="29">
        <v>0.03</v>
      </c>
      <c r="M334" s="29">
        <v>0.03</v>
      </c>
      <c r="N334" s="29">
        <v>0.02</v>
      </c>
      <c r="O334" s="27" t="s">
        <v>141</v>
      </c>
      <c r="P334" s="30" t="s">
        <v>344</v>
      </c>
      <c r="Q334" s="31">
        <v>2124414844.9400001</v>
      </c>
      <c r="R334" s="31">
        <v>1153.58</v>
      </c>
      <c r="S334" s="32">
        <v>1.9956000000000002E-2</v>
      </c>
      <c r="T334" s="32" t="s">
        <v>139</v>
      </c>
      <c r="U334" s="32">
        <v>4.7699999999999999E-4</v>
      </c>
      <c r="V334" s="32">
        <v>2.6770000000000001E-3</v>
      </c>
      <c r="W334" s="32">
        <v>7.3969999999999999E-3</v>
      </c>
      <c r="X334" s="32">
        <v>1.5207E-2</v>
      </c>
      <c r="Y334" s="32">
        <v>2.8742E-2</v>
      </c>
      <c r="Z334" s="32">
        <v>6.8544999999999995E-2</v>
      </c>
      <c r="AA334" s="32">
        <v>0.11538900000000001</v>
      </c>
      <c r="AB334" s="32" t="s">
        <v>139</v>
      </c>
    </row>
    <row r="335" spans="1:28" ht="15.6" customHeight="1" x14ac:dyDescent="0.25">
      <c r="A335" s="24" t="s">
        <v>1396</v>
      </c>
      <c r="B335" s="50">
        <v>3915</v>
      </c>
      <c r="C335" s="25" t="s">
        <v>1397</v>
      </c>
      <c r="D335" s="25" t="s">
        <v>342</v>
      </c>
      <c r="E335" s="25" t="s">
        <v>194</v>
      </c>
      <c r="F335" s="25" t="s">
        <v>113</v>
      </c>
      <c r="G335" s="26" t="s">
        <v>1072</v>
      </c>
      <c r="H335" s="27" t="s">
        <v>115</v>
      </c>
      <c r="I335" s="24" t="s">
        <v>998</v>
      </c>
      <c r="J335" s="24" t="s">
        <v>107</v>
      </c>
      <c r="K335" s="28" t="s">
        <v>108</v>
      </c>
      <c r="L335" s="29">
        <v>0.03</v>
      </c>
      <c r="M335" s="29">
        <v>0.03</v>
      </c>
      <c r="N335" s="29">
        <v>0.02</v>
      </c>
      <c r="O335" s="27" t="s">
        <v>141</v>
      </c>
      <c r="P335" s="30" t="s">
        <v>344</v>
      </c>
      <c r="Q335" s="31">
        <v>3166319983.48</v>
      </c>
      <c r="R335" s="31">
        <v>1167.55</v>
      </c>
      <c r="S335" s="32">
        <v>-3.9329999999999999E-3</v>
      </c>
      <c r="T335" s="32" t="s">
        <v>139</v>
      </c>
      <c r="U335" s="32">
        <v>2.31E-4</v>
      </c>
      <c r="V335" s="32">
        <v>7.1079999999999997E-3</v>
      </c>
      <c r="W335" s="32">
        <v>3.921E-3</v>
      </c>
      <c r="X335" s="32">
        <v>-3.0400000000000002E-3</v>
      </c>
      <c r="Y335" s="32">
        <v>-1.627E-2</v>
      </c>
      <c r="Z335" s="32">
        <v>9.9481E-2</v>
      </c>
      <c r="AA335" s="32">
        <v>0.19215599999999999</v>
      </c>
      <c r="AB335" s="32" t="s">
        <v>139</v>
      </c>
    </row>
    <row r="336" spans="1:28" ht="15.6" customHeight="1" x14ac:dyDescent="0.25">
      <c r="A336" s="24" t="s">
        <v>601</v>
      </c>
      <c r="B336" s="50">
        <v>3916</v>
      </c>
      <c r="C336" s="25" t="s">
        <v>602</v>
      </c>
      <c r="D336" s="25" t="s">
        <v>355</v>
      </c>
      <c r="E336" s="25" t="s">
        <v>194</v>
      </c>
      <c r="F336" s="25" t="s">
        <v>138</v>
      </c>
      <c r="G336" s="26" t="s">
        <v>139</v>
      </c>
      <c r="H336" s="27" t="s">
        <v>603</v>
      </c>
      <c r="I336" s="24" t="s">
        <v>106</v>
      </c>
      <c r="J336" s="24" t="s">
        <v>107</v>
      </c>
      <c r="K336" s="28" t="s">
        <v>108</v>
      </c>
      <c r="L336" s="29">
        <v>0.03</v>
      </c>
      <c r="M336" s="29">
        <v>1.4999999999999999E-2</v>
      </c>
      <c r="N336" s="29">
        <v>0.02</v>
      </c>
      <c r="O336" s="27" t="s">
        <v>161</v>
      </c>
      <c r="P336" s="30" t="s">
        <v>355</v>
      </c>
      <c r="Q336" s="31">
        <v>727842729.49000001</v>
      </c>
      <c r="R336" s="31">
        <v>1358.88</v>
      </c>
      <c r="S336" s="32">
        <v>-1.6473000000000002E-2</v>
      </c>
      <c r="T336" s="32" t="s">
        <v>139</v>
      </c>
      <c r="U336" s="32">
        <v>-5.365E-3</v>
      </c>
      <c r="V336" s="32">
        <v>3.3753999999999999E-2</v>
      </c>
      <c r="W336" s="32">
        <v>4.287E-3</v>
      </c>
      <c r="X336" s="32">
        <v>2.686E-3</v>
      </c>
      <c r="Y336" s="32">
        <v>-7.4275999999999995E-2</v>
      </c>
      <c r="Z336" s="32">
        <v>0.27027800000000002</v>
      </c>
      <c r="AA336" s="32">
        <v>0.40377299999999999</v>
      </c>
      <c r="AB336" s="32" t="s">
        <v>139</v>
      </c>
    </row>
    <row r="337" spans="1:28" ht="15.6" customHeight="1" x14ac:dyDescent="0.25">
      <c r="A337" s="24" t="s">
        <v>604</v>
      </c>
      <c r="B337" s="50">
        <v>3917</v>
      </c>
      <c r="C337" s="25" t="s">
        <v>605</v>
      </c>
      <c r="D337" s="25" t="s">
        <v>355</v>
      </c>
      <c r="E337" s="25" t="s">
        <v>194</v>
      </c>
      <c r="F337" s="25" t="s">
        <v>113</v>
      </c>
      <c r="G337" s="26" t="s">
        <v>493</v>
      </c>
      <c r="H337" s="27" t="s">
        <v>115</v>
      </c>
      <c r="I337" s="24" t="s">
        <v>106</v>
      </c>
      <c r="J337" s="24" t="s">
        <v>107</v>
      </c>
      <c r="K337" s="28" t="s">
        <v>108</v>
      </c>
      <c r="L337" s="29">
        <v>0.03</v>
      </c>
      <c r="M337" s="29">
        <v>1.4999999999999999E-2</v>
      </c>
      <c r="N337" s="29">
        <v>0.02</v>
      </c>
      <c r="O337" s="27" t="s">
        <v>161</v>
      </c>
      <c r="P337" s="30" t="s">
        <v>355</v>
      </c>
      <c r="Q337" s="31">
        <v>1075499.97</v>
      </c>
      <c r="R337" s="31">
        <v>1075.5</v>
      </c>
      <c r="S337" s="32">
        <v>8.5710000000000005E-3</v>
      </c>
      <c r="T337" s="32" t="s">
        <v>139</v>
      </c>
      <c r="U337" s="32">
        <v>1.201E-3</v>
      </c>
      <c r="V337" s="32">
        <v>3.2650000000000001E-3</v>
      </c>
      <c r="W337" s="32">
        <v>4.9049999999999996E-3</v>
      </c>
      <c r="X337" s="32">
        <v>7.2870000000000001E-3</v>
      </c>
      <c r="Y337" s="32">
        <v>6.9280000000000001E-3</v>
      </c>
      <c r="Z337" s="32">
        <v>4.7194E-2</v>
      </c>
      <c r="AA337" s="32">
        <v>9.4789999999999999E-2</v>
      </c>
      <c r="AB337" s="32" t="s">
        <v>139</v>
      </c>
    </row>
    <row r="338" spans="1:28" ht="15.6" customHeight="1" x14ac:dyDescent="0.25">
      <c r="A338" s="24" t="s">
        <v>1398</v>
      </c>
      <c r="B338" s="50">
        <v>3918</v>
      </c>
      <c r="C338" s="25" t="s">
        <v>1399</v>
      </c>
      <c r="D338" s="25" t="s">
        <v>342</v>
      </c>
      <c r="E338" s="25" t="s">
        <v>194</v>
      </c>
      <c r="F338" s="25" t="s">
        <v>113</v>
      </c>
      <c r="G338" s="26" t="s">
        <v>702</v>
      </c>
      <c r="H338" s="27" t="s">
        <v>115</v>
      </c>
      <c r="I338" s="24" t="s">
        <v>998</v>
      </c>
      <c r="J338" s="24" t="s">
        <v>121</v>
      </c>
      <c r="K338" s="28" t="s">
        <v>108</v>
      </c>
      <c r="L338" s="29">
        <v>0</v>
      </c>
      <c r="M338" s="29">
        <v>0</v>
      </c>
      <c r="N338" s="29">
        <v>0.02</v>
      </c>
      <c r="O338" s="27" t="s">
        <v>548</v>
      </c>
      <c r="P338" s="30" t="s">
        <v>342</v>
      </c>
      <c r="Q338" s="31">
        <v>2915684673.6999998</v>
      </c>
      <c r="R338" s="31">
        <v>1265.3</v>
      </c>
      <c r="S338" s="32">
        <v>2.9489999999999998E-3</v>
      </c>
      <c r="T338" s="32" t="s">
        <v>139</v>
      </c>
      <c r="U338" s="32">
        <v>2.7700000000000001E-4</v>
      </c>
      <c r="V338" s="32">
        <v>6.5069999999999998E-3</v>
      </c>
      <c r="W338" s="32">
        <v>6.339E-3</v>
      </c>
      <c r="X338" s="32">
        <v>3.4499999999999999E-3</v>
      </c>
      <c r="Y338" s="32">
        <v>-8.6499999999999997E-3</v>
      </c>
      <c r="Z338" s="32">
        <v>0.109669</v>
      </c>
      <c r="AA338" s="32">
        <v>0.22672</v>
      </c>
      <c r="AB338" s="32" t="s">
        <v>139</v>
      </c>
    </row>
    <row r="339" spans="1:28" ht="15.6" customHeight="1" x14ac:dyDescent="0.25">
      <c r="A339" s="24" t="s">
        <v>1400</v>
      </c>
      <c r="B339" s="50">
        <v>3919</v>
      </c>
      <c r="C339" s="25" t="s">
        <v>1401</v>
      </c>
      <c r="D339" s="25" t="s">
        <v>524</v>
      </c>
      <c r="E339" s="25" t="s">
        <v>194</v>
      </c>
      <c r="F339" s="25" t="s">
        <v>113</v>
      </c>
      <c r="G339" s="26" t="s">
        <v>493</v>
      </c>
      <c r="H339" s="27" t="s">
        <v>115</v>
      </c>
      <c r="I339" s="24" t="s">
        <v>998</v>
      </c>
      <c r="J339" s="24" t="s">
        <v>107</v>
      </c>
      <c r="K339" s="28" t="s">
        <v>108</v>
      </c>
      <c r="L339" s="29">
        <v>0</v>
      </c>
      <c r="M339" s="29">
        <v>0</v>
      </c>
      <c r="N339" s="29">
        <v>0.01</v>
      </c>
      <c r="O339" s="27" t="s">
        <v>141</v>
      </c>
      <c r="P339" s="30" t="s">
        <v>525</v>
      </c>
      <c r="Q339" s="31">
        <v>238076086.27000001</v>
      </c>
      <c r="R339" s="31">
        <v>1154.55</v>
      </c>
      <c r="S339" s="32">
        <v>-1.2158E-2</v>
      </c>
      <c r="T339" s="32" t="s">
        <v>139</v>
      </c>
      <c r="U339" s="32">
        <v>2.1699999999999999E-4</v>
      </c>
      <c r="V339" s="32">
        <v>5.679E-3</v>
      </c>
      <c r="W339" s="32">
        <v>2.0049999999999998E-3</v>
      </c>
      <c r="X339" s="32">
        <v>-7.9229999999999995E-3</v>
      </c>
      <c r="Y339" s="32">
        <v>-3.1782999999999999E-2</v>
      </c>
      <c r="Z339" s="32">
        <v>6.1265E-2</v>
      </c>
      <c r="AA339" s="32">
        <v>0.150065</v>
      </c>
      <c r="AB339" s="32" t="s">
        <v>139</v>
      </c>
    </row>
    <row r="340" spans="1:28" ht="15.6" customHeight="1" x14ac:dyDescent="0.25">
      <c r="A340" s="24" t="s">
        <v>1402</v>
      </c>
      <c r="B340" s="50">
        <v>3920</v>
      </c>
      <c r="C340" s="25" t="s">
        <v>1403</v>
      </c>
      <c r="D340" s="25" t="s">
        <v>524</v>
      </c>
      <c r="E340" s="25" t="s">
        <v>194</v>
      </c>
      <c r="F340" s="25" t="s">
        <v>138</v>
      </c>
      <c r="G340" s="26" t="s">
        <v>139</v>
      </c>
      <c r="H340" s="27" t="s">
        <v>223</v>
      </c>
      <c r="I340" s="24" t="s">
        <v>998</v>
      </c>
      <c r="J340" s="24" t="s">
        <v>107</v>
      </c>
      <c r="K340" s="28" t="s">
        <v>108</v>
      </c>
      <c r="L340" s="29">
        <v>1.4999999999999999E-2</v>
      </c>
      <c r="M340" s="29">
        <v>1.4999999999999999E-2</v>
      </c>
      <c r="N340" s="29">
        <v>0.01</v>
      </c>
      <c r="O340" s="27" t="s">
        <v>141</v>
      </c>
      <c r="P340" s="30" t="s">
        <v>525</v>
      </c>
      <c r="Q340" s="31">
        <v>297016740.29000002</v>
      </c>
      <c r="R340" s="31">
        <v>1203.27</v>
      </c>
      <c r="S340" s="32">
        <v>-3.0269999999999998E-2</v>
      </c>
      <c r="T340" s="32" t="s">
        <v>139</v>
      </c>
      <c r="U340" s="32">
        <v>-4.6160000000000003E-3</v>
      </c>
      <c r="V340" s="32">
        <v>2.8902000000000001E-2</v>
      </c>
      <c r="W340" s="32">
        <v>8.0699999999999999E-4</v>
      </c>
      <c r="X340" s="32">
        <v>-4.1219999999999998E-3</v>
      </c>
      <c r="Y340" s="32">
        <v>-0.111138</v>
      </c>
      <c r="Z340" s="32">
        <v>0.12903600000000001</v>
      </c>
      <c r="AA340" s="32">
        <v>0.18943699999999999</v>
      </c>
      <c r="AB340" s="32" t="s">
        <v>139</v>
      </c>
    </row>
    <row r="341" spans="1:28" ht="15.6" customHeight="1" x14ac:dyDescent="0.25">
      <c r="A341" s="24" t="s">
        <v>606</v>
      </c>
      <c r="B341" s="50">
        <v>3921</v>
      </c>
      <c r="C341" s="25" t="s">
        <v>67</v>
      </c>
      <c r="D341" s="25" t="s">
        <v>145</v>
      </c>
      <c r="E341" s="25" t="s">
        <v>194</v>
      </c>
      <c r="F341" s="25" t="s">
        <v>138</v>
      </c>
      <c r="G341" s="26" t="s">
        <v>139</v>
      </c>
      <c r="H341" s="27" t="s">
        <v>607</v>
      </c>
      <c r="I341" s="24" t="s">
        <v>106</v>
      </c>
      <c r="J341" s="24" t="s">
        <v>107</v>
      </c>
      <c r="K341" s="28" t="s">
        <v>108</v>
      </c>
      <c r="L341" s="29">
        <v>0.02</v>
      </c>
      <c r="M341" s="29">
        <v>0.01</v>
      </c>
      <c r="N341" s="29">
        <v>0.02</v>
      </c>
      <c r="O341" s="27" t="s">
        <v>148</v>
      </c>
      <c r="P341" s="30" t="s">
        <v>145</v>
      </c>
      <c r="Q341" s="31">
        <v>811621774.38</v>
      </c>
      <c r="R341" s="31">
        <v>1469.15</v>
      </c>
      <c r="S341" s="32">
        <v>-2.6421E-2</v>
      </c>
      <c r="T341" s="32" t="s">
        <v>139</v>
      </c>
      <c r="U341" s="32">
        <v>-3.4529999999999999E-3</v>
      </c>
      <c r="V341" s="32">
        <v>1.9203000000000001E-2</v>
      </c>
      <c r="W341" s="32">
        <v>3.9639999999999996E-3</v>
      </c>
      <c r="X341" s="32">
        <v>-1.0580000000000001E-2</v>
      </c>
      <c r="Y341" s="32">
        <v>-8.4709999999999994E-2</v>
      </c>
      <c r="Z341" s="32">
        <v>0.106146</v>
      </c>
      <c r="AA341" s="32">
        <v>0.24884200000000001</v>
      </c>
      <c r="AB341" s="32">
        <v>0.12728800000000001</v>
      </c>
    </row>
    <row r="342" spans="1:28" ht="15.6" customHeight="1" x14ac:dyDescent="0.25">
      <c r="A342" s="24" t="s">
        <v>1404</v>
      </c>
      <c r="B342" s="50">
        <v>3922</v>
      </c>
      <c r="C342" s="25" t="s">
        <v>1405</v>
      </c>
      <c r="D342" s="25" t="s">
        <v>322</v>
      </c>
      <c r="E342" s="25" t="s">
        <v>194</v>
      </c>
      <c r="F342" s="25" t="s">
        <v>138</v>
      </c>
      <c r="G342" s="26" t="s">
        <v>139</v>
      </c>
      <c r="H342" s="27" t="s">
        <v>1406</v>
      </c>
      <c r="I342" s="24" t="s">
        <v>998</v>
      </c>
      <c r="J342" s="24" t="s">
        <v>121</v>
      </c>
      <c r="K342" s="28" t="s">
        <v>227</v>
      </c>
      <c r="L342" s="29">
        <v>0</v>
      </c>
      <c r="M342" s="29">
        <v>0</v>
      </c>
      <c r="N342" s="29">
        <v>0.02</v>
      </c>
      <c r="O342" s="27" t="s">
        <v>166</v>
      </c>
      <c r="P342" s="30" t="s">
        <v>322</v>
      </c>
      <c r="Q342" s="31">
        <v>520921702.16000003</v>
      </c>
      <c r="R342" s="31">
        <v>253.66</v>
      </c>
      <c r="S342" s="32">
        <v>2.2242000000000001E-2</v>
      </c>
      <c r="T342" s="32" t="s">
        <v>139</v>
      </c>
      <c r="U342" s="32">
        <v>-4.7869999999999996E-3</v>
      </c>
      <c r="V342" s="32">
        <v>3.8696000000000001E-2</v>
      </c>
      <c r="W342" s="32">
        <v>1.8918999999999998E-2</v>
      </c>
      <c r="X342" s="32">
        <v>3.5969000000000001E-2</v>
      </c>
      <c r="Y342" s="32">
        <v>-3.6586E-2</v>
      </c>
      <c r="Z342" s="32">
        <v>0.246172</v>
      </c>
      <c r="AA342" s="32">
        <v>0.44319500000000001</v>
      </c>
      <c r="AB342" s="32">
        <v>0.38592300000000002</v>
      </c>
    </row>
    <row r="343" spans="1:28" ht="15.6" customHeight="1" x14ac:dyDescent="0.25">
      <c r="A343" s="24" t="s">
        <v>608</v>
      </c>
      <c r="B343" s="50">
        <v>3923</v>
      </c>
      <c r="C343" s="25" t="s">
        <v>609</v>
      </c>
      <c r="D343" s="25" t="s">
        <v>145</v>
      </c>
      <c r="E343" s="25" t="s">
        <v>194</v>
      </c>
      <c r="F343" s="25" t="s">
        <v>113</v>
      </c>
      <c r="G343" s="26" t="s">
        <v>610</v>
      </c>
      <c r="H343" s="27" t="s">
        <v>115</v>
      </c>
      <c r="I343" s="24" t="s">
        <v>106</v>
      </c>
      <c r="J343" s="24" t="s">
        <v>107</v>
      </c>
      <c r="K343" s="28" t="s">
        <v>227</v>
      </c>
      <c r="L343" s="29">
        <v>0.02</v>
      </c>
      <c r="M343" s="29">
        <v>0.01</v>
      </c>
      <c r="N343" s="29">
        <v>0.02</v>
      </c>
      <c r="O343" s="27" t="s">
        <v>148</v>
      </c>
      <c r="P343" s="30" t="s">
        <v>494</v>
      </c>
      <c r="Q343" s="31">
        <v>1132195.8799999999</v>
      </c>
      <c r="R343" s="31">
        <v>1132.19</v>
      </c>
      <c r="S343" s="32">
        <v>7.5729999999999999E-3</v>
      </c>
      <c r="T343" s="32" t="s">
        <v>139</v>
      </c>
      <c r="U343" s="32">
        <v>9.6400000000000001E-4</v>
      </c>
      <c r="V343" s="32">
        <v>3.2959999999999999E-3</v>
      </c>
      <c r="W343" s="32">
        <v>5.0600000000000003E-3</v>
      </c>
      <c r="X343" s="32">
        <v>5.2830000000000004E-3</v>
      </c>
      <c r="Y343" s="32">
        <v>8.7039999999999999E-3</v>
      </c>
      <c r="Z343" s="32">
        <v>5.0863999999999999E-2</v>
      </c>
      <c r="AA343" s="32">
        <v>0.108241</v>
      </c>
      <c r="AB343" s="32" t="s">
        <v>139</v>
      </c>
    </row>
    <row r="344" spans="1:28" ht="15.6" customHeight="1" x14ac:dyDescent="0.25">
      <c r="A344" s="24" t="s">
        <v>1407</v>
      </c>
      <c r="B344" s="50">
        <v>3924</v>
      </c>
      <c r="C344" s="25" t="s">
        <v>1408</v>
      </c>
      <c r="D344" s="25" t="s">
        <v>570</v>
      </c>
      <c r="E344" s="25" t="s">
        <v>194</v>
      </c>
      <c r="F344" s="25" t="s">
        <v>113</v>
      </c>
      <c r="G344" s="26" t="s">
        <v>1066</v>
      </c>
      <c r="H344" s="27" t="s">
        <v>152</v>
      </c>
      <c r="I344" s="24" t="s">
        <v>998</v>
      </c>
      <c r="J344" s="24" t="s">
        <v>121</v>
      </c>
      <c r="K344" s="28" t="s">
        <v>108</v>
      </c>
      <c r="L344" s="29">
        <v>0</v>
      </c>
      <c r="M344" s="29">
        <v>0</v>
      </c>
      <c r="N344" s="29">
        <v>0.02</v>
      </c>
      <c r="O344" s="27" t="s">
        <v>548</v>
      </c>
      <c r="P344" s="30" t="s">
        <v>570</v>
      </c>
      <c r="Q344" s="31">
        <v>2862110795.7399998</v>
      </c>
      <c r="R344" s="31">
        <v>1260.06</v>
      </c>
      <c r="S344" s="32">
        <v>1.255E-3</v>
      </c>
      <c r="T344" s="32" t="s">
        <v>139</v>
      </c>
      <c r="U344" s="32">
        <v>-5.5999999999999999E-5</v>
      </c>
      <c r="V344" s="32">
        <v>8.9759999999999996E-3</v>
      </c>
      <c r="W344" s="32">
        <v>5.3140000000000001E-3</v>
      </c>
      <c r="X344" s="32">
        <v>2.8969999999999998E-3</v>
      </c>
      <c r="Y344" s="32">
        <v>-1.3034E-2</v>
      </c>
      <c r="Z344" s="32">
        <v>0.101355</v>
      </c>
      <c r="AA344" s="32">
        <v>0.21770800000000001</v>
      </c>
      <c r="AB344" s="32" t="s">
        <v>139</v>
      </c>
    </row>
    <row r="345" spans="1:28" ht="15.6" customHeight="1" x14ac:dyDescent="0.25">
      <c r="A345" s="24" t="s">
        <v>611</v>
      </c>
      <c r="B345" s="50">
        <v>3928</v>
      </c>
      <c r="C345" s="25" t="s">
        <v>612</v>
      </c>
      <c r="D345" s="25" t="s">
        <v>101</v>
      </c>
      <c r="E345" s="25" t="s">
        <v>194</v>
      </c>
      <c r="F345" s="25" t="s">
        <v>128</v>
      </c>
      <c r="G345" s="26" t="s">
        <v>129</v>
      </c>
      <c r="H345" s="27" t="s">
        <v>130</v>
      </c>
      <c r="I345" s="24" t="s">
        <v>106</v>
      </c>
      <c r="J345" s="24" t="s">
        <v>107</v>
      </c>
      <c r="K345" s="28" t="s">
        <v>180</v>
      </c>
      <c r="L345" s="29">
        <v>0</v>
      </c>
      <c r="M345" s="29">
        <v>0</v>
      </c>
      <c r="N345" s="29">
        <v>0.02</v>
      </c>
      <c r="O345" s="27" t="s">
        <v>109</v>
      </c>
      <c r="P345" s="30" t="s">
        <v>101</v>
      </c>
      <c r="Q345" s="31">
        <v>4770325.0999999996</v>
      </c>
      <c r="R345" s="31">
        <v>134.26</v>
      </c>
      <c r="S345" s="32">
        <v>1.3894999999999999E-2</v>
      </c>
      <c r="T345" s="32" t="s">
        <v>139</v>
      </c>
      <c r="U345" s="32">
        <v>4.4700000000000002E-4</v>
      </c>
      <c r="V345" s="32">
        <v>2.0149999999999999E-3</v>
      </c>
      <c r="W345" s="32">
        <v>4.79E-3</v>
      </c>
      <c r="X345" s="32">
        <v>1.0918000000000001E-2</v>
      </c>
      <c r="Y345" s="32">
        <v>1.8974000000000001E-2</v>
      </c>
      <c r="Z345" s="32">
        <v>4.7189000000000002E-2</v>
      </c>
      <c r="AA345" s="32">
        <v>9.1314000000000006E-2</v>
      </c>
      <c r="AB345" s="32">
        <v>0.13333999999999999</v>
      </c>
    </row>
    <row r="346" spans="1:28" ht="15.6" customHeight="1" x14ac:dyDescent="0.25">
      <c r="A346" s="24" t="s">
        <v>1409</v>
      </c>
      <c r="B346" s="50">
        <v>3929</v>
      </c>
      <c r="C346" s="25" t="s">
        <v>1410</v>
      </c>
      <c r="D346" s="25" t="s">
        <v>908</v>
      </c>
      <c r="E346" s="25" t="s">
        <v>194</v>
      </c>
      <c r="F346" s="25" t="s">
        <v>113</v>
      </c>
      <c r="G346" s="26" t="s">
        <v>702</v>
      </c>
      <c r="H346" s="27" t="s">
        <v>115</v>
      </c>
      <c r="I346" s="24" t="s">
        <v>998</v>
      </c>
      <c r="J346" s="24" t="s">
        <v>121</v>
      </c>
      <c r="K346" s="28" t="s">
        <v>108</v>
      </c>
      <c r="L346" s="29">
        <v>0</v>
      </c>
      <c r="M346" s="29">
        <v>0</v>
      </c>
      <c r="N346" s="29">
        <v>0.02</v>
      </c>
      <c r="O346" s="27" t="s">
        <v>548</v>
      </c>
      <c r="P346" s="30" t="s">
        <v>908</v>
      </c>
      <c r="Q346" s="31">
        <v>2195090535.6799998</v>
      </c>
      <c r="R346" s="31">
        <v>1261.49</v>
      </c>
      <c r="S346" s="32">
        <v>8.8850000000000005E-3</v>
      </c>
      <c r="T346" s="32" t="s">
        <v>139</v>
      </c>
      <c r="U346" s="32">
        <v>2.9300000000000002E-4</v>
      </c>
      <c r="V346" s="32">
        <v>8.3289999999999996E-3</v>
      </c>
      <c r="W346" s="32">
        <v>6.045E-3</v>
      </c>
      <c r="X346" s="32">
        <v>6.5269999999999998E-3</v>
      </c>
      <c r="Y346" s="32">
        <v>-1.346E-3</v>
      </c>
      <c r="Z346" s="32">
        <v>0.105194</v>
      </c>
      <c r="AA346" s="32">
        <v>0.21377599999999999</v>
      </c>
      <c r="AB346" s="32" t="s">
        <v>139</v>
      </c>
    </row>
    <row r="347" spans="1:28" ht="15.6" customHeight="1" x14ac:dyDescent="0.25">
      <c r="A347" s="24" t="s">
        <v>613</v>
      </c>
      <c r="B347" s="50">
        <v>3931</v>
      </c>
      <c r="C347" s="25" t="s">
        <v>614</v>
      </c>
      <c r="D347" s="25" t="s">
        <v>137</v>
      </c>
      <c r="E347" s="25" t="s">
        <v>194</v>
      </c>
      <c r="F347" s="25" t="s">
        <v>138</v>
      </c>
      <c r="G347" s="26" t="s">
        <v>139</v>
      </c>
      <c r="H347" s="27" t="s">
        <v>577</v>
      </c>
      <c r="I347" s="24" t="s">
        <v>106</v>
      </c>
      <c r="J347" s="24" t="s">
        <v>107</v>
      </c>
      <c r="K347" s="28" t="s">
        <v>227</v>
      </c>
      <c r="L347" s="29">
        <v>0.03</v>
      </c>
      <c r="M347" s="29">
        <v>1.4999999999999999E-2</v>
      </c>
      <c r="N347" s="29">
        <v>0.02</v>
      </c>
      <c r="O347" s="27" t="s">
        <v>141</v>
      </c>
      <c r="P347" s="30" t="s">
        <v>142</v>
      </c>
      <c r="Q347" s="31">
        <v>97667572.874478996</v>
      </c>
      <c r="R347" s="31">
        <v>1248.29</v>
      </c>
      <c r="S347" s="32">
        <v>3.7095999999999997E-2</v>
      </c>
      <c r="T347" s="32" t="s">
        <v>139</v>
      </c>
      <c r="U347" s="32">
        <v>5.3700000000000004E-4</v>
      </c>
      <c r="V347" s="32">
        <v>6.4989999999999996E-3</v>
      </c>
      <c r="W347" s="32">
        <v>5.6230000000000004E-3</v>
      </c>
      <c r="X347" s="32">
        <v>2.0846E-2</v>
      </c>
      <c r="Y347" s="32">
        <v>-1.3100000000000001E-2</v>
      </c>
      <c r="Z347" s="32">
        <v>0.14935399999999999</v>
      </c>
      <c r="AA347" s="32">
        <v>0.20680000000000001</v>
      </c>
      <c r="AB347" s="32" t="s">
        <v>139</v>
      </c>
    </row>
    <row r="348" spans="1:28" ht="15.6" customHeight="1" x14ac:dyDescent="0.25">
      <c r="A348" s="24" t="s">
        <v>615</v>
      </c>
      <c r="B348" s="50">
        <v>3932</v>
      </c>
      <c r="C348" s="25" t="s">
        <v>616</v>
      </c>
      <c r="D348" s="25" t="s">
        <v>137</v>
      </c>
      <c r="E348" s="25" t="s">
        <v>194</v>
      </c>
      <c r="F348" s="25" t="s">
        <v>138</v>
      </c>
      <c r="G348" s="26" t="s">
        <v>139</v>
      </c>
      <c r="H348" s="27" t="s">
        <v>617</v>
      </c>
      <c r="I348" s="24" t="s">
        <v>106</v>
      </c>
      <c r="J348" s="24" t="s">
        <v>107</v>
      </c>
      <c r="K348" s="28" t="s">
        <v>108</v>
      </c>
      <c r="L348" s="29">
        <v>0.03</v>
      </c>
      <c r="M348" s="29">
        <v>1.4999999999999999E-2</v>
      </c>
      <c r="N348" s="29">
        <v>0.02</v>
      </c>
      <c r="O348" s="27" t="s">
        <v>141</v>
      </c>
      <c r="P348" s="30" t="s">
        <v>142</v>
      </c>
      <c r="Q348" s="31">
        <v>95046456.446880996</v>
      </c>
      <c r="R348" s="31">
        <v>1224.29</v>
      </c>
      <c r="S348" s="32">
        <v>-8.8970000000000004E-3</v>
      </c>
      <c r="T348" s="32" t="s">
        <v>139</v>
      </c>
      <c r="U348" s="32">
        <v>-4.6909999999999999E-3</v>
      </c>
      <c r="V348" s="32">
        <v>3.0572999999999999E-2</v>
      </c>
      <c r="W348" s="32">
        <v>3.5490000000000001E-3</v>
      </c>
      <c r="X348" s="32">
        <v>2.8850000000000001E-2</v>
      </c>
      <c r="Y348" s="32">
        <v>-1.3997000000000001E-2</v>
      </c>
      <c r="Z348" s="32">
        <v>9.8235000000000003E-2</v>
      </c>
      <c r="AA348" s="32">
        <v>0.169075</v>
      </c>
      <c r="AB348" s="32" t="s">
        <v>139</v>
      </c>
    </row>
    <row r="349" spans="1:28" ht="15.6" customHeight="1" x14ac:dyDescent="0.25">
      <c r="A349" s="24" t="s">
        <v>618</v>
      </c>
      <c r="B349" s="50">
        <v>3933</v>
      </c>
      <c r="C349" s="25" t="s">
        <v>619</v>
      </c>
      <c r="D349" s="25" t="s">
        <v>159</v>
      </c>
      <c r="E349" s="25" t="s">
        <v>194</v>
      </c>
      <c r="F349" s="25" t="s">
        <v>138</v>
      </c>
      <c r="G349" s="26" t="s">
        <v>139</v>
      </c>
      <c r="H349" s="27" t="s">
        <v>620</v>
      </c>
      <c r="I349" s="24" t="s">
        <v>106</v>
      </c>
      <c r="J349" s="24" t="s">
        <v>121</v>
      </c>
      <c r="K349" s="28" t="s">
        <v>227</v>
      </c>
      <c r="L349" s="29">
        <v>0</v>
      </c>
      <c r="M349" s="29">
        <v>0</v>
      </c>
      <c r="N349" s="29">
        <v>0.02</v>
      </c>
      <c r="O349" s="27" t="s">
        <v>161</v>
      </c>
      <c r="P349" s="30" t="s">
        <v>159</v>
      </c>
      <c r="Q349" s="31">
        <v>1106946.6000000001</v>
      </c>
      <c r="R349" s="31">
        <v>1106.95</v>
      </c>
      <c r="S349" s="32">
        <v>-4.5950000000000001E-3</v>
      </c>
      <c r="T349" s="32" t="s">
        <v>139</v>
      </c>
      <c r="U349" s="32">
        <v>4.1599999999999997E-4</v>
      </c>
      <c r="V349" s="32">
        <v>1.2059E-2</v>
      </c>
      <c r="W349" s="32">
        <v>1.1495E-2</v>
      </c>
      <c r="X349" s="32">
        <v>5.77E-3</v>
      </c>
      <c r="Y349" s="32">
        <v>-1.6639000000000001E-2</v>
      </c>
      <c r="Z349" s="32">
        <v>6.3945000000000002E-2</v>
      </c>
      <c r="AA349" s="32">
        <v>9.1870999999999994E-2</v>
      </c>
      <c r="AB349" s="32" t="s">
        <v>139</v>
      </c>
    </row>
    <row r="350" spans="1:28" ht="15.6" customHeight="1" x14ac:dyDescent="0.25">
      <c r="A350" s="24" t="s">
        <v>1411</v>
      </c>
      <c r="B350" s="50">
        <v>3934</v>
      </c>
      <c r="C350" s="25" t="s">
        <v>1412</v>
      </c>
      <c r="D350" s="25" t="s">
        <v>159</v>
      </c>
      <c r="E350" s="25" t="s">
        <v>194</v>
      </c>
      <c r="F350" s="25" t="s">
        <v>138</v>
      </c>
      <c r="G350" s="26" t="s">
        <v>139</v>
      </c>
      <c r="H350" s="27" t="s">
        <v>521</v>
      </c>
      <c r="I350" s="24" t="s">
        <v>998</v>
      </c>
      <c r="J350" s="24" t="s">
        <v>121</v>
      </c>
      <c r="K350" s="28" t="s">
        <v>227</v>
      </c>
      <c r="L350" s="29">
        <v>0</v>
      </c>
      <c r="M350" s="29">
        <v>0</v>
      </c>
      <c r="N350" s="29">
        <v>0.02</v>
      </c>
      <c r="O350" s="27" t="s">
        <v>161</v>
      </c>
      <c r="P350" s="30" t="s">
        <v>159</v>
      </c>
      <c r="Q350" s="31">
        <v>1094155.31</v>
      </c>
      <c r="R350" s="31">
        <v>1094.1600000000001</v>
      </c>
      <c r="S350" s="32">
        <v>-6.9880000000000003E-3</v>
      </c>
      <c r="T350" s="32" t="s">
        <v>139</v>
      </c>
      <c r="U350" s="32">
        <v>5.0299999999999997E-4</v>
      </c>
      <c r="V350" s="32">
        <v>1.2043E-2</v>
      </c>
      <c r="W350" s="32">
        <v>1.1435000000000001E-2</v>
      </c>
      <c r="X350" s="32">
        <v>3.9179999999999996E-3</v>
      </c>
      <c r="Y350" s="32">
        <v>-2.0246E-2</v>
      </c>
      <c r="Z350" s="32">
        <v>5.6925000000000003E-2</v>
      </c>
      <c r="AA350" s="32">
        <v>8.1046999999999994E-2</v>
      </c>
      <c r="AB350" s="32" t="s">
        <v>139</v>
      </c>
    </row>
    <row r="351" spans="1:28" ht="15.6" customHeight="1" x14ac:dyDescent="0.25">
      <c r="A351" s="24" t="s">
        <v>621</v>
      </c>
      <c r="B351" s="50">
        <v>3935</v>
      </c>
      <c r="C351" s="25" t="s">
        <v>622</v>
      </c>
      <c r="D351" s="25" t="s">
        <v>241</v>
      </c>
      <c r="E351" s="25" t="s">
        <v>194</v>
      </c>
      <c r="F351" s="25" t="s">
        <v>138</v>
      </c>
      <c r="G351" s="26" t="s">
        <v>139</v>
      </c>
      <c r="H351" s="27" t="s">
        <v>623</v>
      </c>
      <c r="I351" s="24" t="s">
        <v>106</v>
      </c>
      <c r="J351" s="24" t="s">
        <v>121</v>
      </c>
      <c r="K351" s="28" t="s">
        <v>108</v>
      </c>
      <c r="L351" s="29">
        <v>0</v>
      </c>
      <c r="M351" s="29">
        <v>0</v>
      </c>
      <c r="N351" s="29">
        <v>0.02</v>
      </c>
      <c r="O351" s="27" t="s">
        <v>148</v>
      </c>
      <c r="P351" s="30" t="s">
        <v>241</v>
      </c>
      <c r="Q351" s="31">
        <v>870220.85</v>
      </c>
      <c r="R351" s="31">
        <v>178.58</v>
      </c>
      <c r="S351" s="32">
        <v>-1.6088000000000002E-2</v>
      </c>
      <c r="T351" s="32" t="s">
        <v>139</v>
      </c>
      <c r="U351" s="32">
        <v>-2.1229999999999999E-3</v>
      </c>
      <c r="V351" s="32">
        <v>9.6109999999999998E-3</v>
      </c>
      <c r="W351" s="32">
        <v>1.2818E-2</v>
      </c>
      <c r="X351" s="32">
        <v>1.908E-3</v>
      </c>
      <c r="Y351" s="32">
        <v>-5.2826999999999999E-2</v>
      </c>
      <c r="Z351" s="32">
        <v>0.21005599999999999</v>
      </c>
      <c r="AA351" s="32">
        <v>0.35606300000000002</v>
      </c>
      <c r="AB351" s="32">
        <v>0.34787499999999999</v>
      </c>
    </row>
    <row r="352" spans="1:28" ht="15.6" customHeight="1" x14ac:dyDescent="0.25">
      <c r="A352" s="24" t="s">
        <v>624</v>
      </c>
      <c r="B352" s="50">
        <v>3936</v>
      </c>
      <c r="C352" s="25" t="s">
        <v>625</v>
      </c>
      <c r="D352" s="25" t="s">
        <v>164</v>
      </c>
      <c r="E352" s="25" t="s">
        <v>194</v>
      </c>
      <c r="F352" s="25" t="s">
        <v>138</v>
      </c>
      <c r="G352" s="26" t="s">
        <v>139</v>
      </c>
      <c r="H352" s="27" t="s">
        <v>626</v>
      </c>
      <c r="I352" s="24" t="s">
        <v>106</v>
      </c>
      <c r="J352" s="24" t="s">
        <v>107</v>
      </c>
      <c r="K352" s="28" t="s">
        <v>180</v>
      </c>
      <c r="L352" s="29">
        <v>0.02</v>
      </c>
      <c r="M352" s="29">
        <v>0.02</v>
      </c>
      <c r="N352" s="29">
        <v>0.02</v>
      </c>
      <c r="O352" s="27" t="s">
        <v>166</v>
      </c>
      <c r="P352" s="30" t="s">
        <v>627</v>
      </c>
      <c r="Q352" s="31">
        <v>1083682888.95</v>
      </c>
      <c r="R352" s="31">
        <v>1727.74</v>
      </c>
      <c r="S352" s="32">
        <v>9.2614000000000002E-2</v>
      </c>
      <c r="T352" s="32" t="s">
        <v>139</v>
      </c>
      <c r="U352" s="32">
        <v>-6.2859999999999999E-3</v>
      </c>
      <c r="V352" s="32">
        <v>4.2049999999999997E-2</v>
      </c>
      <c r="W352" s="32">
        <v>2.0959999999999999E-2</v>
      </c>
      <c r="X352" s="32">
        <v>8.5939000000000002E-2</v>
      </c>
      <c r="Y352" s="32">
        <v>2.4920999999999999E-2</v>
      </c>
      <c r="Z352" s="32">
        <v>0.25099700000000003</v>
      </c>
      <c r="AA352" s="32">
        <v>0.32819300000000001</v>
      </c>
      <c r="AB352" s="32">
        <v>0.28439300000000001</v>
      </c>
    </row>
    <row r="353" spans="1:28" ht="15.6" customHeight="1" x14ac:dyDescent="0.25">
      <c r="A353" s="24" t="s">
        <v>628</v>
      </c>
      <c r="B353" s="50">
        <v>3937</v>
      </c>
      <c r="C353" s="25" t="s">
        <v>629</v>
      </c>
      <c r="D353" s="25" t="s">
        <v>570</v>
      </c>
      <c r="E353" s="25" t="s">
        <v>194</v>
      </c>
      <c r="F353" s="25" t="s">
        <v>113</v>
      </c>
      <c r="G353" s="26" t="s">
        <v>531</v>
      </c>
      <c r="H353" s="27" t="s">
        <v>327</v>
      </c>
      <c r="I353" s="24" t="s">
        <v>106</v>
      </c>
      <c r="J353" s="24" t="s">
        <v>121</v>
      </c>
      <c r="K353" s="28" t="s">
        <v>227</v>
      </c>
      <c r="L353" s="29">
        <v>0</v>
      </c>
      <c r="M353" s="29">
        <v>0</v>
      </c>
      <c r="N353" s="29">
        <v>0.02</v>
      </c>
      <c r="O353" s="27" t="s">
        <v>166</v>
      </c>
      <c r="P353" s="30" t="s">
        <v>570</v>
      </c>
      <c r="Q353" s="31">
        <v>1230383146.7</v>
      </c>
      <c r="R353" s="31">
        <v>1127.3499999999999</v>
      </c>
      <c r="S353" s="32">
        <v>-2.9189E-2</v>
      </c>
      <c r="T353" s="32" t="s">
        <v>139</v>
      </c>
      <c r="U353" s="32">
        <v>4.35E-4</v>
      </c>
      <c r="V353" s="32">
        <v>7.3179999999999999E-3</v>
      </c>
      <c r="W353" s="32">
        <v>1.7699999999999999E-4</v>
      </c>
      <c r="X353" s="32">
        <v>-8.3049999999999999E-3</v>
      </c>
      <c r="Y353" s="32">
        <v>-3.891E-2</v>
      </c>
      <c r="Z353" s="32">
        <v>0.11480600000000001</v>
      </c>
      <c r="AA353" s="32">
        <v>0.25168200000000002</v>
      </c>
      <c r="AB353" s="32" t="s">
        <v>139</v>
      </c>
    </row>
    <row r="354" spans="1:28" ht="15.6" customHeight="1" x14ac:dyDescent="0.25">
      <c r="A354" s="24" t="s">
        <v>1413</v>
      </c>
      <c r="B354" s="50">
        <v>3938</v>
      </c>
      <c r="C354" s="25" t="s">
        <v>1414</v>
      </c>
      <c r="D354" s="25" t="s">
        <v>350</v>
      </c>
      <c r="E354" s="25" t="s">
        <v>194</v>
      </c>
      <c r="F354" s="25" t="s">
        <v>113</v>
      </c>
      <c r="G354" s="26" t="s">
        <v>1415</v>
      </c>
      <c r="H354" s="27" t="s">
        <v>115</v>
      </c>
      <c r="I354" s="24" t="s">
        <v>998</v>
      </c>
      <c r="J354" s="24" t="s">
        <v>121</v>
      </c>
      <c r="K354" s="28" t="s">
        <v>108</v>
      </c>
      <c r="L354" s="29">
        <v>0.03</v>
      </c>
      <c r="M354" s="29">
        <v>0.03</v>
      </c>
      <c r="N354" s="29">
        <v>0.02</v>
      </c>
      <c r="O354" s="27" t="s">
        <v>262</v>
      </c>
      <c r="P354" s="30" t="s">
        <v>350</v>
      </c>
      <c r="Q354" s="31">
        <v>2555789623.46</v>
      </c>
      <c r="R354" s="31">
        <v>250.6</v>
      </c>
      <c r="S354" s="32">
        <v>1.5989999999999999E-3</v>
      </c>
      <c r="T354" s="32" t="s">
        <v>139</v>
      </c>
      <c r="U354" s="32">
        <v>1.119E-3</v>
      </c>
      <c r="V354" s="32">
        <v>3.8049999999999998E-3</v>
      </c>
      <c r="W354" s="32">
        <v>3.4840000000000001E-3</v>
      </c>
      <c r="X354" s="32">
        <v>1.3190000000000001E-3</v>
      </c>
      <c r="Y354" s="32">
        <v>-3.1819999999999999E-3</v>
      </c>
      <c r="Z354" s="32">
        <v>8.4143999999999997E-2</v>
      </c>
      <c r="AA354" s="32">
        <v>0.17996000000000001</v>
      </c>
      <c r="AB354" s="32">
        <v>0.164661</v>
      </c>
    </row>
    <row r="355" spans="1:28" ht="15.6" customHeight="1" x14ac:dyDescent="0.25">
      <c r="A355" s="24" t="s">
        <v>1416</v>
      </c>
      <c r="B355" s="50">
        <v>3939</v>
      </c>
      <c r="C355" s="25" t="s">
        <v>1417</v>
      </c>
      <c r="D355" s="25" t="s">
        <v>322</v>
      </c>
      <c r="E355" s="25" t="s">
        <v>194</v>
      </c>
      <c r="F355" s="25" t="s">
        <v>138</v>
      </c>
      <c r="G355" s="26" t="s">
        <v>139</v>
      </c>
      <c r="H355" s="27" t="s">
        <v>1418</v>
      </c>
      <c r="I355" s="24" t="s">
        <v>998</v>
      </c>
      <c r="J355" s="24" t="s">
        <v>107</v>
      </c>
      <c r="K355" s="28" t="s">
        <v>227</v>
      </c>
      <c r="L355" s="29">
        <v>0.03</v>
      </c>
      <c r="M355" s="29">
        <v>1.4999999999999999E-2</v>
      </c>
      <c r="N355" s="29">
        <v>0.02</v>
      </c>
      <c r="O355" s="27" t="s">
        <v>161</v>
      </c>
      <c r="P355" s="30" t="s">
        <v>322</v>
      </c>
      <c r="Q355" s="31">
        <v>1235270886.3599999</v>
      </c>
      <c r="R355" s="31">
        <v>141.30000000000001</v>
      </c>
      <c r="S355" s="32">
        <v>-6.0499999999999998E-3</v>
      </c>
      <c r="T355" s="32" t="s">
        <v>139</v>
      </c>
      <c r="U355" s="32">
        <v>-2.2599999999999999E-3</v>
      </c>
      <c r="V355" s="32">
        <v>1.8818999999999999E-2</v>
      </c>
      <c r="W355" s="32">
        <v>4.4070000000000003E-3</v>
      </c>
      <c r="X355" s="32">
        <v>5.1219999999999998E-3</v>
      </c>
      <c r="Y355" s="32">
        <v>-3.7006999999999998E-2</v>
      </c>
      <c r="Z355" s="32">
        <v>0.36587700000000001</v>
      </c>
      <c r="AA355" s="32">
        <v>0.40499200000000002</v>
      </c>
      <c r="AB355" s="32" t="s">
        <v>139</v>
      </c>
    </row>
    <row r="356" spans="1:28" ht="15.6" customHeight="1" x14ac:dyDescent="0.25">
      <c r="A356" s="24" t="s">
        <v>1419</v>
      </c>
      <c r="B356" s="50">
        <v>3940</v>
      </c>
      <c r="C356" s="25" t="s">
        <v>1420</v>
      </c>
      <c r="D356" s="25" t="s">
        <v>322</v>
      </c>
      <c r="E356" s="25" t="s">
        <v>194</v>
      </c>
      <c r="F356" s="25" t="s">
        <v>155</v>
      </c>
      <c r="G356" s="26" t="s">
        <v>139</v>
      </c>
      <c r="H356" s="27" t="s">
        <v>156</v>
      </c>
      <c r="I356" s="24" t="s">
        <v>998</v>
      </c>
      <c r="J356" s="24" t="s">
        <v>107</v>
      </c>
      <c r="K356" s="28" t="s">
        <v>227</v>
      </c>
      <c r="L356" s="29">
        <v>0.03</v>
      </c>
      <c r="M356" s="29">
        <v>1.4999999999999999E-2</v>
      </c>
      <c r="N356" s="29">
        <v>0.02</v>
      </c>
      <c r="O356" s="27" t="s">
        <v>161</v>
      </c>
      <c r="P356" s="30" t="s">
        <v>322</v>
      </c>
      <c r="Q356" s="31">
        <v>1623134.45</v>
      </c>
      <c r="R356" s="31">
        <v>162.31</v>
      </c>
      <c r="S356" s="32">
        <v>-4.4336E-2</v>
      </c>
      <c r="T356" s="32" t="s">
        <v>139</v>
      </c>
      <c r="U356" s="32">
        <v>-6.1840000000000003E-3</v>
      </c>
      <c r="V356" s="32">
        <v>2.0818E-2</v>
      </c>
      <c r="W356" s="32">
        <v>1.6725E-2</v>
      </c>
      <c r="X356" s="32">
        <v>-4.9659999999999999E-3</v>
      </c>
      <c r="Y356" s="32">
        <v>-8.3926000000000001E-2</v>
      </c>
      <c r="Z356" s="32">
        <v>0.38667200000000002</v>
      </c>
      <c r="AA356" s="32">
        <v>0.59990100000000002</v>
      </c>
      <c r="AB356" s="32" t="s">
        <v>139</v>
      </c>
    </row>
    <row r="357" spans="1:28" ht="15.6" customHeight="1" x14ac:dyDescent="0.25">
      <c r="A357" s="24" t="s">
        <v>630</v>
      </c>
      <c r="B357" s="50">
        <v>3941</v>
      </c>
      <c r="C357" s="25" t="s">
        <v>631</v>
      </c>
      <c r="D357" s="25" t="s">
        <v>241</v>
      </c>
      <c r="E357" s="25" t="s">
        <v>194</v>
      </c>
      <c r="F357" s="25" t="s">
        <v>155</v>
      </c>
      <c r="G357" s="26" t="s">
        <v>139</v>
      </c>
      <c r="H357" s="27" t="s">
        <v>632</v>
      </c>
      <c r="I357" s="24" t="s">
        <v>106</v>
      </c>
      <c r="J357" s="24" t="s">
        <v>107</v>
      </c>
      <c r="K357" s="28" t="s">
        <v>108</v>
      </c>
      <c r="L357" s="29">
        <v>0.03</v>
      </c>
      <c r="M357" s="29">
        <v>1.4999999999999999E-2</v>
      </c>
      <c r="N357" s="29">
        <v>0.02</v>
      </c>
      <c r="O357" s="27" t="s">
        <v>166</v>
      </c>
      <c r="P357" s="30" t="s">
        <v>633</v>
      </c>
      <c r="Q357" s="31">
        <v>348340913.61000001</v>
      </c>
      <c r="R357" s="31">
        <v>1894.4</v>
      </c>
      <c r="S357" s="32">
        <v>7.9920000000000008E-3</v>
      </c>
      <c r="T357" s="32" t="s">
        <v>139</v>
      </c>
      <c r="U357" s="32">
        <v>-1.0281999999999999E-2</v>
      </c>
      <c r="V357" s="32">
        <v>6.2783000000000005E-2</v>
      </c>
      <c r="W357" s="32">
        <v>2.7945000000000001E-2</v>
      </c>
      <c r="X357" s="32">
        <v>5.0104999999999997E-2</v>
      </c>
      <c r="Y357" s="32">
        <v>-9.1349E-2</v>
      </c>
      <c r="Z357" s="32">
        <v>0.41988799999999998</v>
      </c>
      <c r="AA357" s="32">
        <v>0.80639300000000003</v>
      </c>
      <c r="AB357" s="32" t="s">
        <v>139</v>
      </c>
    </row>
    <row r="358" spans="1:28" ht="15.6" customHeight="1" x14ac:dyDescent="0.25">
      <c r="A358" s="24" t="s">
        <v>1421</v>
      </c>
      <c r="B358" s="50">
        <v>3942</v>
      </c>
      <c r="C358" s="25" t="s">
        <v>1422</v>
      </c>
      <c r="D358" s="25" t="s">
        <v>241</v>
      </c>
      <c r="E358" s="25" t="s">
        <v>194</v>
      </c>
      <c r="F358" s="25" t="s">
        <v>138</v>
      </c>
      <c r="G358" s="26" t="s">
        <v>139</v>
      </c>
      <c r="H358" s="27" t="s">
        <v>623</v>
      </c>
      <c r="I358" s="24" t="s">
        <v>998</v>
      </c>
      <c r="J358" s="24" t="s">
        <v>121</v>
      </c>
      <c r="K358" s="28" t="s">
        <v>227</v>
      </c>
      <c r="L358" s="29">
        <v>0</v>
      </c>
      <c r="M358" s="29">
        <v>0</v>
      </c>
      <c r="N358" s="29">
        <v>0.02</v>
      </c>
      <c r="O358" s="27" t="s">
        <v>131</v>
      </c>
      <c r="P358" s="30" t="s">
        <v>633</v>
      </c>
      <c r="Q358" s="31">
        <v>1843186824.8399999</v>
      </c>
      <c r="R358" s="31">
        <v>1319.78</v>
      </c>
      <c r="S358" s="32">
        <v>9.7470000000000005E-3</v>
      </c>
      <c r="T358" s="32" t="s">
        <v>139</v>
      </c>
      <c r="U358" s="32">
        <v>-1.0219999999999999E-3</v>
      </c>
      <c r="V358" s="32">
        <v>1.3991E-2</v>
      </c>
      <c r="W358" s="32">
        <v>1.001E-2</v>
      </c>
      <c r="X358" s="32">
        <v>1.2707E-2</v>
      </c>
      <c r="Y358" s="32">
        <v>-1.5663E-2</v>
      </c>
      <c r="Z358" s="32">
        <v>0.16275100000000001</v>
      </c>
      <c r="AA358" s="32">
        <v>0.30614400000000003</v>
      </c>
      <c r="AB358" s="32" t="s">
        <v>139</v>
      </c>
    </row>
    <row r="359" spans="1:28" ht="15.6" customHeight="1" x14ac:dyDescent="0.25">
      <c r="A359" s="24" t="s">
        <v>634</v>
      </c>
      <c r="B359" s="50">
        <v>3943</v>
      </c>
      <c r="C359" s="25" t="s">
        <v>635</v>
      </c>
      <c r="D359" s="25" t="s">
        <v>241</v>
      </c>
      <c r="E359" s="25" t="s">
        <v>194</v>
      </c>
      <c r="F359" s="25" t="s">
        <v>113</v>
      </c>
      <c r="G359" s="26" t="s">
        <v>439</v>
      </c>
      <c r="H359" s="27" t="s">
        <v>115</v>
      </c>
      <c r="I359" s="24" t="s">
        <v>106</v>
      </c>
      <c r="J359" s="24" t="s">
        <v>121</v>
      </c>
      <c r="K359" s="28" t="s">
        <v>227</v>
      </c>
      <c r="L359" s="29">
        <v>0.03</v>
      </c>
      <c r="M359" s="29">
        <v>1.4999999999999999E-2</v>
      </c>
      <c r="N359" s="29">
        <v>0.02</v>
      </c>
      <c r="O359" s="27" t="s">
        <v>161</v>
      </c>
      <c r="P359" s="30" t="s">
        <v>241</v>
      </c>
      <c r="Q359" s="31">
        <v>1000679048.37</v>
      </c>
      <c r="R359" s="31">
        <v>1282.8</v>
      </c>
      <c r="S359" s="32">
        <v>-1.4996000000000001E-2</v>
      </c>
      <c r="T359" s="32" t="s">
        <v>139</v>
      </c>
      <c r="U359" s="32">
        <v>8.43E-4</v>
      </c>
      <c r="V359" s="32">
        <v>7.247E-3</v>
      </c>
      <c r="W359" s="32">
        <v>4.463E-3</v>
      </c>
      <c r="X359" s="32">
        <v>-1.4319999999999999E-3</v>
      </c>
      <c r="Y359" s="32">
        <v>-1.9602999999999999E-2</v>
      </c>
      <c r="Z359" s="32">
        <v>0.124662</v>
      </c>
      <c r="AA359" s="32">
        <v>0.26719599999999999</v>
      </c>
      <c r="AB359" s="32" t="s">
        <v>139</v>
      </c>
    </row>
    <row r="360" spans="1:28" ht="15.6" customHeight="1" x14ac:dyDescent="0.25">
      <c r="A360" s="24" t="s">
        <v>636</v>
      </c>
      <c r="B360" s="50">
        <v>3944</v>
      </c>
      <c r="C360" s="25" t="s">
        <v>637</v>
      </c>
      <c r="D360" s="25" t="s">
        <v>570</v>
      </c>
      <c r="E360" s="25" t="s">
        <v>194</v>
      </c>
      <c r="F360" s="25" t="s">
        <v>113</v>
      </c>
      <c r="G360" s="26" t="s">
        <v>638</v>
      </c>
      <c r="H360" s="27" t="s">
        <v>115</v>
      </c>
      <c r="I360" s="24" t="s">
        <v>106</v>
      </c>
      <c r="J360" s="24" t="s">
        <v>107</v>
      </c>
      <c r="K360" s="28" t="s">
        <v>227</v>
      </c>
      <c r="L360" s="29">
        <v>0.03</v>
      </c>
      <c r="M360" s="29">
        <v>0.03</v>
      </c>
      <c r="N360" s="29">
        <v>0.02</v>
      </c>
      <c r="O360" s="27" t="s">
        <v>166</v>
      </c>
      <c r="P360" s="30" t="s">
        <v>570</v>
      </c>
      <c r="Q360" s="31">
        <v>2591279929.96</v>
      </c>
      <c r="R360" s="31">
        <v>1224.17</v>
      </c>
      <c r="S360" s="32">
        <v>-9.4669999999999997E-3</v>
      </c>
      <c r="T360" s="32" t="s">
        <v>139</v>
      </c>
      <c r="U360" s="32">
        <v>6.6200000000000005E-4</v>
      </c>
      <c r="V360" s="32">
        <v>4.9420000000000002E-3</v>
      </c>
      <c r="W360" s="32">
        <v>8.5800000000000004E-4</v>
      </c>
      <c r="X360" s="32">
        <v>-7.3220000000000004E-3</v>
      </c>
      <c r="Y360" s="32">
        <v>-2.5808000000000001E-2</v>
      </c>
      <c r="Z360" s="32">
        <v>8.0410999999999996E-2</v>
      </c>
      <c r="AA360" s="32">
        <v>0.194685</v>
      </c>
      <c r="AB360" s="32" t="s">
        <v>139</v>
      </c>
    </row>
    <row r="361" spans="1:28" ht="15.6" customHeight="1" x14ac:dyDescent="0.25">
      <c r="A361" s="24" t="s">
        <v>639</v>
      </c>
      <c r="B361" s="50">
        <v>3945</v>
      </c>
      <c r="C361" s="25" t="s">
        <v>640</v>
      </c>
      <c r="D361" s="25" t="s">
        <v>570</v>
      </c>
      <c r="E361" s="25" t="s">
        <v>194</v>
      </c>
      <c r="F361" s="25" t="s">
        <v>138</v>
      </c>
      <c r="G361" s="26" t="s">
        <v>139</v>
      </c>
      <c r="H361" s="27" t="s">
        <v>641</v>
      </c>
      <c r="I361" s="24" t="s">
        <v>106</v>
      </c>
      <c r="J361" s="24" t="s">
        <v>121</v>
      </c>
      <c r="K361" s="28" t="s">
        <v>227</v>
      </c>
      <c r="L361" s="29">
        <v>0.03</v>
      </c>
      <c r="M361" s="29">
        <v>0.03</v>
      </c>
      <c r="N361" s="29">
        <v>0.02</v>
      </c>
      <c r="O361" s="27" t="s">
        <v>161</v>
      </c>
      <c r="P361" s="30" t="s">
        <v>570</v>
      </c>
      <c r="Q361" s="31">
        <v>924355463.50999999</v>
      </c>
      <c r="R361" s="31">
        <v>1350.28</v>
      </c>
      <c r="S361" s="32">
        <v>-4.8349999999999999E-3</v>
      </c>
      <c r="T361" s="32" t="s">
        <v>139</v>
      </c>
      <c r="U361" s="32">
        <v>-2.408E-3</v>
      </c>
      <c r="V361" s="32">
        <v>2.5565000000000001E-2</v>
      </c>
      <c r="W361" s="32">
        <v>6.6569999999999997E-3</v>
      </c>
      <c r="X361" s="32">
        <v>1.3792E-2</v>
      </c>
      <c r="Y361" s="32">
        <v>-4.1825000000000001E-2</v>
      </c>
      <c r="Z361" s="32">
        <v>0.19006400000000001</v>
      </c>
      <c r="AA361" s="32">
        <v>0.38862999999999998</v>
      </c>
      <c r="AB361" s="32" t="s">
        <v>139</v>
      </c>
    </row>
    <row r="362" spans="1:28" ht="15.6" customHeight="1" x14ac:dyDescent="0.25">
      <c r="A362" s="24" t="s">
        <v>642</v>
      </c>
      <c r="B362" s="50">
        <v>3946</v>
      </c>
      <c r="C362" s="25" t="s">
        <v>643</v>
      </c>
      <c r="D362" s="25" t="s">
        <v>350</v>
      </c>
      <c r="E362" s="25" t="s">
        <v>194</v>
      </c>
      <c r="F362" s="25" t="s">
        <v>128</v>
      </c>
      <c r="G362" s="26" t="s">
        <v>644</v>
      </c>
      <c r="H362" s="27" t="s">
        <v>130</v>
      </c>
      <c r="I362" s="24" t="s">
        <v>106</v>
      </c>
      <c r="J362" s="24" t="s">
        <v>107</v>
      </c>
      <c r="K362" s="28" t="s">
        <v>108</v>
      </c>
      <c r="L362" s="29">
        <v>0.03</v>
      </c>
      <c r="M362" s="29">
        <v>0.03</v>
      </c>
      <c r="N362" s="29">
        <v>0.02</v>
      </c>
      <c r="O362" s="27" t="s">
        <v>148</v>
      </c>
      <c r="P362" s="30" t="s">
        <v>350</v>
      </c>
      <c r="Q362" s="31">
        <v>53400063.549999997</v>
      </c>
      <c r="R362" s="31">
        <v>148.33000000000001</v>
      </c>
      <c r="S362" s="32">
        <v>1.8121000000000002E-2</v>
      </c>
      <c r="T362" s="32" t="s">
        <v>139</v>
      </c>
      <c r="U362" s="32">
        <v>4.7199999999999998E-4</v>
      </c>
      <c r="V362" s="32">
        <v>2.4329999999999998E-3</v>
      </c>
      <c r="W362" s="32">
        <v>6.7869999999999996E-3</v>
      </c>
      <c r="X362" s="32">
        <v>1.3875999999999999E-2</v>
      </c>
      <c r="Y362" s="32">
        <v>2.5937000000000002E-2</v>
      </c>
      <c r="Z362" s="32">
        <v>5.9727000000000002E-2</v>
      </c>
      <c r="AA362" s="32">
        <v>7.7353000000000005E-2</v>
      </c>
      <c r="AB362" s="32">
        <v>6.6201999999999997E-2</v>
      </c>
    </row>
    <row r="363" spans="1:28" ht="15.6" customHeight="1" x14ac:dyDescent="0.25">
      <c r="A363" s="24" t="s">
        <v>645</v>
      </c>
      <c r="B363" s="50">
        <v>3947</v>
      </c>
      <c r="C363" s="25" t="s">
        <v>646</v>
      </c>
      <c r="D363" s="25" t="s">
        <v>164</v>
      </c>
      <c r="E363" s="25" t="s">
        <v>194</v>
      </c>
      <c r="F363" s="25" t="s">
        <v>113</v>
      </c>
      <c r="G363" s="26" t="s">
        <v>647</v>
      </c>
      <c r="H363" s="27" t="s">
        <v>327</v>
      </c>
      <c r="I363" s="24" t="s">
        <v>106</v>
      </c>
      <c r="J363" s="24" t="s">
        <v>121</v>
      </c>
      <c r="K363" s="28" t="s">
        <v>227</v>
      </c>
      <c r="L363" s="29">
        <v>0.03</v>
      </c>
      <c r="M363" s="29">
        <v>1.4999999999999999E-2</v>
      </c>
      <c r="N363" s="29">
        <v>0.02</v>
      </c>
      <c r="O363" s="27" t="s">
        <v>161</v>
      </c>
      <c r="P363" s="30" t="s">
        <v>164</v>
      </c>
      <c r="Q363" s="31">
        <v>382681729.38999999</v>
      </c>
      <c r="R363" s="31">
        <v>842911.29</v>
      </c>
      <c r="S363" s="32">
        <v>-1.362E-2</v>
      </c>
      <c r="T363" s="32" t="s">
        <v>139</v>
      </c>
      <c r="U363" s="32">
        <v>1.07E-3</v>
      </c>
      <c r="V363" s="32">
        <v>3.9490000000000003E-3</v>
      </c>
      <c r="W363" s="32">
        <v>-9.8299999999999993E-4</v>
      </c>
      <c r="X363" s="32">
        <v>-1.0905E-2</v>
      </c>
      <c r="Y363" s="32">
        <v>-2.2827E-2</v>
      </c>
      <c r="Z363" s="32">
        <v>7.5565999999999994E-2</v>
      </c>
      <c r="AA363" s="32">
        <v>0.24421200000000001</v>
      </c>
      <c r="AB363" s="32">
        <v>0.11626599999999999</v>
      </c>
    </row>
    <row r="364" spans="1:28" ht="15.6" customHeight="1" x14ac:dyDescent="0.25">
      <c r="A364" s="24" t="s">
        <v>1423</v>
      </c>
      <c r="B364" s="50">
        <v>3948</v>
      </c>
      <c r="C364" s="25" t="s">
        <v>1424</v>
      </c>
      <c r="D364" s="25" t="s">
        <v>164</v>
      </c>
      <c r="E364" s="25" t="s">
        <v>194</v>
      </c>
      <c r="F364" s="25" t="s">
        <v>138</v>
      </c>
      <c r="G364" s="26" t="s">
        <v>139</v>
      </c>
      <c r="H364" s="27" t="s">
        <v>1425</v>
      </c>
      <c r="I364" s="24" t="s">
        <v>998</v>
      </c>
      <c r="J364" s="24" t="s">
        <v>121</v>
      </c>
      <c r="K364" s="28" t="s">
        <v>227</v>
      </c>
      <c r="L364" s="29">
        <v>0</v>
      </c>
      <c r="M364" s="29">
        <v>0</v>
      </c>
      <c r="N364" s="29">
        <v>0.02</v>
      </c>
      <c r="O364" s="27" t="s">
        <v>166</v>
      </c>
      <c r="P364" s="30" t="s">
        <v>164</v>
      </c>
      <c r="Q364" s="31">
        <v>216798788.50999999</v>
      </c>
      <c r="R364" s="31">
        <v>2031.07</v>
      </c>
      <c r="S364" s="32">
        <v>2.2051000000000001E-2</v>
      </c>
      <c r="T364" s="32" t="s">
        <v>139</v>
      </c>
      <c r="U364" s="32">
        <v>-3.4150000000000001E-3</v>
      </c>
      <c r="V364" s="32">
        <v>3.4486999999999997E-2</v>
      </c>
      <c r="W364" s="32">
        <v>1.7590999999999999E-2</v>
      </c>
      <c r="X364" s="32">
        <v>3.5594000000000001E-2</v>
      </c>
      <c r="Y364" s="32">
        <v>-1.7235E-2</v>
      </c>
      <c r="Z364" s="32">
        <v>0.23682800000000001</v>
      </c>
      <c r="AA364" s="32">
        <v>0.40902699999999997</v>
      </c>
      <c r="AB364" s="32">
        <v>0.370641</v>
      </c>
    </row>
    <row r="365" spans="1:28" ht="15.6" customHeight="1" x14ac:dyDescent="0.25">
      <c r="A365" s="24" t="s">
        <v>648</v>
      </c>
      <c r="B365" s="50">
        <v>3949</v>
      </c>
      <c r="C365" s="25" t="s">
        <v>649</v>
      </c>
      <c r="D365" s="25" t="s">
        <v>145</v>
      </c>
      <c r="E365" s="25" t="s">
        <v>194</v>
      </c>
      <c r="F365" s="25" t="s">
        <v>361</v>
      </c>
      <c r="G365" s="26" t="s">
        <v>139</v>
      </c>
      <c r="H365" s="27" t="s">
        <v>188</v>
      </c>
      <c r="I365" s="24" t="s">
        <v>106</v>
      </c>
      <c r="J365" s="24" t="s">
        <v>107</v>
      </c>
      <c r="K365" s="28" t="s">
        <v>108</v>
      </c>
      <c r="L365" s="29">
        <v>0.01</v>
      </c>
      <c r="M365" s="29">
        <v>0.01</v>
      </c>
      <c r="N365" s="29">
        <v>0.02</v>
      </c>
      <c r="O365" s="27" t="s">
        <v>148</v>
      </c>
      <c r="P365" s="30" t="s">
        <v>145</v>
      </c>
      <c r="Q365" s="31">
        <v>1869855725.6400001</v>
      </c>
      <c r="R365" s="31">
        <v>1060.99</v>
      </c>
      <c r="S365" s="32">
        <v>1.3885E-2</v>
      </c>
      <c r="T365" s="32" t="s">
        <v>139</v>
      </c>
      <c r="U365" s="32">
        <v>2.2599999999999999E-4</v>
      </c>
      <c r="V365" s="32">
        <v>1.5759999999999999E-3</v>
      </c>
      <c r="W365" s="32">
        <v>4.9630000000000004E-3</v>
      </c>
      <c r="X365" s="32">
        <v>1.0293E-2</v>
      </c>
      <c r="Y365" s="32">
        <v>2.0742E-2</v>
      </c>
      <c r="Z365" s="32">
        <v>4.4086E-2</v>
      </c>
      <c r="AA365" s="32" t="s">
        <v>139</v>
      </c>
      <c r="AB365" s="32" t="s">
        <v>139</v>
      </c>
    </row>
    <row r="366" spans="1:28" ht="15.6" customHeight="1" x14ac:dyDescent="0.25">
      <c r="A366" s="24" t="s">
        <v>1426</v>
      </c>
      <c r="B366" s="50">
        <v>3950</v>
      </c>
      <c r="C366" s="25" t="s">
        <v>1427</v>
      </c>
      <c r="D366" s="25" t="s">
        <v>159</v>
      </c>
      <c r="E366" s="25" t="s">
        <v>102</v>
      </c>
      <c r="F366" s="25" t="s">
        <v>113</v>
      </c>
      <c r="G366" s="26" t="s">
        <v>1428</v>
      </c>
      <c r="H366" s="27" t="s">
        <v>1429</v>
      </c>
      <c r="I366" s="24" t="s">
        <v>998</v>
      </c>
      <c r="J366" s="24" t="s">
        <v>121</v>
      </c>
      <c r="K366" s="28" t="s">
        <v>108</v>
      </c>
      <c r="L366" s="29">
        <v>0</v>
      </c>
      <c r="M366" s="29">
        <v>0</v>
      </c>
      <c r="N366" s="29">
        <v>0.02</v>
      </c>
      <c r="O366" s="27" t="s">
        <v>161</v>
      </c>
      <c r="P366" s="30" t="s">
        <v>159</v>
      </c>
      <c r="Q366" s="31">
        <v>476849917.63</v>
      </c>
      <c r="R366" s="31">
        <v>1107.67</v>
      </c>
      <c r="S366" s="32">
        <v>1.004E-2</v>
      </c>
      <c r="T366" s="32" t="s">
        <v>139</v>
      </c>
      <c r="U366" s="32">
        <v>6.87E-4</v>
      </c>
      <c r="V366" s="32">
        <v>2.9880000000000002E-3</v>
      </c>
      <c r="W366" s="32">
        <v>5.7200000000000003E-3</v>
      </c>
      <c r="X366" s="32">
        <v>5.7479999999999996E-3</v>
      </c>
      <c r="Y366" s="32">
        <v>1.1358E-2</v>
      </c>
      <c r="Z366" s="32">
        <v>8.1392000000000006E-2</v>
      </c>
      <c r="AA366" s="32" t="s">
        <v>139</v>
      </c>
      <c r="AB366" s="32" t="s">
        <v>139</v>
      </c>
    </row>
    <row r="367" spans="1:28" ht="15.6" customHeight="1" x14ac:dyDescent="0.25">
      <c r="A367" s="24" t="s">
        <v>650</v>
      </c>
      <c r="B367" s="50">
        <v>3951</v>
      </c>
      <c r="C367" s="25" t="s">
        <v>651</v>
      </c>
      <c r="D367" s="25" t="s">
        <v>261</v>
      </c>
      <c r="E367" s="25" t="s">
        <v>194</v>
      </c>
      <c r="F367" s="25" t="s">
        <v>113</v>
      </c>
      <c r="G367" s="26" t="s">
        <v>652</v>
      </c>
      <c r="H367" s="27" t="s">
        <v>653</v>
      </c>
      <c r="I367" s="24" t="s">
        <v>106</v>
      </c>
      <c r="J367" s="24" t="s">
        <v>121</v>
      </c>
      <c r="K367" s="28" t="s">
        <v>108</v>
      </c>
      <c r="L367" s="29">
        <v>0</v>
      </c>
      <c r="M367" s="29">
        <v>0</v>
      </c>
      <c r="N367" s="29">
        <v>0</v>
      </c>
      <c r="O367" s="27" t="s">
        <v>262</v>
      </c>
      <c r="P367" s="30" t="s">
        <v>261</v>
      </c>
      <c r="Q367" s="31">
        <v>765917797.48000002</v>
      </c>
      <c r="R367" s="31">
        <v>1087.48</v>
      </c>
      <c r="S367" s="32">
        <v>-1.4285000000000001E-2</v>
      </c>
      <c r="T367" s="32" t="s">
        <v>139</v>
      </c>
      <c r="U367" s="32">
        <v>8.0999999999999996E-4</v>
      </c>
      <c r="V367" s="32">
        <v>6.6930000000000002E-3</v>
      </c>
      <c r="W367" s="32">
        <v>2.1749999999999999E-3</v>
      </c>
      <c r="X367" s="32">
        <v>-1.0905E-2</v>
      </c>
      <c r="Y367" s="32">
        <v>-2.4410000000000001E-2</v>
      </c>
      <c r="Z367" s="32">
        <v>6.9143999999999997E-2</v>
      </c>
      <c r="AA367" s="32" t="s">
        <v>139</v>
      </c>
      <c r="AB367" s="32" t="s">
        <v>139</v>
      </c>
    </row>
    <row r="368" spans="1:28" ht="15.6" customHeight="1" x14ac:dyDescent="0.25">
      <c r="A368" s="24" t="s">
        <v>1430</v>
      </c>
      <c r="B368" s="50">
        <v>3952</v>
      </c>
      <c r="C368" s="25" t="s">
        <v>1431</v>
      </c>
      <c r="D368" s="25" t="s">
        <v>261</v>
      </c>
      <c r="E368" s="25" t="s">
        <v>194</v>
      </c>
      <c r="F368" s="25" t="s">
        <v>113</v>
      </c>
      <c r="G368" s="26" t="s">
        <v>702</v>
      </c>
      <c r="H368" s="27" t="s">
        <v>653</v>
      </c>
      <c r="I368" s="24" t="s">
        <v>998</v>
      </c>
      <c r="J368" s="24" t="s">
        <v>121</v>
      </c>
      <c r="K368" s="28" t="s">
        <v>108</v>
      </c>
      <c r="L368" s="29">
        <v>0</v>
      </c>
      <c r="M368" s="29">
        <v>0</v>
      </c>
      <c r="N368" s="29">
        <v>0</v>
      </c>
      <c r="O368" s="27" t="s">
        <v>548</v>
      </c>
      <c r="P368" s="30" t="s">
        <v>261</v>
      </c>
      <c r="Q368" s="31">
        <v>545344678.34000003</v>
      </c>
      <c r="R368" s="31">
        <v>1134.06</v>
      </c>
      <c r="S368" s="32">
        <v>-5.8200000000000005E-4</v>
      </c>
      <c r="T368" s="32" t="s">
        <v>139</v>
      </c>
      <c r="U368" s="32">
        <v>3.2600000000000001E-4</v>
      </c>
      <c r="V368" s="32">
        <v>6.9969999999999997E-3</v>
      </c>
      <c r="W368" s="32">
        <v>6.1390000000000004E-3</v>
      </c>
      <c r="X368" s="32">
        <v>1.9880000000000002E-3</v>
      </c>
      <c r="Y368" s="32">
        <v>-8.966E-3</v>
      </c>
      <c r="Z368" s="32">
        <v>9.5815999999999998E-2</v>
      </c>
      <c r="AA368" s="32" t="s">
        <v>139</v>
      </c>
      <c r="AB368" s="32" t="s">
        <v>139</v>
      </c>
    </row>
    <row r="369" spans="1:28" ht="15.6" customHeight="1" x14ac:dyDescent="0.25">
      <c r="A369" s="24" t="s">
        <v>1432</v>
      </c>
      <c r="B369" s="50">
        <v>3953</v>
      </c>
      <c r="C369" s="25" t="s">
        <v>1433</v>
      </c>
      <c r="D369" s="25" t="s">
        <v>164</v>
      </c>
      <c r="E369" s="25" t="s">
        <v>194</v>
      </c>
      <c r="F369" s="25" t="s">
        <v>138</v>
      </c>
      <c r="G369" s="26" t="s">
        <v>139</v>
      </c>
      <c r="H369" s="27" t="s">
        <v>1434</v>
      </c>
      <c r="I369" s="24" t="s">
        <v>998</v>
      </c>
      <c r="J369" s="24" t="s">
        <v>107</v>
      </c>
      <c r="K369" s="28" t="s">
        <v>227</v>
      </c>
      <c r="L369" s="29">
        <v>0.02</v>
      </c>
      <c r="M369" s="29">
        <v>0.02</v>
      </c>
      <c r="N369" s="29">
        <v>0.02</v>
      </c>
      <c r="O369" s="27" t="s">
        <v>166</v>
      </c>
      <c r="P369" s="30" t="s">
        <v>164</v>
      </c>
      <c r="Q369" s="31">
        <v>855387376.69000006</v>
      </c>
      <c r="R369" s="31">
        <v>1149714.22</v>
      </c>
      <c r="S369" s="32">
        <v>7.3075000000000001E-2</v>
      </c>
      <c r="T369" s="32" t="s">
        <v>139</v>
      </c>
      <c r="U369" s="32">
        <v>-6.3229999999999996E-3</v>
      </c>
      <c r="V369" s="32">
        <v>5.1996000000000001E-2</v>
      </c>
      <c r="W369" s="32">
        <v>2.4981E-2</v>
      </c>
      <c r="X369" s="32">
        <v>6.7738000000000007E-2</v>
      </c>
      <c r="Y369" s="32">
        <v>5.6744999999999997E-2</v>
      </c>
      <c r="Z369" s="32">
        <v>0.131797</v>
      </c>
      <c r="AA369" s="32" t="s">
        <v>139</v>
      </c>
      <c r="AB369" s="32" t="s">
        <v>139</v>
      </c>
    </row>
    <row r="370" spans="1:28" ht="15.6" customHeight="1" x14ac:dyDescent="0.25">
      <c r="A370" s="24" t="s">
        <v>654</v>
      </c>
      <c r="B370" s="50">
        <v>3954</v>
      </c>
      <c r="C370" s="25" t="s">
        <v>655</v>
      </c>
      <c r="D370" s="25" t="s">
        <v>504</v>
      </c>
      <c r="E370" s="25" t="s">
        <v>194</v>
      </c>
      <c r="F370" s="25" t="s">
        <v>113</v>
      </c>
      <c r="G370" s="26" t="s">
        <v>439</v>
      </c>
      <c r="H370" s="27" t="s">
        <v>115</v>
      </c>
      <c r="I370" s="24" t="s">
        <v>106</v>
      </c>
      <c r="J370" s="24" t="s">
        <v>121</v>
      </c>
      <c r="K370" s="28" t="s">
        <v>108</v>
      </c>
      <c r="L370" s="29">
        <v>0</v>
      </c>
      <c r="M370" s="29">
        <v>0</v>
      </c>
      <c r="N370" s="29">
        <v>0.02</v>
      </c>
      <c r="O370" s="27" t="s">
        <v>161</v>
      </c>
      <c r="P370" s="30" t="s">
        <v>504</v>
      </c>
      <c r="Q370" s="31">
        <v>2325548635.3800001</v>
      </c>
      <c r="R370" s="31">
        <v>1209.8900000000001</v>
      </c>
      <c r="S370" s="32">
        <v>8.1899999999999996E-4</v>
      </c>
      <c r="T370" s="32" t="s">
        <v>139</v>
      </c>
      <c r="U370" s="32">
        <v>9.2699999999999998E-4</v>
      </c>
      <c r="V370" s="32">
        <v>3.7000000000000002E-3</v>
      </c>
      <c r="W370" s="32">
        <v>2.7929999999999999E-3</v>
      </c>
      <c r="X370" s="32">
        <v>8.8500000000000004E-4</v>
      </c>
      <c r="Y370" s="32">
        <v>-2.0539999999999998E-3</v>
      </c>
      <c r="Z370" s="32">
        <v>8.3762000000000003E-2</v>
      </c>
      <c r="AA370" s="32">
        <v>0.17477599999999999</v>
      </c>
      <c r="AB370" s="32" t="s">
        <v>139</v>
      </c>
    </row>
    <row r="371" spans="1:28" ht="15.6" customHeight="1" x14ac:dyDescent="0.25">
      <c r="A371" s="24" t="s">
        <v>1435</v>
      </c>
      <c r="B371" s="50">
        <v>3955</v>
      </c>
      <c r="C371" s="25" t="s">
        <v>1436</v>
      </c>
      <c r="D371" s="25" t="s">
        <v>342</v>
      </c>
      <c r="E371" s="25" t="s">
        <v>194</v>
      </c>
      <c r="F371" s="25" t="s">
        <v>138</v>
      </c>
      <c r="G371" s="26" t="s">
        <v>139</v>
      </c>
      <c r="H371" s="27" t="s">
        <v>1273</v>
      </c>
      <c r="I371" s="24" t="s">
        <v>998</v>
      </c>
      <c r="J371" s="24" t="s">
        <v>107</v>
      </c>
      <c r="K371" s="28" t="s">
        <v>180</v>
      </c>
      <c r="L371" s="29">
        <v>0.03</v>
      </c>
      <c r="M371" s="29">
        <v>0.03</v>
      </c>
      <c r="N371" s="29">
        <v>0.02</v>
      </c>
      <c r="O371" s="27" t="s">
        <v>166</v>
      </c>
      <c r="P371" s="30" t="s">
        <v>344</v>
      </c>
      <c r="Q371" s="31">
        <v>501986350.22000003</v>
      </c>
      <c r="R371" s="31">
        <v>1112.8900000000001</v>
      </c>
      <c r="S371" s="32">
        <v>-5.0824000000000001E-2</v>
      </c>
      <c r="T371" s="32" t="s">
        <v>139</v>
      </c>
      <c r="U371" s="32">
        <v>-1.3550000000000001E-3</v>
      </c>
      <c r="V371" s="32">
        <v>1.9289000000000001E-2</v>
      </c>
      <c r="W371" s="32">
        <v>5.9750000000000003E-3</v>
      </c>
      <c r="X371" s="32">
        <v>-2.5815000000000001E-2</v>
      </c>
      <c r="Y371" s="32">
        <v>-0.101109</v>
      </c>
      <c r="Z371" s="32" t="s">
        <v>139</v>
      </c>
      <c r="AA371" s="32" t="s">
        <v>139</v>
      </c>
      <c r="AB371" s="32" t="s">
        <v>139</v>
      </c>
    </row>
    <row r="372" spans="1:28" ht="15.6" customHeight="1" x14ac:dyDescent="0.25">
      <c r="A372" s="24" t="s">
        <v>656</v>
      </c>
      <c r="B372" s="50">
        <v>3957</v>
      </c>
      <c r="C372" s="25" t="s">
        <v>657</v>
      </c>
      <c r="D372" s="25" t="s">
        <v>570</v>
      </c>
      <c r="E372" s="25" t="s">
        <v>194</v>
      </c>
      <c r="F372" s="25" t="s">
        <v>113</v>
      </c>
      <c r="G372" s="26" t="s">
        <v>638</v>
      </c>
      <c r="H372" s="27" t="s">
        <v>658</v>
      </c>
      <c r="I372" s="24" t="s">
        <v>106</v>
      </c>
      <c r="J372" s="24" t="s">
        <v>107</v>
      </c>
      <c r="K372" s="28" t="s">
        <v>227</v>
      </c>
      <c r="L372" s="29">
        <v>0.03</v>
      </c>
      <c r="M372" s="29">
        <v>0.03</v>
      </c>
      <c r="N372" s="29">
        <v>0.02</v>
      </c>
      <c r="O372" s="27" t="s">
        <v>659</v>
      </c>
      <c r="P372" s="30" t="s">
        <v>570</v>
      </c>
      <c r="Q372" s="31">
        <v>1164433724.0999999</v>
      </c>
      <c r="R372" s="31">
        <v>1100.1300000000001</v>
      </c>
      <c r="S372" s="32">
        <v>-1.1315E-2</v>
      </c>
      <c r="T372" s="32" t="s">
        <v>139</v>
      </c>
      <c r="U372" s="32">
        <v>-5.5000000000000002E-5</v>
      </c>
      <c r="V372" s="32">
        <v>7.8790000000000006E-3</v>
      </c>
      <c r="W372" s="32">
        <v>8.3699999999999996E-4</v>
      </c>
      <c r="X372" s="32">
        <v>-7.0039999999999998E-3</v>
      </c>
      <c r="Y372" s="32">
        <v>-2.4534E-2</v>
      </c>
      <c r="Z372" s="32" t="s">
        <v>139</v>
      </c>
      <c r="AA372" s="32" t="s">
        <v>139</v>
      </c>
      <c r="AB372" s="32" t="s">
        <v>139</v>
      </c>
    </row>
    <row r="373" spans="1:28" ht="15.6" customHeight="1" x14ac:dyDescent="0.25">
      <c r="A373" s="24" t="s">
        <v>1437</v>
      </c>
      <c r="B373" s="50">
        <v>3959</v>
      </c>
      <c r="C373" s="25" t="s">
        <v>1438</v>
      </c>
      <c r="D373" s="25" t="s">
        <v>145</v>
      </c>
      <c r="E373" s="25" t="s">
        <v>194</v>
      </c>
      <c r="F373" s="25" t="s">
        <v>113</v>
      </c>
      <c r="G373" s="26" t="s">
        <v>1344</v>
      </c>
      <c r="H373" s="27" t="s">
        <v>152</v>
      </c>
      <c r="I373" s="24" t="s">
        <v>998</v>
      </c>
      <c r="J373" s="24" t="s">
        <v>121</v>
      </c>
      <c r="K373" s="28" t="s">
        <v>227</v>
      </c>
      <c r="L373" s="29">
        <v>0</v>
      </c>
      <c r="M373" s="29">
        <v>0</v>
      </c>
      <c r="N373" s="29">
        <v>0.02</v>
      </c>
      <c r="O373" s="27" t="s">
        <v>148</v>
      </c>
      <c r="P373" s="30" t="s">
        <v>145</v>
      </c>
      <c r="Q373" s="31">
        <v>2121787593.1600001</v>
      </c>
      <c r="R373" s="31">
        <v>1231.1600000000001</v>
      </c>
      <c r="S373" s="32">
        <v>1.521E-3</v>
      </c>
      <c r="T373" s="32" t="s">
        <v>139</v>
      </c>
      <c r="U373" s="32">
        <v>1.065E-3</v>
      </c>
      <c r="V373" s="32">
        <v>3.7750000000000001E-3</v>
      </c>
      <c r="W373" s="32">
        <v>7.7200000000000001E-4</v>
      </c>
      <c r="X373" s="32">
        <v>-2.673E-3</v>
      </c>
      <c r="Y373" s="32">
        <v>-7.5500000000000003E-4</v>
      </c>
      <c r="Z373" s="32" t="s">
        <v>139</v>
      </c>
      <c r="AA373" s="32" t="s">
        <v>139</v>
      </c>
      <c r="AB373" s="32" t="s">
        <v>139</v>
      </c>
    </row>
    <row r="374" spans="1:28" ht="15.6" customHeight="1" x14ac:dyDescent="0.25">
      <c r="A374" s="24" t="s">
        <v>660</v>
      </c>
      <c r="B374" s="50">
        <v>3960</v>
      </c>
      <c r="C374" s="25" t="s">
        <v>661</v>
      </c>
      <c r="D374" s="25" t="s">
        <v>241</v>
      </c>
      <c r="E374" s="25" t="s">
        <v>194</v>
      </c>
      <c r="F374" s="25" t="s">
        <v>138</v>
      </c>
      <c r="G374" s="26" t="s">
        <v>139</v>
      </c>
      <c r="H374" s="27" t="s">
        <v>662</v>
      </c>
      <c r="I374" s="24" t="s">
        <v>106</v>
      </c>
      <c r="J374" s="24" t="s">
        <v>107</v>
      </c>
      <c r="K374" s="28" t="s">
        <v>227</v>
      </c>
      <c r="L374" s="29">
        <v>0.03</v>
      </c>
      <c r="M374" s="29">
        <v>1.4999999999999999E-2</v>
      </c>
      <c r="N374" s="29">
        <v>0.02</v>
      </c>
      <c r="O374" s="27" t="s">
        <v>663</v>
      </c>
      <c r="P374" s="30" t="s">
        <v>241</v>
      </c>
      <c r="Q374" s="31">
        <v>1598058152.6600001</v>
      </c>
      <c r="R374" s="31">
        <v>1187.79</v>
      </c>
      <c r="S374" s="32">
        <v>-1.2496E-2</v>
      </c>
      <c r="T374" s="32" t="s">
        <v>139</v>
      </c>
      <c r="U374" s="32">
        <v>-4.4759999999999999E-3</v>
      </c>
      <c r="V374" s="32">
        <v>2.8034E-2</v>
      </c>
      <c r="W374" s="32">
        <v>1.0626999999999999E-2</v>
      </c>
      <c r="X374" s="32">
        <v>5.7920000000000003E-3</v>
      </c>
      <c r="Y374" s="32">
        <v>-5.7339000000000001E-2</v>
      </c>
      <c r="Z374" s="32" t="s">
        <v>139</v>
      </c>
      <c r="AA374" s="32" t="s">
        <v>139</v>
      </c>
      <c r="AB374" s="32" t="s">
        <v>139</v>
      </c>
    </row>
    <row r="375" spans="1:28" ht="15.6" customHeight="1" x14ac:dyDescent="0.25">
      <c r="A375" s="24" t="s">
        <v>1439</v>
      </c>
      <c r="B375" s="50">
        <v>3961</v>
      </c>
      <c r="C375" s="25" t="s">
        <v>1440</v>
      </c>
      <c r="D375" s="25" t="s">
        <v>101</v>
      </c>
      <c r="E375" s="25" t="s">
        <v>194</v>
      </c>
      <c r="F375" s="25" t="s">
        <v>113</v>
      </c>
      <c r="G375" s="26" t="s">
        <v>1441</v>
      </c>
      <c r="H375" s="27" t="s">
        <v>115</v>
      </c>
      <c r="I375" s="24" t="s">
        <v>998</v>
      </c>
      <c r="J375" s="24" t="s">
        <v>121</v>
      </c>
      <c r="K375" s="28" t="s">
        <v>108</v>
      </c>
      <c r="L375" s="29">
        <v>0</v>
      </c>
      <c r="M375" s="29">
        <v>0</v>
      </c>
      <c r="N375" s="29">
        <v>0.02</v>
      </c>
      <c r="O375" s="27" t="s">
        <v>548</v>
      </c>
      <c r="P375" s="30" t="s">
        <v>101</v>
      </c>
      <c r="Q375" s="31">
        <v>1029131709.0700001</v>
      </c>
      <c r="R375" s="31">
        <v>1133.3599999999999</v>
      </c>
      <c r="S375" s="32">
        <v>2.0249999999999999E-3</v>
      </c>
      <c r="T375" s="32" t="s">
        <v>139</v>
      </c>
      <c r="U375" s="32">
        <v>2.12E-4</v>
      </c>
      <c r="V375" s="32">
        <v>7.136E-3</v>
      </c>
      <c r="W375" s="32">
        <v>3.9420000000000002E-3</v>
      </c>
      <c r="X375" s="32">
        <v>3.3999999999999998E-3</v>
      </c>
      <c r="Y375" s="32">
        <v>-8.1560000000000001E-3</v>
      </c>
      <c r="Z375" s="32" t="s">
        <v>139</v>
      </c>
      <c r="AA375" s="32" t="s">
        <v>139</v>
      </c>
      <c r="AB375" s="32" t="s">
        <v>139</v>
      </c>
    </row>
    <row r="376" spans="1:28" ht="15.6" customHeight="1" x14ac:dyDescent="0.25">
      <c r="A376" s="24" t="s">
        <v>664</v>
      </c>
      <c r="B376" s="50">
        <v>3962</v>
      </c>
      <c r="C376" s="25" t="s">
        <v>665</v>
      </c>
      <c r="D376" s="25" t="s">
        <v>241</v>
      </c>
      <c r="E376" s="25" t="s">
        <v>194</v>
      </c>
      <c r="F376" s="25" t="s">
        <v>113</v>
      </c>
      <c r="G376" s="26" t="s">
        <v>666</v>
      </c>
      <c r="H376" s="27" t="s">
        <v>667</v>
      </c>
      <c r="I376" s="24" t="s">
        <v>106</v>
      </c>
      <c r="J376" s="24" t="s">
        <v>121</v>
      </c>
      <c r="K376" s="28" t="s">
        <v>227</v>
      </c>
      <c r="L376" s="29">
        <v>0</v>
      </c>
      <c r="M376" s="29">
        <v>0</v>
      </c>
      <c r="N376" s="29">
        <v>0.02</v>
      </c>
      <c r="O376" s="27" t="s">
        <v>173</v>
      </c>
      <c r="P376" s="30" t="s">
        <v>241</v>
      </c>
      <c r="Q376" s="31">
        <v>888007700.82000005</v>
      </c>
      <c r="R376" s="31">
        <v>1077.6500000000001</v>
      </c>
      <c r="S376" s="32">
        <v>1.7092E-2</v>
      </c>
      <c r="T376" s="32" t="s">
        <v>139</v>
      </c>
      <c r="U376" s="32">
        <v>9.01E-4</v>
      </c>
      <c r="V376" s="32">
        <v>4.5859999999999998E-3</v>
      </c>
      <c r="W376" s="32">
        <v>8.9409999999999993E-3</v>
      </c>
      <c r="X376" s="32">
        <v>1.3018999999999999E-2</v>
      </c>
      <c r="Y376" s="32">
        <v>2.1169E-2</v>
      </c>
      <c r="Z376" s="32" t="s">
        <v>139</v>
      </c>
      <c r="AA376" s="32" t="s">
        <v>139</v>
      </c>
      <c r="AB376" s="32" t="s">
        <v>139</v>
      </c>
    </row>
    <row r="377" spans="1:28" ht="15.6" customHeight="1" x14ac:dyDescent="0.25">
      <c r="A377" s="24" t="s">
        <v>668</v>
      </c>
      <c r="B377" s="50">
        <v>3963</v>
      </c>
      <c r="C377" s="25" t="s">
        <v>669</v>
      </c>
      <c r="D377" s="25" t="s">
        <v>316</v>
      </c>
      <c r="E377" s="25" t="s">
        <v>194</v>
      </c>
      <c r="F377" s="25" t="s">
        <v>113</v>
      </c>
      <c r="G377" s="26" t="s">
        <v>670</v>
      </c>
      <c r="H377" s="27" t="s">
        <v>115</v>
      </c>
      <c r="I377" s="24" t="s">
        <v>106</v>
      </c>
      <c r="J377" s="24" t="s">
        <v>107</v>
      </c>
      <c r="K377" s="28" t="s">
        <v>108</v>
      </c>
      <c r="L377" s="29">
        <v>0.03</v>
      </c>
      <c r="M377" s="29">
        <v>0.03</v>
      </c>
      <c r="N377" s="29">
        <v>0.02</v>
      </c>
      <c r="O377" s="27" t="s">
        <v>161</v>
      </c>
      <c r="P377" s="30" t="s">
        <v>316</v>
      </c>
      <c r="Q377" s="31">
        <v>1058745680.7</v>
      </c>
      <c r="R377" s="31">
        <v>1033.1199999999999</v>
      </c>
      <c r="S377" s="32">
        <v>-4.6249999999999998E-3</v>
      </c>
      <c r="T377" s="32" t="s">
        <v>139</v>
      </c>
      <c r="U377" s="32">
        <v>2.7099999999999997E-4</v>
      </c>
      <c r="V377" s="32">
        <v>9.044E-3</v>
      </c>
      <c r="W377" s="32">
        <v>3.6329999999999999E-3</v>
      </c>
      <c r="X377" s="32">
        <v>-1.083E-3</v>
      </c>
      <c r="Y377" s="32">
        <v>-1.8114999999999999E-2</v>
      </c>
      <c r="Z377" s="32" t="s">
        <v>139</v>
      </c>
      <c r="AA377" s="32" t="s">
        <v>139</v>
      </c>
      <c r="AB377" s="32" t="s">
        <v>139</v>
      </c>
    </row>
    <row r="378" spans="1:28" ht="15.6" customHeight="1" x14ac:dyDescent="0.25">
      <c r="A378" s="24" t="s">
        <v>671</v>
      </c>
      <c r="B378" s="50">
        <v>3965</v>
      </c>
      <c r="C378" s="25" t="s">
        <v>672</v>
      </c>
      <c r="D378" s="25" t="s">
        <v>504</v>
      </c>
      <c r="E378" s="25" t="s">
        <v>194</v>
      </c>
      <c r="F378" s="25" t="s">
        <v>113</v>
      </c>
      <c r="G378" s="26" t="s">
        <v>439</v>
      </c>
      <c r="H378" s="27" t="s">
        <v>115</v>
      </c>
      <c r="I378" s="24" t="s">
        <v>106</v>
      </c>
      <c r="J378" s="24" t="s">
        <v>121</v>
      </c>
      <c r="K378" s="28" t="s">
        <v>108</v>
      </c>
      <c r="L378" s="29">
        <v>0</v>
      </c>
      <c r="M378" s="29">
        <v>0</v>
      </c>
      <c r="N378" s="29">
        <v>0.02</v>
      </c>
      <c r="O378" s="27" t="s">
        <v>161</v>
      </c>
      <c r="P378" s="30" t="s">
        <v>673</v>
      </c>
      <c r="Q378" s="31">
        <v>1124025.24</v>
      </c>
      <c r="R378" s="31">
        <v>1124.02</v>
      </c>
      <c r="S378" s="32">
        <v>1.3010000000000001E-3</v>
      </c>
      <c r="T378" s="32" t="s">
        <v>139</v>
      </c>
      <c r="U378" s="32">
        <v>8.2799999999999996E-4</v>
      </c>
      <c r="V378" s="32">
        <v>3.5799999999999998E-3</v>
      </c>
      <c r="W378" s="32">
        <v>4.2529999999999998E-3</v>
      </c>
      <c r="X378" s="32">
        <v>-1.554E-3</v>
      </c>
      <c r="Y378" s="32">
        <v>-3.9259999999999998E-3</v>
      </c>
      <c r="Z378" s="32">
        <v>7.6699000000000003E-2</v>
      </c>
      <c r="AA378" s="32">
        <v>0.148565</v>
      </c>
      <c r="AB378" s="32" t="s">
        <v>139</v>
      </c>
    </row>
    <row r="379" spans="1:28" ht="15.6" customHeight="1" x14ac:dyDescent="0.25">
      <c r="A379" s="24" t="s">
        <v>674</v>
      </c>
      <c r="B379" s="50">
        <v>3966</v>
      </c>
      <c r="C379" s="25" t="s">
        <v>675</v>
      </c>
      <c r="D379" s="25" t="s">
        <v>241</v>
      </c>
      <c r="E379" s="25" t="s">
        <v>194</v>
      </c>
      <c r="F379" s="25" t="s">
        <v>113</v>
      </c>
      <c r="G379" s="26" t="s">
        <v>676</v>
      </c>
      <c r="H379" s="27" t="s">
        <v>120</v>
      </c>
      <c r="I379" s="24" t="s">
        <v>106</v>
      </c>
      <c r="J379" s="24" t="s">
        <v>121</v>
      </c>
      <c r="K379" s="28" t="s">
        <v>227</v>
      </c>
      <c r="L379" s="29">
        <v>0</v>
      </c>
      <c r="M379" s="29">
        <v>0</v>
      </c>
      <c r="N379" s="29">
        <v>0.02</v>
      </c>
      <c r="O379" s="27" t="s">
        <v>262</v>
      </c>
      <c r="P379" s="30" t="s">
        <v>241</v>
      </c>
      <c r="Q379" s="31">
        <v>17668517.859999999</v>
      </c>
      <c r="R379" s="31">
        <v>1358.28</v>
      </c>
      <c r="S379" s="32">
        <v>1.4815999999999999E-2</v>
      </c>
      <c r="T379" s="32" t="s">
        <v>139</v>
      </c>
      <c r="U379" s="32">
        <v>1.01E-3</v>
      </c>
      <c r="V379" s="32">
        <v>3.48E-3</v>
      </c>
      <c r="W379" s="32">
        <v>5.9170000000000004E-3</v>
      </c>
      <c r="X379" s="32">
        <v>1.2591E-2</v>
      </c>
      <c r="Y379" s="32">
        <v>1.2522999999999999E-2</v>
      </c>
      <c r="Z379" s="32">
        <v>0.10473300000000001</v>
      </c>
      <c r="AA379" s="32">
        <v>0.23491200000000001</v>
      </c>
      <c r="AB379" s="32">
        <v>0.28346700000000002</v>
      </c>
    </row>
    <row r="380" spans="1:28" ht="15.6" customHeight="1" x14ac:dyDescent="0.25">
      <c r="A380" s="24" t="s">
        <v>677</v>
      </c>
      <c r="B380" s="50">
        <v>3967</v>
      </c>
      <c r="C380" s="25" t="s">
        <v>678</v>
      </c>
      <c r="D380" s="25" t="s">
        <v>679</v>
      </c>
      <c r="E380" s="25" t="s">
        <v>194</v>
      </c>
      <c r="F380" s="25" t="s">
        <v>138</v>
      </c>
      <c r="G380" s="26" t="s">
        <v>139</v>
      </c>
      <c r="H380" s="27" t="s">
        <v>680</v>
      </c>
      <c r="I380" s="24" t="s">
        <v>106</v>
      </c>
      <c r="J380" s="24" t="s">
        <v>107</v>
      </c>
      <c r="K380" s="28" t="s">
        <v>108</v>
      </c>
      <c r="L380" s="29">
        <v>0.03</v>
      </c>
      <c r="M380" s="29">
        <v>1.4999999999999999E-2</v>
      </c>
      <c r="N380" s="29">
        <v>0.02</v>
      </c>
      <c r="O380" s="27" t="s">
        <v>659</v>
      </c>
      <c r="P380" s="30" t="s">
        <v>679</v>
      </c>
      <c r="Q380" s="31">
        <v>264711580.52000001</v>
      </c>
      <c r="R380" s="31">
        <v>988.42</v>
      </c>
      <c r="S380" s="32">
        <v>-1.3454000000000001E-2</v>
      </c>
      <c r="T380" s="32" t="s">
        <v>139</v>
      </c>
      <c r="U380" s="32">
        <v>-4.6719999999999999E-3</v>
      </c>
      <c r="V380" s="32">
        <v>3.0785E-2</v>
      </c>
      <c r="W380" s="32">
        <v>8.3960000000000007E-3</v>
      </c>
      <c r="X380" s="32">
        <v>3.666E-3</v>
      </c>
      <c r="Y380" s="32">
        <v>-7.5076000000000004E-2</v>
      </c>
      <c r="Z380" s="32" t="s">
        <v>139</v>
      </c>
      <c r="AA380" s="32" t="s">
        <v>139</v>
      </c>
      <c r="AB380" s="32" t="s">
        <v>139</v>
      </c>
    </row>
    <row r="381" spans="1:28" ht="15.6" customHeight="1" x14ac:dyDescent="0.25">
      <c r="A381" s="24" t="s">
        <v>681</v>
      </c>
      <c r="B381" s="50">
        <v>3968</v>
      </c>
      <c r="C381" s="25" t="s">
        <v>682</v>
      </c>
      <c r="D381" s="25" t="s">
        <v>679</v>
      </c>
      <c r="E381" s="25" t="s">
        <v>194</v>
      </c>
      <c r="F381" s="25" t="s">
        <v>103</v>
      </c>
      <c r="G381" s="26" t="s">
        <v>392</v>
      </c>
      <c r="H381" s="27" t="s">
        <v>188</v>
      </c>
      <c r="I381" s="24" t="s">
        <v>106</v>
      </c>
      <c r="J381" s="24" t="s">
        <v>107</v>
      </c>
      <c r="K381" s="28" t="s">
        <v>108</v>
      </c>
      <c r="L381" s="29">
        <v>0.03</v>
      </c>
      <c r="M381" s="29">
        <v>1.4999999999999999E-2</v>
      </c>
      <c r="N381" s="29">
        <v>0.02</v>
      </c>
      <c r="O381" s="27" t="s">
        <v>659</v>
      </c>
      <c r="P381" s="30" t="s">
        <v>679</v>
      </c>
      <c r="Q381" s="31">
        <v>953350801.79999995</v>
      </c>
      <c r="R381" s="31">
        <v>1031.04</v>
      </c>
      <c r="S381" s="32">
        <v>1.7486999999999999E-2</v>
      </c>
      <c r="T381" s="32" t="s">
        <v>139</v>
      </c>
      <c r="U381" s="32">
        <v>2.81E-4</v>
      </c>
      <c r="V381" s="32">
        <v>1.9919999999999998E-3</v>
      </c>
      <c r="W381" s="32">
        <v>6.0689999999999997E-3</v>
      </c>
      <c r="X381" s="32">
        <v>1.3178E-2</v>
      </c>
      <c r="Y381" s="32">
        <v>2.5593999999999999E-2</v>
      </c>
      <c r="Z381" s="32" t="s">
        <v>139</v>
      </c>
      <c r="AA381" s="32" t="s">
        <v>139</v>
      </c>
      <c r="AB381" s="32" t="s">
        <v>139</v>
      </c>
    </row>
    <row r="382" spans="1:28" ht="15.6" customHeight="1" x14ac:dyDescent="0.25">
      <c r="A382" s="24" t="s">
        <v>683</v>
      </c>
      <c r="B382" s="50">
        <v>3969</v>
      </c>
      <c r="C382" s="25" t="s">
        <v>684</v>
      </c>
      <c r="D382" s="25" t="s">
        <v>679</v>
      </c>
      <c r="E382" s="25" t="s">
        <v>194</v>
      </c>
      <c r="F382" s="25" t="s">
        <v>113</v>
      </c>
      <c r="G382" s="26" t="s">
        <v>685</v>
      </c>
      <c r="H382" s="27" t="s">
        <v>115</v>
      </c>
      <c r="I382" s="24" t="s">
        <v>106</v>
      </c>
      <c r="J382" s="24" t="s">
        <v>107</v>
      </c>
      <c r="K382" s="28" t="s">
        <v>108</v>
      </c>
      <c r="L382" s="29">
        <v>0.03</v>
      </c>
      <c r="M382" s="29">
        <v>1.4999999999999999E-2</v>
      </c>
      <c r="N382" s="29">
        <v>0.02</v>
      </c>
      <c r="O382" s="27" t="s">
        <v>659</v>
      </c>
      <c r="P382" s="30" t="s">
        <v>679</v>
      </c>
      <c r="Q382" s="31">
        <v>520772164.79000002</v>
      </c>
      <c r="R382" s="31">
        <v>1010.87</v>
      </c>
      <c r="S382" s="32">
        <v>-4.9119999999999997E-3</v>
      </c>
      <c r="T382" s="32" t="s">
        <v>139</v>
      </c>
      <c r="U382" s="32">
        <v>3.0699999999999998E-4</v>
      </c>
      <c r="V382" s="32">
        <v>6.0010000000000003E-3</v>
      </c>
      <c r="W382" s="32">
        <v>3.833E-3</v>
      </c>
      <c r="X382" s="32">
        <v>-5.1180000000000002E-3</v>
      </c>
      <c r="Y382" s="32">
        <v>-8.2609999999999992E-3</v>
      </c>
      <c r="Z382" s="32" t="s">
        <v>139</v>
      </c>
      <c r="AA382" s="32" t="s">
        <v>139</v>
      </c>
      <c r="AB382" s="32" t="s">
        <v>139</v>
      </c>
    </row>
    <row r="383" spans="1:28" ht="15.6" customHeight="1" x14ac:dyDescent="0.25">
      <c r="A383" s="24" t="s">
        <v>686</v>
      </c>
      <c r="B383" s="50">
        <v>3970</v>
      </c>
      <c r="C383" s="25" t="s">
        <v>687</v>
      </c>
      <c r="D383" s="25" t="s">
        <v>679</v>
      </c>
      <c r="E383" s="25" t="s">
        <v>194</v>
      </c>
      <c r="F383" s="25" t="s">
        <v>113</v>
      </c>
      <c r="G383" s="26" t="s">
        <v>685</v>
      </c>
      <c r="H383" s="27" t="s">
        <v>115</v>
      </c>
      <c r="I383" s="24" t="s">
        <v>106</v>
      </c>
      <c r="J383" s="24" t="s">
        <v>107</v>
      </c>
      <c r="K383" s="28" t="s">
        <v>108</v>
      </c>
      <c r="L383" s="29">
        <v>0.03</v>
      </c>
      <c r="M383" s="29">
        <v>1.4999999999999999E-2</v>
      </c>
      <c r="N383" s="29">
        <v>0.02</v>
      </c>
      <c r="O383" s="27" t="s">
        <v>148</v>
      </c>
      <c r="P383" s="30" t="s">
        <v>679</v>
      </c>
      <c r="Q383" s="31">
        <v>289296047.31999999</v>
      </c>
      <c r="R383" s="31">
        <v>1076.79</v>
      </c>
      <c r="S383" s="32">
        <v>6.0574000000000003E-2</v>
      </c>
      <c r="T383" s="32" t="s">
        <v>139</v>
      </c>
      <c r="U383" s="32">
        <v>1.2830000000000001E-3</v>
      </c>
      <c r="V383" s="32">
        <v>3.663E-3</v>
      </c>
      <c r="W383" s="32">
        <v>6.69E-4</v>
      </c>
      <c r="X383" s="32">
        <v>-5.4949999999999999E-3</v>
      </c>
      <c r="Y383" s="32">
        <v>5.8686000000000002E-2</v>
      </c>
      <c r="Z383" s="32" t="s">
        <v>139</v>
      </c>
      <c r="AA383" s="32" t="s">
        <v>139</v>
      </c>
      <c r="AB383" s="32" t="s">
        <v>139</v>
      </c>
    </row>
    <row r="384" spans="1:28" ht="15.6" customHeight="1" x14ac:dyDescent="0.25">
      <c r="A384" s="24" t="s">
        <v>688</v>
      </c>
      <c r="B384" s="50">
        <v>3971</v>
      </c>
      <c r="C384" s="25" t="s">
        <v>689</v>
      </c>
      <c r="D384" s="25" t="s">
        <v>679</v>
      </c>
      <c r="E384" s="25" t="s">
        <v>194</v>
      </c>
      <c r="F384" s="25" t="s">
        <v>128</v>
      </c>
      <c r="G384" s="26" t="s">
        <v>690</v>
      </c>
      <c r="H384" s="27" t="s">
        <v>130</v>
      </c>
      <c r="I384" s="24" t="s">
        <v>106</v>
      </c>
      <c r="J384" s="24" t="s">
        <v>107</v>
      </c>
      <c r="K384" s="28" t="s">
        <v>108</v>
      </c>
      <c r="L384" s="29">
        <v>0.03</v>
      </c>
      <c r="M384" s="29">
        <v>1.4999999999999999E-2</v>
      </c>
      <c r="N384" s="29">
        <v>0.02</v>
      </c>
      <c r="O384" s="27" t="s">
        <v>148</v>
      </c>
      <c r="P384" s="30" t="s">
        <v>679</v>
      </c>
      <c r="Q384" s="31">
        <v>979666022.66999996</v>
      </c>
      <c r="R384" s="31">
        <v>1033.56</v>
      </c>
      <c r="S384" s="32">
        <v>1.9470999999999999E-2</v>
      </c>
      <c r="T384" s="32" t="s">
        <v>139</v>
      </c>
      <c r="U384" s="32">
        <v>4.1599999999999997E-4</v>
      </c>
      <c r="V384" s="32">
        <v>2.4729999999999999E-3</v>
      </c>
      <c r="W384" s="32">
        <v>6.9170000000000004E-3</v>
      </c>
      <c r="X384" s="32">
        <v>1.4607E-2</v>
      </c>
      <c r="Y384" s="32">
        <v>2.7262999999999999E-2</v>
      </c>
      <c r="Z384" s="32" t="s">
        <v>139</v>
      </c>
      <c r="AA384" s="32" t="s">
        <v>139</v>
      </c>
      <c r="AB384" s="32" t="s">
        <v>139</v>
      </c>
    </row>
    <row r="385" spans="1:28" ht="15.6" customHeight="1" x14ac:dyDescent="0.25">
      <c r="A385" s="24" t="s">
        <v>691</v>
      </c>
      <c r="B385" s="50">
        <v>3972</v>
      </c>
      <c r="C385" s="25" t="s">
        <v>8</v>
      </c>
      <c r="D385" s="25" t="s">
        <v>679</v>
      </c>
      <c r="E385" s="25" t="s">
        <v>194</v>
      </c>
      <c r="F385" s="25" t="s">
        <v>155</v>
      </c>
      <c r="G385" s="26" t="s">
        <v>139</v>
      </c>
      <c r="H385" s="27" t="s">
        <v>156</v>
      </c>
      <c r="I385" s="24" t="s">
        <v>106</v>
      </c>
      <c r="J385" s="24" t="s">
        <v>107</v>
      </c>
      <c r="K385" s="28" t="s">
        <v>108</v>
      </c>
      <c r="L385" s="29">
        <v>0.03</v>
      </c>
      <c r="M385" s="29">
        <v>1.4999999999999999E-2</v>
      </c>
      <c r="N385" s="29">
        <v>0.02</v>
      </c>
      <c r="O385" s="27" t="s">
        <v>148</v>
      </c>
      <c r="P385" s="30" t="s">
        <v>679</v>
      </c>
      <c r="Q385" s="31">
        <v>111480013.88</v>
      </c>
      <c r="R385" s="31">
        <v>992.99</v>
      </c>
      <c r="S385" s="32">
        <v>2.2172999999999998E-2</v>
      </c>
      <c r="T385" s="32" t="s">
        <v>139</v>
      </c>
      <c r="U385" s="32">
        <v>-1.0710000000000001E-2</v>
      </c>
      <c r="V385" s="32">
        <v>6.2702999999999995E-2</v>
      </c>
      <c r="W385" s="32">
        <v>1.8096000000000001E-2</v>
      </c>
      <c r="X385" s="32">
        <v>5.2944999999999999E-2</v>
      </c>
      <c r="Y385" s="32">
        <v>-9.6543000000000004E-2</v>
      </c>
      <c r="Z385" s="32" t="s">
        <v>139</v>
      </c>
      <c r="AA385" s="32" t="s">
        <v>139</v>
      </c>
      <c r="AB385" s="32" t="s">
        <v>139</v>
      </c>
    </row>
    <row r="386" spans="1:28" ht="15.6" customHeight="1" x14ac:dyDescent="0.25">
      <c r="A386" s="24" t="s">
        <v>692</v>
      </c>
      <c r="B386" s="50">
        <v>3973</v>
      </c>
      <c r="C386" s="25" t="s">
        <v>693</v>
      </c>
      <c r="D386" s="25" t="s">
        <v>504</v>
      </c>
      <c r="E386" s="25" t="s">
        <v>194</v>
      </c>
      <c r="F386" s="25" t="s">
        <v>138</v>
      </c>
      <c r="G386" s="26" t="s">
        <v>139</v>
      </c>
      <c r="H386" s="27" t="s">
        <v>694</v>
      </c>
      <c r="I386" s="24" t="s">
        <v>106</v>
      </c>
      <c r="J386" s="24" t="s">
        <v>121</v>
      </c>
      <c r="K386" s="28" t="s">
        <v>227</v>
      </c>
      <c r="L386" s="29">
        <v>0.02</v>
      </c>
      <c r="M386" s="29">
        <v>0.02</v>
      </c>
      <c r="N386" s="29">
        <v>0.02</v>
      </c>
      <c r="O386" s="27" t="s">
        <v>116</v>
      </c>
      <c r="P386" s="30" t="s">
        <v>504</v>
      </c>
      <c r="Q386" s="31">
        <v>244218676.13</v>
      </c>
      <c r="R386" s="31">
        <v>1391.93</v>
      </c>
      <c r="S386" s="32">
        <v>-3.9643999999999999E-2</v>
      </c>
      <c r="T386" s="32" t="s">
        <v>139</v>
      </c>
      <c r="U386" s="32">
        <v>-3.6579999999999998E-3</v>
      </c>
      <c r="V386" s="32">
        <v>2.7588000000000001E-2</v>
      </c>
      <c r="W386" s="32">
        <v>1.2496999999999999E-2</v>
      </c>
      <c r="X386" s="32">
        <v>-2.1263000000000001E-2</v>
      </c>
      <c r="Y386" s="32">
        <v>-8.8029999999999997E-2</v>
      </c>
      <c r="Z386" s="32">
        <v>0.225129</v>
      </c>
      <c r="AA386" s="32">
        <v>0.43571900000000002</v>
      </c>
      <c r="AB386" s="32" t="s">
        <v>139</v>
      </c>
    </row>
    <row r="387" spans="1:28" ht="15.6" customHeight="1" x14ac:dyDescent="0.25">
      <c r="A387" s="24" t="s">
        <v>695</v>
      </c>
      <c r="B387" s="50">
        <v>3974</v>
      </c>
      <c r="C387" s="25" t="s">
        <v>696</v>
      </c>
      <c r="D387" s="25" t="s">
        <v>101</v>
      </c>
      <c r="E387" s="25" t="s">
        <v>194</v>
      </c>
      <c r="F387" s="25" t="s">
        <v>128</v>
      </c>
      <c r="G387" s="26" t="s">
        <v>129</v>
      </c>
      <c r="H387" s="27" t="s">
        <v>130</v>
      </c>
      <c r="I387" s="24" t="s">
        <v>106</v>
      </c>
      <c r="J387" s="24" t="s">
        <v>121</v>
      </c>
      <c r="K387" s="28" t="s">
        <v>227</v>
      </c>
      <c r="L387" s="29">
        <v>0</v>
      </c>
      <c r="M387" s="29">
        <v>0.05</v>
      </c>
      <c r="N387" s="29">
        <v>0.02</v>
      </c>
      <c r="O387" s="27" t="s">
        <v>262</v>
      </c>
      <c r="P387" s="30" t="s">
        <v>697</v>
      </c>
      <c r="Q387" s="31">
        <v>1004228.79</v>
      </c>
      <c r="R387" s="31">
        <v>1004.23</v>
      </c>
      <c r="S387" s="32">
        <v>4.1999999999999997E-3</v>
      </c>
      <c r="T387" s="32" t="s">
        <v>139</v>
      </c>
      <c r="U387" s="32">
        <v>2.5900000000000001E-4</v>
      </c>
      <c r="V387" s="32">
        <v>9.4700000000000003E-4</v>
      </c>
      <c r="W387" s="32">
        <v>1.446E-3</v>
      </c>
      <c r="X387" s="32">
        <v>3.137E-3</v>
      </c>
      <c r="Y387" s="32">
        <v>4.1200000000000004E-3</v>
      </c>
      <c r="Z387" s="32" t="s">
        <v>139</v>
      </c>
      <c r="AA387" s="32" t="s">
        <v>139</v>
      </c>
      <c r="AB387" s="32" t="s">
        <v>139</v>
      </c>
    </row>
    <row r="388" spans="1:28" ht="15.6" customHeight="1" x14ac:dyDescent="0.25">
      <c r="A388" s="24" t="s">
        <v>698</v>
      </c>
      <c r="B388" s="50">
        <v>3975</v>
      </c>
      <c r="C388" s="25" t="s">
        <v>699</v>
      </c>
      <c r="D388" s="25" t="s">
        <v>570</v>
      </c>
      <c r="E388" s="25" t="s">
        <v>194</v>
      </c>
      <c r="F388" s="25" t="s">
        <v>138</v>
      </c>
      <c r="G388" s="26" t="s">
        <v>139</v>
      </c>
      <c r="H388" s="27" t="s">
        <v>195</v>
      </c>
      <c r="I388" s="24" t="s">
        <v>106</v>
      </c>
      <c r="J388" s="24" t="s">
        <v>107</v>
      </c>
      <c r="K388" s="28" t="s">
        <v>227</v>
      </c>
      <c r="L388" s="29">
        <v>0.03</v>
      </c>
      <c r="M388" s="29">
        <v>0.03</v>
      </c>
      <c r="N388" s="29">
        <v>0.02</v>
      </c>
      <c r="O388" s="27" t="s">
        <v>161</v>
      </c>
      <c r="P388" s="30" t="s">
        <v>570</v>
      </c>
      <c r="Q388" s="31">
        <v>850996541.52999997</v>
      </c>
      <c r="R388" s="31">
        <v>947.42</v>
      </c>
      <c r="S388" s="32">
        <v>9.6769999999999998E-3</v>
      </c>
      <c r="T388" s="32" t="s">
        <v>139</v>
      </c>
      <c r="U388" s="32">
        <v>-6.8560000000000001E-3</v>
      </c>
      <c r="V388" s="32">
        <v>4.7683000000000003E-2</v>
      </c>
      <c r="W388" s="32">
        <v>8.548E-3</v>
      </c>
      <c r="X388" s="32">
        <v>3.7359000000000003E-2</v>
      </c>
      <c r="Y388" s="32">
        <v>-6.9587999999999997E-2</v>
      </c>
      <c r="Z388" s="32" t="s">
        <v>139</v>
      </c>
      <c r="AA388" s="32" t="s">
        <v>139</v>
      </c>
      <c r="AB388" s="32" t="s">
        <v>139</v>
      </c>
    </row>
    <row r="389" spans="1:28" ht="15.6" customHeight="1" x14ac:dyDescent="0.25">
      <c r="A389" s="24" t="s">
        <v>1442</v>
      </c>
      <c r="B389" s="50">
        <v>3976</v>
      </c>
      <c r="C389" s="25" t="s">
        <v>1443</v>
      </c>
      <c r="D389" s="25" t="s">
        <v>164</v>
      </c>
      <c r="E389" s="25" t="s">
        <v>194</v>
      </c>
      <c r="F389" s="25" t="s">
        <v>138</v>
      </c>
      <c r="G389" s="26" t="s">
        <v>139</v>
      </c>
      <c r="H389" s="27" t="s">
        <v>1444</v>
      </c>
      <c r="I389" s="24" t="s">
        <v>998</v>
      </c>
      <c r="J389" s="24" t="s">
        <v>107</v>
      </c>
      <c r="K389" s="28" t="s">
        <v>108</v>
      </c>
      <c r="L389" s="29">
        <v>0.03</v>
      </c>
      <c r="M389" s="29">
        <v>0.03</v>
      </c>
      <c r="N389" s="29">
        <v>0.02</v>
      </c>
      <c r="O389" s="27" t="s">
        <v>166</v>
      </c>
      <c r="P389" s="30" t="s">
        <v>164</v>
      </c>
      <c r="Q389" s="31">
        <v>161710204.40000001</v>
      </c>
      <c r="R389" s="31">
        <v>2087.5500000000002</v>
      </c>
      <c r="S389" s="32">
        <v>2.4861000000000001E-2</v>
      </c>
      <c r="T389" s="32" t="s">
        <v>139</v>
      </c>
      <c r="U389" s="32">
        <v>-1.65E-3</v>
      </c>
      <c r="V389" s="32">
        <v>2.0102999999999999E-2</v>
      </c>
      <c r="W389" s="32">
        <v>1.1327E-2</v>
      </c>
      <c r="X389" s="32">
        <v>3.0858E-2</v>
      </c>
      <c r="Y389" s="32">
        <v>1.2347E-2</v>
      </c>
      <c r="Z389" s="32">
        <v>0.21759999999999999</v>
      </c>
      <c r="AA389" s="32">
        <v>0.32874399999999998</v>
      </c>
      <c r="AB389" s="32">
        <v>0.22652</v>
      </c>
    </row>
    <row r="390" spans="1:28" ht="15.6" customHeight="1" x14ac:dyDescent="0.25">
      <c r="A390" s="24" t="s">
        <v>700</v>
      </c>
      <c r="B390" s="50">
        <v>3977</v>
      </c>
      <c r="C390" s="25" t="s">
        <v>701</v>
      </c>
      <c r="D390" s="25" t="s">
        <v>164</v>
      </c>
      <c r="E390" s="25" t="s">
        <v>194</v>
      </c>
      <c r="F390" s="25" t="s">
        <v>113</v>
      </c>
      <c r="G390" s="26" t="s">
        <v>702</v>
      </c>
      <c r="H390" s="27" t="s">
        <v>120</v>
      </c>
      <c r="I390" s="24" t="s">
        <v>106</v>
      </c>
      <c r="J390" s="24" t="s">
        <v>121</v>
      </c>
      <c r="K390" s="28" t="s">
        <v>227</v>
      </c>
      <c r="L390" s="29">
        <v>0</v>
      </c>
      <c r="M390" s="29">
        <v>0</v>
      </c>
      <c r="N390" s="29">
        <v>0.02</v>
      </c>
      <c r="O390" s="27" t="s">
        <v>166</v>
      </c>
      <c r="P390" s="30" t="s">
        <v>164</v>
      </c>
      <c r="Q390" s="31">
        <v>1017845.03</v>
      </c>
      <c r="R390" s="31">
        <v>10178.450000000001</v>
      </c>
      <c r="S390" s="32">
        <v>1.4860999999999999E-2</v>
      </c>
      <c r="T390" s="32" t="s">
        <v>139</v>
      </c>
      <c r="U390" s="32">
        <v>4.26E-4</v>
      </c>
      <c r="V390" s="32">
        <v>2.0330000000000001E-3</v>
      </c>
      <c r="W390" s="32">
        <v>6.1999999999999998E-3</v>
      </c>
      <c r="X390" s="32">
        <v>1.1394E-2</v>
      </c>
      <c r="Y390" s="32">
        <v>1.7968999999999999E-2</v>
      </c>
      <c r="Z390" s="32" t="s">
        <v>139</v>
      </c>
      <c r="AA390" s="32" t="s">
        <v>139</v>
      </c>
      <c r="AB390" s="32" t="s">
        <v>139</v>
      </c>
    </row>
    <row r="391" spans="1:28" ht="15.6" customHeight="1" x14ac:dyDescent="0.25">
      <c r="A391" s="24" t="s">
        <v>703</v>
      </c>
      <c r="B391" s="50">
        <v>3978</v>
      </c>
      <c r="C391" s="25" t="s">
        <v>704</v>
      </c>
      <c r="D391" s="25" t="s">
        <v>316</v>
      </c>
      <c r="E391" s="25" t="s">
        <v>194</v>
      </c>
      <c r="F391" s="25" t="s">
        <v>103</v>
      </c>
      <c r="G391" s="26" t="s">
        <v>392</v>
      </c>
      <c r="H391" s="27" t="s">
        <v>705</v>
      </c>
      <c r="I391" s="24" t="s">
        <v>106</v>
      </c>
      <c r="J391" s="24" t="s">
        <v>107</v>
      </c>
      <c r="K391" s="28" t="s">
        <v>108</v>
      </c>
      <c r="L391" s="29">
        <v>0.03</v>
      </c>
      <c r="M391" s="29">
        <v>0.03</v>
      </c>
      <c r="N391" s="29">
        <v>0.02</v>
      </c>
      <c r="O391" s="27" t="s">
        <v>166</v>
      </c>
      <c r="P391" s="30" t="s">
        <v>316</v>
      </c>
      <c r="Q391" s="31">
        <v>5703987.29</v>
      </c>
      <c r="R391" s="31">
        <v>1016.93</v>
      </c>
      <c r="S391" s="32">
        <v>1.3323E-2</v>
      </c>
      <c r="T391" s="32" t="s">
        <v>139</v>
      </c>
      <c r="U391" s="32">
        <v>2.0699999999999999E-4</v>
      </c>
      <c r="V391" s="32">
        <v>1.684E-3</v>
      </c>
      <c r="W391" s="32">
        <v>4.9909999999999998E-3</v>
      </c>
      <c r="X391" s="32">
        <v>1.0292000000000001E-2</v>
      </c>
      <c r="Y391" s="32">
        <v>1.7062000000000001E-2</v>
      </c>
      <c r="Z391" s="32" t="s">
        <v>139</v>
      </c>
      <c r="AA391" s="32" t="s">
        <v>139</v>
      </c>
      <c r="AB391" s="32" t="s">
        <v>139</v>
      </c>
    </row>
    <row r="392" spans="1:28" ht="15.6" customHeight="1" x14ac:dyDescent="0.25">
      <c r="A392" s="24" t="s">
        <v>1445</v>
      </c>
      <c r="B392" s="50">
        <v>3979</v>
      </c>
      <c r="C392" s="25" t="s">
        <v>1446</v>
      </c>
      <c r="D392" s="25" t="s">
        <v>316</v>
      </c>
      <c r="E392" s="25" t="s">
        <v>194</v>
      </c>
      <c r="F392" s="25" t="s">
        <v>138</v>
      </c>
      <c r="G392" s="26" t="s">
        <v>139</v>
      </c>
      <c r="H392" s="27" t="s">
        <v>577</v>
      </c>
      <c r="I392" s="24" t="s">
        <v>998</v>
      </c>
      <c r="J392" s="24" t="s">
        <v>107</v>
      </c>
      <c r="K392" s="28" t="s">
        <v>108</v>
      </c>
      <c r="L392" s="29">
        <v>0.03</v>
      </c>
      <c r="M392" s="29">
        <v>0.03</v>
      </c>
      <c r="N392" s="29">
        <v>0.02</v>
      </c>
      <c r="O392" s="27" t="s">
        <v>166</v>
      </c>
      <c r="P392" s="30" t="s">
        <v>316</v>
      </c>
      <c r="Q392" s="31">
        <v>914422779.03999996</v>
      </c>
      <c r="R392" s="31">
        <v>820.46</v>
      </c>
      <c r="S392" s="32">
        <v>-3.0418000000000001E-2</v>
      </c>
      <c r="T392" s="32" t="s">
        <v>139</v>
      </c>
      <c r="U392" s="32">
        <v>-3.2190000000000001E-3</v>
      </c>
      <c r="V392" s="32">
        <v>1.7624999999999998E-2</v>
      </c>
      <c r="W392" s="32">
        <v>1.4818E-2</v>
      </c>
      <c r="X392" s="32">
        <v>-1.4390999999999999E-2</v>
      </c>
      <c r="Y392" s="32">
        <v>-0.17943300000000001</v>
      </c>
      <c r="Z392" s="32" t="s">
        <v>139</v>
      </c>
      <c r="AA392" s="32" t="s">
        <v>139</v>
      </c>
      <c r="AB392" s="32" t="s">
        <v>139</v>
      </c>
    </row>
    <row r="393" spans="1:28" ht="15.6" customHeight="1" x14ac:dyDescent="0.25">
      <c r="A393" s="24" t="s">
        <v>706</v>
      </c>
      <c r="B393" s="50">
        <v>3980</v>
      </c>
      <c r="C393" s="25" t="s">
        <v>707</v>
      </c>
      <c r="D393" s="25" t="s">
        <v>137</v>
      </c>
      <c r="E393" s="25" t="s">
        <v>194</v>
      </c>
      <c r="F393" s="25" t="s">
        <v>113</v>
      </c>
      <c r="G393" s="26" t="s">
        <v>638</v>
      </c>
      <c r="H393" s="27" t="s">
        <v>115</v>
      </c>
      <c r="I393" s="24" t="s">
        <v>106</v>
      </c>
      <c r="J393" s="24" t="s">
        <v>107</v>
      </c>
      <c r="K393" s="28" t="s">
        <v>108</v>
      </c>
      <c r="L393" s="29">
        <v>0.03</v>
      </c>
      <c r="M393" s="29">
        <v>1.4999999999999999E-2</v>
      </c>
      <c r="N393" s="29">
        <v>0.02</v>
      </c>
      <c r="O393" s="27" t="s">
        <v>141</v>
      </c>
      <c r="P393" s="30" t="s">
        <v>137</v>
      </c>
      <c r="Q393" s="31">
        <v>1331924.352252</v>
      </c>
      <c r="R393" s="31">
        <v>128.07</v>
      </c>
      <c r="S393" s="32">
        <v>-3.0360000000000001E-3</v>
      </c>
      <c r="T393" s="32" t="s">
        <v>139</v>
      </c>
      <c r="U393" s="32">
        <v>1.016E-3</v>
      </c>
      <c r="V393" s="32">
        <v>3.9189999999999997E-3</v>
      </c>
      <c r="W393" s="32">
        <v>1.642E-3</v>
      </c>
      <c r="X393" s="32">
        <v>-8.286E-3</v>
      </c>
      <c r="Y393" s="32">
        <v>-1.0584E-2</v>
      </c>
      <c r="Z393" s="32">
        <v>5.3260000000000002E-2</v>
      </c>
      <c r="AA393" s="32">
        <v>0.15851899999999999</v>
      </c>
      <c r="AB393" s="32">
        <v>5.9864000000000001E-2</v>
      </c>
    </row>
    <row r="394" spans="1:28" ht="15.6" customHeight="1" x14ac:dyDescent="0.25">
      <c r="A394" s="24" t="s">
        <v>1447</v>
      </c>
      <c r="B394" s="50">
        <v>3981</v>
      </c>
      <c r="C394" s="25" t="s">
        <v>1448</v>
      </c>
      <c r="D394" s="25" t="s">
        <v>137</v>
      </c>
      <c r="E394" s="25" t="s">
        <v>194</v>
      </c>
      <c r="F394" s="25" t="s">
        <v>138</v>
      </c>
      <c r="G394" s="26" t="s">
        <v>139</v>
      </c>
      <c r="H394" s="27" t="s">
        <v>1449</v>
      </c>
      <c r="I394" s="24" t="s">
        <v>998</v>
      </c>
      <c r="J394" s="24" t="s">
        <v>121</v>
      </c>
      <c r="K394" s="28" t="s">
        <v>227</v>
      </c>
      <c r="L394" s="29">
        <v>0</v>
      </c>
      <c r="M394" s="29">
        <v>0</v>
      </c>
      <c r="N394" s="29">
        <v>0.02</v>
      </c>
      <c r="O394" s="27" t="s">
        <v>141</v>
      </c>
      <c r="P394" s="30" t="s">
        <v>1288</v>
      </c>
      <c r="Q394" s="31">
        <v>236210902.239712</v>
      </c>
      <c r="R394" s="31">
        <v>27222.65</v>
      </c>
      <c r="S394" s="32">
        <v>-6.1469999999999997E-3</v>
      </c>
      <c r="T394" s="32" t="s">
        <v>139</v>
      </c>
      <c r="U394" s="32">
        <v>-1.5139999999999999E-3</v>
      </c>
      <c r="V394" s="32">
        <v>1.9467999999999999E-2</v>
      </c>
      <c r="W394" s="32">
        <v>4.0800000000000003E-3</v>
      </c>
      <c r="X394" s="32">
        <v>7.7700000000000002E-4</v>
      </c>
      <c r="Y394" s="32">
        <v>-8.1201999999999996E-2</v>
      </c>
      <c r="Z394" s="32">
        <v>-1.7224E-2</v>
      </c>
      <c r="AA394" s="32">
        <v>8.4989999999999996E-2</v>
      </c>
      <c r="AB394" s="32">
        <v>-2.3826E-2</v>
      </c>
    </row>
    <row r="395" spans="1:28" ht="15.6" customHeight="1" x14ac:dyDescent="0.25">
      <c r="A395" s="24" t="s">
        <v>708</v>
      </c>
      <c r="B395" s="50">
        <v>3982</v>
      </c>
      <c r="C395" s="25" t="s">
        <v>709</v>
      </c>
      <c r="D395" s="25" t="s">
        <v>101</v>
      </c>
      <c r="E395" s="25" t="s">
        <v>194</v>
      </c>
      <c r="F395" s="25" t="s">
        <v>155</v>
      </c>
      <c r="G395" s="26" t="s">
        <v>139</v>
      </c>
      <c r="H395" s="27" t="s">
        <v>588</v>
      </c>
      <c r="I395" s="24" t="s">
        <v>106</v>
      </c>
      <c r="J395" s="24" t="s">
        <v>121</v>
      </c>
      <c r="K395" s="28" t="s">
        <v>227</v>
      </c>
      <c r="L395" s="29">
        <v>0</v>
      </c>
      <c r="M395" s="29">
        <v>0</v>
      </c>
      <c r="N395" s="29">
        <v>0.02</v>
      </c>
      <c r="O395" s="27" t="s">
        <v>262</v>
      </c>
      <c r="P395" s="30" t="s">
        <v>101</v>
      </c>
      <c r="Q395" s="31">
        <v>669563.5</v>
      </c>
      <c r="R395" s="31">
        <v>167390.88</v>
      </c>
      <c r="S395" s="32">
        <v>2.8917000000000002E-2</v>
      </c>
      <c r="T395" s="32" t="s">
        <v>139</v>
      </c>
      <c r="U395" s="32">
        <v>-5.653E-3</v>
      </c>
      <c r="V395" s="32">
        <v>4.2832000000000002E-2</v>
      </c>
      <c r="W395" s="32">
        <v>2.5590999999999999E-2</v>
      </c>
      <c r="X395" s="32">
        <v>4.6847E-2</v>
      </c>
      <c r="Y395" s="32">
        <v>1.2626999999999999E-2</v>
      </c>
      <c r="Z395" s="32">
        <v>7.5817999999999997E-2</v>
      </c>
      <c r="AA395" s="32">
        <v>0.15027599999999999</v>
      </c>
      <c r="AB395" s="32">
        <v>0.153804</v>
      </c>
    </row>
    <row r="396" spans="1:28" ht="15.6" customHeight="1" x14ac:dyDescent="0.25">
      <c r="A396" s="24" t="s">
        <v>710</v>
      </c>
      <c r="B396" s="50">
        <v>3983</v>
      </c>
      <c r="C396" s="25" t="s">
        <v>711</v>
      </c>
      <c r="D396" s="25" t="s">
        <v>712</v>
      </c>
      <c r="E396" s="25" t="s">
        <v>194</v>
      </c>
      <c r="F396" s="25" t="s">
        <v>113</v>
      </c>
      <c r="G396" s="26" t="s">
        <v>670</v>
      </c>
      <c r="H396" s="27" t="s">
        <v>115</v>
      </c>
      <c r="I396" s="24" t="s">
        <v>106</v>
      </c>
      <c r="J396" s="24" t="s">
        <v>107</v>
      </c>
      <c r="K396" s="28" t="s">
        <v>108</v>
      </c>
      <c r="L396" s="29">
        <v>0.03</v>
      </c>
      <c r="M396" s="29">
        <v>1.4999999999999999E-2</v>
      </c>
      <c r="N396" s="29">
        <v>0.02</v>
      </c>
      <c r="O396" s="27" t="s">
        <v>131</v>
      </c>
      <c r="P396" s="30" t="s">
        <v>712</v>
      </c>
      <c r="Q396" s="31">
        <v>344751693.39999998</v>
      </c>
      <c r="R396" s="31">
        <v>1012.44</v>
      </c>
      <c r="S396" s="32">
        <v>5.9820000000000003E-3</v>
      </c>
      <c r="T396" s="32" t="s">
        <v>139</v>
      </c>
      <c r="U396" s="32">
        <v>6.7199999999999996E-4</v>
      </c>
      <c r="V396" s="32">
        <v>5.9319999999999998E-3</v>
      </c>
      <c r="W396" s="32">
        <v>6.2820000000000003E-3</v>
      </c>
      <c r="X396" s="32">
        <v>6.6220000000000003E-3</v>
      </c>
      <c r="Y396" s="32" t="s">
        <v>139</v>
      </c>
      <c r="Z396" s="32" t="s">
        <v>139</v>
      </c>
      <c r="AA396" s="32" t="s">
        <v>139</v>
      </c>
      <c r="AB396" s="32" t="s">
        <v>139</v>
      </c>
    </row>
    <row r="397" spans="1:28" ht="15.6" customHeight="1" x14ac:dyDescent="0.25">
      <c r="A397" s="24" t="s">
        <v>713</v>
      </c>
      <c r="B397" s="50">
        <v>3984</v>
      </c>
      <c r="C397" s="25" t="s">
        <v>10</v>
      </c>
      <c r="D397" s="25" t="s">
        <v>712</v>
      </c>
      <c r="E397" s="25" t="s">
        <v>194</v>
      </c>
      <c r="F397" s="25" t="s">
        <v>155</v>
      </c>
      <c r="G397" s="26" t="s">
        <v>139</v>
      </c>
      <c r="H397" s="27" t="s">
        <v>156</v>
      </c>
      <c r="I397" s="24" t="s">
        <v>106</v>
      </c>
      <c r="J397" s="24" t="s">
        <v>107</v>
      </c>
      <c r="K397" s="28" t="s">
        <v>108</v>
      </c>
      <c r="L397" s="29">
        <v>0.03</v>
      </c>
      <c r="M397" s="29">
        <v>1.4999999999999999E-2</v>
      </c>
      <c r="N397" s="29">
        <v>0.02</v>
      </c>
      <c r="O397" s="27" t="s">
        <v>166</v>
      </c>
      <c r="P397" s="30" t="s">
        <v>712</v>
      </c>
      <c r="Q397" s="31">
        <v>899472121.45000005</v>
      </c>
      <c r="R397" s="31">
        <v>967.96</v>
      </c>
      <c r="S397" s="32">
        <v>4.1903999999999997E-2</v>
      </c>
      <c r="T397" s="32" t="s">
        <v>139</v>
      </c>
      <c r="U397" s="32">
        <v>-1.0225E-2</v>
      </c>
      <c r="V397" s="32">
        <v>4.1153000000000002E-2</v>
      </c>
      <c r="W397" s="32">
        <v>2.5489999999999999E-2</v>
      </c>
      <c r="X397" s="32">
        <v>5.4135999999999997E-2</v>
      </c>
      <c r="Y397" s="32" t="s">
        <v>139</v>
      </c>
      <c r="Z397" s="32" t="s">
        <v>139</v>
      </c>
      <c r="AA397" s="32" t="s">
        <v>139</v>
      </c>
      <c r="AB397" s="32" t="s">
        <v>139</v>
      </c>
    </row>
    <row r="398" spans="1:28" ht="15.6" customHeight="1" x14ac:dyDescent="0.25">
      <c r="A398" s="24" t="s">
        <v>714</v>
      </c>
      <c r="B398" s="50">
        <v>3985</v>
      </c>
      <c r="C398" s="25" t="s">
        <v>715</v>
      </c>
      <c r="D398" s="25" t="s">
        <v>712</v>
      </c>
      <c r="E398" s="25" t="s">
        <v>194</v>
      </c>
      <c r="F398" s="25" t="s">
        <v>128</v>
      </c>
      <c r="G398" s="26" t="s">
        <v>690</v>
      </c>
      <c r="H398" s="27" t="s">
        <v>130</v>
      </c>
      <c r="I398" s="24" t="s">
        <v>106</v>
      </c>
      <c r="J398" s="24" t="s">
        <v>107</v>
      </c>
      <c r="K398" s="28" t="s">
        <v>108</v>
      </c>
      <c r="L398" s="29">
        <v>0.03</v>
      </c>
      <c r="M398" s="29">
        <v>1.4999999999999999E-2</v>
      </c>
      <c r="N398" s="29">
        <v>0.02</v>
      </c>
      <c r="O398" s="27" t="s">
        <v>131</v>
      </c>
      <c r="P398" s="30" t="s">
        <v>712</v>
      </c>
      <c r="Q398" s="31">
        <v>1201349270.0599999</v>
      </c>
      <c r="R398" s="31">
        <v>1021.54</v>
      </c>
      <c r="S398" s="32">
        <v>1.8678E-2</v>
      </c>
      <c r="T398" s="32" t="s">
        <v>139</v>
      </c>
      <c r="U398" s="32">
        <v>3.9199999999999999E-4</v>
      </c>
      <c r="V398" s="32">
        <v>2.2659999999999998E-3</v>
      </c>
      <c r="W398" s="32">
        <v>6.6810000000000003E-3</v>
      </c>
      <c r="X398" s="32">
        <v>1.4097E-2</v>
      </c>
      <c r="Y398" s="32" t="s">
        <v>139</v>
      </c>
      <c r="Z398" s="32" t="s">
        <v>139</v>
      </c>
      <c r="AA398" s="32" t="s">
        <v>139</v>
      </c>
      <c r="AB398" s="32" t="s">
        <v>139</v>
      </c>
    </row>
    <row r="399" spans="1:28" ht="15.6" customHeight="1" x14ac:dyDescent="0.25">
      <c r="A399" s="24" t="s">
        <v>716</v>
      </c>
      <c r="B399" s="50">
        <v>3986</v>
      </c>
      <c r="C399" s="25" t="s">
        <v>717</v>
      </c>
      <c r="D399" s="25" t="s">
        <v>718</v>
      </c>
      <c r="E399" s="25" t="s">
        <v>194</v>
      </c>
      <c r="F399" s="25" t="s">
        <v>128</v>
      </c>
      <c r="G399" s="26" t="s">
        <v>719</v>
      </c>
      <c r="H399" s="27" t="s">
        <v>130</v>
      </c>
      <c r="I399" s="24" t="s">
        <v>106</v>
      </c>
      <c r="J399" s="24" t="s">
        <v>107</v>
      </c>
      <c r="K399" s="28" t="s">
        <v>108</v>
      </c>
      <c r="L399" s="29">
        <v>1.4999999999999999E-2</v>
      </c>
      <c r="M399" s="29">
        <v>0.02</v>
      </c>
      <c r="N399" s="29">
        <v>0.03</v>
      </c>
      <c r="O399" s="27" t="s">
        <v>659</v>
      </c>
      <c r="P399" s="30" t="s">
        <v>718</v>
      </c>
      <c r="Q399" s="31">
        <v>2376243072.71</v>
      </c>
      <c r="R399" s="31">
        <v>1019.28</v>
      </c>
      <c r="S399" s="32">
        <v>1.8780999999999999E-2</v>
      </c>
      <c r="T399" s="32" t="s">
        <v>139</v>
      </c>
      <c r="U399" s="32">
        <v>4.0200000000000001E-4</v>
      </c>
      <c r="V399" s="32">
        <v>2.4689999999999998E-3</v>
      </c>
      <c r="W399" s="32">
        <v>6.8259999999999996E-3</v>
      </c>
      <c r="X399" s="32">
        <v>1.3009E-2</v>
      </c>
      <c r="Y399" s="32" t="s">
        <v>139</v>
      </c>
      <c r="Z399" s="32" t="s">
        <v>139</v>
      </c>
      <c r="AA399" s="32" t="s">
        <v>139</v>
      </c>
      <c r="AB399" s="32" t="s">
        <v>139</v>
      </c>
    </row>
    <row r="400" spans="1:28" ht="15.6" customHeight="1" x14ac:dyDescent="0.25">
      <c r="A400" s="24" t="s">
        <v>720</v>
      </c>
      <c r="B400" s="50">
        <v>3987</v>
      </c>
      <c r="C400" s="25" t="s">
        <v>721</v>
      </c>
      <c r="D400" s="25" t="s">
        <v>718</v>
      </c>
      <c r="E400" s="25" t="s">
        <v>194</v>
      </c>
      <c r="F400" s="25" t="s">
        <v>113</v>
      </c>
      <c r="G400" s="26" t="s">
        <v>670</v>
      </c>
      <c r="H400" s="27" t="s">
        <v>115</v>
      </c>
      <c r="I400" s="24" t="s">
        <v>106</v>
      </c>
      <c r="J400" s="24" t="s">
        <v>107</v>
      </c>
      <c r="K400" s="28" t="s">
        <v>108</v>
      </c>
      <c r="L400" s="29">
        <v>1.4999999999999999E-2</v>
      </c>
      <c r="M400" s="29">
        <v>0.02</v>
      </c>
      <c r="N400" s="29">
        <v>0.03</v>
      </c>
      <c r="O400" s="27" t="s">
        <v>659</v>
      </c>
      <c r="P400" s="30" t="s">
        <v>718</v>
      </c>
      <c r="Q400" s="31">
        <v>202817655.25</v>
      </c>
      <c r="R400" s="31">
        <v>1012.15</v>
      </c>
      <c r="S400" s="32">
        <v>1.1523E-2</v>
      </c>
      <c r="T400" s="32" t="s">
        <v>139</v>
      </c>
      <c r="U400" s="32">
        <v>1.207E-3</v>
      </c>
      <c r="V400" s="32">
        <v>2.2780000000000001E-3</v>
      </c>
      <c r="W400" s="32">
        <v>5.7330000000000002E-3</v>
      </c>
      <c r="X400" s="32">
        <v>8.0169999999999998E-3</v>
      </c>
      <c r="Y400" s="32" t="s">
        <v>139</v>
      </c>
      <c r="Z400" s="32" t="s">
        <v>139</v>
      </c>
      <c r="AA400" s="32" t="s">
        <v>139</v>
      </c>
      <c r="AB400" s="32" t="s">
        <v>139</v>
      </c>
    </row>
    <row r="401" spans="1:28" ht="15.6" customHeight="1" x14ac:dyDescent="0.25">
      <c r="A401" s="24" t="s">
        <v>722</v>
      </c>
      <c r="B401" s="50">
        <v>3988</v>
      </c>
      <c r="C401" s="25" t="s">
        <v>723</v>
      </c>
      <c r="D401" s="25" t="s">
        <v>718</v>
      </c>
      <c r="E401" s="25" t="s">
        <v>194</v>
      </c>
      <c r="F401" s="25" t="s">
        <v>155</v>
      </c>
      <c r="G401" s="26" t="s">
        <v>139</v>
      </c>
      <c r="H401" s="27" t="s">
        <v>156</v>
      </c>
      <c r="I401" s="24" t="s">
        <v>106</v>
      </c>
      <c r="J401" s="24" t="s">
        <v>107</v>
      </c>
      <c r="K401" s="28" t="s">
        <v>108</v>
      </c>
      <c r="L401" s="29">
        <v>1.4999999999999999E-2</v>
      </c>
      <c r="M401" s="29">
        <v>0.02</v>
      </c>
      <c r="N401" s="29">
        <v>0.03</v>
      </c>
      <c r="O401" s="27" t="s">
        <v>659</v>
      </c>
      <c r="P401" s="30" t="s">
        <v>718</v>
      </c>
      <c r="Q401" s="31">
        <v>50879347.530000001</v>
      </c>
      <c r="R401" s="31">
        <v>1072.58</v>
      </c>
      <c r="S401" s="32">
        <v>8.3666000000000004E-2</v>
      </c>
      <c r="T401" s="32" t="s">
        <v>139</v>
      </c>
      <c r="U401" s="32">
        <v>-8.5690000000000002E-3</v>
      </c>
      <c r="V401" s="32">
        <v>3.465E-2</v>
      </c>
      <c r="W401" s="32">
        <v>4.9560000000000003E-3</v>
      </c>
      <c r="X401" s="32">
        <v>8.9743000000000003E-2</v>
      </c>
      <c r="Y401" s="32" t="s">
        <v>139</v>
      </c>
      <c r="Z401" s="32" t="s">
        <v>139</v>
      </c>
      <c r="AA401" s="32" t="s">
        <v>139</v>
      </c>
      <c r="AB401" s="32" t="s">
        <v>139</v>
      </c>
    </row>
    <row r="402" spans="1:28" ht="15.6" customHeight="1" x14ac:dyDescent="0.25">
      <c r="A402" s="24" t="s">
        <v>724</v>
      </c>
      <c r="B402" s="50">
        <v>3989</v>
      </c>
      <c r="C402" s="25" t="s">
        <v>725</v>
      </c>
      <c r="D402" s="25" t="s">
        <v>504</v>
      </c>
      <c r="E402" s="25" t="s">
        <v>194</v>
      </c>
      <c r="F402" s="25" t="s">
        <v>138</v>
      </c>
      <c r="G402" s="26" t="s">
        <v>139</v>
      </c>
      <c r="H402" s="27" t="s">
        <v>680</v>
      </c>
      <c r="I402" s="24" t="s">
        <v>106</v>
      </c>
      <c r="J402" s="24" t="s">
        <v>107</v>
      </c>
      <c r="K402" s="28" t="s">
        <v>227</v>
      </c>
      <c r="L402" s="29">
        <v>0.02</v>
      </c>
      <c r="M402" s="29">
        <v>0.02</v>
      </c>
      <c r="N402" s="29">
        <v>0.02</v>
      </c>
      <c r="O402" s="27" t="s">
        <v>663</v>
      </c>
      <c r="P402" s="30" t="s">
        <v>726</v>
      </c>
      <c r="Q402" s="31">
        <v>724452874.38999999</v>
      </c>
      <c r="R402" s="31">
        <v>1135.08</v>
      </c>
      <c r="S402" s="32" t="s">
        <v>139</v>
      </c>
      <c r="T402" s="32" t="s">
        <v>139</v>
      </c>
      <c r="U402" s="32">
        <v>-3.9399999999999999E-3</v>
      </c>
      <c r="V402" s="32">
        <v>2.2658999999999999E-2</v>
      </c>
      <c r="W402" s="32">
        <v>1.1270000000000001E-2</v>
      </c>
      <c r="X402" s="32">
        <v>0.13539799999999999</v>
      </c>
      <c r="Y402" s="32" t="s">
        <v>139</v>
      </c>
      <c r="Z402" s="32" t="s">
        <v>139</v>
      </c>
      <c r="AA402" s="32" t="s">
        <v>139</v>
      </c>
      <c r="AB402" s="32" t="s">
        <v>139</v>
      </c>
    </row>
    <row r="403" spans="1:28" ht="15.6" customHeight="1" x14ac:dyDescent="0.25">
      <c r="A403" s="24" t="s">
        <v>727</v>
      </c>
      <c r="B403" s="50">
        <v>3990</v>
      </c>
      <c r="C403" s="25" t="s">
        <v>728</v>
      </c>
      <c r="D403" s="25" t="s">
        <v>504</v>
      </c>
      <c r="E403" s="25" t="s">
        <v>194</v>
      </c>
      <c r="F403" s="25" t="s">
        <v>155</v>
      </c>
      <c r="G403" s="26" t="s">
        <v>139</v>
      </c>
      <c r="H403" s="27" t="s">
        <v>156</v>
      </c>
      <c r="I403" s="24" t="s">
        <v>106</v>
      </c>
      <c r="J403" s="24" t="s">
        <v>107</v>
      </c>
      <c r="K403" s="28" t="s">
        <v>227</v>
      </c>
      <c r="L403" s="29">
        <v>0.02</v>
      </c>
      <c r="M403" s="29">
        <v>0.02</v>
      </c>
      <c r="N403" s="29">
        <v>0.02</v>
      </c>
      <c r="O403" s="27" t="s">
        <v>161</v>
      </c>
      <c r="P403" s="30" t="s">
        <v>726</v>
      </c>
      <c r="Q403" s="31">
        <v>1010901.81</v>
      </c>
      <c r="R403" s="31">
        <v>1010.9</v>
      </c>
      <c r="S403" s="32" t="s">
        <v>139</v>
      </c>
      <c r="T403" s="32" t="s">
        <v>139</v>
      </c>
      <c r="U403" s="32">
        <v>-6.6519999999999999E-3</v>
      </c>
      <c r="V403" s="32">
        <v>4.1006000000000001E-2</v>
      </c>
      <c r="W403" s="32">
        <v>1.5214999999999999E-2</v>
      </c>
      <c r="X403" s="32">
        <v>1.1315E-2</v>
      </c>
      <c r="Y403" s="32" t="s">
        <v>139</v>
      </c>
      <c r="Z403" s="32" t="s">
        <v>139</v>
      </c>
      <c r="AA403" s="32" t="s">
        <v>139</v>
      </c>
      <c r="AB403" s="32" t="s">
        <v>139</v>
      </c>
    </row>
    <row r="404" spans="1:28" ht="15.6" customHeight="1" x14ac:dyDescent="0.25">
      <c r="A404" s="24" t="s">
        <v>729</v>
      </c>
      <c r="B404" s="50">
        <v>3991</v>
      </c>
      <c r="C404" s="25" t="s">
        <v>730</v>
      </c>
      <c r="D404" s="25" t="s">
        <v>504</v>
      </c>
      <c r="E404" s="25" t="s">
        <v>194</v>
      </c>
      <c r="F404" s="25" t="s">
        <v>113</v>
      </c>
      <c r="G404" s="26" t="s">
        <v>731</v>
      </c>
      <c r="H404" s="27" t="s">
        <v>732</v>
      </c>
      <c r="I404" s="24" t="s">
        <v>106</v>
      </c>
      <c r="J404" s="24" t="s">
        <v>107</v>
      </c>
      <c r="K404" s="28" t="s">
        <v>108</v>
      </c>
      <c r="L404" s="29">
        <v>0.02</v>
      </c>
      <c r="M404" s="29">
        <v>0.02</v>
      </c>
      <c r="N404" s="29">
        <v>0.02</v>
      </c>
      <c r="O404" s="27" t="s">
        <v>131</v>
      </c>
      <c r="P404" s="30" t="s">
        <v>726</v>
      </c>
      <c r="Q404" s="31">
        <v>1011008.75</v>
      </c>
      <c r="R404" s="31">
        <v>1011</v>
      </c>
      <c r="S404" s="32" t="s">
        <v>139</v>
      </c>
      <c r="T404" s="32" t="s">
        <v>139</v>
      </c>
      <c r="U404" s="32">
        <v>1.1689999999999999E-3</v>
      </c>
      <c r="V404" s="32">
        <v>3.7929999999999999E-3</v>
      </c>
      <c r="W404" s="32">
        <v>8.8999999999999995E-5</v>
      </c>
      <c r="X404" s="32">
        <v>1.1152E-2</v>
      </c>
      <c r="Y404" s="32" t="s">
        <v>139</v>
      </c>
      <c r="Z404" s="32" t="s">
        <v>139</v>
      </c>
      <c r="AA404" s="32" t="s">
        <v>139</v>
      </c>
      <c r="AB404" s="32" t="s">
        <v>139</v>
      </c>
    </row>
    <row r="405" spans="1:28" ht="15.6" customHeight="1" x14ac:dyDescent="0.25">
      <c r="A405" s="24" t="s">
        <v>733</v>
      </c>
      <c r="B405" s="50">
        <v>3992</v>
      </c>
      <c r="C405" s="25" t="s">
        <v>734</v>
      </c>
      <c r="D405" s="25" t="s">
        <v>524</v>
      </c>
      <c r="E405" s="25" t="s">
        <v>194</v>
      </c>
      <c r="F405" s="25" t="s">
        <v>155</v>
      </c>
      <c r="G405" s="26" t="s">
        <v>139</v>
      </c>
      <c r="H405" s="27" t="s">
        <v>156</v>
      </c>
      <c r="I405" s="24" t="s">
        <v>106</v>
      </c>
      <c r="J405" s="24" t="s">
        <v>107</v>
      </c>
      <c r="K405" s="28" t="s">
        <v>108</v>
      </c>
      <c r="L405" s="29">
        <v>0.02</v>
      </c>
      <c r="M405" s="29">
        <v>0.02</v>
      </c>
      <c r="N405" s="29">
        <v>0.02</v>
      </c>
      <c r="O405" s="27" t="s">
        <v>161</v>
      </c>
      <c r="P405" s="30" t="s">
        <v>524</v>
      </c>
      <c r="Q405" s="31">
        <v>35159909.979999997</v>
      </c>
      <c r="R405" s="31">
        <v>100.87</v>
      </c>
      <c r="S405" s="32" t="s">
        <v>139</v>
      </c>
      <c r="T405" s="32" t="s">
        <v>139</v>
      </c>
      <c r="U405" s="32">
        <v>-1.3014E-2</v>
      </c>
      <c r="V405" s="32">
        <v>3.1813000000000001E-2</v>
      </c>
      <c r="W405" s="32">
        <v>6.5859999999999998E-3</v>
      </c>
      <c r="X405" s="32" t="s">
        <v>139</v>
      </c>
      <c r="Y405" s="32" t="s">
        <v>139</v>
      </c>
      <c r="Z405" s="32" t="s">
        <v>139</v>
      </c>
      <c r="AA405" s="32" t="s">
        <v>139</v>
      </c>
      <c r="AB405" s="32" t="s">
        <v>139</v>
      </c>
    </row>
    <row r="406" spans="1:28" ht="15.6" customHeight="1" x14ac:dyDescent="0.25">
      <c r="A406" s="24" t="s">
        <v>735</v>
      </c>
      <c r="B406" s="50">
        <v>3993</v>
      </c>
      <c r="C406" s="25" t="s">
        <v>736</v>
      </c>
      <c r="D406" s="25" t="s">
        <v>524</v>
      </c>
      <c r="E406" s="25" t="s">
        <v>194</v>
      </c>
      <c r="F406" s="25" t="s">
        <v>128</v>
      </c>
      <c r="G406" s="26" t="s">
        <v>690</v>
      </c>
      <c r="H406" s="27" t="s">
        <v>130</v>
      </c>
      <c r="I406" s="24" t="s">
        <v>106</v>
      </c>
      <c r="J406" s="24" t="s">
        <v>107</v>
      </c>
      <c r="K406" s="28" t="s">
        <v>108</v>
      </c>
      <c r="L406" s="29">
        <v>0</v>
      </c>
      <c r="M406" s="29">
        <v>0</v>
      </c>
      <c r="N406" s="29">
        <v>0.01</v>
      </c>
      <c r="O406" s="27" t="s">
        <v>161</v>
      </c>
      <c r="P406" s="30" t="s">
        <v>524</v>
      </c>
      <c r="Q406" s="31">
        <v>1021253.63</v>
      </c>
      <c r="R406" s="31">
        <v>1021.25</v>
      </c>
      <c r="S406" s="32" t="s">
        <v>139</v>
      </c>
      <c r="T406" s="32" t="s">
        <v>139</v>
      </c>
      <c r="U406" s="32">
        <v>4.3100000000000001E-4</v>
      </c>
      <c r="V406" s="32">
        <v>2.356E-3</v>
      </c>
      <c r="W406" s="32">
        <v>5.7809999999999997E-3</v>
      </c>
      <c r="X406" s="32" t="s">
        <v>139</v>
      </c>
      <c r="Y406" s="32" t="s">
        <v>139</v>
      </c>
      <c r="Z406" s="32" t="s">
        <v>139</v>
      </c>
      <c r="AA406" s="32" t="s">
        <v>139</v>
      </c>
      <c r="AB406" s="32" t="s">
        <v>139</v>
      </c>
    </row>
    <row r="407" spans="1:28" ht="15.6" customHeight="1" x14ac:dyDescent="0.25">
      <c r="A407" s="24" t="s">
        <v>737</v>
      </c>
      <c r="B407" s="50">
        <v>3994</v>
      </c>
      <c r="C407" s="25" t="s">
        <v>738</v>
      </c>
      <c r="D407" s="25" t="s">
        <v>712</v>
      </c>
      <c r="E407" s="25" t="s">
        <v>194</v>
      </c>
      <c r="F407" s="25" t="s">
        <v>103</v>
      </c>
      <c r="G407" s="26" t="s">
        <v>392</v>
      </c>
      <c r="H407" s="27" t="s">
        <v>188</v>
      </c>
      <c r="I407" s="24" t="s">
        <v>106</v>
      </c>
      <c r="J407" s="24" t="s">
        <v>107</v>
      </c>
      <c r="K407" s="28" t="s">
        <v>108</v>
      </c>
      <c r="L407" s="29">
        <v>0.03</v>
      </c>
      <c r="M407" s="29">
        <v>1.4999999999999999E-2</v>
      </c>
      <c r="N407" s="29">
        <v>0.02</v>
      </c>
      <c r="O407" s="27" t="s">
        <v>131</v>
      </c>
      <c r="P407" s="30" t="s">
        <v>712</v>
      </c>
      <c r="Q407" s="31">
        <v>259455327.34</v>
      </c>
      <c r="R407" s="31">
        <v>1006.41</v>
      </c>
      <c r="S407" s="32" t="s">
        <v>139</v>
      </c>
      <c r="T407" s="32" t="s">
        <v>139</v>
      </c>
      <c r="U407" s="32">
        <v>2.4800000000000001E-4</v>
      </c>
      <c r="V407" s="32">
        <v>1.9009999999999999E-3</v>
      </c>
      <c r="W407" s="32">
        <v>5.2139999999999999E-3</v>
      </c>
      <c r="X407" s="32" t="s">
        <v>139</v>
      </c>
      <c r="Y407" s="32" t="s">
        <v>139</v>
      </c>
      <c r="Z407" s="32" t="s">
        <v>139</v>
      </c>
      <c r="AA407" s="32" t="s">
        <v>139</v>
      </c>
      <c r="AB407" s="32" t="s">
        <v>139</v>
      </c>
    </row>
    <row r="408" spans="1:28" ht="15.6" customHeight="1" x14ac:dyDescent="0.25">
      <c r="A408" s="24" t="s">
        <v>739</v>
      </c>
      <c r="B408" s="50">
        <v>3995</v>
      </c>
      <c r="C408" s="25" t="s">
        <v>740</v>
      </c>
      <c r="D408" s="25" t="s">
        <v>712</v>
      </c>
      <c r="E408" s="25" t="s">
        <v>194</v>
      </c>
      <c r="F408" s="25" t="s">
        <v>138</v>
      </c>
      <c r="G408" s="26" t="s">
        <v>139</v>
      </c>
      <c r="H408" s="27" t="s">
        <v>741</v>
      </c>
      <c r="I408" s="24" t="s">
        <v>106</v>
      </c>
      <c r="J408" s="24" t="s">
        <v>107</v>
      </c>
      <c r="K408" s="28" t="s">
        <v>108</v>
      </c>
      <c r="L408" s="29">
        <v>0.03</v>
      </c>
      <c r="M408" s="29">
        <v>1.4999999999999999E-2</v>
      </c>
      <c r="N408" s="29">
        <v>0.02</v>
      </c>
      <c r="O408" s="27" t="s">
        <v>166</v>
      </c>
      <c r="P408" s="30" t="s">
        <v>712</v>
      </c>
      <c r="Q408" s="31">
        <v>255136495.03</v>
      </c>
      <c r="R408" s="31">
        <v>997.6</v>
      </c>
      <c r="S408" s="32" t="s">
        <v>139</v>
      </c>
      <c r="T408" s="32" t="s">
        <v>139</v>
      </c>
      <c r="U408" s="32">
        <v>-6.4539999999999997E-3</v>
      </c>
      <c r="V408" s="32">
        <v>1.4017E-2</v>
      </c>
      <c r="W408" s="32">
        <v>2.1231E-2</v>
      </c>
      <c r="X408" s="32" t="s">
        <v>139</v>
      </c>
      <c r="Y408" s="32" t="s">
        <v>139</v>
      </c>
      <c r="Z408" s="32" t="s">
        <v>139</v>
      </c>
      <c r="AA408" s="32" t="s">
        <v>139</v>
      </c>
      <c r="AB408" s="32" t="s">
        <v>139</v>
      </c>
    </row>
    <row r="409" spans="1:28" ht="15.6" customHeight="1" x14ac:dyDescent="0.25">
      <c r="A409" s="24" t="s">
        <v>742</v>
      </c>
      <c r="B409" s="50">
        <v>3996</v>
      </c>
      <c r="C409" s="25" t="s">
        <v>743</v>
      </c>
      <c r="D409" s="25" t="s">
        <v>570</v>
      </c>
      <c r="E409" s="25" t="s">
        <v>194</v>
      </c>
      <c r="F409" s="25" t="s">
        <v>138</v>
      </c>
      <c r="G409" s="26" t="s">
        <v>139</v>
      </c>
      <c r="H409" s="27" t="s">
        <v>577</v>
      </c>
      <c r="I409" s="24" t="s">
        <v>106</v>
      </c>
      <c r="J409" s="24" t="s">
        <v>121</v>
      </c>
      <c r="K409" s="28" t="s">
        <v>227</v>
      </c>
      <c r="L409" s="29">
        <v>0.03</v>
      </c>
      <c r="M409" s="29">
        <v>0.03</v>
      </c>
      <c r="N409" s="29">
        <v>0.02</v>
      </c>
      <c r="O409" s="27" t="s">
        <v>166</v>
      </c>
      <c r="P409" s="30" t="s">
        <v>570</v>
      </c>
      <c r="Q409" s="31">
        <v>1013561.3</v>
      </c>
      <c r="R409" s="31">
        <v>1013.56</v>
      </c>
      <c r="S409" s="32" t="s">
        <v>139</v>
      </c>
      <c r="T409" s="32" t="s">
        <v>139</v>
      </c>
      <c r="U409" s="32">
        <v>-3.4220000000000001E-3</v>
      </c>
      <c r="V409" s="32">
        <v>4.8279999999999998E-3</v>
      </c>
      <c r="W409" s="32">
        <v>1.1053E-2</v>
      </c>
      <c r="X409" s="32" t="s">
        <v>139</v>
      </c>
      <c r="Y409" s="32" t="s">
        <v>139</v>
      </c>
      <c r="Z409" s="32" t="s">
        <v>139</v>
      </c>
      <c r="AA409" s="32" t="s">
        <v>139</v>
      </c>
      <c r="AB409" s="32" t="s">
        <v>139</v>
      </c>
    </row>
    <row r="410" spans="1:28" ht="15.6" customHeight="1" x14ac:dyDescent="0.25">
      <c r="A410" s="24" t="s">
        <v>744</v>
      </c>
      <c r="B410" s="50">
        <v>3998</v>
      </c>
      <c r="C410" s="25" t="s">
        <v>745</v>
      </c>
      <c r="D410" s="25" t="s">
        <v>718</v>
      </c>
      <c r="E410" s="25" t="s">
        <v>194</v>
      </c>
      <c r="F410" s="25" t="s">
        <v>138</v>
      </c>
      <c r="G410" s="26" t="s">
        <v>139</v>
      </c>
      <c r="H410" s="27" t="s">
        <v>680</v>
      </c>
      <c r="I410" s="24" t="s">
        <v>106</v>
      </c>
      <c r="J410" s="24" t="s">
        <v>107</v>
      </c>
      <c r="K410" s="28" t="s">
        <v>108</v>
      </c>
      <c r="L410" s="29">
        <v>0.03</v>
      </c>
      <c r="M410" s="29">
        <v>1.4999999999999999E-2</v>
      </c>
      <c r="N410" s="29">
        <v>0.02</v>
      </c>
      <c r="O410" s="27" t="s">
        <v>659</v>
      </c>
      <c r="P410" s="30" t="s">
        <v>718</v>
      </c>
      <c r="Q410" s="31">
        <v>426730868.50999999</v>
      </c>
      <c r="R410" s="31">
        <v>1026.3699999999999</v>
      </c>
      <c r="S410" s="32" t="s">
        <v>139</v>
      </c>
      <c r="T410" s="32" t="s">
        <v>139</v>
      </c>
      <c r="U410" s="32">
        <v>-9.5399999999999999E-4</v>
      </c>
      <c r="V410" s="32">
        <v>7.4200000000000004E-3</v>
      </c>
      <c r="W410" s="32">
        <v>1.9919999999999998E-3</v>
      </c>
      <c r="X410" s="32" t="s">
        <v>139</v>
      </c>
      <c r="Y410" s="32" t="s">
        <v>139</v>
      </c>
      <c r="Z410" s="32" t="s">
        <v>139</v>
      </c>
      <c r="AA410" s="32" t="s">
        <v>139</v>
      </c>
      <c r="AB410" s="32" t="s">
        <v>139</v>
      </c>
    </row>
    <row r="411" spans="1:28" ht="15.6" customHeight="1" x14ac:dyDescent="0.25">
      <c r="A411" s="24" t="s">
        <v>746</v>
      </c>
      <c r="B411" s="50">
        <v>3999</v>
      </c>
      <c r="C411" s="25" t="s">
        <v>747</v>
      </c>
      <c r="D411" s="25" t="s">
        <v>679</v>
      </c>
      <c r="E411" s="25" t="s">
        <v>194</v>
      </c>
      <c r="F411" s="25" t="s">
        <v>113</v>
      </c>
      <c r="G411" s="26" t="s">
        <v>748</v>
      </c>
      <c r="H411" s="27" t="s">
        <v>115</v>
      </c>
      <c r="I411" s="24" t="s">
        <v>106</v>
      </c>
      <c r="J411" s="24" t="s">
        <v>121</v>
      </c>
      <c r="K411" s="28" t="s">
        <v>108</v>
      </c>
      <c r="L411" s="29">
        <v>0</v>
      </c>
      <c r="M411" s="29">
        <v>0</v>
      </c>
      <c r="N411" s="29">
        <v>0.02</v>
      </c>
      <c r="O411" s="27" t="s">
        <v>548</v>
      </c>
      <c r="P411" s="30" t="s">
        <v>679</v>
      </c>
      <c r="Q411" s="31">
        <v>201878935.86000001</v>
      </c>
      <c r="R411" s="31">
        <v>101040.5</v>
      </c>
      <c r="S411" s="32" t="s">
        <v>139</v>
      </c>
      <c r="T411" s="32" t="s">
        <v>139</v>
      </c>
      <c r="U411" s="32">
        <v>7.5500000000000003E-4</v>
      </c>
      <c r="V411" s="32">
        <v>6.1609999999999998E-3</v>
      </c>
      <c r="W411" s="32">
        <v>4.6950000000000004E-3</v>
      </c>
      <c r="X411" s="32" t="s">
        <v>139</v>
      </c>
      <c r="Y411" s="32" t="s">
        <v>139</v>
      </c>
      <c r="Z411" s="32" t="s">
        <v>139</v>
      </c>
      <c r="AA411" s="32" t="s">
        <v>139</v>
      </c>
      <c r="AB411" s="32" t="s">
        <v>139</v>
      </c>
    </row>
    <row r="412" spans="1:28" ht="15.6" customHeight="1" x14ac:dyDescent="0.25">
      <c r="A412" s="24" t="s">
        <v>1450</v>
      </c>
      <c r="B412" s="50">
        <v>4000</v>
      </c>
      <c r="C412" s="25" t="s">
        <v>1451</v>
      </c>
      <c r="D412" s="25" t="s">
        <v>112</v>
      </c>
      <c r="E412" s="25" t="s">
        <v>194</v>
      </c>
      <c r="F412" s="25" t="s">
        <v>113</v>
      </c>
      <c r="G412" s="26" t="s">
        <v>1109</v>
      </c>
      <c r="H412" s="27" t="s">
        <v>327</v>
      </c>
      <c r="I412" s="24" t="s">
        <v>998</v>
      </c>
      <c r="J412" s="24" t="s">
        <v>121</v>
      </c>
      <c r="K412" s="28" t="s">
        <v>227</v>
      </c>
      <c r="L412" s="29">
        <v>0</v>
      </c>
      <c r="M412" s="29">
        <v>0</v>
      </c>
      <c r="N412" s="29">
        <v>0.02</v>
      </c>
      <c r="O412" s="27" t="s">
        <v>116</v>
      </c>
      <c r="P412" s="30" t="s">
        <v>112</v>
      </c>
      <c r="Q412" s="31">
        <v>1319511.1499999999</v>
      </c>
      <c r="R412" s="31">
        <v>305796.32</v>
      </c>
      <c r="S412" s="32">
        <v>1.1865000000000001E-2</v>
      </c>
      <c r="T412" s="32" t="s">
        <v>139</v>
      </c>
      <c r="U412" s="32">
        <v>2.1389999999999998E-3</v>
      </c>
      <c r="V412" s="32">
        <v>4.5690000000000001E-3</v>
      </c>
      <c r="W412" s="32">
        <v>5.1640000000000002E-3</v>
      </c>
      <c r="X412" s="32">
        <v>7.8549999999999991E-3</v>
      </c>
      <c r="Y412" s="32">
        <v>2.1800000000000001E-3</v>
      </c>
      <c r="Z412" s="32">
        <v>0.13075999999999999</v>
      </c>
      <c r="AA412" s="32">
        <v>0.24804100000000001</v>
      </c>
      <c r="AB412" s="32">
        <v>0.17840500000000001</v>
      </c>
    </row>
    <row r="413" spans="1:28" ht="15.6" customHeight="1" x14ac:dyDescent="0.25">
      <c r="A413" s="24" t="s">
        <v>749</v>
      </c>
      <c r="B413" s="50">
        <v>4001</v>
      </c>
      <c r="C413" s="25" t="s">
        <v>750</v>
      </c>
      <c r="D413" s="25" t="s">
        <v>159</v>
      </c>
      <c r="E413" s="25" t="s">
        <v>194</v>
      </c>
      <c r="F413" s="25" t="s">
        <v>113</v>
      </c>
      <c r="G413" s="26" t="s">
        <v>465</v>
      </c>
      <c r="H413" s="27" t="s">
        <v>120</v>
      </c>
      <c r="I413" s="24" t="s">
        <v>106</v>
      </c>
      <c r="J413" s="24" t="s">
        <v>107</v>
      </c>
      <c r="K413" s="28" t="s">
        <v>108</v>
      </c>
      <c r="L413" s="29">
        <v>0</v>
      </c>
      <c r="M413" s="29">
        <v>0</v>
      </c>
      <c r="N413" s="29">
        <v>0.02</v>
      </c>
      <c r="O413" s="27" t="s">
        <v>161</v>
      </c>
      <c r="P413" s="30" t="s">
        <v>159</v>
      </c>
      <c r="Q413" s="31">
        <v>8053418038.2299995</v>
      </c>
      <c r="R413" s="31">
        <v>2874.98</v>
      </c>
      <c r="S413" s="32">
        <v>8.0890000000000007E-3</v>
      </c>
      <c r="T413" s="32" t="s">
        <v>139</v>
      </c>
      <c r="U413" s="32">
        <v>8.9099999999999997E-4</v>
      </c>
      <c r="V413" s="32">
        <v>5.9480000000000002E-3</v>
      </c>
      <c r="W413" s="32">
        <v>6.8180000000000003E-3</v>
      </c>
      <c r="X413" s="32">
        <v>5.9690000000000003E-3</v>
      </c>
      <c r="Y413" s="32">
        <v>7.4390000000000003E-3</v>
      </c>
      <c r="Z413" s="32">
        <v>8.8954000000000005E-2</v>
      </c>
      <c r="AA413" s="32">
        <v>0.17715600000000001</v>
      </c>
      <c r="AB413" s="32">
        <v>0.14661199999999999</v>
      </c>
    </row>
    <row r="414" spans="1:28" ht="15.6" customHeight="1" x14ac:dyDescent="0.25">
      <c r="A414" s="24" t="s">
        <v>751</v>
      </c>
      <c r="B414" s="50">
        <v>4002</v>
      </c>
      <c r="C414" s="25" t="s">
        <v>752</v>
      </c>
      <c r="D414" s="25" t="s">
        <v>159</v>
      </c>
      <c r="E414" s="25" t="s">
        <v>194</v>
      </c>
      <c r="F414" s="25" t="s">
        <v>128</v>
      </c>
      <c r="G414" s="26" t="s">
        <v>289</v>
      </c>
      <c r="H414" s="27" t="s">
        <v>258</v>
      </c>
      <c r="I414" s="24" t="s">
        <v>106</v>
      </c>
      <c r="J414" s="24" t="s">
        <v>107</v>
      </c>
      <c r="K414" s="28" t="s">
        <v>108</v>
      </c>
      <c r="L414" s="29">
        <v>0</v>
      </c>
      <c r="M414" s="29">
        <v>0</v>
      </c>
      <c r="N414" s="29">
        <v>0.02</v>
      </c>
      <c r="O414" s="27" t="s">
        <v>161</v>
      </c>
      <c r="P414" s="30" t="s">
        <v>159</v>
      </c>
      <c r="Q414" s="31">
        <v>6486922722.1499996</v>
      </c>
      <c r="R414" s="31">
        <v>2162.61</v>
      </c>
      <c r="S414" s="32">
        <v>1.9689999999999999E-2</v>
      </c>
      <c r="T414" s="32" t="s">
        <v>139</v>
      </c>
      <c r="U414" s="32">
        <v>4.7699999999999999E-4</v>
      </c>
      <c r="V414" s="32">
        <v>2.5730000000000002E-3</v>
      </c>
      <c r="W414" s="32">
        <v>7.28E-3</v>
      </c>
      <c r="X414" s="32">
        <v>1.5134E-2</v>
      </c>
      <c r="Y414" s="32">
        <v>2.7650999999999998E-2</v>
      </c>
      <c r="Z414" s="32">
        <v>6.3841999999999996E-2</v>
      </c>
      <c r="AA414" s="32">
        <v>0.106902</v>
      </c>
      <c r="AB414" s="32">
        <v>0.158582</v>
      </c>
    </row>
    <row r="415" spans="1:28" ht="15.6" customHeight="1" x14ac:dyDescent="0.25">
      <c r="A415" s="24" t="s">
        <v>753</v>
      </c>
      <c r="B415" s="50">
        <v>4004</v>
      </c>
      <c r="C415" s="25" t="s">
        <v>754</v>
      </c>
      <c r="D415" s="25" t="s">
        <v>159</v>
      </c>
      <c r="E415" s="25" t="s">
        <v>194</v>
      </c>
      <c r="F415" s="25" t="s">
        <v>155</v>
      </c>
      <c r="G415" s="26" t="s">
        <v>139</v>
      </c>
      <c r="H415" s="27" t="s">
        <v>156</v>
      </c>
      <c r="I415" s="24" t="s">
        <v>106</v>
      </c>
      <c r="J415" s="24" t="s">
        <v>107</v>
      </c>
      <c r="K415" s="28" t="s">
        <v>108</v>
      </c>
      <c r="L415" s="29">
        <v>0.01</v>
      </c>
      <c r="M415" s="29">
        <v>5.0000000000000001E-3</v>
      </c>
      <c r="N415" s="29">
        <v>0.02</v>
      </c>
      <c r="O415" s="27" t="s">
        <v>161</v>
      </c>
      <c r="P415" s="30" t="s">
        <v>159</v>
      </c>
      <c r="Q415" s="31">
        <v>3001069.16</v>
      </c>
      <c r="R415" s="31">
        <v>5359.3</v>
      </c>
      <c r="S415" s="32">
        <v>1.2418999999999999E-2</v>
      </c>
      <c r="T415" s="32" t="s">
        <v>139</v>
      </c>
      <c r="U415" s="32">
        <v>-9.7249999999999993E-3</v>
      </c>
      <c r="V415" s="32">
        <v>5.8719E-2</v>
      </c>
      <c r="W415" s="32">
        <v>1.2508999999999999E-2</v>
      </c>
      <c r="X415" s="32">
        <v>3.7842000000000001E-2</v>
      </c>
      <c r="Y415" s="32">
        <v>-0.100117</v>
      </c>
      <c r="Z415" s="32">
        <v>0.33797500000000003</v>
      </c>
      <c r="AA415" s="32">
        <v>0.58659600000000001</v>
      </c>
      <c r="AB415" s="32">
        <v>0.53137699999999999</v>
      </c>
    </row>
    <row r="416" spans="1:28" ht="15.6" customHeight="1" x14ac:dyDescent="0.25">
      <c r="A416" s="24" t="s">
        <v>1452</v>
      </c>
      <c r="B416" s="50">
        <v>4005</v>
      </c>
      <c r="C416" s="25" t="s">
        <v>1453</v>
      </c>
      <c r="D416" s="25" t="s">
        <v>159</v>
      </c>
      <c r="E416" s="25" t="s">
        <v>194</v>
      </c>
      <c r="F416" s="25" t="s">
        <v>138</v>
      </c>
      <c r="G416" s="26" t="s">
        <v>139</v>
      </c>
      <c r="H416" s="27" t="s">
        <v>1204</v>
      </c>
      <c r="I416" s="24" t="s">
        <v>998</v>
      </c>
      <c r="J416" s="24" t="s">
        <v>107</v>
      </c>
      <c r="K416" s="28" t="s">
        <v>108</v>
      </c>
      <c r="L416" s="29">
        <v>3.0000000000000001E-3</v>
      </c>
      <c r="M416" s="29">
        <v>3.0000000000000001E-3</v>
      </c>
      <c r="N416" s="29">
        <v>1.7999999999999999E-2</v>
      </c>
      <c r="O416" s="27" t="s">
        <v>161</v>
      </c>
      <c r="P416" s="30" t="s">
        <v>159</v>
      </c>
      <c r="Q416" s="31">
        <v>44857389.270000003</v>
      </c>
      <c r="R416" s="31">
        <v>5366.5</v>
      </c>
      <c r="S416" s="32">
        <v>7.7749999999999998E-3</v>
      </c>
      <c r="T416" s="32" t="s">
        <v>139</v>
      </c>
      <c r="U416" s="32">
        <v>-4.96E-3</v>
      </c>
      <c r="V416" s="32">
        <v>3.5220000000000001E-2</v>
      </c>
      <c r="W416" s="32">
        <v>6.6550000000000003E-3</v>
      </c>
      <c r="X416" s="32">
        <v>2.0372999999999999E-2</v>
      </c>
      <c r="Y416" s="32">
        <v>-5.0314999999999999E-2</v>
      </c>
      <c r="Z416" s="32">
        <v>0.21792400000000001</v>
      </c>
      <c r="AA416" s="32">
        <v>0.41171999999999997</v>
      </c>
      <c r="AB416" s="32">
        <v>0.351358</v>
      </c>
    </row>
    <row r="417" spans="1:28" ht="15.6" customHeight="1" x14ac:dyDescent="0.25">
      <c r="A417" s="24" t="s">
        <v>755</v>
      </c>
      <c r="B417" s="50">
        <v>4006</v>
      </c>
      <c r="C417" s="25" t="s">
        <v>756</v>
      </c>
      <c r="D417" s="25" t="s">
        <v>159</v>
      </c>
      <c r="E417" s="25" t="s">
        <v>194</v>
      </c>
      <c r="F417" s="25" t="s">
        <v>138</v>
      </c>
      <c r="G417" s="26" t="s">
        <v>139</v>
      </c>
      <c r="H417" s="27" t="s">
        <v>757</v>
      </c>
      <c r="I417" s="24" t="s">
        <v>106</v>
      </c>
      <c r="J417" s="24" t="s">
        <v>107</v>
      </c>
      <c r="K417" s="28" t="s">
        <v>227</v>
      </c>
      <c r="L417" s="29">
        <v>3.0000000000000001E-3</v>
      </c>
      <c r="M417" s="29">
        <v>3.0000000000000001E-3</v>
      </c>
      <c r="N417" s="29">
        <v>0.02</v>
      </c>
      <c r="O417" s="27" t="s">
        <v>161</v>
      </c>
      <c r="P417" s="30" t="s">
        <v>159</v>
      </c>
      <c r="Q417" s="31">
        <v>946869264.44000006</v>
      </c>
      <c r="R417" s="31">
        <v>599.27</v>
      </c>
      <c r="S417" s="32">
        <v>4.0879999999999996E-3</v>
      </c>
      <c r="T417" s="32" t="s">
        <v>139</v>
      </c>
      <c r="U417" s="32">
        <v>-4.4689999999999999E-3</v>
      </c>
      <c r="V417" s="32">
        <v>3.3278000000000002E-2</v>
      </c>
      <c r="W417" s="32">
        <v>9.3139999999999994E-3</v>
      </c>
      <c r="X417" s="32">
        <v>1.7160000000000002E-2</v>
      </c>
      <c r="Y417" s="32">
        <v>-5.1937999999999998E-2</v>
      </c>
      <c r="Z417" s="32">
        <v>0.248167</v>
      </c>
      <c r="AA417" s="32">
        <v>0.43892700000000001</v>
      </c>
      <c r="AB417" s="32">
        <v>0.32728699999999999</v>
      </c>
    </row>
    <row r="418" spans="1:28" ht="15.6" customHeight="1" x14ac:dyDescent="0.25">
      <c r="A418" s="24" t="s">
        <v>1454</v>
      </c>
      <c r="B418" s="50">
        <v>4007</v>
      </c>
      <c r="C418" s="25" t="s">
        <v>1455</v>
      </c>
      <c r="D418" s="25" t="s">
        <v>159</v>
      </c>
      <c r="E418" s="25" t="s">
        <v>194</v>
      </c>
      <c r="F418" s="25" t="s">
        <v>155</v>
      </c>
      <c r="G418" s="26" t="s">
        <v>139</v>
      </c>
      <c r="H418" s="27" t="s">
        <v>156</v>
      </c>
      <c r="I418" s="24" t="s">
        <v>998</v>
      </c>
      <c r="J418" s="24" t="s">
        <v>107</v>
      </c>
      <c r="K418" s="28" t="s">
        <v>108</v>
      </c>
      <c r="L418" s="29">
        <v>5.0000000000000001E-3</v>
      </c>
      <c r="M418" s="29">
        <v>3.0000000000000001E-3</v>
      </c>
      <c r="N418" s="29">
        <v>1.7999999999999999E-2</v>
      </c>
      <c r="O418" s="27" t="s">
        <v>161</v>
      </c>
      <c r="P418" s="30" t="s">
        <v>159</v>
      </c>
      <c r="Q418" s="31">
        <v>9932582.3300000001</v>
      </c>
      <c r="R418" s="31">
        <v>63409.45</v>
      </c>
      <c r="S418" s="32">
        <v>8.8389999999999996E-3</v>
      </c>
      <c r="T418" s="32" t="s">
        <v>139</v>
      </c>
      <c r="U418" s="32">
        <v>-9.606E-3</v>
      </c>
      <c r="V418" s="32">
        <v>5.8151000000000001E-2</v>
      </c>
      <c r="W418" s="32">
        <v>1.3081000000000001E-2</v>
      </c>
      <c r="X418" s="32">
        <v>3.5631999999999997E-2</v>
      </c>
      <c r="Y418" s="32">
        <v>-9.6655000000000005E-2</v>
      </c>
      <c r="Z418" s="32">
        <v>0.331291</v>
      </c>
      <c r="AA418" s="32">
        <v>0.57093300000000002</v>
      </c>
      <c r="AB418" s="32">
        <v>0.492894</v>
      </c>
    </row>
    <row r="419" spans="1:28" ht="15.6" customHeight="1" x14ac:dyDescent="0.25">
      <c r="A419" s="24" t="s">
        <v>1456</v>
      </c>
      <c r="B419" s="50">
        <v>4008</v>
      </c>
      <c r="C419" s="25" t="s">
        <v>1457</v>
      </c>
      <c r="D419" s="25" t="s">
        <v>159</v>
      </c>
      <c r="E419" s="25" t="s">
        <v>194</v>
      </c>
      <c r="F419" s="25" t="s">
        <v>155</v>
      </c>
      <c r="G419" s="26" t="s">
        <v>139</v>
      </c>
      <c r="H419" s="27" t="s">
        <v>156</v>
      </c>
      <c r="I419" s="24" t="s">
        <v>998</v>
      </c>
      <c r="J419" s="24" t="s">
        <v>107</v>
      </c>
      <c r="K419" s="28" t="s">
        <v>108</v>
      </c>
      <c r="L419" s="29">
        <v>5.0000000000000001E-3</v>
      </c>
      <c r="M419" s="29">
        <v>5.0000000000000001E-3</v>
      </c>
      <c r="N419" s="29">
        <v>0.01</v>
      </c>
      <c r="O419" s="27" t="s">
        <v>161</v>
      </c>
      <c r="P419" s="30" t="s">
        <v>159</v>
      </c>
      <c r="Q419" s="31">
        <v>1490456077.9300001</v>
      </c>
      <c r="R419" s="31">
        <v>1207.72</v>
      </c>
      <c r="S419" s="32">
        <v>1.4703000000000001E-2</v>
      </c>
      <c r="T419" s="32" t="s">
        <v>139</v>
      </c>
      <c r="U419" s="32">
        <v>-9.5219999999999992E-3</v>
      </c>
      <c r="V419" s="32">
        <v>5.5118E-2</v>
      </c>
      <c r="W419" s="32">
        <v>1.2661E-2</v>
      </c>
      <c r="X419" s="32">
        <v>4.4469000000000002E-2</v>
      </c>
      <c r="Y419" s="32">
        <v>-9.2744999999999994E-2</v>
      </c>
      <c r="Z419" s="32">
        <v>0.38912600000000003</v>
      </c>
      <c r="AA419" s="32">
        <v>0.67322899999999997</v>
      </c>
      <c r="AB419" s="32">
        <v>0.63439500000000004</v>
      </c>
    </row>
    <row r="420" spans="1:28" ht="15.6" customHeight="1" x14ac:dyDescent="0.25">
      <c r="A420" s="24" t="s">
        <v>1458</v>
      </c>
      <c r="B420" s="50">
        <v>4009</v>
      </c>
      <c r="C420" s="25" t="s">
        <v>1459</v>
      </c>
      <c r="D420" s="25" t="s">
        <v>159</v>
      </c>
      <c r="E420" s="25" t="s">
        <v>194</v>
      </c>
      <c r="F420" s="25" t="s">
        <v>113</v>
      </c>
      <c r="G420" s="26" t="s">
        <v>1460</v>
      </c>
      <c r="H420" s="27" t="s">
        <v>789</v>
      </c>
      <c r="I420" s="24" t="s">
        <v>998</v>
      </c>
      <c r="J420" s="24" t="s">
        <v>107</v>
      </c>
      <c r="K420" s="28" t="s">
        <v>108</v>
      </c>
      <c r="L420" s="29">
        <v>0</v>
      </c>
      <c r="M420" s="29">
        <v>0</v>
      </c>
      <c r="N420" s="29">
        <v>0.01</v>
      </c>
      <c r="O420" s="27" t="s">
        <v>161</v>
      </c>
      <c r="P420" s="30" t="s">
        <v>159</v>
      </c>
      <c r="Q420" s="31">
        <v>360299704.63999999</v>
      </c>
      <c r="R420" s="31">
        <v>4029.86</v>
      </c>
      <c r="S420" s="32">
        <v>-3.2330000000000002E-3</v>
      </c>
      <c r="T420" s="32" t="s">
        <v>139</v>
      </c>
      <c r="U420" s="32">
        <v>3.5500000000000001E-4</v>
      </c>
      <c r="V420" s="32">
        <v>5.6119999999999998E-3</v>
      </c>
      <c r="W420" s="32">
        <v>3.434E-3</v>
      </c>
      <c r="X420" s="32">
        <v>-1.9689999999999998E-3</v>
      </c>
      <c r="Y420" s="32">
        <v>-1.4962E-2</v>
      </c>
      <c r="Z420" s="32">
        <v>0.100802</v>
      </c>
      <c r="AA420" s="32">
        <v>0.24625</v>
      </c>
      <c r="AB420" s="32">
        <v>0.212006</v>
      </c>
    </row>
    <row r="421" spans="1:28" ht="15.6" customHeight="1" x14ac:dyDescent="0.25">
      <c r="A421" s="24" t="s">
        <v>758</v>
      </c>
      <c r="B421" s="50">
        <v>4010</v>
      </c>
      <c r="C421" s="25" t="s">
        <v>759</v>
      </c>
      <c r="D421" s="25" t="s">
        <v>159</v>
      </c>
      <c r="E421" s="25" t="s">
        <v>194</v>
      </c>
      <c r="F421" s="25" t="s">
        <v>128</v>
      </c>
      <c r="G421" s="26" t="s">
        <v>289</v>
      </c>
      <c r="H421" s="27" t="s">
        <v>373</v>
      </c>
      <c r="I421" s="24" t="s">
        <v>106</v>
      </c>
      <c r="J421" s="24" t="s">
        <v>107</v>
      </c>
      <c r="K421" s="28" t="s">
        <v>108</v>
      </c>
      <c r="L421" s="29">
        <v>0</v>
      </c>
      <c r="M421" s="29">
        <v>0</v>
      </c>
      <c r="N421" s="29">
        <v>2.5000000000000001E-3</v>
      </c>
      <c r="O421" s="27" t="s">
        <v>161</v>
      </c>
      <c r="P421" s="30" t="s">
        <v>159</v>
      </c>
      <c r="Q421" s="31">
        <v>5004585070.0200005</v>
      </c>
      <c r="R421" s="31">
        <v>3272.46</v>
      </c>
      <c r="S421" s="32">
        <v>1.8592000000000001E-2</v>
      </c>
      <c r="T421" s="32" t="s">
        <v>139</v>
      </c>
      <c r="U421" s="32">
        <v>4.1599999999999997E-4</v>
      </c>
      <c r="V421" s="32">
        <v>2.4199999999999998E-3</v>
      </c>
      <c r="W421" s="32">
        <v>6.8519999999999996E-3</v>
      </c>
      <c r="X421" s="32">
        <v>1.4149999999999999E-2</v>
      </c>
      <c r="Y421" s="32">
        <v>2.5673000000000001E-2</v>
      </c>
      <c r="Z421" s="32">
        <v>6.1039999999999997E-2</v>
      </c>
      <c r="AA421" s="32">
        <v>0.10241</v>
      </c>
      <c r="AB421" s="32">
        <v>0.149038</v>
      </c>
    </row>
    <row r="422" spans="1:28" ht="15.6" customHeight="1" x14ac:dyDescent="0.25">
      <c r="A422" s="24" t="s">
        <v>1461</v>
      </c>
      <c r="B422" s="50">
        <v>4011</v>
      </c>
      <c r="C422" s="25" t="s">
        <v>1462</v>
      </c>
      <c r="D422" s="25" t="s">
        <v>159</v>
      </c>
      <c r="E422" s="25" t="s">
        <v>194</v>
      </c>
      <c r="F422" s="25" t="s">
        <v>113</v>
      </c>
      <c r="G422" s="26" t="s">
        <v>151</v>
      </c>
      <c r="H422" s="27" t="s">
        <v>786</v>
      </c>
      <c r="I422" s="24" t="s">
        <v>998</v>
      </c>
      <c r="J422" s="24" t="s">
        <v>107</v>
      </c>
      <c r="K422" s="28" t="s">
        <v>108</v>
      </c>
      <c r="L422" s="29">
        <v>0</v>
      </c>
      <c r="M422" s="29">
        <v>0</v>
      </c>
      <c r="N422" s="29">
        <v>8.0000000000000002E-3</v>
      </c>
      <c r="O422" s="27" t="s">
        <v>161</v>
      </c>
      <c r="P422" s="30" t="s">
        <v>159</v>
      </c>
      <c r="Q422" s="31">
        <v>659155010.25999999</v>
      </c>
      <c r="R422" s="31">
        <v>277.25</v>
      </c>
      <c r="S422" s="32">
        <v>3.1120000000000002E-3</v>
      </c>
      <c r="T422" s="32" t="s">
        <v>139</v>
      </c>
      <c r="U422" s="32">
        <v>4.6900000000000002E-4</v>
      </c>
      <c r="V422" s="32">
        <v>6.352E-3</v>
      </c>
      <c r="W422" s="32">
        <v>4.1650000000000003E-3</v>
      </c>
      <c r="X422" s="32">
        <v>2.8579999999999999E-3</v>
      </c>
      <c r="Y422" s="32">
        <v>-6.5929999999999999E-3</v>
      </c>
      <c r="Z422" s="32">
        <v>0.100854</v>
      </c>
      <c r="AA422" s="32">
        <v>0.22867299999999999</v>
      </c>
      <c r="AB422" s="32">
        <v>0.151084</v>
      </c>
    </row>
    <row r="423" spans="1:28" ht="15.6" customHeight="1" x14ac:dyDescent="0.25">
      <c r="A423" s="24" t="s">
        <v>760</v>
      </c>
      <c r="B423" s="50">
        <v>4012</v>
      </c>
      <c r="C423" s="25" t="s">
        <v>761</v>
      </c>
      <c r="D423" s="25" t="s">
        <v>159</v>
      </c>
      <c r="E423" s="25" t="s">
        <v>194</v>
      </c>
      <c r="F423" s="25" t="s">
        <v>103</v>
      </c>
      <c r="G423" s="26" t="s">
        <v>244</v>
      </c>
      <c r="H423" s="27" t="s">
        <v>130</v>
      </c>
      <c r="I423" s="24" t="s">
        <v>106</v>
      </c>
      <c r="J423" s="24" t="s">
        <v>107</v>
      </c>
      <c r="K423" s="28" t="s">
        <v>108</v>
      </c>
      <c r="L423" s="29">
        <v>0</v>
      </c>
      <c r="M423" s="29">
        <v>0</v>
      </c>
      <c r="N423" s="29">
        <v>2.5000000000000001E-3</v>
      </c>
      <c r="O423" s="27" t="s">
        <v>161</v>
      </c>
      <c r="P423" s="30" t="s">
        <v>159</v>
      </c>
      <c r="Q423" s="31">
        <v>212585942.81</v>
      </c>
      <c r="R423" s="31">
        <v>599394.19999999995</v>
      </c>
      <c r="S423" s="32">
        <v>1.4175E-2</v>
      </c>
      <c r="T423" s="32" t="s">
        <v>139</v>
      </c>
      <c r="U423" s="32">
        <v>2.0100000000000001E-4</v>
      </c>
      <c r="V423" s="32">
        <v>1.5629999999999999E-3</v>
      </c>
      <c r="W423" s="32">
        <v>4.993E-3</v>
      </c>
      <c r="X423" s="32">
        <v>1.0533000000000001E-2</v>
      </c>
      <c r="Y423" s="32">
        <v>2.1121999999999998E-2</v>
      </c>
      <c r="Z423" s="32">
        <v>4.6447000000000002E-2</v>
      </c>
      <c r="AA423" s="32">
        <v>7.6925999999999994E-2</v>
      </c>
      <c r="AB423" s="32">
        <v>0.116357</v>
      </c>
    </row>
    <row r="424" spans="1:28" ht="15.6" customHeight="1" x14ac:dyDescent="0.25">
      <c r="A424" s="24" t="s">
        <v>1463</v>
      </c>
      <c r="B424" s="50">
        <v>4013</v>
      </c>
      <c r="C424" s="25" t="s">
        <v>1464</v>
      </c>
      <c r="D424" s="25" t="s">
        <v>159</v>
      </c>
      <c r="E424" s="25" t="s">
        <v>194</v>
      </c>
      <c r="F424" s="25" t="s">
        <v>138</v>
      </c>
      <c r="G424" s="26" t="s">
        <v>139</v>
      </c>
      <c r="H424" s="27" t="s">
        <v>309</v>
      </c>
      <c r="I424" s="24" t="s">
        <v>998</v>
      </c>
      <c r="J424" s="24" t="s">
        <v>121</v>
      </c>
      <c r="K424" s="28" t="s">
        <v>227</v>
      </c>
      <c r="L424" s="29">
        <v>0</v>
      </c>
      <c r="M424" s="29">
        <v>0</v>
      </c>
      <c r="N424" s="29">
        <v>0.02</v>
      </c>
      <c r="O424" s="27" t="s">
        <v>161</v>
      </c>
      <c r="P424" s="30" t="s">
        <v>159</v>
      </c>
      <c r="Q424" s="31">
        <v>286013351.60000002</v>
      </c>
      <c r="R424" s="31">
        <v>268809.53999999998</v>
      </c>
      <c r="S424" s="32">
        <v>1.2470000000000001E-3</v>
      </c>
      <c r="T424" s="32" t="s">
        <v>139</v>
      </c>
      <c r="U424" s="32">
        <v>-2.9659999999999999E-3</v>
      </c>
      <c r="V424" s="32">
        <v>2.6162999999999999E-2</v>
      </c>
      <c r="W424" s="32">
        <v>1.2955E-2</v>
      </c>
      <c r="X424" s="32">
        <v>1.4603E-2</v>
      </c>
      <c r="Y424" s="32">
        <v>-5.2040000000000003E-2</v>
      </c>
      <c r="Z424" s="32">
        <v>0.16374</v>
      </c>
      <c r="AA424" s="32">
        <v>0.291966</v>
      </c>
      <c r="AB424" s="32">
        <v>0.34037299999999998</v>
      </c>
    </row>
    <row r="425" spans="1:28" ht="15.6" customHeight="1" x14ac:dyDescent="0.25">
      <c r="A425" s="24" t="s">
        <v>762</v>
      </c>
      <c r="B425" s="50">
        <v>4014</v>
      </c>
      <c r="C425" s="25" t="s">
        <v>763</v>
      </c>
      <c r="D425" s="25" t="s">
        <v>159</v>
      </c>
      <c r="E425" s="25" t="s">
        <v>194</v>
      </c>
      <c r="F425" s="25" t="s">
        <v>103</v>
      </c>
      <c r="G425" s="26" t="s">
        <v>244</v>
      </c>
      <c r="H425" s="27" t="s">
        <v>130</v>
      </c>
      <c r="I425" s="24" t="s">
        <v>106</v>
      </c>
      <c r="J425" s="24" t="s">
        <v>107</v>
      </c>
      <c r="K425" s="28" t="s">
        <v>108</v>
      </c>
      <c r="L425" s="29">
        <v>0</v>
      </c>
      <c r="M425" s="29">
        <v>0</v>
      </c>
      <c r="N425" s="29">
        <v>3.0000000000000001E-3</v>
      </c>
      <c r="O425" s="27" t="s">
        <v>161</v>
      </c>
      <c r="P425" s="30" t="s">
        <v>159</v>
      </c>
      <c r="Q425" s="31">
        <v>3473610186.5799999</v>
      </c>
      <c r="R425" s="31">
        <v>213.04</v>
      </c>
      <c r="S425" s="32">
        <v>1.5879000000000001E-2</v>
      </c>
      <c r="T425" s="32" t="s">
        <v>139</v>
      </c>
      <c r="U425" s="32">
        <v>2.3499999999999999E-4</v>
      </c>
      <c r="V425" s="32">
        <v>1.928E-3</v>
      </c>
      <c r="W425" s="32">
        <v>5.7600000000000004E-3</v>
      </c>
      <c r="X425" s="32">
        <v>1.1922E-2</v>
      </c>
      <c r="Y425" s="32">
        <v>2.3148999999999999E-2</v>
      </c>
      <c r="Z425" s="32">
        <v>5.1166999999999997E-2</v>
      </c>
      <c r="AA425" s="32">
        <v>8.5941000000000004E-2</v>
      </c>
      <c r="AB425" s="32">
        <v>0.127494</v>
      </c>
    </row>
    <row r="426" spans="1:28" ht="15.6" customHeight="1" x14ac:dyDescent="0.25">
      <c r="A426" s="24" t="s">
        <v>1465</v>
      </c>
      <c r="B426" s="50">
        <v>4015</v>
      </c>
      <c r="C426" s="25" t="s">
        <v>1466</v>
      </c>
      <c r="D426" s="25" t="s">
        <v>164</v>
      </c>
      <c r="E426" s="25" t="s">
        <v>194</v>
      </c>
      <c r="F426" s="25" t="s">
        <v>155</v>
      </c>
      <c r="G426" s="26" t="s">
        <v>139</v>
      </c>
      <c r="H426" s="27" t="s">
        <v>156</v>
      </c>
      <c r="I426" s="24" t="s">
        <v>998</v>
      </c>
      <c r="J426" s="24" t="s">
        <v>107</v>
      </c>
      <c r="K426" s="28" t="s">
        <v>108</v>
      </c>
      <c r="L426" s="29">
        <v>0.03</v>
      </c>
      <c r="M426" s="29">
        <v>1.4999999999999999E-2</v>
      </c>
      <c r="N426" s="29">
        <v>0.02</v>
      </c>
      <c r="O426" s="27" t="s">
        <v>166</v>
      </c>
      <c r="P426" s="30" t="s">
        <v>164</v>
      </c>
      <c r="Q426" s="31">
        <v>708974864.86000001</v>
      </c>
      <c r="R426" s="31">
        <v>1438.73</v>
      </c>
      <c r="S426" s="32">
        <v>9.1666999999999998E-2</v>
      </c>
      <c r="T426" s="32" t="s">
        <v>139</v>
      </c>
      <c r="U426" s="32">
        <v>-1.1990000000000001E-2</v>
      </c>
      <c r="V426" s="32">
        <v>6.2923000000000007E-2</v>
      </c>
      <c r="W426" s="32">
        <v>8.9130000000000008E-3</v>
      </c>
      <c r="X426" s="32">
        <v>9.4481999999999997E-2</v>
      </c>
      <c r="Y426" s="32">
        <v>-1.0414E-2</v>
      </c>
      <c r="Z426" s="32">
        <v>0.43735000000000002</v>
      </c>
      <c r="AA426" s="32">
        <v>0.64255499999999999</v>
      </c>
      <c r="AB426" s="32">
        <v>0.51692800000000005</v>
      </c>
    </row>
    <row r="427" spans="1:28" ht="15.6" customHeight="1" x14ac:dyDescent="0.25">
      <c r="A427" s="24" t="s">
        <v>1467</v>
      </c>
      <c r="B427" s="50">
        <v>4016</v>
      </c>
      <c r="C427" s="25" t="s">
        <v>1468</v>
      </c>
      <c r="D427" s="25" t="s">
        <v>164</v>
      </c>
      <c r="E427" s="25" t="s">
        <v>194</v>
      </c>
      <c r="F427" s="25" t="s">
        <v>113</v>
      </c>
      <c r="G427" s="26" t="s">
        <v>866</v>
      </c>
      <c r="H427" s="27" t="s">
        <v>1469</v>
      </c>
      <c r="I427" s="24" t="s">
        <v>998</v>
      </c>
      <c r="J427" s="24" t="s">
        <v>107</v>
      </c>
      <c r="K427" s="28" t="s">
        <v>108</v>
      </c>
      <c r="L427" s="29">
        <v>0.01</v>
      </c>
      <c r="M427" s="29">
        <v>0</v>
      </c>
      <c r="N427" s="29">
        <v>0.01</v>
      </c>
      <c r="O427" s="27" t="s">
        <v>166</v>
      </c>
      <c r="P427" s="30" t="s">
        <v>164</v>
      </c>
      <c r="Q427" s="31">
        <v>1055968008.7</v>
      </c>
      <c r="R427" s="31">
        <v>312.58</v>
      </c>
      <c r="S427" s="32">
        <v>1.4409E-2</v>
      </c>
      <c r="T427" s="32" t="s">
        <v>139</v>
      </c>
      <c r="U427" s="32">
        <v>9.6100000000000005E-4</v>
      </c>
      <c r="V427" s="32">
        <v>8.0949999999999998E-3</v>
      </c>
      <c r="W427" s="32">
        <v>8.9739999999999993E-3</v>
      </c>
      <c r="X427" s="32">
        <v>1.3849999999999999E-2</v>
      </c>
      <c r="Y427" s="32">
        <v>1.0082000000000001E-2</v>
      </c>
      <c r="Z427" s="32">
        <v>8.8219000000000006E-2</v>
      </c>
      <c r="AA427" s="32">
        <v>0.157361</v>
      </c>
      <c r="AB427" s="32">
        <v>0.13644800000000001</v>
      </c>
    </row>
    <row r="428" spans="1:28" ht="15.6" customHeight="1" x14ac:dyDescent="0.25">
      <c r="A428" s="24" t="s">
        <v>1470</v>
      </c>
      <c r="B428" s="50">
        <v>4017</v>
      </c>
      <c r="C428" s="25" t="s">
        <v>1471</v>
      </c>
      <c r="D428" s="25" t="s">
        <v>164</v>
      </c>
      <c r="E428" s="25" t="s">
        <v>194</v>
      </c>
      <c r="F428" s="25" t="s">
        <v>138</v>
      </c>
      <c r="G428" s="26" t="s">
        <v>139</v>
      </c>
      <c r="H428" s="27" t="s">
        <v>1013</v>
      </c>
      <c r="I428" s="24" t="s">
        <v>998</v>
      </c>
      <c r="J428" s="24" t="s">
        <v>107</v>
      </c>
      <c r="K428" s="28" t="s">
        <v>108</v>
      </c>
      <c r="L428" s="29">
        <v>1.4999999999999999E-2</v>
      </c>
      <c r="M428" s="29">
        <v>2.5000000000000001E-3</v>
      </c>
      <c r="N428" s="29">
        <v>1.4999999999999999E-2</v>
      </c>
      <c r="O428" s="27" t="s">
        <v>166</v>
      </c>
      <c r="P428" s="30" t="s">
        <v>164</v>
      </c>
      <c r="Q428" s="31">
        <v>1307857204.1900001</v>
      </c>
      <c r="R428" s="31">
        <v>658.18</v>
      </c>
      <c r="S428" s="32">
        <v>6.4120999999999997E-2</v>
      </c>
      <c r="T428" s="32" t="s">
        <v>139</v>
      </c>
      <c r="U428" s="32">
        <v>-8.7950000000000007E-3</v>
      </c>
      <c r="V428" s="32">
        <v>5.5282999999999999E-2</v>
      </c>
      <c r="W428" s="32">
        <v>6.0070000000000002E-3</v>
      </c>
      <c r="X428" s="32">
        <v>6.0144000000000003E-2</v>
      </c>
      <c r="Y428" s="32">
        <v>1.2959E-2</v>
      </c>
      <c r="Z428" s="32">
        <v>0.25630799999999998</v>
      </c>
      <c r="AA428" s="32">
        <v>0.40166499999999999</v>
      </c>
      <c r="AB428" s="32">
        <v>0.36898399999999998</v>
      </c>
    </row>
    <row r="429" spans="1:28" ht="15.6" customHeight="1" x14ac:dyDescent="0.25">
      <c r="A429" s="24" t="s">
        <v>764</v>
      </c>
      <c r="B429" s="50">
        <v>4018</v>
      </c>
      <c r="C429" s="25" t="s">
        <v>765</v>
      </c>
      <c r="D429" s="25" t="s">
        <v>164</v>
      </c>
      <c r="E429" s="25" t="s">
        <v>102</v>
      </c>
      <c r="F429" s="25" t="s">
        <v>128</v>
      </c>
      <c r="G429" s="26" t="s">
        <v>129</v>
      </c>
      <c r="H429" s="27" t="s">
        <v>130</v>
      </c>
      <c r="I429" s="24" t="s">
        <v>106</v>
      </c>
      <c r="J429" s="24" t="s">
        <v>107</v>
      </c>
      <c r="K429" s="28" t="s">
        <v>108</v>
      </c>
      <c r="L429" s="29">
        <v>0.03</v>
      </c>
      <c r="M429" s="29">
        <v>1.4999999999999999E-2</v>
      </c>
      <c r="N429" s="29">
        <v>0.02</v>
      </c>
      <c r="O429" s="27" t="s">
        <v>166</v>
      </c>
      <c r="P429" s="30" t="s">
        <v>164</v>
      </c>
      <c r="Q429" s="31">
        <v>1438902087.5999999</v>
      </c>
      <c r="R429" s="31">
        <v>211.44</v>
      </c>
      <c r="S429" s="32">
        <v>1.8644000000000001E-2</v>
      </c>
      <c r="T429" s="32" t="s">
        <v>139</v>
      </c>
      <c r="U429" s="32">
        <v>3.3100000000000002E-4</v>
      </c>
      <c r="V429" s="32">
        <v>2.323E-3</v>
      </c>
      <c r="W429" s="32">
        <v>7.241E-3</v>
      </c>
      <c r="X429" s="32">
        <v>1.4198000000000001E-2</v>
      </c>
      <c r="Y429" s="32">
        <v>2.5711000000000001E-2</v>
      </c>
      <c r="Z429" s="32">
        <v>5.8681999999999998E-2</v>
      </c>
      <c r="AA429" s="32">
        <v>9.7420000000000007E-2</v>
      </c>
      <c r="AB429" s="32">
        <v>0.13051399999999999</v>
      </c>
    </row>
    <row r="430" spans="1:28" ht="15.6" customHeight="1" x14ac:dyDescent="0.25">
      <c r="A430" s="24" t="s">
        <v>1472</v>
      </c>
      <c r="B430" s="50">
        <v>4019</v>
      </c>
      <c r="C430" s="25" t="s">
        <v>1473</v>
      </c>
      <c r="D430" s="25" t="s">
        <v>164</v>
      </c>
      <c r="E430" s="25" t="s">
        <v>194</v>
      </c>
      <c r="F430" s="25" t="s">
        <v>155</v>
      </c>
      <c r="G430" s="26" t="s">
        <v>139</v>
      </c>
      <c r="H430" s="27" t="s">
        <v>139</v>
      </c>
      <c r="I430" s="24" t="s">
        <v>998</v>
      </c>
      <c r="J430" s="24" t="s">
        <v>107</v>
      </c>
      <c r="K430" s="28" t="s">
        <v>108</v>
      </c>
      <c r="L430" s="29">
        <v>0.03</v>
      </c>
      <c r="M430" s="29">
        <v>0.01</v>
      </c>
      <c r="N430" s="29">
        <v>0.02</v>
      </c>
      <c r="O430" s="27" t="s">
        <v>166</v>
      </c>
      <c r="P430" s="30" t="s">
        <v>164</v>
      </c>
      <c r="Q430" s="31">
        <v>219253492.97999999</v>
      </c>
      <c r="R430" s="31">
        <v>1392.15</v>
      </c>
      <c r="S430" s="32">
        <v>9.6267000000000005E-2</v>
      </c>
      <c r="T430" s="32" t="s">
        <v>139</v>
      </c>
      <c r="U430" s="32">
        <v>-1.2232E-2</v>
      </c>
      <c r="V430" s="32">
        <v>6.3480999999999996E-2</v>
      </c>
      <c r="W430" s="32">
        <v>1.0869999999999999E-2</v>
      </c>
      <c r="X430" s="32">
        <v>0.100192</v>
      </c>
      <c r="Y430" s="32">
        <v>-1.1278E-2</v>
      </c>
      <c r="Z430" s="32">
        <v>0.42335</v>
      </c>
      <c r="AA430" s="32">
        <v>0.68178700000000003</v>
      </c>
      <c r="AB430" s="32">
        <v>0.57051300000000005</v>
      </c>
    </row>
    <row r="431" spans="1:28" ht="15.6" customHeight="1" x14ac:dyDescent="0.25">
      <c r="A431" s="24" t="s">
        <v>766</v>
      </c>
      <c r="B431" s="50">
        <v>4021</v>
      </c>
      <c r="C431" s="25" t="s">
        <v>767</v>
      </c>
      <c r="D431" s="25" t="s">
        <v>164</v>
      </c>
      <c r="E431" s="25" t="s">
        <v>194</v>
      </c>
      <c r="F431" s="25" t="s">
        <v>113</v>
      </c>
      <c r="G431" s="26" t="s">
        <v>493</v>
      </c>
      <c r="H431" s="27" t="s">
        <v>327</v>
      </c>
      <c r="I431" s="24" t="s">
        <v>106</v>
      </c>
      <c r="J431" s="24" t="s">
        <v>107</v>
      </c>
      <c r="K431" s="28" t="s">
        <v>108</v>
      </c>
      <c r="L431" s="29">
        <v>0.03</v>
      </c>
      <c r="M431" s="29">
        <v>0.01</v>
      </c>
      <c r="N431" s="29">
        <v>0.02</v>
      </c>
      <c r="O431" s="27" t="s">
        <v>166</v>
      </c>
      <c r="P431" s="30" t="s">
        <v>164</v>
      </c>
      <c r="Q431" s="31">
        <v>2062872657</v>
      </c>
      <c r="R431" s="31">
        <v>428.97</v>
      </c>
      <c r="S431" s="32">
        <v>8.463E-3</v>
      </c>
      <c r="T431" s="32" t="s">
        <v>139</v>
      </c>
      <c r="U431" s="32">
        <v>4.4299999999999998E-4</v>
      </c>
      <c r="V431" s="32">
        <v>8.7240000000000009E-3</v>
      </c>
      <c r="W431" s="32">
        <v>8.8900000000000003E-3</v>
      </c>
      <c r="X431" s="32">
        <v>6.1919999999999996E-3</v>
      </c>
      <c r="Y431" s="32">
        <v>5.1789999999999996E-3</v>
      </c>
      <c r="Z431" s="32">
        <v>8.1018999999999994E-2</v>
      </c>
      <c r="AA431" s="32">
        <v>0.156939</v>
      </c>
      <c r="AB431" s="32">
        <v>0.129582</v>
      </c>
    </row>
    <row r="432" spans="1:28" ht="15.6" customHeight="1" x14ac:dyDescent="0.25">
      <c r="A432" s="24" t="s">
        <v>1474</v>
      </c>
      <c r="B432" s="50">
        <v>4022</v>
      </c>
      <c r="C432" s="25" t="s">
        <v>1475</v>
      </c>
      <c r="D432" s="25" t="s">
        <v>164</v>
      </c>
      <c r="E432" s="25" t="s">
        <v>194</v>
      </c>
      <c r="F432" s="25" t="s">
        <v>113</v>
      </c>
      <c r="G432" s="26" t="s">
        <v>638</v>
      </c>
      <c r="H432" s="27" t="s">
        <v>327</v>
      </c>
      <c r="I432" s="24" t="s">
        <v>998</v>
      </c>
      <c r="J432" s="24" t="s">
        <v>121</v>
      </c>
      <c r="K432" s="28" t="s">
        <v>180</v>
      </c>
      <c r="L432" s="29">
        <v>0.03</v>
      </c>
      <c r="M432" s="29">
        <v>1.4999999999999999E-2</v>
      </c>
      <c r="N432" s="29">
        <v>0.02</v>
      </c>
      <c r="O432" s="27" t="s">
        <v>166</v>
      </c>
      <c r="P432" s="30" t="s">
        <v>164</v>
      </c>
      <c r="Q432" s="31">
        <v>5377511798.21</v>
      </c>
      <c r="R432" s="31">
        <v>27587.200000000001</v>
      </c>
      <c r="S432" s="32">
        <v>-3.7399999999999998E-4</v>
      </c>
      <c r="T432" s="32" t="s">
        <v>139</v>
      </c>
      <c r="U432" s="32">
        <v>1.683E-3</v>
      </c>
      <c r="V432" s="32">
        <v>5.0829999999999998E-3</v>
      </c>
      <c r="W432" s="32">
        <v>3.5729999999999998E-3</v>
      </c>
      <c r="X432" s="32">
        <v>-2.493E-3</v>
      </c>
      <c r="Y432" s="32">
        <v>-2.8800000000000002E-3</v>
      </c>
      <c r="Z432" s="32">
        <v>8.8468000000000005E-2</v>
      </c>
      <c r="AA432" s="32">
        <v>0.20636199999999999</v>
      </c>
      <c r="AB432" s="32">
        <v>0.16465099999999999</v>
      </c>
    </row>
    <row r="433" spans="1:28" ht="15.6" customHeight="1" x14ac:dyDescent="0.25">
      <c r="A433" s="24" t="s">
        <v>768</v>
      </c>
      <c r="B433" s="50">
        <v>4024</v>
      </c>
      <c r="C433" s="25" t="s">
        <v>769</v>
      </c>
      <c r="D433" s="25" t="s">
        <v>164</v>
      </c>
      <c r="E433" s="25" t="s">
        <v>194</v>
      </c>
      <c r="F433" s="25" t="s">
        <v>128</v>
      </c>
      <c r="G433" s="26" t="s">
        <v>250</v>
      </c>
      <c r="H433" s="27" t="s">
        <v>130</v>
      </c>
      <c r="I433" s="24" t="s">
        <v>106</v>
      </c>
      <c r="J433" s="24" t="s">
        <v>107</v>
      </c>
      <c r="K433" s="28" t="s">
        <v>108</v>
      </c>
      <c r="L433" s="29">
        <v>0.01</v>
      </c>
      <c r="M433" s="29">
        <v>0</v>
      </c>
      <c r="N433" s="29">
        <v>0.02</v>
      </c>
      <c r="O433" s="27" t="s">
        <v>166</v>
      </c>
      <c r="P433" s="30" t="s">
        <v>164</v>
      </c>
      <c r="Q433" s="31">
        <v>2040523878.01</v>
      </c>
      <c r="R433" s="31">
        <v>315.81</v>
      </c>
      <c r="S433" s="32">
        <v>1.9696000000000002E-2</v>
      </c>
      <c r="T433" s="32" t="s">
        <v>139</v>
      </c>
      <c r="U433" s="32">
        <v>4.1199999999999999E-4</v>
      </c>
      <c r="V433" s="32">
        <v>2.444E-3</v>
      </c>
      <c r="W433" s="32">
        <v>6.9829999999999996E-3</v>
      </c>
      <c r="X433" s="32">
        <v>1.4064E-2</v>
      </c>
      <c r="Y433" s="32">
        <v>2.9401E-2</v>
      </c>
      <c r="Z433" s="32">
        <v>5.9587000000000001E-2</v>
      </c>
      <c r="AA433" s="32">
        <v>9.4965999999999995E-2</v>
      </c>
      <c r="AB433" s="32">
        <v>0.11365400000000001</v>
      </c>
    </row>
    <row r="434" spans="1:28" ht="15.6" customHeight="1" x14ac:dyDescent="0.25">
      <c r="A434" s="24" t="s">
        <v>1476</v>
      </c>
      <c r="B434" s="50">
        <v>4025</v>
      </c>
      <c r="C434" s="25" t="s">
        <v>1477</v>
      </c>
      <c r="D434" s="25" t="s">
        <v>164</v>
      </c>
      <c r="E434" s="25" t="s">
        <v>194</v>
      </c>
      <c r="F434" s="25" t="s">
        <v>155</v>
      </c>
      <c r="G434" s="26" t="s">
        <v>139</v>
      </c>
      <c r="H434" s="27" t="s">
        <v>626</v>
      </c>
      <c r="I434" s="24" t="s">
        <v>998</v>
      </c>
      <c r="J434" s="24" t="s">
        <v>107</v>
      </c>
      <c r="K434" s="28" t="s">
        <v>108</v>
      </c>
      <c r="L434" s="29">
        <v>0.02</v>
      </c>
      <c r="M434" s="29">
        <v>5.0000000000000001E-3</v>
      </c>
      <c r="N434" s="29">
        <v>0.02</v>
      </c>
      <c r="O434" s="27" t="s">
        <v>166</v>
      </c>
      <c r="P434" s="30" t="s">
        <v>164</v>
      </c>
      <c r="Q434" s="31">
        <v>547030387.77999997</v>
      </c>
      <c r="R434" s="31">
        <v>921.55</v>
      </c>
      <c r="S434" s="32">
        <v>7.5949000000000003E-2</v>
      </c>
      <c r="T434" s="32" t="s">
        <v>139</v>
      </c>
      <c r="U434" s="32">
        <v>-1.048E-2</v>
      </c>
      <c r="V434" s="32">
        <v>5.9374999999999997E-2</v>
      </c>
      <c r="W434" s="32">
        <v>1.5684E-2</v>
      </c>
      <c r="X434" s="32">
        <v>8.3819000000000005E-2</v>
      </c>
      <c r="Y434" s="32">
        <v>-2.1231E-2</v>
      </c>
      <c r="Z434" s="32">
        <v>0.342252</v>
      </c>
      <c r="AA434" s="32">
        <v>0.52604799999999996</v>
      </c>
      <c r="AB434" s="32">
        <v>0.422518</v>
      </c>
    </row>
    <row r="435" spans="1:28" ht="15.6" customHeight="1" x14ac:dyDescent="0.25">
      <c r="A435" s="24" t="s">
        <v>1478</v>
      </c>
      <c r="B435" s="50">
        <v>4026</v>
      </c>
      <c r="C435" s="25" t="s">
        <v>1479</v>
      </c>
      <c r="D435" s="25" t="s">
        <v>164</v>
      </c>
      <c r="E435" s="25" t="s">
        <v>194</v>
      </c>
      <c r="F435" s="25" t="s">
        <v>113</v>
      </c>
      <c r="G435" s="26" t="s">
        <v>1016</v>
      </c>
      <c r="H435" s="27" t="s">
        <v>120</v>
      </c>
      <c r="I435" s="24" t="s">
        <v>998</v>
      </c>
      <c r="J435" s="24" t="s">
        <v>107</v>
      </c>
      <c r="K435" s="28" t="s">
        <v>108</v>
      </c>
      <c r="L435" s="29">
        <v>0.03</v>
      </c>
      <c r="M435" s="29">
        <v>1.4999999999999999E-2</v>
      </c>
      <c r="N435" s="29">
        <v>0.02</v>
      </c>
      <c r="O435" s="27" t="s">
        <v>166</v>
      </c>
      <c r="P435" s="30" t="s">
        <v>164</v>
      </c>
      <c r="Q435" s="31">
        <v>2029317851.1500001</v>
      </c>
      <c r="R435" s="31">
        <v>2353.73</v>
      </c>
      <c r="S435" s="32">
        <v>1.0362E-2</v>
      </c>
      <c r="T435" s="32" t="s">
        <v>139</v>
      </c>
      <c r="U435" s="32">
        <v>1.353E-3</v>
      </c>
      <c r="V435" s="32">
        <v>4.1900000000000001E-3</v>
      </c>
      <c r="W435" s="32">
        <v>7.9780000000000007E-3</v>
      </c>
      <c r="X435" s="32">
        <v>1.0944000000000001E-2</v>
      </c>
      <c r="Y435" s="32">
        <v>9.9109999999999997E-3</v>
      </c>
      <c r="Z435" s="32">
        <v>6.6034999999999996E-2</v>
      </c>
      <c r="AA435" s="32">
        <v>0.14058899999999999</v>
      </c>
      <c r="AB435" s="32">
        <v>0.119145</v>
      </c>
    </row>
    <row r="436" spans="1:28" ht="15.6" customHeight="1" x14ac:dyDescent="0.25">
      <c r="A436" s="24" t="s">
        <v>770</v>
      </c>
      <c r="B436" s="50">
        <v>4027</v>
      </c>
      <c r="C436" s="25" t="s">
        <v>771</v>
      </c>
      <c r="D436" s="25" t="s">
        <v>164</v>
      </c>
      <c r="E436" s="25" t="s">
        <v>194</v>
      </c>
      <c r="F436" s="25" t="s">
        <v>103</v>
      </c>
      <c r="G436" s="26" t="s">
        <v>772</v>
      </c>
      <c r="H436" s="27" t="s">
        <v>169</v>
      </c>
      <c r="I436" s="24" t="s">
        <v>106</v>
      </c>
      <c r="J436" s="24" t="s">
        <v>107</v>
      </c>
      <c r="K436" s="28" t="s">
        <v>108</v>
      </c>
      <c r="L436" s="29">
        <v>0</v>
      </c>
      <c r="M436" s="29">
        <v>0</v>
      </c>
      <c r="N436" s="29">
        <v>6.5000000000000006E-3</v>
      </c>
      <c r="O436" s="27" t="s">
        <v>166</v>
      </c>
      <c r="P436" s="30" t="s">
        <v>164</v>
      </c>
      <c r="Q436" s="31">
        <v>25813004668.619999</v>
      </c>
      <c r="R436" s="31">
        <v>213744.46</v>
      </c>
      <c r="S436" s="32">
        <v>1.6126999999999999E-2</v>
      </c>
      <c r="T436" s="32" t="s">
        <v>139</v>
      </c>
      <c r="U436" s="32">
        <v>2.5799999999999998E-4</v>
      </c>
      <c r="V436" s="32">
        <v>1.977E-3</v>
      </c>
      <c r="W436" s="32">
        <v>5.9300000000000004E-3</v>
      </c>
      <c r="X436" s="32">
        <v>1.1875E-2</v>
      </c>
      <c r="Y436" s="32">
        <v>2.3777E-2</v>
      </c>
      <c r="Z436" s="32">
        <v>5.2005000000000003E-2</v>
      </c>
      <c r="AA436" s="32">
        <v>8.6995000000000003E-2</v>
      </c>
      <c r="AB436" s="32">
        <v>0.13200300000000001</v>
      </c>
    </row>
    <row r="437" spans="1:28" ht="15.6" customHeight="1" x14ac:dyDescent="0.25">
      <c r="A437" s="24" t="s">
        <v>1480</v>
      </c>
      <c r="B437" s="50">
        <v>4028</v>
      </c>
      <c r="C437" s="25" t="s">
        <v>1481</v>
      </c>
      <c r="D437" s="25" t="s">
        <v>164</v>
      </c>
      <c r="E437" s="25" t="s">
        <v>194</v>
      </c>
      <c r="F437" s="25" t="s">
        <v>113</v>
      </c>
      <c r="G437" s="26" t="s">
        <v>1482</v>
      </c>
      <c r="H437" s="27" t="s">
        <v>327</v>
      </c>
      <c r="I437" s="24" t="s">
        <v>998</v>
      </c>
      <c r="J437" s="24" t="s">
        <v>121</v>
      </c>
      <c r="K437" s="28" t="s">
        <v>108</v>
      </c>
      <c r="L437" s="29">
        <v>0.03</v>
      </c>
      <c r="M437" s="29">
        <v>1.4999999999999999E-2</v>
      </c>
      <c r="N437" s="29">
        <v>0.02</v>
      </c>
      <c r="O437" s="27" t="s">
        <v>166</v>
      </c>
      <c r="P437" s="30" t="s">
        <v>164</v>
      </c>
      <c r="Q437" s="31">
        <v>1049788367.8</v>
      </c>
      <c r="R437" s="31">
        <v>26874.32</v>
      </c>
      <c r="S437" s="32">
        <v>-3.3670000000000002E-3</v>
      </c>
      <c r="T437" s="32" t="s">
        <v>139</v>
      </c>
      <c r="U437" s="32">
        <v>1.15E-3</v>
      </c>
      <c r="V437" s="32">
        <v>6.411E-3</v>
      </c>
      <c r="W437" s="32">
        <v>4.3569999999999998E-3</v>
      </c>
      <c r="X437" s="32">
        <v>-3.6080000000000001E-3</v>
      </c>
      <c r="Y437" s="32">
        <v>-1.0272E-2</v>
      </c>
      <c r="Z437" s="32">
        <v>7.9680000000000001E-2</v>
      </c>
      <c r="AA437" s="32">
        <v>0.19988400000000001</v>
      </c>
      <c r="AB437" s="32">
        <v>0.15925700000000001</v>
      </c>
    </row>
    <row r="438" spans="1:28" ht="15.6" customHeight="1" x14ac:dyDescent="0.25">
      <c r="A438" s="24" t="s">
        <v>1483</v>
      </c>
      <c r="B438" s="50">
        <v>4029</v>
      </c>
      <c r="C438" s="25" t="s">
        <v>1484</v>
      </c>
      <c r="D438" s="25" t="s">
        <v>164</v>
      </c>
      <c r="E438" s="25" t="s">
        <v>194</v>
      </c>
      <c r="F438" s="25" t="s">
        <v>155</v>
      </c>
      <c r="G438" s="26" t="s">
        <v>139</v>
      </c>
      <c r="H438" s="27" t="s">
        <v>1485</v>
      </c>
      <c r="I438" s="24" t="s">
        <v>998</v>
      </c>
      <c r="J438" s="24" t="s">
        <v>121</v>
      </c>
      <c r="K438" s="28" t="s">
        <v>180</v>
      </c>
      <c r="L438" s="29">
        <v>0.03</v>
      </c>
      <c r="M438" s="29">
        <v>1.4999999999999999E-2</v>
      </c>
      <c r="N438" s="29">
        <v>0.02</v>
      </c>
      <c r="O438" s="27" t="s">
        <v>166</v>
      </c>
      <c r="P438" s="30" t="s">
        <v>164</v>
      </c>
      <c r="Q438" s="31">
        <v>692609008.92999995</v>
      </c>
      <c r="R438" s="31">
        <v>440213.77</v>
      </c>
      <c r="S438" s="32">
        <v>8.6722999999999995E-2</v>
      </c>
      <c r="T438" s="32" t="s">
        <v>139</v>
      </c>
      <c r="U438" s="32">
        <v>-1.1343000000000001E-2</v>
      </c>
      <c r="V438" s="32">
        <v>6.8898000000000001E-2</v>
      </c>
      <c r="W438" s="32">
        <v>1.7475000000000001E-2</v>
      </c>
      <c r="X438" s="32">
        <v>9.4454999999999997E-2</v>
      </c>
      <c r="Y438" s="32">
        <v>-8.3649999999999992E-3</v>
      </c>
      <c r="Z438" s="32">
        <v>0.40924500000000003</v>
      </c>
      <c r="AA438" s="32">
        <v>0.62212400000000001</v>
      </c>
      <c r="AB438" s="32">
        <v>0.58592100000000003</v>
      </c>
    </row>
    <row r="439" spans="1:28" ht="15.6" customHeight="1" x14ac:dyDescent="0.25">
      <c r="A439" s="24" t="s">
        <v>1486</v>
      </c>
      <c r="B439" s="50">
        <v>4030</v>
      </c>
      <c r="C439" s="25" t="s">
        <v>1487</v>
      </c>
      <c r="D439" s="25" t="s">
        <v>164</v>
      </c>
      <c r="E439" s="25" t="s">
        <v>194</v>
      </c>
      <c r="F439" s="25" t="s">
        <v>138</v>
      </c>
      <c r="G439" s="26" t="s">
        <v>139</v>
      </c>
      <c r="H439" s="27" t="s">
        <v>1488</v>
      </c>
      <c r="I439" s="24" t="s">
        <v>998</v>
      </c>
      <c r="J439" s="24" t="s">
        <v>121</v>
      </c>
      <c r="K439" s="28" t="s">
        <v>180</v>
      </c>
      <c r="L439" s="29">
        <v>0.03</v>
      </c>
      <c r="M439" s="29">
        <v>1.4999999999999999E-2</v>
      </c>
      <c r="N439" s="29">
        <v>0.02</v>
      </c>
      <c r="O439" s="27" t="s">
        <v>166</v>
      </c>
      <c r="P439" s="30" t="s">
        <v>164</v>
      </c>
      <c r="Q439" s="31">
        <v>2743461596.6799998</v>
      </c>
      <c r="R439" s="31">
        <v>29956.51</v>
      </c>
      <c r="S439" s="32">
        <v>4.5222999999999999E-2</v>
      </c>
      <c r="T439" s="32" t="s">
        <v>139</v>
      </c>
      <c r="U439" s="32">
        <v>-7.6480000000000003E-3</v>
      </c>
      <c r="V439" s="32">
        <v>4.5470999999999998E-2</v>
      </c>
      <c r="W439" s="32">
        <v>7.6400000000000001E-3</v>
      </c>
      <c r="X439" s="32">
        <v>4.8811E-2</v>
      </c>
      <c r="Y439" s="32">
        <v>5.3210000000000002E-3</v>
      </c>
      <c r="Z439" s="32">
        <v>0.28002700000000003</v>
      </c>
      <c r="AA439" s="32">
        <v>0.44425300000000001</v>
      </c>
      <c r="AB439" s="32">
        <v>0.43459500000000001</v>
      </c>
    </row>
    <row r="440" spans="1:28" ht="15.6" customHeight="1" x14ac:dyDescent="0.25">
      <c r="A440" s="24" t="s">
        <v>773</v>
      </c>
      <c r="B440" s="50">
        <v>4031</v>
      </c>
      <c r="C440" s="25" t="s">
        <v>774</v>
      </c>
      <c r="D440" s="25" t="s">
        <v>164</v>
      </c>
      <c r="E440" s="25" t="s">
        <v>194</v>
      </c>
      <c r="F440" s="25" t="s">
        <v>128</v>
      </c>
      <c r="G440" s="26" t="s">
        <v>129</v>
      </c>
      <c r="H440" s="27" t="s">
        <v>130</v>
      </c>
      <c r="I440" s="24" t="s">
        <v>106</v>
      </c>
      <c r="J440" s="24" t="s">
        <v>107</v>
      </c>
      <c r="K440" s="28" t="s">
        <v>108</v>
      </c>
      <c r="L440" s="29">
        <v>1E-3</v>
      </c>
      <c r="M440" s="29">
        <v>0</v>
      </c>
      <c r="N440" s="29">
        <v>6.9999999999999993E-3</v>
      </c>
      <c r="O440" s="27" t="s">
        <v>166</v>
      </c>
      <c r="P440" s="30" t="s">
        <v>164</v>
      </c>
      <c r="Q440" s="31">
        <v>2031854099.6800001</v>
      </c>
      <c r="R440" s="31">
        <v>689331.46</v>
      </c>
      <c r="S440" s="32">
        <v>1.8075999999999998E-2</v>
      </c>
      <c r="T440" s="32" t="s">
        <v>139</v>
      </c>
      <c r="U440" s="32">
        <v>3.7800000000000003E-4</v>
      </c>
      <c r="V440" s="32">
        <v>2.3830000000000001E-3</v>
      </c>
      <c r="W440" s="32">
        <v>6.9199999999999999E-3</v>
      </c>
      <c r="X440" s="32">
        <v>1.3401E-2</v>
      </c>
      <c r="Y440" s="32">
        <v>2.6076999999999999E-2</v>
      </c>
      <c r="Z440" s="32">
        <v>5.6781999999999999E-2</v>
      </c>
      <c r="AA440" s="32">
        <v>9.7170000000000006E-2</v>
      </c>
      <c r="AB440" s="32">
        <v>0.14233399999999999</v>
      </c>
    </row>
    <row r="441" spans="1:28" ht="15.6" customHeight="1" x14ac:dyDescent="0.25">
      <c r="A441" s="24" t="s">
        <v>775</v>
      </c>
      <c r="B441" s="50">
        <v>4033</v>
      </c>
      <c r="C441" s="25" t="s">
        <v>776</v>
      </c>
      <c r="D441" s="25" t="s">
        <v>164</v>
      </c>
      <c r="E441" s="25" t="s">
        <v>194</v>
      </c>
      <c r="F441" s="25" t="s">
        <v>103</v>
      </c>
      <c r="G441" s="26" t="s">
        <v>104</v>
      </c>
      <c r="H441" s="27" t="s">
        <v>169</v>
      </c>
      <c r="I441" s="24" t="s">
        <v>106</v>
      </c>
      <c r="J441" s="24" t="s">
        <v>107</v>
      </c>
      <c r="K441" s="28" t="s">
        <v>108</v>
      </c>
      <c r="L441" s="29">
        <v>0</v>
      </c>
      <c r="M441" s="29">
        <v>0</v>
      </c>
      <c r="N441" s="29">
        <v>0.02</v>
      </c>
      <c r="O441" s="27" t="s">
        <v>166</v>
      </c>
      <c r="P441" s="30" t="s">
        <v>164</v>
      </c>
      <c r="Q441" s="31">
        <v>492890834.26999998</v>
      </c>
      <c r="R441" s="31">
        <v>240.17</v>
      </c>
      <c r="S441" s="32">
        <v>1.1795999999999999E-2</v>
      </c>
      <c r="T441" s="32" t="s">
        <v>139</v>
      </c>
      <c r="U441" s="32">
        <v>1.6699999999999999E-4</v>
      </c>
      <c r="V441" s="32">
        <v>1.3339999999999999E-3</v>
      </c>
      <c r="W441" s="32">
        <v>4.1390000000000003E-3</v>
      </c>
      <c r="X441" s="32">
        <v>8.7360000000000007E-3</v>
      </c>
      <c r="Y441" s="32">
        <v>1.7454000000000001E-2</v>
      </c>
      <c r="Z441" s="32">
        <v>3.7945E-2</v>
      </c>
      <c r="AA441" s="32">
        <v>6.3735E-2</v>
      </c>
      <c r="AB441" s="32">
        <v>9.7017000000000006E-2</v>
      </c>
    </row>
    <row r="442" spans="1:28" ht="15.6" customHeight="1" x14ac:dyDescent="0.25">
      <c r="A442" s="24" t="s">
        <v>777</v>
      </c>
      <c r="B442" s="50">
        <v>4034</v>
      </c>
      <c r="C442" s="25" t="s">
        <v>778</v>
      </c>
      <c r="D442" s="25" t="s">
        <v>164</v>
      </c>
      <c r="E442" s="25" t="s">
        <v>194</v>
      </c>
      <c r="F442" s="25" t="s">
        <v>155</v>
      </c>
      <c r="G442" s="26" t="s">
        <v>139</v>
      </c>
      <c r="H442" s="27" t="s">
        <v>156</v>
      </c>
      <c r="I442" s="24" t="s">
        <v>106</v>
      </c>
      <c r="J442" s="24" t="s">
        <v>107</v>
      </c>
      <c r="K442" s="28" t="s">
        <v>108</v>
      </c>
      <c r="L442" s="29">
        <v>0.03</v>
      </c>
      <c r="M442" s="29">
        <v>1.4999999999999999E-2</v>
      </c>
      <c r="N442" s="29">
        <v>0.02</v>
      </c>
      <c r="O442" s="27" t="s">
        <v>166</v>
      </c>
      <c r="P442" s="30" t="s">
        <v>164</v>
      </c>
      <c r="Q442" s="31">
        <v>2354296494.8200002</v>
      </c>
      <c r="R442" s="31">
        <v>2088.5</v>
      </c>
      <c r="S442" s="32">
        <v>7.0916000000000007E-2</v>
      </c>
      <c r="T442" s="32" t="s">
        <v>139</v>
      </c>
      <c r="U442" s="32">
        <v>-1.0302E-2</v>
      </c>
      <c r="V442" s="32">
        <v>6.6393999999999995E-2</v>
      </c>
      <c r="W442" s="32">
        <v>2.9959E-2</v>
      </c>
      <c r="X442" s="32">
        <v>9.4699000000000005E-2</v>
      </c>
      <c r="Y442" s="32">
        <v>-2.1728999999999998E-2</v>
      </c>
      <c r="Z442" s="32">
        <v>0.39271400000000001</v>
      </c>
      <c r="AA442" s="32">
        <v>0.61847799999999997</v>
      </c>
      <c r="AB442" s="32">
        <v>0.59088700000000005</v>
      </c>
    </row>
    <row r="443" spans="1:28" ht="15.6" customHeight="1" x14ac:dyDescent="0.25">
      <c r="A443" s="24" t="s">
        <v>1489</v>
      </c>
      <c r="B443" s="50">
        <v>4036</v>
      </c>
      <c r="C443" s="25" t="s">
        <v>1490</v>
      </c>
      <c r="D443" s="25" t="s">
        <v>164</v>
      </c>
      <c r="E443" s="25" t="s">
        <v>194</v>
      </c>
      <c r="F443" s="25" t="s">
        <v>113</v>
      </c>
      <c r="G443" s="26" t="s">
        <v>1491</v>
      </c>
      <c r="H443" s="27" t="s">
        <v>327</v>
      </c>
      <c r="I443" s="24" t="s">
        <v>998</v>
      </c>
      <c r="J443" s="24" t="s">
        <v>121</v>
      </c>
      <c r="K443" s="28" t="s">
        <v>108</v>
      </c>
      <c r="L443" s="29">
        <v>0.03</v>
      </c>
      <c r="M443" s="29">
        <v>1.4999999999999999E-2</v>
      </c>
      <c r="N443" s="29">
        <v>0.02</v>
      </c>
      <c r="O443" s="27" t="s">
        <v>166</v>
      </c>
      <c r="P443" s="30" t="s">
        <v>164</v>
      </c>
      <c r="Q443" s="31">
        <v>1662690861.04</v>
      </c>
      <c r="R443" s="31">
        <v>267809.87</v>
      </c>
      <c r="S443" s="32">
        <v>-1.5699999999999999E-4</v>
      </c>
      <c r="T443" s="32" t="s">
        <v>139</v>
      </c>
      <c r="U443" s="32">
        <v>1.5009999999999999E-3</v>
      </c>
      <c r="V443" s="32">
        <v>4.4889999999999999E-3</v>
      </c>
      <c r="W443" s="32">
        <v>3.4619999999999998E-3</v>
      </c>
      <c r="X443" s="32">
        <v>-1.939E-3</v>
      </c>
      <c r="Y443" s="32">
        <v>-5.2950000000000002E-3</v>
      </c>
      <c r="Z443" s="32">
        <v>8.4543999999999994E-2</v>
      </c>
      <c r="AA443" s="32">
        <v>0.170039</v>
      </c>
      <c r="AB443" s="32">
        <v>8.9883000000000005E-2</v>
      </c>
    </row>
    <row r="444" spans="1:28" ht="15.6" customHeight="1" x14ac:dyDescent="0.25">
      <c r="A444" s="24" t="s">
        <v>1492</v>
      </c>
      <c r="B444" s="50">
        <v>4037</v>
      </c>
      <c r="C444" s="25" t="s">
        <v>1493</v>
      </c>
      <c r="D444" s="25" t="s">
        <v>164</v>
      </c>
      <c r="E444" s="25" t="s">
        <v>194</v>
      </c>
      <c r="F444" s="25" t="s">
        <v>155</v>
      </c>
      <c r="G444" s="26" t="s">
        <v>139</v>
      </c>
      <c r="H444" s="27" t="s">
        <v>202</v>
      </c>
      <c r="I444" s="24" t="s">
        <v>998</v>
      </c>
      <c r="J444" s="24" t="s">
        <v>121</v>
      </c>
      <c r="K444" s="28" t="s">
        <v>180</v>
      </c>
      <c r="L444" s="29">
        <v>0.03</v>
      </c>
      <c r="M444" s="29">
        <v>1.4999999999999999E-2</v>
      </c>
      <c r="N444" s="29">
        <v>0.02</v>
      </c>
      <c r="O444" s="27" t="s">
        <v>166</v>
      </c>
      <c r="P444" s="30" t="s">
        <v>164</v>
      </c>
      <c r="Q444" s="31">
        <v>1014101970.5</v>
      </c>
      <c r="R444" s="31">
        <v>53325.29</v>
      </c>
      <c r="S444" s="32">
        <v>6.9167999999999993E-2</v>
      </c>
      <c r="T444" s="32" t="s">
        <v>139</v>
      </c>
      <c r="U444" s="32">
        <v>-1.2368000000000001E-2</v>
      </c>
      <c r="V444" s="32">
        <v>6.7166000000000003E-2</v>
      </c>
      <c r="W444" s="32">
        <v>8.8059999999999996E-3</v>
      </c>
      <c r="X444" s="32">
        <v>7.9292000000000001E-2</v>
      </c>
      <c r="Y444" s="32">
        <v>-1.3202E-2</v>
      </c>
      <c r="Z444" s="32">
        <v>0.39672200000000002</v>
      </c>
      <c r="AA444" s="32">
        <v>0.61346800000000001</v>
      </c>
      <c r="AB444" s="32">
        <v>0.60270400000000002</v>
      </c>
    </row>
    <row r="445" spans="1:28" ht="15.6" customHeight="1" x14ac:dyDescent="0.25">
      <c r="A445" s="24" t="s">
        <v>779</v>
      </c>
      <c r="B445" s="50">
        <v>4038</v>
      </c>
      <c r="C445" s="25" t="s">
        <v>780</v>
      </c>
      <c r="D445" s="25" t="s">
        <v>164</v>
      </c>
      <c r="E445" s="25" t="s">
        <v>102</v>
      </c>
      <c r="F445" s="25" t="s">
        <v>113</v>
      </c>
      <c r="G445" s="26" t="s">
        <v>781</v>
      </c>
      <c r="H445" s="27" t="s">
        <v>120</v>
      </c>
      <c r="I445" s="24" t="s">
        <v>106</v>
      </c>
      <c r="J445" s="24" t="s">
        <v>107</v>
      </c>
      <c r="K445" s="28" t="s">
        <v>227</v>
      </c>
      <c r="L445" s="29">
        <v>0</v>
      </c>
      <c r="M445" s="29">
        <v>0</v>
      </c>
      <c r="N445" s="29">
        <v>1.2500000000000001E-2</v>
      </c>
      <c r="O445" s="27" t="s">
        <v>166</v>
      </c>
      <c r="P445" s="30" t="s">
        <v>164</v>
      </c>
      <c r="Q445" s="31">
        <v>361785638.55000001</v>
      </c>
      <c r="R445" s="31">
        <v>180.4</v>
      </c>
      <c r="S445" s="32">
        <v>1.7656999999999999E-2</v>
      </c>
      <c r="T445" s="32" t="s">
        <v>139</v>
      </c>
      <c r="U445" s="32">
        <v>1.11E-4</v>
      </c>
      <c r="V445" s="32">
        <v>7.0899999999999999E-3</v>
      </c>
      <c r="W445" s="32">
        <v>9.8519999999999996E-3</v>
      </c>
      <c r="X445" s="32">
        <v>1.4909E-2</v>
      </c>
      <c r="Y445" s="32">
        <v>1.8404E-2</v>
      </c>
      <c r="Z445" s="32">
        <v>7.3107000000000005E-2</v>
      </c>
      <c r="AA445" s="32">
        <v>0.13680800000000001</v>
      </c>
      <c r="AB445" s="32">
        <v>5.5279000000000002E-2</v>
      </c>
    </row>
    <row r="446" spans="1:28" ht="15.6" customHeight="1" x14ac:dyDescent="0.25">
      <c r="A446" s="24" t="s">
        <v>782</v>
      </c>
      <c r="B446" s="50">
        <v>4039</v>
      </c>
      <c r="C446" s="25" t="s">
        <v>783</v>
      </c>
      <c r="D446" s="25" t="s">
        <v>164</v>
      </c>
      <c r="E446" s="25" t="s">
        <v>102</v>
      </c>
      <c r="F446" s="25" t="s">
        <v>128</v>
      </c>
      <c r="G446" s="26" t="s">
        <v>129</v>
      </c>
      <c r="H446" s="27" t="s">
        <v>130</v>
      </c>
      <c r="I446" s="24" t="s">
        <v>106</v>
      </c>
      <c r="J446" s="24" t="s">
        <v>107</v>
      </c>
      <c r="K446" s="28" t="s">
        <v>108</v>
      </c>
      <c r="L446" s="29">
        <v>0</v>
      </c>
      <c r="M446" s="29">
        <v>0.01</v>
      </c>
      <c r="N446" s="29">
        <v>0.01</v>
      </c>
      <c r="O446" s="27" t="s">
        <v>166</v>
      </c>
      <c r="P446" s="30" t="s">
        <v>164</v>
      </c>
      <c r="Q446" s="31">
        <v>12928170974.24</v>
      </c>
      <c r="R446" s="31">
        <v>2400.46</v>
      </c>
      <c r="S446" s="32">
        <v>1.9793000000000002E-2</v>
      </c>
      <c r="T446" s="32" t="s">
        <v>139</v>
      </c>
      <c r="U446" s="32">
        <v>4.5800000000000002E-4</v>
      </c>
      <c r="V446" s="32">
        <v>2.5179999999999998E-3</v>
      </c>
      <c r="W446" s="32">
        <v>7.2849999999999998E-3</v>
      </c>
      <c r="X446" s="32">
        <v>1.4933999999999999E-2</v>
      </c>
      <c r="Y446" s="32">
        <v>2.8285000000000001E-2</v>
      </c>
      <c r="Z446" s="32">
        <v>6.3853999999999994E-2</v>
      </c>
      <c r="AA446" s="32">
        <v>0.107346</v>
      </c>
      <c r="AB446" s="32">
        <v>0.14929899999999999</v>
      </c>
    </row>
    <row r="447" spans="1:28" ht="15.6" customHeight="1" x14ac:dyDescent="0.25">
      <c r="A447" s="24" t="s">
        <v>784</v>
      </c>
      <c r="B447" s="50">
        <v>4041</v>
      </c>
      <c r="C447" s="25" t="s">
        <v>785</v>
      </c>
      <c r="D447" s="25" t="s">
        <v>159</v>
      </c>
      <c r="E447" s="25" t="s">
        <v>194</v>
      </c>
      <c r="F447" s="25" t="s">
        <v>113</v>
      </c>
      <c r="G447" s="26" t="s">
        <v>151</v>
      </c>
      <c r="H447" s="27" t="s">
        <v>786</v>
      </c>
      <c r="I447" s="24" t="s">
        <v>106</v>
      </c>
      <c r="J447" s="24" t="s">
        <v>107</v>
      </c>
      <c r="K447" s="28" t="s">
        <v>108</v>
      </c>
      <c r="L447" s="29">
        <v>0</v>
      </c>
      <c r="M447" s="29">
        <v>0</v>
      </c>
      <c r="N447" s="29">
        <v>0.02</v>
      </c>
      <c r="O447" s="27" t="s">
        <v>161</v>
      </c>
      <c r="P447" s="30" t="s">
        <v>159</v>
      </c>
      <c r="Q447" s="31">
        <v>365493796.88999999</v>
      </c>
      <c r="R447" s="31">
        <v>227.48</v>
      </c>
      <c r="S447" s="32">
        <v>-1.4385E-2</v>
      </c>
      <c r="T447" s="32" t="s">
        <v>139</v>
      </c>
      <c r="U447" s="32">
        <v>9.68E-4</v>
      </c>
      <c r="V447" s="32">
        <v>7.1729999999999997E-3</v>
      </c>
      <c r="W447" s="32">
        <v>7.5290000000000001E-3</v>
      </c>
      <c r="X447" s="32">
        <v>-1.626E-2</v>
      </c>
      <c r="Y447" s="32">
        <v>-1.3615E-2</v>
      </c>
      <c r="Z447" s="32">
        <v>7.5759000000000007E-2</v>
      </c>
      <c r="AA447" s="32">
        <v>0.17396900000000001</v>
      </c>
      <c r="AB447" s="32">
        <v>0.16322400000000001</v>
      </c>
    </row>
    <row r="448" spans="1:28" ht="15.6" customHeight="1" x14ac:dyDescent="0.25">
      <c r="A448" s="24" t="s">
        <v>787</v>
      </c>
      <c r="B448" s="50">
        <v>4042</v>
      </c>
      <c r="C448" s="25" t="s">
        <v>788</v>
      </c>
      <c r="D448" s="25" t="s">
        <v>159</v>
      </c>
      <c r="E448" s="25" t="s">
        <v>194</v>
      </c>
      <c r="F448" s="25" t="s">
        <v>113</v>
      </c>
      <c r="G448" s="26" t="s">
        <v>638</v>
      </c>
      <c r="H448" s="27" t="s">
        <v>789</v>
      </c>
      <c r="I448" s="24" t="s">
        <v>106</v>
      </c>
      <c r="J448" s="24" t="s">
        <v>107</v>
      </c>
      <c r="K448" s="28" t="s">
        <v>108</v>
      </c>
      <c r="L448" s="29">
        <v>0</v>
      </c>
      <c r="M448" s="29">
        <v>0</v>
      </c>
      <c r="N448" s="29">
        <v>0.02</v>
      </c>
      <c r="O448" s="27" t="s">
        <v>161</v>
      </c>
      <c r="P448" s="30" t="s">
        <v>159</v>
      </c>
      <c r="Q448" s="31">
        <v>4304323.66</v>
      </c>
      <c r="R448" s="31">
        <v>230.07</v>
      </c>
      <c r="S448" s="32">
        <v>-2.6440000000000001E-3</v>
      </c>
      <c r="T448" s="32" t="s">
        <v>139</v>
      </c>
      <c r="U448" s="32">
        <v>1.088E-3</v>
      </c>
      <c r="V448" s="32">
        <v>3.5769999999999999E-3</v>
      </c>
      <c r="W448" s="32">
        <v>1.0009999999999999E-3</v>
      </c>
      <c r="X448" s="32">
        <v>-7.2059999999999997E-3</v>
      </c>
      <c r="Y448" s="32">
        <v>-7.9769999999999997E-3</v>
      </c>
      <c r="Z448" s="32">
        <v>6.3759999999999997E-2</v>
      </c>
      <c r="AA448" s="32">
        <v>0.14377300000000001</v>
      </c>
      <c r="AB448" s="32">
        <v>0.126193</v>
      </c>
    </row>
    <row r="449" spans="1:28" ht="15.6" customHeight="1" x14ac:dyDescent="0.25">
      <c r="A449" s="24" t="s">
        <v>790</v>
      </c>
      <c r="B449" s="50">
        <v>4043</v>
      </c>
      <c r="C449" s="25" t="s">
        <v>791</v>
      </c>
      <c r="D449" s="25" t="s">
        <v>159</v>
      </c>
      <c r="E449" s="25" t="s">
        <v>194</v>
      </c>
      <c r="F449" s="25" t="s">
        <v>113</v>
      </c>
      <c r="G449" s="26" t="s">
        <v>465</v>
      </c>
      <c r="H449" s="27" t="s">
        <v>120</v>
      </c>
      <c r="I449" s="24" t="s">
        <v>106</v>
      </c>
      <c r="J449" s="24" t="s">
        <v>107</v>
      </c>
      <c r="K449" s="28" t="s">
        <v>227</v>
      </c>
      <c r="L449" s="29">
        <v>0</v>
      </c>
      <c r="M449" s="29">
        <v>0</v>
      </c>
      <c r="N449" s="29">
        <v>8.0000000000000002E-3</v>
      </c>
      <c r="O449" s="27" t="s">
        <v>161</v>
      </c>
      <c r="P449" s="30" t="s">
        <v>159</v>
      </c>
      <c r="Q449" s="31">
        <v>228745886.41</v>
      </c>
      <c r="R449" s="31">
        <v>211.1</v>
      </c>
      <c r="S449" s="32">
        <v>9.3720000000000001E-3</v>
      </c>
      <c r="T449" s="32" t="s">
        <v>139</v>
      </c>
      <c r="U449" s="32">
        <v>6.1600000000000001E-4</v>
      </c>
      <c r="V449" s="32">
        <v>2.898E-3</v>
      </c>
      <c r="W449" s="32">
        <v>6.6759999999999996E-3</v>
      </c>
      <c r="X449" s="32">
        <v>8.6E-3</v>
      </c>
      <c r="Y449" s="32">
        <v>1.0580000000000001E-2</v>
      </c>
      <c r="Z449" s="32">
        <v>8.1067E-2</v>
      </c>
      <c r="AA449" s="32">
        <v>0.144235</v>
      </c>
      <c r="AB449" s="32">
        <v>0.18376000000000001</v>
      </c>
    </row>
    <row r="450" spans="1:28" ht="15.6" customHeight="1" x14ac:dyDescent="0.25">
      <c r="A450" s="24" t="s">
        <v>792</v>
      </c>
      <c r="B450" s="50">
        <v>4044</v>
      </c>
      <c r="C450" s="25" t="s">
        <v>793</v>
      </c>
      <c r="D450" s="25" t="s">
        <v>112</v>
      </c>
      <c r="E450" s="25" t="s">
        <v>194</v>
      </c>
      <c r="F450" s="25" t="s">
        <v>103</v>
      </c>
      <c r="G450" s="26" t="s">
        <v>104</v>
      </c>
      <c r="H450" s="27" t="s">
        <v>794</v>
      </c>
      <c r="I450" s="24" t="s">
        <v>106</v>
      </c>
      <c r="J450" s="24" t="s">
        <v>107</v>
      </c>
      <c r="K450" s="28" t="s">
        <v>108</v>
      </c>
      <c r="L450" s="29">
        <v>0</v>
      </c>
      <c r="M450" s="29">
        <v>0</v>
      </c>
      <c r="N450" s="29">
        <v>6.0000000000000001E-3</v>
      </c>
      <c r="O450" s="27" t="s">
        <v>116</v>
      </c>
      <c r="P450" s="30" t="s">
        <v>112</v>
      </c>
      <c r="Q450" s="31">
        <v>273905266.70999998</v>
      </c>
      <c r="R450" s="31">
        <v>2331.33</v>
      </c>
      <c r="S450" s="32">
        <v>2.2477E-2</v>
      </c>
      <c r="T450" s="32" t="s">
        <v>139</v>
      </c>
      <c r="U450" s="32">
        <v>2.7E-4</v>
      </c>
      <c r="V450" s="32">
        <v>3.6380000000000002E-3</v>
      </c>
      <c r="W450" s="32">
        <v>7.4720000000000003E-3</v>
      </c>
      <c r="X450" s="32">
        <v>1.8412999999999999E-2</v>
      </c>
      <c r="Y450" s="32">
        <v>3.3070000000000002E-2</v>
      </c>
      <c r="Z450" s="32">
        <v>7.4513999999999997E-2</v>
      </c>
      <c r="AA450" s="32">
        <v>0.11651599999999999</v>
      </c>
      <c r="AB450" s="32">
        <v>0.15178</v>
      </c>
    </row>
    <row r="451" spans="1:28" ht="15.6" customHeight="1" x14ac:dyDescent="0.25">
      <c r="A451" s="24" t="s">
        <v>1494</v>
      </c>
      <c r="B451" s="50">
        <v>4045</v>
      </c>
      <c r="C451" s="25" t="s">
        <v>1495</v>
      </c>
      <c r="D451" s="25" t="s">
        <v>112</v>
      </c>
      <c r="E451" s="25" t="s">
        <v>194</v>
      </c>
      <c r="F451" s="25" t="s">
        <v>113</v>
      </c>
      <c r="G451" s="26" t="s">
        <v>114</v>
      </c>
      <c r="H451" s="27" t="s">
        <v>115</v>
      </c>
      <c r="I451" s="24" t="s">
        <v>998</v>
      </c>
      <c r="J451" s="24" t="s">
        <v>121</v>
      </c>
      <c r="K451" s="28" t="s">
        <v>108</v>
      </c>
      <c r="L451" s="29">
        <v>0.03</v>
      </c>
      <c r="M451" s="29">
        <v>1.4999999999999999E-2</v>
      </c>
      <c r="N451" s="29">
        <v>0.02</v>
      </c>
      <c r="O451" s="27" t="s">
        <v>116</v>
      </c>
      <c r="P451" s="30" t="s">
        <v>112</v>
      </c>
      <c r="Q451" s="31">
        <v>724883845.65999997</v>
      </c>
      <c r="R451" s="31">
        <v>2383.6999999999998</v>
      </c>
      <c r="S451" s="32">
        <v>1.63E-4</v>
      </c>
      <c r="T451" s="32" t="s">
        <v>139</v>
      </c>
      <c r="U451" s="32">
        <v>8.8999999999999995E-4</v>
      </c>
      <c r="V451" s="32">
        <v>6.2820000000000003E-3</v>
      </c>
      <c r="W451" s="32">
        <v>4.5510000000000004E-3</v>
      </c>
      <c r="X451" s="32">
        <v>4.2110000000000003E-3</v>
      </c>
      <c r="Y451" s="32">
        <v>-5.182E-3</v>
      </c>
      <c r="Z451" s="32">
        <v>0.102491</v>
      </c>
      <c r="AA451" s="32">
        <v>0.22419600000000001</v>
      </c>
      <c r="AB451" s="32">
        <v>0.174066</v>
      </c>
    </row>
    <row r="452" spans="1:28" ht="15.6" customHeight="1" x14ac:dyDescent="0.25">
      <c r="A452" s="24" t="s">
        <v>1496</v>
      </c>
      <c r="B452" s="50">
        <v>4046</v>
      </c>
      <c r="C452" s="25" t="s">
        <v>1497</v>
      </c>
      <c r="D452" s="25" t="s">
        <v>112</v>
      </c>
      <c r="E452" s="25" t="s">
        <v>194</v>
      </c>
      <c r="F452" s="25" t="s">
        <v>113</v>
      </c>
      <c r="G452" s="26" t="s">
        <v>114</v>
      </c>
      <c r="H452" s="27" t="s">
        <v>1498</v>
      </c>
      <c r="I452" s="24" t="s">
        <v>998</v>
      </c>
      <c r="J452" s="24" t="s">
        <v>121</v>
      </c>
      <c r="K452" s="28" t="s">
        <v>108</v>
      </c>
      <c r="L452" s="29">
        <v>0.03</v>
      </c>
      <c r="M452" s="29">
        <v>1.4999999999999999E-2</v>
      </c>
      <c r="N452" s="29">
        <v>0.02</v>
      </c>
      <c r="O452" s="27" t="s">
        <v>116</v>
      </c>
      <c r="P452" s="30" t="s">
        <v>112</v>
      </c>
      <c r="Q452" s="31">
        <v>1162414143.49</v>
      </c>
      <c r="R452" s="31">
        <v>2563.77</v>
      </c>
      <c r="S452" s="32">
        <v>2.0010000000000002E-3</v>
      </c>
      <c r="T452" s="32" t="s">
        <v>139</v>
      </c>
      <c r="U452" s="32">
        <v>9.41E-4</v>
      </c>
      <c r="V452" s="32">
        <v>7.5810000000000001E-3</v>
      </c>
      <c r="W452" s="32">
        <v>6.5129999999999997E-3</v>
      </c>
      <c r="X452" s="32">
        <v>3.2009999999999999E-3</v>
      </c>
      <c r="Y452" s="32">
        <v>3.9999999999999998E-6</v>
      </c>
      <c r="Z452" s="32">
        <v>8.6264999999999994E-2</v>
      </c>
      <c r="AA452" s="32">
        <v>0.19236800000000001</v>
      </c>
      <c r="AB452" s="32">
        <v>0.154222</v>
      </c>
    </row>
    <row r="453" spans="1:28" ht="15.6" customHeight="1" x14ac:dyDescent="0.25">
      <c r="A453" s="24" t="s">
        <v>1499</v>
      </c>
      <c r="B453" s="50">
        <v>4049</v>
      </c>
      <c r="C453" s="25" t="s">
        <v>1500</v>
      </c>
      <c r="D453" s="25" t="s">
        <v>164</v>
      </c>
      <c r="E453" s="25" t="s">
        <v>194</v>
      </c>
      <c r="F453" s="25" t="s">
        <v>113</v>
      </c>
      <c r="G453" s="26" t="s">
        <v>925</v>
      </c>
      <c r="H453" s="27" t="s">
        <v>327</v>
      </c>
      <c r="I453" s="24" t="s">
        <v>998</v>
      </c>
      <c r="J453" s="24" t="s">
        <v>121</v>
      </c>
      <c r="K453" s="28" t="s">
        <v>108</v>
      </c>
      <c r="L453" s="29">
        <v>0.03</v>
      </c>
      <c r="M453" s="29">
        <v>1.4999999999999999E-2</v>
      </c>
      <c r="N453" s="29">
        <v>0.02</v>
      </c>
      <c r="O453" s="27" t="s">
        <v>166</v>
      </c>
      <c r="P453" s="30" t="s">
        <v>164</v>
      </c>
      <c r="Q453" s="31">
        <v>957947340.16999996</v>
      </c>
      <c r="R453" s="31">
        <v>157.34</v>
      </c>
      <c r="S453" s="32">
        <v>7.0399999999999998E-4</v>
      </c>
      <c r="T453" s="32" t="s">
        <v>139</v>
      </c>
      <c r="U453" s="32">
        <v>1.591E-3</v>
      </c>
      <c r="V453" s="32">
        <v>4.5970000000000004E-3</v>
      </c>
      <c r="W453" s="32">
        <v>3.6359999999999999E-3</v>
      </c>
      <c r="X453" s="32">
        <v>-1.237E-3</v>
      </c>
      <c r="Y453" s="32">
        <v>-7.18E-4</v>
      </c>
      <c r="Z453" s="32">
        <v>9.1786000000000006E-2</v>
      </c>
      <c r="AA453" s="32">
        <v>0.20827200000000001</v>
      </c>
      <c r="AB453" s="32">
        <v>0.15573699999999999</v>
      </c>
    </row>
    <row r="454" spans="1:28" ht="15.6" customHeight="1" x14ac:dyDescent="0.25">
      <c r="A454" s="24" t="s">
        <v>795</v>
      </c>
      <c r="B454" s="50">
        <v>4050</v>
      </c>
      <c r="C454" s="25" t="s">
        <v>796</v>
      </c>
      <c r="D454" s="25" t="s">
        <v>112</v>
      </c>
      <c r="E454" s="25" t="s">
        <v>194</v>
      </c>
      <c r="F454" s="25" t="s">
        <v>113</v>
      </c>
      <c r="G454" s="26" t="s">
        <v>638</v>
      </c>
      <c r="H454" s="27" t="s">
        <v>327</v>
      </c>
      <c r="I454" s="24" t="s">
        <v>106</v>
      </c>
      <c r="J454" s="24" t="s">
        <v>107</v>
      </c>
      <c r="K454" s="28" t="s">
        <v>108</v>
      </c>
      <c r="L454" s="29">
        <v>0.03</v>
      </c>
      <c r="M454" s="29">
        <v>1.4999999999999999E-2</v>
      </c>
      <c r="N454" s="29">
        <v>0.01</v>
      </c>
      <c r="O454" s="27" t="s">
        <v>548</v>
      </c>
      <c r="P454" s="30" t="s">
        <v>797</v>
      </c>
      <c r="Q454" s="31">
        <v>712517707.66999996</v>
      </c>
      <c r="R454" s="31">
        <v>2673.77</v>
      </c>
      <c r="S454" s="32">
        <v>-3.6670000000000001E-3</v>
      </c>
      <c r="T454" s="32" t="s">
        <v>139</v>
      </c>
      <c r="U454" s="32">
        <v>7.3399999999999995E-4</v>
      </c>
      <c r="V454" s="32">
        <v>6.5729999999999998E-3</v>
      </c>
      <c r="W454" s="32">
        <v>4.6550000000000003E-3</v>
      </c>
      <c r="X454" s="32">
        <v>-3.3140000000000001E-3</v>
      </c>
      <c r="Y454" s="32">
        <v>-1.0553999999999999E-2</v>
      </c>
      <c r="Z454" s="32">
        <v>8.9534000000000002E-2</v>
      </c>
      <c r="AA454" s="32">
        <v>0.19117500000000001</v>
      </c>
      <c r="AB454" s="32">
        <v>0.15269099999999999</v>
      </c>
    </row>
    <row r="455" spans="1:28" ht="15.6" customHeight="1" x14ac:dyDescent="0.25">
      <c r="A455" s="24" t="s">
        <v>1501</v>
      </c>
      <c r="B455" s="50">
        <v>4052</v>
      </c>
      <c r="C455" s="25" t="s">
        <v>1502</v>
      </c>
      <c r="D455" s="25" t="s">
        <v>112</v>
      </c>
      <c r="E455" s="25" t="s">
        <v>194</v>
      </c>
      <c r="F455" s="25" t="s">
        <v>113</v>
      </c>
      <c r="G455" s="26" t="s">
        <v>1163</v>
      </c>
      <c r="H455" s="27" t="s">
        <v>152</v>
      </c>
      <c r="I455" s="24" t="s">
        <v>998</v>
      </c>
      <c r="J455" s="24" t="s">
        <v>121</v>
      </c>
      <c r="K455" s="28" t="s">
        <v>227</v>
      </c>
      <c r="L455" s="29">
        <v>0</v>
      </c>
      <c r="M455" s="29">
        <v>0</v>
      </c>
      <c r="N455" s="29">
        <v>0.02</v>
      </c>
      <c r="O455" s="27" t="s">
        <v>116</v>
      </c>
      <c r="P455" s="30" t="s">
        <v>112</v>
      </c>
      <c r="Q455" s="31">
        <v>1806131548.5699999</v>
      </c>
      <c r="R455" s="31">
        <v>180.56</v>
      </c>
      <c r="S455" s="32">
        <v>6.6500000000000001E-4</v>
      </c>
      <c r="T455" s="32" t="s">
        <v>139</v>
      </c>
      <c r="U455" s="32">
        <v>1.2750000000000001E-3</v>
      </c>
      <c r="V455" s="32">
        <v>4.1149999999999997E-3</v>
      </c>
      <c r="W455" s="32">
        <v>3.0000000000000001E-3</v>
      </c>
      <c r="X455" s="32">
        <v>-2.7060000000000001E-3</v>
      </c>
      <c r="Y455" s="32">
        <v>-2.2659999999999998E-3</v>
      </c>
      <c r="Z455" s="32">
        <v>3.2716000000000002E-2</v>
      </c>
      <c r="AA455" s="32">
        <v>6.9542000000000007E-2</v>
      </c>
      <c r="AB455" s="32">
        <v>3.9373999999999999E-2</v>
      </c>
    </row>
    <row r="456" spans="1:28" ht="15.6" customHeight="1" x14ac:dyDescent="0.25">
      <c r="A456" s="24" t="s">
        <v>1503</v>
      </c>
      <c r="B456" s="50">
        <v>4054</v>
      </c>
      <c r="C456" s="25" t="s">
        <v>1504</v>
      </c>
      <c r="D456" s="25" t="s">
        <v>112</v>
      </c>
      <c r="E456" s="25" t="s">
        <v>194</v>
      </c>
      <c r="F456" s="25" t="s">
        <v>113</v>
      </c>
      <c r="G456" s="26" t="s">
        <v>1109</v>
      </c>
      <c r="H456" s="27" t="s">
        <v>327</v>
      </c>
      <c r="I456" s="24" t="s">
        <v>998</v>
      </c>
      <c r="J456" s="24" t="s">
        <v>121</v>
      </c>
      <c r="K456" s="28" t="s">
        <v>108</v>
      </c>
      <c r="L456" s="29">
        <v>0.03</v>
      </c>
      <c r="M456" s="29">
        <v>1.4999999999999999E-2</v>
      </c>
      <c r="N456" s="29">
        <v>0.02</v>
      </c>
      <c r="O456" s="27" t="s">
        <v>116</v>
      </c>
      <c r="P456" s="30" t="s">
        <v>112</v>
      </c>
      <c r="Q456" s="31">
        <v>2536693.7400000002</v>
      </c>
      <c r="R456" s="31">
        <v>211391.14</v>
      </c>
      <c r="S456" s="32">
        <v>2.6210000000000001E-3</v>
      </c>
      <c r="T456" s="32" t="s">
        <v>139</v>
      </c>
      <c r="U456" s="32">
        <v>8.4999999999999995E-4</v>
      </c>
      <c r="V456" s="32">
        <v>3.7450000000000001E-3</v>
      </c>
      <c r="W456" s="32">
        <v>4.927E-3</v>
      </c>
      <c r="X456" s="32">
        <v>-3.8200000000000002E-4</v>
      </c>
      <c r="Y456" s="32">
        <v>3.88E-4</v>
      </c>
      <c r="Z456" s="32">
        <v>5.5982999999999998E-2</v>
      </c>
      <c r="AA456" s="32">
        <v>0.12764700000000001</v>
      </c>
      <c r="AB456" s="32">
        <v>9.6333000000000002E-2</v>
      </c>
    </row>
    <row r="457" spans="1:28" ht="15.6" customHeight="1" x14ac:dyDescent="0.25">
      <c r="A457" s="24" t="s">
        <v>798</v>
      </c>
      <c r="B457" s="50">
        <v>4055</v>
      </c>
      <c r="C457" s="25" t="s">
        <v>799</v>
      </c>
      <c r="D457" s="25" t="s">
        <v>159</v>
      </c>
      <c r="E457" s="25" t="s">
        <v>194</v>
      </c>
      <c r="F457" s="25" t="s">
        <v>113</v>
      </c>
      <c r="G457" s="26" t="s">
        <v>191</v>
      </c>
      <c r="H457" s="27" t="s">
        <v>309</v>
      </c>
      <c r="I457" s="24" t="s">
        <v>106</v>
      </c>
      <c r="J457" s="24" t="s">
        <v>107</v>
      </c>
      <c r="K457" s="28" t="s">
        <v>227</v>
      </c>
      <c r="L457" s="29">
        <v>0</v>
      </c>
      <c r="M457" s="29">
        <v>0</v>
      </c>
      <c r="N457" s="29">
        <v>0.02</v>
      </c>
      <c r="O457" s="27" t="s">
        <v>161</v>
      </c>
      <c r="P457" s="30" t="s">
        <v>159</v>
      </c>
      <c r="Q457" s="31">
        <v>1807273.71</v>
      </c>
      <c r="R457" s="31">
        <v>0.67</v>
      </c>
      <c r="S457" s="32">
        <v>0</v>
      </c>
      <c r="T457" s="32" t="s">
        <v>139</v>
      </c>
      <c r="U457" s="32">
        <v>0</v>
      </c>
      <c r="V457" s="32">
        <v>0</v>
      </c>
      <c r="W457" s="32">
        <v>0</v>
      </c>
      <c r="X457" s="32">
        <v>0</v>
      </c>
      <c r="Y457" s="32">
        <v>0</v>
      </c>
      <c r="Z457" s="32">
        <v>8.0644999999999994E-2</v>
      </c>
      <c r="AA457" s="32">
        <v>0.13559299999999999</v>
      </c>
      <c r="AB457" s="32">
        <v>9.8361000000000004E-2</v>
      </c>
    </row>
    <row r="458" spans="1:28" ht="15.6" customHeight="1" x14ac:dyDescent="0.25">
      <c r="A458" s="24" t="s">
        <v>1505</v>
      </c>
      <c r="B458" s="50">
        <v>4057</v>
      </c>
      <c r="C458" s="25" t="s">
        <v>1506</v>
      </c>
      <c r="D458" s="25" t="s">
        <v>112</v>
      </c>
      <c r="E458" s="25" t="s">
        <v>194</v>
      </c>
      <c r="F458" s="25" t="s">
        <v>113</v>
      </c>
      <c r="G458" s="26" t="s">
        <v>1109</v>
      </c>
      <c r="H458" s="27" t="s">
        <v>1157</v>
      </c>
      <c r="I458" s="24" t="s">
        <v>998</v>
      </c>
      <c r="J458" s="24" t="s">
        <v>107</v>
      </c>
      <c r="K458" s="28" t="s">
        <v>108</v>
      </c>
      <c r="L458" s="29">
        <v>0.03</v>
      </c>
      <c r="M458" s="29">
        <v>1.4999999999999999E-2</v>
      </c>
      <c r="N458" s="29">
        <v>0.02</v>
      </c>
      <c r="O458" s="27" t="s">
        <v>116</v>
      </c>
      <c r="P458" s="30" t="s">
        <v>112</v>
      </c>
      <c r="Q458" s="31">
        <v>357008606.14999998</v>
      </c>
      <c r="R458" s="31">
        <v>2293.02</v>
      </c>
      <c r="S458" s="32">
        <v>-4.4029999999999998E-3</v>
      </c>
      <c r="T458" s="32" t="s">
        <v>139</v>
      </c>
      <c r="U458" s="32">
        <v>6.3699999999999998E-4</v>
      </c>
      <c r="V458" s="32">
        <v>6.0549999999999996E-3</v>
      </c>
      <c r="W458" s="32">
        <v>4.385E-3</v>
      </c>
      <c r="X458" s="32">
        <v>-1.3370000000000001E-3</v>
      </c>
      <c r="Y458" s="32">
        <v>-9.3449999999999991E-3</v>
      </c>
      <c r="Z458" s="32">
        <v>7.1370000000000003E-2</v>
      </c>
      <c r="AA458" s="32">
        <v>0.16014200000000001</v>
      </c>
      <c r="AB458" s="32">
        <v>0.111439</v>
      </c>
    </row>
    <row r="459" spans="1:28" ht="15.6" customHeight="1" x14ac:dyDescent="0.25">
      <c r="A459" s="24" t="s">
        <v>1507</v>
      </c>
      <c r="B459" s="50">
        <v>4058</v>
      </c>
      <c r="C459" s="25" t="s">
        <v>1508</v>
      </c>
      <c r="D459" s="25" t="s">
        <v>112</v>
      </c>
      <c r="E459" s="25" t="s">
        <v>194</v>
      </c>
      <c r="F459" s="25" t="s">
        <v>113</v>
      </c>
      <c r="G459" s="26" t="s">
        <v>1109</v>
      </c>
      <c r="H459" s="27" t="s">
        <v>1157</v>
      </c>
      <c r="I459" s="24" t="s">
        <v>998</v>
      </c>
      <c r="J459" s="24" t="s">
        <v>121</v>
      </c>
      <c r="K459" s="28" t="s">
        <v>108</v>
      </c>
      <c r="L459" s="29">
        <v>0.03</v>
      </c>
      <c r="M459" s="29">
        <v>1.4999999999999999E-2</v>
      </c>
      <c r="N459" s="29">
        <v>0.02</v>
      </c>
      <c r="O459" s="27" t="s">
        <v>116</v>
      </c>
      <c r="P459" s="30" t="s">
        <v>112</v>
      </c>
      <c r="Q459" s="31">
        <v>3469084731.8000002</v>
      </c>
      <c r="R459" s="31">
        <v>2392.12</v>
      </c>
      <c r="S459" s="32">
        <v>-4.4450000000000002E-3</v>
      </c>
      <c r="T459" s="32" t="s">
        <v>139</v>
      </c>
      <c r="U459" s="32">
        <v>5.4000000000000001E-4</v>
      </c>
      <c r="V459" s="32">
        <v>8.2269999999999999E-3</v>
      </c>
      <c r="W459" s="32">
        <v>6.0390000000000001E-3</v>
      </c>
      <c r="X459" s="32">
        <v>-1.769E-3</v>
      </c>
      <c r="Y459" s="32">
        <v>-1.8199E-2</v>
      </c>
      <c r="Z459" s="32">
        <v>9.7105999999999998E-2</v>
      </c>
      <c r="AA459" s="32">
        <v>0.22111700000000001</v>
      </c>
      <c r="AB459" s="32">
        <v>0.152279</v>
      </c>
    </row>
    <row r="460" spans="1:28" ht="15.6" customHeight="1" x14ac:dyDescent="0.25">
      <c r="A460" s="24" t="s">
        <v>800</v>
      </c>
      <c r="B460" s="50">
        <v>4059</v>
      </c>
      <c r="C460" s="25" t="s">
        <v>801</v>
      </c>
      <c r="D460" s="25" t="s">
        <v>112</v>
      </c>
      <c r="E460" s="25" t="s">
        <v>194</v>
      </c>
      <c r="F460" s="25" t="s">
        <v>128</v>
      </c>
      <c r="G460" s="26" t="s">
        <v>129</v>
      </c>
      <c r="H460" s="27" t="s">
        <v>258</v>
      </c>
      <c r="I460" s="24" t="s">
        <v>106</v>
      </c>
      <c r="J460" s="24" t="s">
        <v>121</v>
      </c>
      <c r="K460" s="28" t="s">
        <v>108</v>
      </c>
      <c r="L460" s="29">
        <v>0.03</v>
      </c>
      <c r="M460" s="29">
        <v>1.4999999999999999E-2</v>
      </c>
      <c r="N460" s="29">
        <v>0.02</v>
      </c>
      <c r="O460" s="27" t="s">
        <v>116</v>
      </c>
      <c r="P460" s="30" t="s">
        <v>112</v>
      </c>
      <c r="Q460" s="31">
        <v>1406667727.8099999</v>
      </c>
      <c r="R460" s="31">
        <v>1200.1400000000001</v>
      </c>
      <c r="S460" s="32">
        <v>1.6982000000000001E-2</v>
      </c>
      <c r="T460" s="32" t="s">
        <v>139</v>
      </c>
      <c r="U460" s="32">
        <v>3.8299999999999999E-4</v>
      </c>
      <c r="V460" s="32">
        <v>2.3050000000000002E-3</v>
      </c>
      <c r="W460" s="32">
        <v>6.6259999999999999E-3</v>
      </c>
      <c r="X460" s="32">
        <v>1.3349E-2</v>
      </c>
      <c r="Y460" s="32">
        <v>2.4850000000000001E-2</v>
      </c>
      <c r="Z460" s="32">
        <v>6.1018999999999997E-2</v>
      </c>
      <c r="AA460" s="32">
        <v>0.113437</v>
      </c>
      <c r="AB460" s="32">
        <v>0.147142</v>
      </c>
    </row>
    <row r="461" spans="1:28" ht="15.6" customHeight="1" x14ac:dyDescent="0.25">
      <c r="A461" s="24" t="s">
        <v>1509</v>
      </c>
      <c r="B461" s="50">
        <v>4060</v>
      </c>
      <c r="C461" s="25" t="s">
        <v>1510</v>
      </c>
      <c r="D461" s="25" t="s">
        <v>112</v>
      </c>
      <c r="E461" s="25" t="s">
        <v>194</v>
      </c>
      <c r="F461" s="25" t="s">
        <v>113</v>
      </c>
      <c r="G461" s="26" t="s">
        <v>114</v>
      </c>
      <c r="H461" s="27" t="s">
        <v>115</v>
      </c>
      <c r="I461" s="24" t="s">
        <v>998</v>
      </c>
      <c r="J461" s="24" t="s">
        <v>107</v>
      </c>
      <c r="K461" s="28" t="s">
        <v>108</v>
      </c>
      <c r="L461" s="29">
        <v>0.03</v>
      </c>
      <c r="M461" s="29">
        <v>1.4999999999999999E-2</v>
      </c>
      <c r="N461" s="29">
        <v>0.02</v>
      </c>
      <c r="O461" s="27" t="s">
        <v>116</v>
      </c>
      <c r="P461" s="30" t="s">
        <v>112</v>
      </c>
      <c r="Q461" s="31">
        <v>4112554763.52</v>
      </c>
      <c r="R461" s="31">
        <v>1923.96</v>
      </c>
      <c r="S461" s="32">
        <v>2.82E-3</v>
      </c>
      <c r="T461" s="32" t="s">
        <v>139</v>
      </c>
      <c r="U461" s="32">
        <v>1.072E-3</v>
      </c>
      <c r="V461" s="32">
        <v>3.9760000000000004E-3</v>
      </c>
      <c r="W461" s="32">
        <v>3.8869999999999998E-3</v>
      </c>
      <c r="X461" s="32">
        <v>2.3900000000000001E-4</v>
      </c>
      <c r="Y461" s="32">
        <v>-6.4400000000000004E-4</v>
      </c>
      <c r="Z461" s="32">
        <v>8.4562999999999999E-2</v>
      </c>
      <c r="AA461" s="32">
        <v>0.18369099999999999</v>
      </c>
      <c r="AB461" s="32">
        <v>0.162352</v>
      </c>
    </row>
    <row r="462" spans="1:28" ht="15.6" customHeight="1" x14ac:dyDescent="0.25">
      <c r="A462" s="24" t="s">
        <v>802</v>
      </c>
      <c r="B462" s="50">
        <v>4061</v>
      </c>
      <c r="C462" s="25" t="s">
        <v>803</v>
      </c>
      <c r="D462" s="25" t="s">
        <v>112</v>
      </c>
      <c r="E462" s="25" t="s">
        <v>194</v>
      </c>
      <c r="F462" s="25" t="s">
        <v>155</v>
      </c>
      <c r="G462" s="26" t="s">
        <v>139</v>
      </c>
      <c r="H462" s="27" t="s">
        <v>588</v>
      </c>
      <c r="I462" s="24" t="s">
        <v>106</v>
      </c>
      <c r="J462" s="24" t="s">
        <v>121</v>
      </c>
      <c r="K462" s="28" t="s">
        <v>108</v>
      </c>
      <c r="L462" s="29">
        <v>0.03</v>
      </c>
      <c r="M462" s="29">
        <v>1.4999999999999999E-2</v>
      </c>
      <c r="N462" s="29">
        <v>0.02</v>
      </c>
      <c r="O462" s="27" t="s">
        <v>116</v>
      </c>
      <c r="P462" s="30" t="s">
        <v>112</v>
      </c>
      <c r="Q462" s="31">
        <v>812580652.91999996</v>
      </c>
      <c r="R462" s="31">
        <v>8503.6200000000008</v>
      </c>
      <c r="S462" s="32">
        <v>-4.2910999999999998E-2</v>
      </c>
      <c r="T462" s="32" t="s">
        <v>139</v>
      </c>
      <c r="U462" s="32">
        <v>-7.8120000000000004E-3</v>
      </c>
      <c r="V462" s="32">
        <v>5.9469000000000001E-2</v>
      </c>
      <c r="W462" s="32">
        <v>2.5798999999999999E-2</v>
      </c>
      <c r="X462" s="32">
        <v>1.4751E-2</v>
      </c>
      <c r="Y462" s="32">
        <v>-0.14068700000000001</v>
      </c>
      <c r="Z462" s="32">
        <v>0.24771399999999999</v>
      </c>
      <c r="AA462" s="32">
        <v>0.48267100000000002</v>
      </c>
      <c r="AB462" s="32">
        <v>0.44330000000000003</v>
      </c>
    </row>
    <row r="463" spans="1:28" ht="15.6" customHeight="1" x14ac:dyDescent="0.25">
      <c r="A463" s="24" t="s">
        <v>804</v>
      </c>
      <c r="B463" s="50">
        <v>4063</v>
      </c>
      <c r="C463" s="25" t="s">
        <v>805</v>
      </c>
      <c r="D463" s="25" t="s">
        <v>112</v>
      </c>
      <c r="E463" s="25" t="s">
        <v>194</v>
      </c>
      <c r="F463" s="25" t="s">
        <v>103</v>
      </c>
      <c r="G463" s="26" t="s">
        <v>356</v>
      </c>
      <c r="H463" s="27" t="s">
        <v>806</v>
      </c>
      <c r="I463" s="24" t="s">
        <v>106</v>
      </c>
      <c r="J463" s="24" t="s">
        <v>107</v>
      </c>
      <c r="K463" s="28" t="s">
        <v>108</v>
      </c>
      <c r="L463" s="29">
        <v>0.03</v>
      </c>
      <c r="M463" s="29">
        <v>1.4999999999999999E-2</v>
      </c>
      <c r="N463" s="29">
        <v>0.02</v>
      </c>
      <c r="O463" s="27" t="s">
        <v>116</v>
      </c>
      <c r="P463" s="30" t="s">
        <v>112</v>
      </c>
      <c r="Q463" s="31">
        <v>6836624158.6700001</v>
      </c>
      <c r="R463" s="31">
        <v>1676.21</v>
      </c>
      <c r="S463" s="32">
        <v>1.6913999999999998E-2</v>
      </c>
      <c r="T463" s="32" t="s">
        <v>139</v>
      </c>
      <c r="U463" s="32">
        <v>2.6899999999999998E-4</v>
      </c>
      <c r="V463" s="32">
        <v>1.9910000000000001E-3</v>
      </c>
      <c r="W463" s="32">
        <v>5.9049999999999997E-3</v>
      </c>
      <c r="X463" s="32">
        <v>1.2565E-2</v>
      </c>
      <c r="Y463" s="32">
        <v>2.4791000000000001E-2</v>
      </c>
      <c r="Z463" s="32">
        <v>5.2042999999999999E-2</v>
      </c>
      <c r="AA463" s="32">
        <v>8.6832000000000006E-2</v>
      </c>
      <c r="AB463" s="32">
        <v>0.131718</v>
      </c>
    </row>
    <row r="464" spans="1:28" ht="15.6" customHeight="1" x14ac:dyDescent="0.25">
      <c r="A464" s="24" t="s">
        <v>1511</v>
      </c>
      <c r="B464" s="50">
        <v>4064</v>
      </c>
      <c r="C464" s="25" t="s">
        <v>1512</v>
      </c>
      <c r="D464" s="25" t="s">
        <v>112</v>
      </c>
      <c r="E464" s="25" t="s">
        <v>194</v>
      </c>
      <c r="F464" s="25" t="s">
        <v>138</v>
      </c>
      <c r="G464" s="26" t="s">
        <v>139</v>
      </c>
      <c r="H464" s="27" t="s">
        <v>195</v>
      </c>
      <c r="I464" s="24" t="s">
        <v>998</v>
      </c>
      <c r="J464" s="24" t="s">
        <v>121</v>
      </c>
      <c r="K464" s="28" t="s">
        <v>227</v>
      </c>
      <c r="L464" s="29">
        <v>0.03</v>
      </c>
      <c r="M464" s="29">
        <v>1.4999999999999999E-2</v>
      </c>
      <c r="N464" s="29">
        <v>0.02</v>
      </c>
      <c r="O464" s="27" t="s">
        <v>116</v>
      </c>
      <c r="P464" s="30" t="s">
        <v>112</v>
      </c>
      <c r="Q464" s="31">
        <v>249908853.05000001</v>
      </c>
      <c r="R464" s="31">
        <v>1778.98</v>
      </c>
      <c r="S464" s="32">
        <v>-3.9118E-2</v>
      </c>
      <c r="T464" s="32" t="s">
        <v>139</v>
      </c>
      <c r="U464" s="32">
        <v>-1.835E-3</v>
      </c>
      <c r="V464" s="32">
        <v>2.6425000000000001E-2</v>
      </c>
      <c r="W464" s="32">
        <v>8.1320000000000003E-3</v>
      </c>
      <c r="X464" s="32">
        <v>-9.6919999999999992E-3</v>
      </c>
      <c r="Y464" s="32">
        <v>-8.6904999999999996E-2</v>
      </c>
      <c r="Z464" s="32">
        <v>0.17128699999999999</v>
      </c>
      <c r="AA464" s="32">
        <v>0.32953500000000002</v>
      </c>
      <c r="AB464" s="32">
        <v>0.23740900000000001</v>
      </c>
    </row>
    <row r="465" spans="1:28" ht="15.6" customHeight="1" x14ac:dyDescent="0.25">
      <c r="A465" s="24" t="s">
        <v>1513</v>
      </c>
      <c r="B465" s="50">
        <v>4065</v>
      </c>
      <c r="C465" s="25" t="s">
        <v>1514</v>
      </c>
      <c r="D465" s="25" t="s">
        <v>112</v>
      </c>
      <c r="E465" s="25" t="s">
        <v>194</v>
      </c>
      <c r="F465" s="25" t="s">
        <v>155</v>
      </c>
      <c r="G465" s="26" t="s">
        <v>139</v>
      </c>
      <c r="H465" s="27" t="s">
        <v>202</v>
      </c>
      <c r="I465" s="24" t="s">
        <v>998</v>
      </c>
      <c r="J465" s="24" t="s">
        <v>121</v>
      </c>
      <c r="K465" s="28" t="s">
        <v>108</v>
      </c>
      <c r="L465" s="29">
        <v>0.03</v>
      </c>
      <c r="M465" s="29">
        <v>1.4999999999999999E-2</v>
      </c>
      <c r="N465" s="29">
        <v>0.02</v>
      </c>
      <c r="O465" s="27" t="s">
        <v>116</v>
      </c>
      <c r="P465" s="30" t="s">
        <v>112</v>
      </c>
      <c r="Q465" s="31">
        <v>626163806.08000004</v>
      </c>
      <c r="R465" s="31">
        <v>5256.05</v>
      </c>
      <c r="S465" s="32">
        <v>-5.4450999999999999E-2</v>
      </c>
      <c r="T465" s="32" t="s">
        <v>139</v>
      </c>
      <c r="U465" s="32">
        <v>-7.7029999999999998E-3</v>
      </c>
      <c r="V465" s="32">
        <v>6.0558000000000001E-2</v>
      </c>
      <c r="W465" s="32">
        <v>2.5753000000000002E-2</v>
      </c>
      <c r="X465" s="32">
        <v>2.7260000000000001E-3</v>
      </c>
      <c r="Y465" s="32">
        <v>-0.143153</v>
      </c>
      <c r="Z465" s="32">
        <v>0.22341800000000001</v>
      </c>
      <c r="AA465" s="32">
        <v>0.43662499999999999</v>
      </c>
      <c r="AB465" s="32">
        <v>0.34926200000000002</v>
      </c>
    </row>
    <row r="466" spans="1:28" ht="15.6" customHeight="1" x14ac:dyDescent="0.25">
      <c r="A466" s="24" t="s">
        <v>1515</v>
      </c>
      <c r="B466" s="50">
        <v>4066</v>
      </c>
      <c r="C466" s="25" t="s">
        <v>1516</v>
      </c>
      <c r="D466" s="25" t="s">
        <v>112</v>
      </c>
      <c r="E466" s="25" t="s">
        <v>194</v>
      </c>
      <c r="F466" s="25" t="s">
        <v>113</v>
      </c>
      <c r="G466" s="26" t="s">
        <v>1257</v>
      </c>
      <c r="H466" s="27" t="s">
        <v>115</v>
      </c>
      <c r="I466" s="24" t="s">
        <v>998</v>
      </c>
      <c r="J466" s="24" t="s">
        <v>121</v>
      </c>
      <c r="K466" s="28" t="s">
        <v>227</v>
      </c>
      <c r="L466" s="29">
        <v>0.03</v>
      </c>
      <c r="M466" s="29">
        <v>1.4999999999999999E-2</v>
      </c>
      <c r="N466" s="29">
        <v>0.02</v>
      </c>
      <c r="O466" s="27" t="s">
        <v>116</v>
      </c>
      <c r="P466" s="30" t="s">
        <v>112</v>
      </c>
      <c r="Q466" s="31">
        <v>655002.84</v>
      </c>
      <c r="R466" s="31">
        <v>1079.08</v>
      </c>
      <c r="S466" s="32">
        <v>1.5624000000000001E-2</v>
      </c>
      <c r="T466" s="32" t="s">
        <v>139</v>
      </c>
      <c r="U466" s="32">
        <v>6.4000000000000005E-4</v>
      </c>
      <c r="V466" s="32">
        <v>2.5639999999999999E-3</v>
      </c>
      <c r="W466" s="32">
        <v>6.3509999999999999E-3</v>
      </c>
      <c r="X466" s="32">
        <v>1.1396999999999999E-2</v>
      </c>
      <c r="Y466" s="32">
        <v>2.0079E-2</v>
      </c>
      <c r="Z466" s="32">
        <v>5.5645E-2</v>
      </c>
      <c r="AA466" s="32">
        <v>0.11054799999999999</v>
      </c>
      <c r="AB466" s="32">
        <v>5.1433E-2</v>
      </c>
    </row>
    <row r="467" spans="1:28" ht="15.6" customHeight="1" x14ac:dyDescent="0.25">
      <c r="A467" s="24" t="s">
        <v>807</v>
      </c>
      <c r="B467" s="50">
        <v>4067</v>
      </c>
      <c r="C467" s="25" t="s">
        <v>808</v>
      </c>
      <c r="D467" s="25" t="s">
        <v>112</v>
      </c>
      <c r="E467" s="25" t="s">
        <v>194</v>
      </c>
      <c r="F467" s="25" t="s">
        <v>128</v>
      </c>
      <c r="G467" s="26" t="s">
        <v>129</v>
      </c>
      <c r="H467" s="27" t="s">
        <v>373</v>
      </c>
      <c r="I467" s="24" t="s">
        <v>106</v>
      </c>
      <c r="J467" s="24" t="s">
        <v>107</v>
      </c>
      <c r="K467" s="28" t="s">
        <v>108</v>
      </c>
      <c r="L467" s="29">
        <v>0.03</v>
      </c>
      <c r="M467" s="29">
        <v>1.4999999999999999E-2</v>
      </c>
      <c r="N467" s="29">
        <v>0.02</v>
      </c>
      <c r="O467" s="27" t="s">
        <v>116</v>
      </c>
      <c r="P467" s="30" t="s">
        <v>112</v>
      </c>
      <c r="Q467" s="31">
        <v>634704.99</v>
      </c>
      <c r="R467" s="31">
        <v>1767.98</v>
      </c>
      <c r="S467" s="32">
        <v>1.414E-2</v>
      </c>
      <c r="T467" s="32" t="s">
        <v>139</v>
      </c>
      <c r="U467" s="32">
        <v>2.9999999999999997E-4</v>
      </c>
      <c r="V467" s="32">
        <v>1.859E-3</v>
      </c>
      <c r="W467" s="32">
        <v>5.6649999999999999E-3</v>
      </c>
      <c r="X467" s="32">
        <v>1.1199000000000001E-2</v>
      </c>
      <c r="Y467" s="32">
        <v>2.0986000000000001E-2</v>
      </c>
      <c r="Z467" s="32">
        <v>4.5758E-2</v>
      </c>
      <c r="AA467" s="32">
        <v>8.0051999999999998E-2</v>
      </c>
      <c r="AB467" s="32">
        <v>0.12618099999999999</v>
      </c>
    </row>
    <row r="468" spans="1:28" ht="15.6" customHeight="1" x14ac:dyDescent="0.25">
      <c r="A468" s="24" t="s">
        <v>1517</v>
      </c>
      <c r="B468" s="50">
        <v>4069</v>
      </c>
      <c r="C468" s="25" t="s">
        <v>1518</v>
      </c>
      <c r="D468" s="25" t="s">
        <v>112</v>
      </c>
      <c r="E468" s="25" t="s">
        <v>194</v>
      </c>
      <c r="F468" s="25" t="s">
        <v>113</v>
      </c>
      <c r="G468" s="26" t="s">
        <v>1257</v>
      </c>
      <c r="H468" s="27" t="s">
        <v>1519</v>
      </c>
      <c r="I468" s="24" t="s">
        <v>998</v>
      </c>
      <c r="J468" s="24" t="s">
        <v>107</v>
      </c>
      <c r="K468" s="28" t="s">
        <v>108</v>
      </c>
      <c r="L468" s="29">
        <v>0.03</v>
      </c>
      <c r="M468" s="29">
        <v>1.4999999999999999E-2</v>
      </c>
      <c r="N468" s="29">
        <v>0.02</v>
      </c>
      <c r="O468" s="27" t="s">
        <v>116</v>
      </c>
      <c r="P468" s="30" t="s">
        <v>112</v>
      </c>
      <c r="Q468" s="31">
        <v>124672869.66</v>
      </c>
      <c r="R468" s="31">
        <v>2023.74</v>
      </c>
      <c r="S468" s="32">
        <v>1.2482999999999999E-2</v>
      </c>
      <c r="T468" s="32" t="s">
        <v>139</v>
      </c>
      <c r="U468" s="32">
        <v>6.2299999999999996E-4</v>
      </c>
      <c r="V468" s="32">
        <v>8.9189999999999998E-3</v>
      </c>
      <c r="W468" s="32">
        <v>9.1299999999999992E-3</v>
      </c>
      <c r="X468" s="32">
        <v>1.519E-2</v>
      </c>
      <c r="Y468" s="32">
        <v>1.6514999999999998E-2</v>
      </c>
      <c r="Z468" s="32">
        <v>0.116288</v>
      </c>
      <c r="AA468" s="32">
        <v>0.21045</v>
      </c>
      <c r="AB468" s="32">
        <v>0.21454000000000001</v>
      </c>
    </row>
    <row r="469" spans="1:28" ht="15.6" customHeight="1" x14ac:dyDescent="0.25">
      <c r="A469" s="24" t="s">
        <v>1520</v>
      </c>
      <c r="B469" s="50">
        <v>4070</v>
      </c>
      <c r="C469" s="25" t="s">
        <v>1521</v>
      </c>
      <c r="D469" s="25" t="s">
        <v>112</v>
      </c>
      <c r="E469" s="25" t="s">
        <v>194</v>
      </c>
      <c r="F469" s="25" t="s">
        <v>138</v>
      </c>
      <c r="G469" s="26" t="s">
        <v>139</v>
      </c>
      <c r="H469" s="27" t="s">
        <v>195</v>
      </c>
      <c r="I469" s="24" t="s">
        <v>998</v>
      </c>
      <c r="J469" s="24" t="s">
        <v>121</v>
      </c>
      <c r="K469" s="28" t="s">
        <v>227</v>
      </c>
      <c r="L469" s="29">
        <v>0.03</v>
      </c>
      <c r="M469" s="29">
        <v>1.4999999999999999E-2</v>
      </c>
      <c r="N469" s="29">
        <v>0.02</v>
      </c>
      <c r="O469" s="27" t="s">
        <v>116</v>
      </c>
      <c r="P469" s="30" t="s">
        <v>112</v>
      </c>
      <c r="Q469" s="31">
        <v>1231932.25</v>
      </c>
      <c r="R469" s="31">
        <v>2933.17</v>
      </c>
      <c r="S469" s="32">
        <v>-4.5300000000000001E-4</v>
      </c>
      <c r="T469" s="32" t="s">
        <v>139</v>
      </c>
      <c r="U469" s="32">
        <v>-4.352E-3</v>
      </c>
      <c r="V469" s="32">
        <v>3.2868000000000001E-2</v>
      </c>
      <c r="W469" s="32">
        <v>1.3805E-2</v>
      </c>
      <c r="X469" s="32">
        <v>2.1953E-2</v>
      </c>
      <c r="Y469" s="32">
        <v>-5.5410000000000001E-2</v>
      </c>
      <c r="Z469" s="32">
        <v>0.220329</v>
      </c>
      <c r="AA469" s="32">
        <v>0.37693900000000002</v>
      </c>
      <c r="AB469" s="32">
        <v>0.36932799999999999</v>
      </c>
    </row>
    <row r="470" spans="1:28" ht="15.6" customHeight="1" x14ac:dyDescent="0.25">
      <c r="A470" s="24" t="s">
        <v>1522</v>
      </c>
      <c r="B470" s="50">
        <v>4071</v>
      </c>
      <c r="C470" s="25" t="s">
        <v>1523</v>
      </c>
      <c r="D470" s="25" t="s">
        <v>821</v>
      </c>
      <c r="E470" s="25" t="s">
        <v>194</v>
      </c>
      <c r="F470" s="25" t="s">
        <v>155</v>
      </c>
      <c r="G470" s="26" t="s">
        <v>139</v>
      </c>
      <c r="H470" s="27" t="s">
        <v>156</v>
      </c>
      <c r="I470" s="24" t="s">
        <v>998</v>
      </c>
      <c r="J470" s="24" t="s">
        <v>107</v>
      </c>
      <c r="K470" s="28" t="s">
        <v>180</v>
      </c>
      <c r="L470" s="29">
        <v>0.03</v>
      </c>
      <c r="M470" s="29">
        <v>0.03</v>
      </c>
      <c r="N470" s="29">
        <v>0.02</v>
      </c>
      <c r="O470" s="27" t="s">
        <v>148</v>
      </c>
      <c r="P470" s="30" t="s">
        <v>821</v>
      </c>
      <c r="Q470" s="31">
        <v>8883241664.3199997</v>
      </c>
      <c r="R470" s="31">
        <v>114797.26</v>
      </c>
      <c r="S470" s="32">
        <v>-1.3891000000000001E-2</v>
      </c>
      <c r="T470" s="32" t="s">
        <v>139</v>
      </c>
      <c r="U470" s="32">
        <v>-5.8370000000000002E-3</v>
      </c>
      <c r="V470" s="32">
        <v>2.2034000000000002E-2</v>
      </c>
      <c r="W470" s="32">
        <v>1.3091E-2</v>
      </c>
      <c r="X470" s="32">
        <v>8.1639999999999994E-3</v>
      </c>
      <c r="Y470" s="32">
        <v>-0.124347</v>
      </c>
      <c r="Z470" s="32">
        <v>0.23835000000000001</v>
      </c>
      <c r="AA470" s="32">
        <v>0.377135</v>
      </c>
      <c r="AB470" s="32">
        <v>0.29157100000000002</v>
      </c>
    </row>
    <row r="471" spans="1:28" ht="15.6" customHeight="1" x14ac:dyDescent="0.25">
      <c r="A471" s="24" t="s">
        <v>1524</v>
      </c>
      <c r="B471" s="50">
        <v>4072</v>
      </c>
      <c r="C471" s="25" t="s">
        <v>1525</v>
      </c>
      <c r="D471" s="25" t="s">
        <v>821</v>
      </c>
      <c r="E471" s="25" t="s">
        <v>194</v>
      </c>
      <c r="F471" s="25" t="s">
        <v>155</v>
      </c>
      <c r="G471" s="26" t="s">
        <v>139</v>
      </c>
      <c r="H471" s="27" t="s">
        <v>156</v>
      </c>
      <c r="I471" s="24" t="s">
        <v>998</v>
      </c>
      <c r="J471" s="24" t="s">
        <v>107</v>
      </c>
      <c r="K471" s="28" t="s">
        <v>108</v>
      </c>
      <c r="L471" s="29">
        <v>0.03</v>
      </c>
      <c r="M471" s="29">
        <v>0.03</v>
      </c>
      <c r="N471" s="29">
        <v>0.02</v>
      </c>
      <c r="O471" s="27" t="s">
        <v>148</v>
      </c>
      <c r="P471" s="30" t="s">
        <v>821</v>
      </c>
      <c r="Q471" s="31">
        <v>130787628.34999999</v>
      </c>
      <c r="R471" s="31">
        <v>269.58</v>
      </c>
      <c r="S471" s="32">
        <v>-2.5309000000000002E-2</v>
      </c>
      <c r="T471" s="32" t="s">
        <v>139</v>
      </c>
      <c r="U471" s="32">
        <v>-6.8890000000000002E-3</v>
      </c>
      <c r="V471" s="32">
        <v>5.0543999999999999E-2</v>
      </c>
      <c r="W471" s="32">
        <v>1.5252999999999999E-2</v>
      </c>
      <c r="X471" s="32">
        <v>1.487E-2</v>
      </c>
      <c r="Y471" s="32">
        <v>-0.12664</v>
      </c>
      <c r="Z471" s="32">
        <v>0.34985699999999997</v>
      </c>
      <c r="AA471" s="32">
        <v>0.58102200000000004</v>
      </c>
      <c r="AB471" s="32">
        <v>0.48725600000000002</v>
      </c>
    </row>
    <row r="472" spans="1:28" ht="15.6" customHeight="1" x14ac:dyDescent="0.25">
      <c r="A472" s="24" t="s">
        <v>1526</v>
      </c>
      <c r="B472" s="50">
        <v>4073</v>
      </c>
      <c r="C472" s="25" t="s">
        <v>1527</v>
      </c>
      <c r="D472" s="25" t="s">
        <v>821</v>
      </c>
      <c r="E472" s="25" t="s">
        <v>194</v>
      </c>
      <c r="F472" s="25" t="s">
        <v>155</v>
      </c>
      <c r="G472" s="26" t="s">
        <v>139</v>
      </c>
      <c r="H472" s="27" t="s">
        <v>156</v>
      </c>
      <c r="I472" s="24" t="s">
        <v>998</v>
      </c>
      <c r="J472" s="24" t="s">
        <v>107</v>
      </c>
      <c r="K472" s="28" t="s">
        <v>180</v>
      </c>
      <c r="L472" s="29">
        <v>0.03</v>
      </c>
      <c r="M472" s="29">
        <v>0.03</v>
      </c>
      <c r="N472" s="29">
        <v>0.02</v>
      </c>
      <c r="O472" s="27" t="s">
        <v>148</v>
      </c>
      <c r="P472" s="30" t="s">
        <v>821</v>
      </c>
      <c r="Q472" s="31">
        <v>1557612147.47</v>
      </c>
      <c r="R472" s="31">
        <v>321687.76</v>
      </c>
      <c r="S472" s="32">
        <v>2.4965999999999999E-2</v>
      </c>
      <c r="T472" s="32" t="s">
        <v>139</v>
      </c>
      <c r="U472" s="32">
        <v>1.578E-3</v>
      </c>
      <c r="V472" s="32">
        <v>2.1982000000000002E-2</v>
      </c>
      <c r="W472" s="32">
        <v>-9.4039999999999992E-3</v>
      </c>
      <c r="X472" s="32">
        <v>1.1527000000000001E-2</v>
      </c>
      <c r="Y472" s="32">
        <v>-7.6164999999999997E-2</v>
      </c>
      <c r="Z472" s="32">
        <v>0.34369300000000003</v>
      </c>
      <c r="AA472" s="32">
        <v>0.45723900000000001</v>
      </c>
      <c r="AB472" s="32">
        <v>0.45751799999999998</v>
      </c>
    </row>
    <row r="473" spans="1:28" ht="15.6" customHeight="1" x14ac:dyDescent="0.25">
      <c r="A473" s="24" t="s">
        <v>1528</v>
      </c>
      <c r="B473" s="50">
        <v>4074</v>
      </c>
      <c r="C473" s="25" t="s">
        <v>1529</v>
      </c>
      <c r="D473" s="25" t="s">
        <v>821</v>
      </c>
      <c r="E473" s="25" t="s">
        <v>194</v>
      </c>
      <c r="F473" s="25" t="s">
        <v>113</v>
      </c>
      <c r="G473" s="26" t="s">
        <v>1530</v>
      </c>
      <c r="H473" s="27" t="s">
        <v>732</v>
      </c>
      <c r="I473" s="24" t="s">
        <v>998</v>
      </c>
      <c r="J473" s="24" t="s">
        <v>107</v>
      </c>
      <c r="K473" s="28" t="s">
        <v>180</v>
      </c>
      <c r="L473" s="29">
        <v>0.03</v>
      </c>
      <c r="M473" s="29">
        <v>0.03</v>
      </c>
      <c r="N473" s="29">
        <v>0.02</v>
      </c>
      <c r="O473" s="27" t="s">
        <v>148</v>
      </c>
      <c r="P473" s="30" t="s">
        <v>821</v>
      </c>
      <c r="Q473" s="31">
        <v>9957180840.3999996</v>
      </c>
      <c r="R473" s="31">
        <v>394781.57</v>
      </c>
      <c r="S473" s="32">
        <v>-6.8919999999999997E-3</v>
      </c>
      <c r="T473" s="32" t="s">
        <v>139</v>
      </c>
      <c r="U473" s="32">
        <v>1.073E-3</v>
      </c>
      <c r="V473" s="32">
        <v>5.5729999999999998E-3</v>
      </c>
      <c r="W473" s="32">
        <v>3.4450000000000001E-3</v>
      </c>
      <c r="X473" s="32">
        <v>-6.2680000000000001E-3</v>
      </c>
      <c r="Y473" s="32">
        <v>-1.5348000000000001E-2</v>
      </c>
      <c r="Z473" s="32">
        <v>8.6692000000000005E-2</v>
      </c>
      <c r="AA473" s="32">
        <v>0.210092</v>
      </c>
      <c r="AB473" s="32">
        <v>0.13253000000000001</v>
      </c>
    </row>
    <row r="474" spans="1:28" ht="15.6" customHeight="1" x14ac:dyDescent="0.25">
      <c r="A474" s="24" t="s">
        <v>1531</v>
      </c>
      <c r="B474" s="50">
        <v>4075</v>
      </c>
      <c r="C474" s="25" t="s">
        <v>1532</v>
      </c>
      <c r="D474" s="25" t="s">
        <v>112</v>
      </c>
      <c r="E474" s="25" t="s">
        <v>194</v>
      </c>
      <c r="F474" s="25" t="s">
        <v>155</v>
      </c>
      <c r="G474" s="26" t="s">
        <v>139</v>
      </c>
      <c r="H474" s="27" t="s">
        <v>156</v>
      </c>
      <c r="I474" s="24" t="s">
        <v>998</v>
      </c>
      <c r="J474" s="24" t="s">
        <v>121</v>
      </c>
      <c r="K474" s="28" t="s">
        <v>108</v>
      </c>
      <c r="L474" s="29">
        <v>0.03</v>
      </c>
      <c r="M474" s="29">
        <v>1.4999999999999999E-2</v>
      </c>
      <c r="N474" s="29">
        <v>0.02</v>
      </c>
      <c r="O474" s="27" t="s">
        <v>116</v>
      </c>
      <c r="P474" s="30" t="s">
        <v>112</v>
      </c>
      <c r="Q474" s="31">
        <v>800896543.58000004</v>
      </c>
      <c r="R474" s="31">
        <v>3015.88</v>
      </c>
      <c r="S474" s="32">
        <v>-5.1121E-2</v>
      </c>
      <c r="T474" s="32" t="s">
        <v>139</v>
      </c>
      <c r="U474" s="32">
        <v>-8.2900000000000005E-3</v>
      </c>
      <c r="V474" s="32">
        <v>6.1282999999999997E-2</v>
      </c>
      <c r="W474" s="32">
        <v>2.0764999999999999E-2</v>
      </c>
      <c r="X474" s="32">
        <v>4.744E-3</v>
      </c>
      <c r="Y474" s="32">
        <v>-0.13433100000000001</v>
      </c>
      <c r="Z474" s="32">
        <v>0.25906699999999999</v>
      </c>
      <c r="AA474" s="32">
        <v>0.49448199999999998</v>
      </c>
      <c r="AB474" s="32">
        <v>0.47706199999999999</v>
      </c>
    </row>
    <row r="475" spans="1:28" ht="15.6" customHeight="1" x14ac:dyDescent="0.25">
      <c r="A475" s="24" t="s">
        <v>809</v>
      </c>
      <c r="B475" s="50">
        <v>4076</v>
      </c>
      <c r="C475" s="25" t="s">
        <v>810</v>
      </c>
      <c r="D475" s="25" t="s">
        <v>112</v>
      </c>
      <c r="E475" s="25" t="s">
        <v>194</v>
      </c>
      <c r="F475" s="25" t="s">
        <v>128</v>
      </c>
      <c r="G475" s="26" t="s">
        <v>250</v>
      </c>
      <c r="H475" s="27" t="s">
        <v>512</v>
      </c>
      <c r="I475" s="24" t="s">
        <v>106</v>
      </c>
      <c r="J475" s="24" t="s">
        <v>107</v>
      </c>
      <c r="K475" s="28" t="s">
        <v>108</v>
      </c>
      <c r="L475" s="29">
        <v>0.03</v>
      </c>
      <c r="M475" s="29">
        <v>1.4999999999999999E-2</v>
      </c>
      <c r="N475" s="29">
        <v>0.02</v>
      </c>
      <c r="O475" s="27" t="s">
        <v>116</v>
      </c>
      <c r="P475" s="30" t="s">
        <v>112</v>
      </c>
      <c r="Q475" s="31">
        <v>4467749423.29</v>
      </c>
      <c r="R475" s="31">
        <v>1684.77</v>
      </c>
      <c r="S475" s="32">
        <v>1.9848999999999999E-2</v>
      </c>
      <c r="T475" s="32" t="s">
        <v>139</v>
      </c>
      <c r="U475" s="32">
        <v>3.9800000000000002E-4</v>
      </c>
      <c r="V475" s="32">
        <v>2.4870000000000001E-3</v>
      </c>
      <c r="W475" s="32">
        <v>7.1320000000000003E-3</v>
      </c>
      <c r="X475" s="32">
        <v>1.4841999999999999E-2</v>
      </c>
      <c r="Y475" s="32">
        <v>2.9149999999999999E-2</v>
      </c>
      <c r="Z475" s="32">
        <v>6.6019999999999995E-2</v>
      </c>
      <c r="AA475" s="32">
        <v>0.109372</v>
      </c>
      <c r="AB475" s="32">
        <v>0.15412600000000001</v>
      </c>
    </row>
    <row r="476" spans="1:28" ht="15.6" customHeight="1" x14ac:dyDescent="0.25">
      <c r="A476" s="24" t="s">
        <v>811</v>
      </c>
      <c r="B476" s="50">
        <v>4077</v>
      </c>
      <c r="C476" s="25" t="s">
        <v>812</v>
      </c>
      <c r="D476" s="25" t="s">
        <v>112</v>
      </c>
      <c r="E476" s="25" t="s">
        <v>194</v>
      </c>
      <c r="F476" s="25" t="s">
        <v>103</v>
      </c>
      <c r="G476" s="26" t="s">
        <v>104</v>
      </c>
      <c r="H476" s="27" t="s">
        <v>813</v>
      </c>
      <c r="I476" s="24" t="s">
        <v>106</v>
      </c>
      <c r="J476" s="24" t="s">
        <v>121</v>
      </c>
      <c r="K476" s="28" t="s">
        <v>108</v>
      </c>
      <c r="L476" s="29">
        <v>0.03</v>
      </c>
      <c r="M476" s="29">
        <v>1.4999999999999999E-2</v>
      </c>
      <c r="N476" s="29">
        <v>0.02</v>
      </c>
      <c r="O476" s="27" t="s">
        <v>116</v>
      </c>
      <c r="P476" s="30" t="s">
        <v>112</v>
      </c>
      <c r="Q476" s="31">
        <v>2882591415.7199998</v>
      </c>
      <c r="R476" s="31">
        <v>3436.69</v>
      </c>
      <c r="S476" s="32">
        <v>1.5955E-2</v>
      </c>
      <c r="T476" s="32" t="s">
        <v>139</v>
      </c>
      <c r="U476" s="32">
        <v>2.7700000000000001E-4</v>
      </c>
      <c r="V476" s="32">
        <v>1.933E-3</v>
      </c>
      <c r="W476" s="32">
        <v>5.8859999999999997E-3</v>
      </c>
      <c r="X476" s="32">
        <v>1.1815000000000001E-2</v>
      </c>
      <c r="Y476" s="32">
        <v>2.2949000000000001E-2</v>
      </c>
      <c r="Z476" s="32">
        <v>4.9047E-2</v>
      </c>
      <c r="AA476" s="32">
        <v>8.1148999999999999E-2</v>
      </c>
      <c r="AB476" s="32">
        <v>0.121405</v>
      </c>
    </row>
    <row r="477" spans="1:28" ht="15.6" customHeight="1" x14ac:dyDescent="0.25">
      <c r="A477" s="24" t="s">
        <v>1533</v>
      </c>
      <c r="B477" s="50">
        <v>4078</v>
      </c>
      <c r="C477" s="25" t="s">
        <v>1534</v>
      </c>
      <c r="D477" s="25" t="s">
        <v>112</v>
      </c>
      <c r="E477" s="25" t="s">
        <v>194</v>
      </c>
      <c r="F477" s="25" t="s">
        <v>113</v>
      </c>
      <c r="G477" s="26" t="s">
        <v>1535</v>
      </c>
      <c r="H477" s="27" t="s">
        <v>115</v>
      </c>
      <c r="I477" s="24" t="s">
        <v>998</v>
      </c>
      <c r="J477" s="24" t="s">
        <v>121</v>
      </c>
      <c r="K477" s="28" t="s">
        <v>108</v>
      </c>
      <c r="L477" s="29">
        <v>0.03</v>
      </c>
      <c r="M477" s="29">
        <v>1.4999999999999999E-2</v>
      </c>
      <c r="N477" s="29">
        <v>0.02</v>
      </c>
      <c r="O477" s="27" t="s">
        <v>116</v>
      </c>
      <c r="P477" s="30" t="s">
        <v>112</v>
      </c>
      <c r="Q477" s="31">
        <v>865320721.12</v>
      </c>
      <c r="R477" s="31">
        <v>2069.71</v>
      </c>
      <c r="S477" s="32">
        <v>-4.875E-3</v>
      </c>
      <c r="T477" s="32" t="s">
        <v>139</v>
      </c>
      <c r="U477" s="32">
        <v>4.8299999999999998E-4</v>
      </c>
      <c r="V477" s="32">
        <v>8.0750000000000006E-3</v>
      </c>
      <c r="W477" s="32">
        <v>4.9480000000000001E-3</v>
      </c>
      <c r="X477" s="32">
        <v>-1.6739999999999999E-3</v>
      </c>
      <c r="Y477" s="32">
        <v>-1.5755000000000002E-2</v>
      </c>
      <c r="Z477" s="32">
        <v>0.107294</v>
      </c>
      <c r="AA477" s="32">
        <v>0.22653799999999999</v>
      </c>
      <c r="AB477" s="32">
        <v>0.14658399999999999</v>
      </c>
    </row>
    <row r="478" spans="1:28" ht="15.6" customHeight="1" x14ac:dyDescent="0.25">
      <c r="A478" s="24" t="s">
        <v>814</v>
      </c>
      <c r="B478" s="50">
        <v>4079</v>
      </c>
      <c r="C478" s="25" t="s">
        <v>815</v>
      </c>
      <c r="D478" s="25" t="s">
        <v>112</v>
      </c>
      <c r="E478" s="25" t="s">
        <v>194</v>
      </c>
      <c r="F478" s="25" t="s">
        <v>138</v>
      </c>
      <c r="G478" s="26" t="s">
        <v>139</v>
      </c>
      <c r="H478" s="27" t="s">
        <v>816</v>
      </c>
      <c r="I478" s="24" t="s">
        <v>106</v>
      </c>
      <c r="J478" s="24" t="s">
        <v>107</v>
      </c>
      <c r="K478" s="28" t="s">
        <v>108</v>
      </c>
      <c r="L478" s="29">
        <v>0</v>
      </c>
      <c r="M478" s="29">
        <v>0</v>
      </c>
      <c r="N478" s="29">
        <v>0.02</v>
      </c>
      <c r="O478" s="27" t="s">
        <v>116</v>
      </c>
      <c r="P478" s="30" t="s">
        <v>112</v>
      </c>
      <c r="Q478" s="31">
        <v>1437884.9</v>
      </c>
      <c r="R478" s="31">
        <v>1943.08</v>
      </c>
      <c r="S478" s="32">
        <v>3.5739999999999999E-3</v>
      </c>
      <c r="T478" s="32" t="s">
        <v>139</v>
      </c>
      <c r="U478" s="32">
        <v>-2.3410000000000002E-3</v>
      </c>
      <c r="V478" s="32">
        <v>3.1288000000000003E-2</v>
      </c>
      <c r="W478" s="32">
        <v>2.0204E-2</v>
      </c>
      <c r="X478" s="32">
        <v>9.0880000000000006E-3</v>
      </c>
      <c r="Y478" s="32">
        <v>-1.0107E-2</v>
      </c>
      <c r="Z478" s="32">
        <v>8.4012000000000003E-2</v>
      </c>
      <c r="AA478" s="32">
        <v>0.140874</v>
      </c>
      <c r="AB478" s="32">
        <v>0.145596</v>
      </c>
    </row>
    <row r="479" spans="1:28" ht="15.6" customHeight="1" x14ac:dyDescent="0.25">
      <c r="A479" s="24" t="s">
        <v>1536</v>
      </c>
      <c r="B479" s="50">
        <v>4081</v>
      </c>
      <c r="C479" s="25" t="s">
        <v>1537</v>
      </c>
      <c r="D479" s="25" t="s">
        <v>159</v>
      </c>
      <c r="E479" s="25" t="s">
        <v>194</v>
      </c>
      <c r="F479" s="25" t="s">
        <v>155</v>
      </c>
      <c r="G479" s="26" t="s">
        <v>139</v>
      </c>
      <c r="H479" s="27" t="s">
        <v>156</v>
      </c>
      <c r="I479" s="24" t="s">
        <v>998</v>
      </c>
      <c r="J479" s="24" t="s">
        <v>107</v>
      </c>
      <c r="K479" s="28" t="s">
        <v>108</v>
      </c>
      <c r="L479" s="29">
        <v>2E-3</v>
      </c>
      <c r="M479" s="29">
        <v>1E-3</v>
      </c>
      <c r="N479" s="29">
        <v>0.02</v>
      </c>
      <c r="O479" s="27" t="s">
        <v>161</v>
      </c>
      <c r="P479" s="30" t="s">
        <v>159</v>
      </c>
      <c r="Q479" s="31">
        <v>66869442.009999998</v>
      </c>
      <c r="R479" s="31">
        <v>321.83</v>
      </c>
      <c r="S479" s="32">
        <v>-1.9498999999999999E-2</v>
      </c>
      <c r="T479" s="32" t="s">
        <v>139</v>
      </c>
      <c r="U479" s="32">
        <v>-7.9830000000000005E-3</v>
      </c>
      <c r="V479" s="32">
        <v>4.1621999999999999E-2</v>
      </c>
      <c r="W479" s="32">
        <v>-8.5640000000000004E-3</v>
      </c>
      <c r="X479" s="32">
        <v>1.1027E-2</v>
      </c>
      <c r="Y479" s="32">
        <v>-0.130354</v>
      </c>
      <c r="Z479" s="32">
        <v>0.29114200000000001</v>
      </c>
      <c r="AA479" s="32">
        <v>0.513853</v>
      </c>
      <c r="AB479" s="32">
        <v>0.44059999999999999</v>
      </c>
    </row>
    <row r="480" spans="1:28" ht="15.6" customHeight="1" x14ac:dyDescent="0.25">
      <c r="A480" s="24" t="s">
        <v>1538</v>
      </c>
      <c r="B480" s="50">
        <v>4082</v>
      </c>
      <c r="C480" s="25" t="s">
        <v>1539</v>
      </c>
      <c r="D480" s="25" t="s">
        <v>159</v>
      </c>
      <c r="E480" s="25" t="s">
        <v>194</v>
      </c>
      <c r="F480" s="25" t="s">
        <v>155</v>
      </c>
      <c r="G480" s="26" t="s">
        <v>139</v>
      </c>
      <c r="H480" s="27" t="s">
        <v>156</v>
      </c>
      <c r="I480" s="24" t="s">
        <v>998</v>
      </c>
      <c r="J480" s="24" t="s">
        <v>107</v>
      </c>
      <c r="K480" s="28" t="s">
        <v>108</v>
      </c>
      <c r="L480" s="29">
        <v>5.0000000000000001E-3</v>
      </c>
      <c r="M480" s="29">
        <v>5.0000000000000001E-3</v>
      </c>
      <c r="N480" s="29">
        <v>0.02</v>
      </c>
      <c r="O480" s="27" t="s">
        <v>161</v>
      </c>
      <c r="P480" s="30" t="s">
        <v>159</v>
      </c>
      <c r="Q480" s="31">
        <v>705928358.09000003</v>
      </c>
      <c r="R480" s="31">
        <v>4937.63</v>
      </c>
      <c r="S480" s="32">
        <v>4.1569000000000002E-2</v>
      </c>
      <c r="T480" s="32" t="s">
        <v>139</v>
      </c>
      <c r="U480" s="32">
        <v>-8.3289999999999996E-3</v>
      </c>
      <c r="V480" s="32">
        <v>5.3913999999999997E-2</v>
      </c>
      <c r="W480" s="32">
        <v>-4.104E-3</v>
      </c>
      <c r="X480" s="32">
        <v>5.6193E-2</v>
      </c>
      <c r="Y480" s="32">
        <v>-5.6356999999999997E-2</v>
      </c>
      <c r="Z480" s="32">
        <v>0.48336000000000001</v>
      </c>
      <c r="AA480" s="32">
        <v>0.78880799999999995</v>
      </c>
      <c r="AB480" s="32">
        <v>0.69345699999999999</v>
      </c>
    </row>
    <row r="481" spans="1:28" ht="15.6" customHeight="1" x14ac:dyDescent="0.25">
      <c r="A481" s="24" t="s">
        <v>1540</v>
      </c>
      <c r="B481" s="50">
        <v>4084</v>
      </c>
      <c r="C481" s="25" t="s">
        <v>1541</v>
      </c>
      <c r="D481" s="25" t="s">
        <v>112</v>
      </c>
      <c r="E481" s="25" t="s">
        <v>194</v>
      </c>
      <c r="F481" s="25" t="s">
        <v>138</v>
      </c>
      <c r="G481" s="26" t="s">
        <v>139</v>
      </c>
      <c r="H481" s="27" t="s">
        <v>1232</v>
      </c>
      <c r="I481" s="24" t="s">
        <v>998</v>
      </c>
      <c r="J481" s="24" t="s">
        <v>107</v>
      </c>
      <c r="K481" s="28" t="s">
        <v>108</v>
      </c>
      <c r="L481" s="29">
        <v>0.03</v>
      </c>
      <c r="M481" s="29">
        <v>1.4999999999999999E-2</v>
      </c>
      <c r="N481" s="29">
        <v>0.02</v>
      </c>
      <c r="O481" s="27" t="s">
        <v>116</v>
      </c>
      <c r="P481" s="30" t="s">
        <v>112</v>
      </c>
      <c r="Q481" s="31">
        <v>1498938.49</v>
      </c>
      <c r="R481" s="31">
        <v>2141.34</v>
      </c>
      <c r="S481" s="32">
        <v>1.1087E-2</v>
      </c>
      <c r="T481" s="32" t="s">
        <v>139</v>
      </c>
      <c r="U481" s="32">
        <v>-1.036E-3</v>
      </c>
      <c r="V481" s="32">
        <v>1.1779E-2</v>
      </c>
      <c r="W481" s="32">
        <v>1.0681E-2</v>
      </c>
      <c r="X481" s="32">
        <v>1.4329E-2</v>
      </c>
      <c r="Y481" s="32">
        <v>-4.5050000000000003E-3</v>
      </c>
      <c r="Z481" s="32">
        <v>0.129691</v>
      </c>
      <c r="AA481" s="32">
        <v>0.21693299999999999</v>
      </c>
      <c r="AB481" s="32">
        <v>0.20549200000000001</v>
      </c>
    </row>
    <row r="482" spans="1:28" ht="15.6" customHeight="1" x14ac:dyDescent="0.25">
      <c r="A482" s="24" t="s">
        <v>1542</v>
      </c>
      <c r="B482" s="50">
        <v>4085</v>
      </c>
      <c r="C482" s="25" t="s">
        <v>1543</v>
      </c>
      <c r="D482" s="25" t="s">
        <v>112</v>
      </c>
      <c r="E482" s="25" t="s">
        <v>194</v>
      </c>
      <c r="F482" s="25" t="s">
        <v>113</v>
      </c>
      <c r="G482" s="26" t="s">
        <v>1257</v>
      </c>
      <c r="H482" s="27" t="s">
        <v>1519</v>
      </c>
      <c r="I482" s="24" t="s">
        <v>998</v>
      </c>
      <c r="J482" s="24" t="s">
        <v>107</v>
      </c>
      <c r="K482" s="28" t="s">
        <v>108</v>
      </c>
      <c r="L482" s="29">
        <v>0.03</v>
      </c>
      <c r="M482" s="29">
        <v>1.4999999999999999E-2</v>
      </c>
      <c r="N482" s="29">
        <v>0.02</v>
      </c>
      <c r="O482" s="27" t="s">
        <v>116</v>
      </c>
      <c r="P482" s="30" t="s">
        <v>112</v>
      </c>
      <c r="Q482" s="31">
        <v>458639510.24000001</v>
      </c>
      <c r="R482" s="31">
        <v>1852.9</v>
      </c>
      <c r="S482" s="32">
        <v>-4.2099999999999999E-4</v>
      </c>
      <c r="T482" s="32" t="s">
        <v>139</v>
      </c>
      <c r="U482" s="32">
        <v>9.3499999999999996E-4</v>
      </c>
      <c r="V482" s="32">
        <v>7.1370000000000001E-3</v>
      </c>
      <c r="W482" s="32">
        <v>5.7809999999999997E-3</v>
      </c>
      <c r="X482" s="32">
        <v>1.1620000000000001E-3</v>
      </c>
      <c r="Y482" s="32">
        <v>-8.7889999999999999E-3</v>
      </c>
      <c r="Z482" s="32">
        <v>9.6467999999999998E-2</v>
      </c>
      <c r="AA482" s="32">
        <v>0.19921800000000001</v>
      </c>
      <c r="AB482" s="32">
        <v>0.14866499999999999</v>
      </c>
    </row>
    <row r="483" spans="1:28" ht="15.6" customHeight="1" x14ac:dyDescent="0.25">
      <c r="A483" s="24" t="s">
        <v>1544</v>
      </c>
      <c r="B483" s="50">
        <v>4094</v>
      </c>
      <c r="C483" s="25" t="s">
        <v>1545</v>
      </c>
      <c r="D483" s="25" t="s">
        <v>821</v>
      </c>
      <c r="E483" s="25" t="s">
        <v>194</v>
      </c>
      <c r="F483" s="25" t="s">
        <v>113</v>
      </c>
      <c r="G483" s="26" t="s">
        <v>638</v>
      </c>
      <c r="H483" s="27" t="s">
        <v>327</v>
      </c>
      <c r="I483" s="24" t="s">
        <v>998</v>
      </c>
      <c r="J483" s="24" t="s">
        <v>107</v>
      </c>
      <c r="K483" s="28" t="s">
        <v>180</v>
      </c>
      <c r="L483" s="29">
        <v>0.03</v>
      </c>
      <c r="M483" s="29">
        <v>0.03</v>
      </c>
      <c r="N483" s="29">
        <v>0.02</v>
      </c>
      <c r="O483" s="27" t="s">
        <v>148</v>
      </c>
      <c r="P483" s="30" t="s">
        <v>821</v>
      </c>
      <c r="Q483" s="31">
        <v>3704635492.0300002</v>
      </c>
      <c r="R483" s="31">
        <v>161.16</v>
      </c>
      <c r="S483" s="32">
        <v>-1.611E-3</v>
      </c>
      <c r="T483" s="32" t="s">
        <v>139</v>
      </c>
      <c r="U483" s="32">
        <v>9.3199999999999999E-4</v>
      </c>
      <c r="V483" s="32">
        <v>4.9890000000000004E-3</v>
      </c>
      <c r="W483" s="32">
        <v>3.5490000000000001E-3</v>
      </c>
      <c r="X483" s="32">
        <v>1.2400000000000001E-4</v>
      </c>
      <c r="Y483" s="32">
        <v>-9.5259999999999997E-3</v>
      </c>
      <c r="Z483" s="32">
        <v>9.0818999999999997E-2</v>
      </c>
      <c r="AA483" s="32">
        <v>0.19098999999999999</v>
      </c>
      <c r="AB483" s="32">
        <v>0.13918</v>
      </c>
    </row>
    <row r="484" spans="1:28" ht="15.6" customHeight="1" x14ac:dyDescent="0.25">
      <c r="A484" s="24" t="s">
        <v>1546</v>
      </c>
      <c r="B484" s="50">
        <v>4095</v>
      </c>
      <c r="C484" s="25" t="s">
        <v>1547</v>
      </c>
      <c r="D484" s="25" t="s">
        <v>821</v>
      </c>
      <c r="E484" s="25" t="s">
        <v>194</v>
      </c>
      <c r="F484" s="25" t="s">
        <v>155</v>
      </c>
      <c r="G484" s="26" t="s">
        <v>139</v>
      </c>
      <c r="H484" s="27" t="s">
        <v>156</v>
      </c>
      <c r="I484" s="24" t="s">
        <v>998</v>
      </c>
      <c r="J484" s="24" t="s">
        <v>107</v>
      </c>
      <c r="K484" s="28" t="s">
        <v>180</v>
      </c>
      <c r="L484" s="29">
        <v>0.03</v>
      </c>
      <c r="M484" s="29">
        <v>0.03</v>
      </c>
      <c r="N484" s="29">
        <v>0.02</v>
      </c>
      <c r="O484" s="27" t="s">
        <v>148</v>
      </c>
      <c r="P484" s="30" t="s">
        <v>821</v>
      </c>
      <c r="Q484" s="31">
        <v>2285680244.1599998</v>
      </c>
      <c r="R484" s="31">
        <v>203.71</v>
      </c>
      <c r="S484" s="32">
        <v>1.2274E-2</v>
      </c>
      <c r="T484" s="32" t="s">
        <v>139</v>
      </c>
      <c r="U484" s="32">
        <v>-3.571E-3</v>
      </c>
      <c r="V484" s="32">
        <v>2.5472000000000002E-2</v>
      </c>
      <c r="W484" s="32">
        <v>7.6670000000000002E-3</v>
      </c>
      <c r="X484" s="32">
        <v>1.8193999999999998E-2</v>
      </c>
      <c r="Y484" s="32">
        <v>-0.106144</v>
      </c>
      <c r="Z484" s="32">
        <v>0.285109</v>
      </c>
      <c r="AA484" s="32">
        <v>0.44328800000000002</v>
      </c>
      <c r="AB484" s="32">
        <v>0.36550899999999997</v>
      </c>
    </row>
    <row r="485" spans="1:28" ht="15.6" customHeight="1" x14ac:dyDescent="0.25">
      <c r="A485" s="24" t="s">
        <v>1548</v>
      </c>
      <c r="B485" s="50">
        <v>4096</v>
      </c>
      <c r="C485" s="25" t="s">
        <v>1549</v>
      </c>
      <c r="D485" s="25" t="s">
        <v>821</v>
      </c>
      <c r="E485" s="25" t="s">
        <v>194</v>
      </c>
      <c r="F485" s="25" t="s">
        <v>155</v>
      </c>
      <c r="G485" s="26" t="s">
        <v>139</v>
      </c>
      <c r="H485" s="27" t="s">
        <v>156</v>
      </c>
      <c r="I485" s="24" t="s">
        <v>998</v>
      </c>
      <c r="J485" s="24" t="s">
        <v>107</v>
      </c>
      <c r="K485" s="28" t="s">
        <v>180</v>
      </c>
      <c r="L485" s="29">
        <v>0.03</v>
      </c>
      <c r="M485" s="29">
        <v>0.03</v>
      </c>
      <c r="N485" s="29">
        <v>0.02</v>
      </c>
      <c r="O485" s="27" t="s">
        <v>148</v>
      </c>
      <c r="P485" s="30" t="s">
        <v>821</v>
      </c>
      <c r="Q485" s="31">
        <v>1260676614.9300001</v>
      </c>
      <c r="R485" s="31">
        <v>302.60000000000002</v>
      </c>
      <c r="S485" s="32">
        <v>3.2835000000000003E-2</v>
      </c>
      <c r="T485" s="32" t="s">
        <v>139</v>
      </c>
      <c r="U485" s="32">
        <v>-5.2599999999999999E-3</v>
      </c>
      <c r="V485" s="32">
        <v>2.4303999999999999E-2</v>
      </c>
      <c r="W485" s="32">
        <v>4.581E-3</v>
      </c>
      <c r="X485" s="32">
        <v>2.0022999999999999E-2</v>
      </c>
      <c r="Y485" s="32">
        <v>-0.10663400000000001</v>
      </c>
      <c r="Z485" s="32">
        <v>0.32149499999999998</v>
      </c>
      <c r="AA485" s="32">
        <v>0.47074199999999999</v>
      </c>
      <c r="AB485" s="32">
        <v>0.36703200000000002</v>
      </c>
    </row>
    <row r="486" spans="1:28" ht="15.6" customHeight="1" x14ac:dyDescent="0.25">
      <c r="A486" s="24" t="s">
        <v>1550</v>
      </c>
      <c r="B486" s="50">
        <v>4097</v>
      </c>
      <c r="C486" s="25" t="s">
        <v>1551</v>
      </c>
      <c r="D486" s="25" t="s">
        <v>112</v>
      </c>
      <c r="E486" s="25" t="s">
        <v>194</v>
      </c>
      <c r="F486" s="25" t="s">
        <v>113</v>
      </c>
      <c r="G486" s="26" t="s">
        <v>114</v>
      </c>
      <c r="H486" s="27" t="s">
        <v>115</v>
      </c>
      <c r="I486" s="24" t="s">
        <v>998</v>
      </c>
      <c r="J486" s="24" t="s">
        <v>121</v>
      </c>
      <c r="K486" s="28" t="s">
        <v>227</v>
      </c>
      <c r="L486" s="29">
        <v>0.03</v>
      </c>
      <c r="M486" s="29">
        <v>1.4999999999999999E-2</v>
      </c>
      <c r="N486" s="29">
        <v>0.02</v>
      </c>
      <c r="O486" s="27" t="s">
        <v>548</v>
      </c>
      <c r="P486" s="30" t="s">
        <v>112</v>
      </c>
      <c r="Q486" s="31">
        <v>1334580919.28</v>
      </c>
      <c r="R486" s="31">
        <v>1632.8</v>
      </c>
      <c r="S486" s="32">
        <v>-2.8400000000000001E-3</v>
      </c>
      <c r="T486" s="32" t="s">
        <v>139</v>
      </c>
      <c r="U486" s="32">
        <v>8.0900000000000004E-4</v>
      </c>
      <c r="V486" s="32">
        <v>7.3419999999999996E-3</v>
      </c>
      <c r="W486" s="32">
        <v>3.4039999999999999E-3</v>
      </c>
      <c r="X486" s="32">
        <v>-1.712E-3</v>
      </c>
      <c r="Y486" s="32">
        <v>-1.0106E-2</v>
      </c>
      <c r="Z486" s="32">
        <v>8.6455000000000004E-2</v>
      </c>
      <c r="AA486" s="32">
        <v>0.18174100000000001</v>
      </c>
      <c r="AB486" s="32">
        <v>8.7065000000000003E-2</v>
      </c>
    </row>
    <row r="487" spans="1:28" ht="15.6" customHeight="1" x14ac:dyDescent="0.25">
      <c r="A487" s="24" t="s">
        <v>1552</v>
      </c>
      <c r="B487" s="50">
        <v>4098</v>
      </c>
      <c r="C487" s="25" t="s">
        <v>1553</v>
      </c>
      <c r="D487" s="25" t="s">
        <v>112</v>
      </c>
      <c r="E487" s="25" t="s">
        <v>194</v>
      </c>
      <c r="F487" s="25" t="s">
        <v>113</v>
      </c>
      <c r="G487" s="26" t="s">
        <v>114</v>
      </c>
      <c r="H487" s="27" t="s">
        <v>115</v>
      </c>
      <c r="I487" s="24" t="s">
        <v>998</v>
      </c>
      <c r="J487" s="24" t="s">
        <v>121</v>
      </c>
      <c r="K487" s="28" t="s">
        <v>108</v>
      </c>
      <c r="L487" s="29">
        <v>0</v>
      </c>
      <c r="M487" s="29">
        <v>1.4999999999999999E-2</v>
      </c>
      <c r="N487" s="29">
        <v>0.01</v>
      </c>
      <c r="O487" s="27" t="s">
        <v>116</v>
      </c>
      <c r="P487" s="30" t="s">
        <v>112</v>
      </c>
      <c r="Q487" s="31">
        <v>1135622.83</v>
      </c>
      <c r="R487" s="31">
        <v>1474.83</v>
      </c>
      <c r="S487" s="32">
        <v>4.1330000000000004E-3</v>
      </c>
      <c r="T487" s="32" t="s">
        <v>139</v>
      </c>
      <c r="U487" s="32">
        <v>4.0000000000000002E-4</v>
      </c>
      <c r="V487" s="32">
        <v>1.9289999999999999E-3</v>
      </c>
      <c r="W487" s="32">
        <v>3.2520000000000001E-3</v>
      </c>
      <c r="X487" s="32">
        <v>3.8999999999999998E-3</v>
      </c>
      <c r="Y487" s="32">
        <v>2.2360000000000001E-3</v>
      </c>
      <c r="Z487" s="32">
        <v>4.2202000000000003E-2</v>
      </c>
      <c r="AA487" s="32">
        <v>9.5640000000000003E-2</v>
      </c>
      <c r="AB487" s="32">
        <v>3.3988999999999998E-2</v>
      </c>
    </row>
    <row r="488" spans="1:28" ht="15.6" customHeight="1" x14ac:dyDescent="0.25">
      <c r="A488" s="24" t="s">
        <v>1554</v>
      </c>
      <c r="B488" s="50">
        <v>4099</v>
      </c>
      <c r="C488" s="25" t="s">
        <v>1555</v>
      </c>
      <c r="D488" s="25" t="s">
        <v>112</v>
      </c>
      <c r="E488" s="25" t="s">
        <v>194</v>
      </c>
      <c r="F488" s="25" t="s">
        <v>113</v>
      </c>
      <c r="G488" s="26" t="s">
        <v>1168</v>
      </c>
      <c r="H488" s="27" t="s">
        <v>115</v>
      </c>
      <c r="I488" s="24" t="s">
        <v>998</v>
      </c>
      <c r="J488" s="24" t="s">
        <v>121</v>
      </c>
      <c r="K488" s="28" t="s">
        <v>108</v>
      </c>
      <c r="L488" s="29">
        <v>0.03</v>
      </c>
      <c r="M488" s="29">
        <v>1.4999999999999999E-2</v>
      </c>
      <c r="N488" s="29">
        <v>0.02</v>
      </c>
      <c r="O488" s="27" t="s">
        <v>548</v>
      </c>
      <c r="P488" s="30" t="s">
        <v>112</v>
      </c>
      <c r="Q488" s="31">
        <v>218379458.75</v>
      </c>
      <c r="R488" s="31">
        <v>2047.94</v>
      </c>
      <c r="S488" s="32">
        <v>2.8800000000000001E-4</v>
      </c>
      <c r="T488" s="32" t="s">
        <v>139</v>
      </c>
      <c r="U488" s="32">
        <v>9.68E-4</v>
      </c>
      <c r="V488" s="32">
        <v>6.7840000000000001E-3</v>
      </c>
      <c r="W488" s="32">
        <v>5.8149999999999999E-3</v>
      </c>
      <c r="X488" s="32">
        <v>7.3300000000000004E-4</v>
      </c>
      <c r="Y488" s="32">
        <v>-8.4729999999999996E-3</v>
      </c>
      <c r="Z488" s="32">
        <v>0.10379099999999999</v>
      </c>
      <c r="AA488" s="32">
        <v>0.213501</v>
      </c>
      <c r="AB488" s="32">
        <v>0.105727</v>
      </c>
    </row>
    <row r="489" spans="1:28" ht="15.6" customHeight="1" x14ac:dyDescent="0.25">
      <c r="A489" s="24" t="s">
        <v>1556</v>
      </c>
      <c r="B489" s="50">
        <v>4100</v>
      </c>
      <c r="C489" s="25" t="s">
        <v>70</v>
      </c>
      <c r="D489" s="25" t="s">
        <v>504</v>
      </c>
      <c r="E489" s="25" t="s">
        <v>194</v>
      </c>
      <c r="F489" s="25" t="s">
        <v>155</v>
      </c>
      <c r="G489" s="26" t="s">
        <v>139</v>
      </c>
      <c r="H489" s="27" t="s">
        <v>156</v>
      </c>
      <c r="I489" s="24" t="s">
        <v>998</v>
      </c>
      <c r="J489" s="24" t="s">
        <v>107</v>
      </c>
      <c r="K489" s="28" t="s">
        <v>108</v>
      </c>
      <c r="L489" s="29">
        <v>0.03</v>
      </c>
      <c r="M489" s="29">
        <v>1.4999999999999999E-2</v>
      </c>
      <c r="N489" s="29">
        <v>0.02</v>
      </c>
      <c r="O489" s="27" t="s">
        <v>663</v>
      </c>
      <c r="P489" s="30" t="s">
        <v>504</v>
      </c>
      <c r="Q489" s="31">
        <v>1627011522.4100001</v>
      </c>
      <c r="R489" s="31">
        <v>276.18</v>
      </c>
      <c r="S489" s="32">
        <v>-2.5510999999999999E-2</v>
      </c>
      <c r="T489" s="32" t="s">
        <v>139</v>
      </c>
      <c r="U489" s="32">
        <v>-9.6819999999999996E-3</v>
      </c>
      <c r="V489" s="32">
        <v>5.3719999999999997E-2</v>
      </c>
      <c r="W489" s="32">
        <v>1.7312999999999999E-2</v>
      </c>
      <c r="X489" s="32">
        <v>1.6302000000000001E-2</v>
      </c>
      <c r="Y489" s="32">
        <v>-0.13637099999999999</v>
      </c>
      <c r="Z489" s="32">
        <v>0.37402999999999997</v>
      </c>
      <c r="AA489" s="32">
        <v>0.758548</v>
      </c>
      <c r="AB489" s="32">
        <v>0.72709599999999996</v>
      </c>
    </row>
    <row r="490" spans="1:28" ht="15.6" customHeight="1" x14ac:dyDescent="0.25">
      <c r="A490" s="24" t="s">
        <v>1557</v>
      </c>
      <c r="B490" s="50">
        <v>4101</v>
      </c>
      <c r="C490" s="25" t="s">
        <v>1558</v>
      </c>
      <c r="D490" s="25" t="s">
        <v>504</v>
      </c>
      <c r="E490" s="25" t="s">
        <v>194</v>
      </c>
      <c r="F490" s="25" t="s">
        <v>113</v>
      </c>
      <c r="G490" s="26" t="s">
        <v>1559</v>
      </c>
      <c r="H490" s="27" t="s">
        <v>327</v>
      </c>
      <c r="I490" s="24" t="s">
        <v>998</v>
      </c>
      <c r="J490" s="24" t="s">
        <v>107</v>
      </c>
      <c r="K490" s="28" t="s">
        <v>108</v>
      </c>
      <c r="L490" s="29">
        <v>0.03</v>
      </c>
      <c r="M490" s="29">
        <v>1.4999999999999999E-2</v>
      </c>
      <c r="N490" s="29">
        <v>1.2E-2</v>
      </c>
      <c r="O490" s="27" t="s">
        <v>173</v>
      </c>
      <c r="P490" s="30" t="s">
        <v>504</v>
      </c>
      <c r="Q490" s="31">
        <v>2345132121</v>
      </c>
      <c r="R490" s="31">
        <v>163.44</v>
      </c>
      <c r="S490" s="32">
        <v>-7.3399999999999995E-4</v>
      </c>
      <c r="T490" s="32" t="s">
        <v>139</v>
      </c>
      <c r="U490" s="32">
        <v>3.6699999999999998E-4</v>
      </c>
      <c r="V490" s="32">
        <v>6.5279999999999999E-3</v>
      </c>
      <c r="W490" s="32">
        <v>3.993E-3</v>
      </c>
      <c r="X490" s="32">
        <v>1.4710000000000001E-3</v>
      </c>
      <c r="Y490" s="32">
        <v>-1.0952999999999999E-2</v>
      </c>
      <c r="Z490" s="32">
        <v>8.6774000000000004E-2</v>
      </c>
      <c r="AA490" s="32">
        <v>0.184005</v>
      </c>
      <c r="AB490" s="32">
        <v>0.12399399999999999</v>
      </c>
    </row>
    <row r="491" spans="1:28" ht="15.6" customHeight="1" x14ac:dyDescent="0.25">
      <c r="A491" s="24" t="s">
        <v>817</v>
      </c>
      <c r="B491" s="50">
        <v>4102</v>
      </c>
      <c r="C491" s="25" t="s">
        <v>818</v>
      </c>
      <c r="D491" s="25" t="s">
        <v>504</v>
      </c>
      <c r="E491" s="25" t="s">
        <v>194</v>
      </c>
      <c r="F491" s="25" t="s">
        <v>103</v>
      </c>
      <c r="G491" s="26" t="s">
        <v>146</v>
      </c>
      <c r="H491" s="27" t="s">
        <v>509</v>
      </c>
      <c r="I491" s="24" t="s">
        <v>106</v>
      </c>
      <c r="J491" s="24" t="s">
        <v>107</v>
      </c>
      <c r="K491" s="28" t="s">
        <v>108</v>
      </c>
      <c r="L491" s="29">
        <v>0</v>
      </c>
      <c r="M491" s="29">
        <v>0</v>
      </c>
      <c r="N491" s="29">
        <v>8.0000000000000002E-3</v>
      </c>
      <c r="O491" s="27" t="s">
        <v>173</v>
      </c>
      <c r="P491" s="30" t="s">
        <v>504</v>
      </c>
      <c r="Q491" s="31">
        <v>2251346403.2600002</v>
      </c>
      <c r="R491" s="31">
        <v>154.57</v>
      </c>
      <c r="S491" s="32">
        <v>1.7510000000000001E-2</v>
      </c>
      <c r="T491" s="32" t="s">
        <v>139</v>
      </c>
      <c r="U491" s="32">
        <v>2.5900000000000001E-4</v>
      </c>
      <c r="V491" s="32">
        <v>1.9449999999999999E-3</v>
      </c>
      <c r="W491" s="32">
        <v>6.5120000000000004E-3</v>
      </c>
      <c r="X491" s="32">
        <v>1.3374E-2</v>
      </c>
      <c r="Y491" s="32">
        <v>2.5340000000000001E-2</v>
      </c>
      <c r="Z491" s="32">
        <v>5.4796999999999998E-2</v>
      </c>
      <c r="AA491" s="32">
        <v>9.0364E-2</v>
      </c>
      <c r="AB491" s="32">
        <v>0.13838600000000001</v>
      </c>
    </row>
    <row r="492" spans="1:28" ht="15.6" customHeight="1" x14ac:dyDescent="0.25">
      <c r="A492" s="24" t="s">
        <v>1560</v>
      </c>
      <c r="B492" s="50">
        <v>4103</v>
      </c>
      <c r="C492" s="25" t="s">
        <v>1561</v>
      </c>
      <c r="D492" s="25" t="s">
        <v>112</v>
      </c>
      <c r="E492" s="25" t="s">
        <v>194</v>
      </c>
      <c r="F492" s="25" t="s">
        <v>113</v>
      </c>
      <c r="G492" s="26" t="s">
        <v>114</v>
      </c>
      <c r="H492" s="27" t="s">
        <v>115</v>
      </c>
      <c r="I492" s="24" t="s">
        <v>998</v>
      </c>
      <c r="J492" s="24" t="s">
        <v>121</v>
      </c>
      <c r="K492" s="28" t="s">
        <v>227</v>
      </c>
      <c r="L492" s="29">
        <v>0.03</v>
      </c>
      <c r="M492" s="29">
        <v>1.4999999999999999E-2</v>
      </c>
      <c r="N492" s="29">
        <v>0.02</v>
      </c>
      <c r="O492" s="27" t="s">
        <v>161</v>
      </c>
      <c r="P492" s="30" t="s">
        <v>112</v>
      </c>
      <c r="Q492" s="31">
        <v>601904.77</v>
      </c>
      <c r="R492" s="31">
        <v>1863.58</v>
      </c>
      <c r="S492" s="32">
        <v>1.2319999999999999E-2</v>
      </c>
      <c r="T492" s="32" t="s">
        <v>139</v>
      </c>
      <c r="U492" s="32">
        <v>2.464E-3</v>
      </c>
      <c r="V492" s="32">
        <v>5.091E-3</v>
      </c>
      <c r="W492" s="32">
        <v>6.2639999999999996E-3</v>
      </c>
      <c r="X492" s="32">
        <v>1.1842E-2</v>
      </c>
      <c r="Y492" s="32">
        <v>1.2133E-2</v>
      </c>
      <c r="Z492" s="32">
        <v>5.6451000000000001E-2</v>
      </c>
      <c r="AA492" s="32">
        <v>0.10117900000000001</v>
      </c>
      <c r="AB492" s="32">
        <v>0.102091</v>
      </c>
    </row>
    <row r="493" spans="1:28" ht="15.6" customHeight="1" x14ac:dyDescent="0.25">
      <c r="A493" s="24" t="s">
        <v>1562</v>
      </c>
      <c r="B493" s="50">
        <v>4104</v>
      </c>
      <c r="C493" s="25" t="s">
        <v>1563</v>
      </c>
      <c r="D493" s="25" t="s">
        <v>112</v>
      </c>
      <c r="E493" s="25" t="s">
        <v>194</v>
      </c>
      <c r="F493" s="25" t="s">
        <v>155</v>
      </c>
      <c r="G493" s="26" t="s">
        <v>139</v>
      </c>
      <c r="H493" s="27" t="s">
        <v>1564</v>
      </c>
      <c r="I493" s="24" t="s">
        <v>998</v>
      </c>
      <c r="J493" s="24" t="s">
        <v>107</v>
      </c>
      <c r="K493" s="28" t="s">
        <v>108</v>
      </c>
      <c r="L493" s="29">
        <v>0.03</v>
      </c>
      <c r="M493" s="29">
        <v>1.4999999999999999E-2</v>
      </c>
      <c r="N493" s="29">
        <v>0.02</v>
      </c>
      <c r="O493" s="27" t="s">
        <v>116</v>
      </c>
      <c r="P493" s="30" t="s">
        <v>112</v>
      </c>
      <c r="Q493" s="31">
        <v>1128187795.8199999</v>
      </c>
      <c r="R493" s="31">
        <v>2640.04</v>
      </c>
      <c r="S493" s="32">
        <v>-5.0520000000000002E-2</v>
      </c>
      <c r="T493" s="32" t="s">
        <v>139</v>
      </c>
      <c r="U493" s="32">
        <v>-7.5900000000000004E-3</v>
      </c>
      <c r="V493" s="32">
        <v>5.5611000000000001E-2</v>
      </c>
      <c r="W493" s="32">
        <v>1.3568E-2</v>
      </c>
      <c r="X493" s="32">
        <v>-1.2979999999999999E-3</v>
      </c>
      <c r="Y493" s="32">
        <v>-0.14364199999999999</v>
      </c>
      <c r="Z493" s="32">
        <v>0.225771</v>
      </c>
      <c r="AA493" s="32">
        <v>0.43097000000000002</v>
      </c>
      <c r="AB493" s="32">
        <v>0.33967999999999998</v>
      </c>
    </row>
    <row r="494" spans="1:28" ht="15.6" customHeight="1" x14ac:dyDescent="0.25">
      <c r="A494" s="24" t="s">
        <v>1565</v>
      </c>
      <c r="B494" s="50">
        <v>4108</v>
      </c>
      <c r="C494" s="25" t="s">
        <v>1566</v>
      </c>
      <c r="D494" s="25" t="s">
        <v>821</v>
      </c>
      <c r="E494" s="25" t="s">
        <v>194</v>
      </c>
      <c r="F494" s="25" t="s">
        <v>138</v>
      </c>
      <c r="G494" s="26" t="s">
        <v>139</v>
      </c>
      <c r="H494" s="27" t="s">
        <v>1273</v>
      </c>
      <c r="I494" s="24" t="s">
        <v>998</v>
      </c>
      <c r="J494" s="24" t="s">
        <v>107</v>
      </c>
      <c r="K494" s="28" t="s">
        <v>108</v>
      </c>
      <c r="L494" s="29">
        <v>0.03</v>
      </c>
      <c r="M494" s="29">
        <v>0.03</v>
      </c>
      <c r="N494" s="29">
        <v>0.02</v>
      </c>
      <c r="O494" s="27" t="s">
        <v>148</v>
      </c>
      <c r="P494" s="30" t="s">
        <v>821</v>
      </c>
      <c r="Q494" s="31">
        <v>491079881.47000003</v>
      </c>
      <c r="R494" s="31">
        <v>229.58</v>
      </c>
      <c r="S494" s="32">
        <v>-6.7489999999999998E-3</v>
      </c>
      <c r="T494" s="32" t="s">
        <v>139</v>
      </c>
      <c r="U494" s="32">
        <v>-5.8890000000000001E-3</v>
      </c>
      <c r="V494" s="32">
        <v>3.9529000000000002E-2</v>
      </c>
      <c r="W494" s="32">
        <v>1.5796000000000001E-2</v>
      </c>
      <c r="X494" s="32">
        <v>3.1125E-2</v>
      </c>
      <c r="Y494" s="32">
        <v>-9.1167999999999999E-2</v>
      </c>
      <c r="Z494" s="32">
        <v>0.30896899999999999</v>
      </c>
      <c r="AA494" s="32">
        <v>0.48624299999999998</v>
      </c>
      <c r="AB494" s="32">
        <v>0.481352</v>
      </c>
    </row>
    <row r="495" spans="1:28" ht="15.6" customHeight="1" x14ac:dyDescent="0.25">
      <c r="A495" s="24" t="s">
        <v>819</v>
      </c>
      <c r="B495" s="50">
        <v>4109</v>
      </c>
      <c r="C495" s="25" t="s">
        <v>820</v>
      </c>
      <c r="D495" s="25" t="s">
        <v>821</v>
      </c>
      <c r="E495" s="25" t="s">
        <v>194</v>
      </c>
      <c r="F495" s="25" t="s">
        <v>103</v>
      </c>
      <c r="G495" s="26" t="s">
        <v>822</v>
      </c>
      <c r="H495" s="27" t="s">
        <v>188</v>
      </c>
      <c r="I495" s="24" t="s">
        <v>106</v>
      </c>
      <c r="J495" s="24" t="s">
        <v>107</v>
      </c>
      <c r="K495" s="28" t="s">
        <v>108</v>
      </c>
      <c r="L495" s="29">
        <v>0</v>
      </c>
      <c r="M495" s="29">
        <v>0</v>
      </c>
      <c r="N495" s="29">
        <v>0.01</v>
      </c>
      <c r="O495" s="27" t="s">
        <v>148</v>
      </c>
      <c r="P495" s="30" t="s">
        <v>821</v>
      </c>
      <c r="Q495" s="31">
        <v>159604011.44999999</v>
      </c>
      <c r="R495" s="31">
        <v>103.11</v>
      </c>
      <c r="S495" s="32">
        <v>4.1305000000000001E-2</v>
      </c>
      <c r="T495" s="32" t="s">
        <v>139</v>
      </c>
      <c r="U495" s="32">
        <v>1.94E-4</v>
      </c>
      <c r="V495" s="32">
        <v>1.6509999999999999E-3</v>
      </c>
      <c r="W495" s="32">
        <v>5.2649999999999997E-3</v>
      </c>
      <c r="X495" s="32">
        <v>3.7636999999999997E-2</v>
      </c>
      <c r="Y495" s="32">
        <v>4.8932000000000003E-2</v>
      </c>
      <c r="Z495" s="32">
        <v>0.10632999999999999</v>
      </c>
      <c r="AA495" s="32">
        <v>0.19064700000000001</v>
      </c>
      <c r="AB495" s="32">
        <v>0.32754</v>
      </c>
    </row>
    <row r="496" spans="1:28" ht="15.6" customHeight="1" x14ac:dyDescent="0.25">
      <c r="A496" s="24" t="s">
        <v>823</v>
      </c>
      <c r="B496" s="50">
        <v>4111</v>
      </c>
      <c r="C496" s="25" t="s">
        <v>824</v>
      </c>
      <c r="D496" s="25" t="s">
        <v>112</v>
      </c>
      <c r="E496" s="25" t="s">
        <v>194</v>
      </c>
      <c r="F496" s="25" t="s">
        <v>155</v>
      </c>
      <c r="G496" s="26" t="s">
        <v>139</v>
      </c>
      <c r="H496" s="27" t="s">
        <v>156</v>
      </c>
      <c r="I496" s="24" t="s">
        <v>106</v>
      </c>
      <c r="J496" s="24" t="s">
        <v>121</v>
      </c>
      <c r="K496" s="28" t="s">
        <v>108</v>
      </c>
      <c r="L496" s="29">
        <v>0.03</v>
      </c>
      <c r="M496" s="29">
        <v>1.4999999999999999E-2</v>
      </c>
      <c r="N496" s="29">
        <v>0.02</v>
      </c>
      <c r="O496" s="27" t="s">
        <v>116</v>
      </c>
      <c r="P496" s="30" t="s">
        <v>112</v>
      </c>
      <c r="Q496" s="31">
        <v>1246157506.3900001</v>
      </c>
      <c r="R496" s="31">
        <v>2830.57</v>
      </c>
      <c r="S496" s="32">
        <v>-4.4398E-2</v>
      </c>
      <c r="T496" s="32" t="s">
        <v>139</v>
      </c>
      <c r="U496" s="32">
        <v>-8.5850000000000006E-3</v>
      </c>
      <c r="V496" s="32">
        <v>5.5044999999999997E-2</v>
      </c>
      <c r="W496" s="32">
        <v>2.1305999999999999E-2</v>
      </c>
      <c r="X496" s="32">
        <v>1.1025999999999999E-2</v>
      </c>
      <c r="Y496" s="32">
        <v>-0.13592000000000001</v>
      </c>
      <c r="Z496" s="32">
        <v>0.29145399999999999</v>
      </c>
      <c r="AA496" s="32">
        <v>0.53629099999999996</v>
      </c>
      <c r="AB496" s="32">
        <v>0.521787</v>
      </c>
    </row>
    <row r="497" spans="1:28" ht="15.6" customHeight="1" x14ac:dyDescent="0.25">
      <c r="A497" s="24" t="s">
        <v>825</v>
      </c>
      <c r="B497" s="50">
        <v>4112</v>
      </c>
      <c r="C497" s="25" t="s">
        <v>826</v>
      </c>
      <c r="D497" s="25" t="s">
        <v>322</v>
      </c>
      <c r="E497" s="25" t="s">
        <v>194</v>
      </c>
      <c r="F497" s="25" t="s">
        <v>128</v>
      </c>
      <c r="G497" s="26" t="s">
        <v>289</v>
      </c>
      <c r="H497" s="27" t="s">
        <v>130</v>
      </c>
      <c r="I497" s="24" t="s">
        <v>106</v>
      </c>
      <c r="J497" s="24" t="s">
        <v>107</v>
      </c>
      <c r="K497" s="28" t="s">
        <v>108</v>
      </c>
      <c r="L497" s="29">
        <v>0.03</v>
      </c>
      <c r="M497" s="29">
        <v>1.4999999999999999E-2</v>
      </c>
      <c r="N497" s="29">
        <v>0.02</v>
      </c>
      <c r="O497" s="27" t="s">
        <v>166</v>
      </c>
      <c r="P497" s="30" t="s">
        <v>322</v>
      </c>
      <c r="Q497" s="31">
        <v>292768942.13999999</v>
      </c>
      <c r="R497" s="31">
        <v>151.55000000000001</v>
      </c>
      <c r="S497" s="32">
        <v>2.4679E-2</v>
      </c>
      <c r="T497" s="32" t="s">
        <v>139</v>
      </c>
      <c r="U497" s="32">
        <v>4.6200000000000001E-4</v>
      </c>
      <c r="V497" s="32">
        <v>1.983E-3</v>
      </c>
      <c r="W497" s="32">
        <v>1.8207000000000001E-2</v>
      </c>
      <c r="X497" s="32">
        <v>2.2398000000000001E-2</v>
      </c>
      <c r="Y497" s="32">
        <v>3.3554E-2</v>
      </c>
      <c r="Z497" s="32">
        <v>5.1043999999999999E-2</v>
      </c>
      <c r="AA497" s="32">
        <v>8.5445999999999994E-2</v>
      </c>
      <c r="AB497" s="32">
        <v>0.12450799999999999</v>
      </c>
    </row>
    <row r="498" spans="1:28" ht="15.6" customHeight="1" x14ac:dyDescent="0.25">
      <c r="A498" s="24" t="s">
        <v>1567</v>
      </c>
      <c r="B498" s="50">
        <v>4113</v>
      </c>
      <c r="C498" s="25" t="s">
        <v>1568</v>
      </c>
      <c r="D498" s="25" t="s">
        <v>164</v>
      </c>
      <c r="E498" s="25" t="s">
        <v>194</v>
      </c>
      <c r="F498" s="25" t="s">
        <v>361</v>
      </c>
      <c r="G498" s="26" t="s">
        <v>139</v>
      </c>
      <c r="H498" s="27" t="s">
        <v>1569</v>
      </c>
      <c r="I498" s="24" t="s">
        <v>998</v>
      </c>
      <c r="J498" s="24" t="s">
        <v>107</v>
      </c>
      <c r="K498" s="28" t="s">
        <v>108</v>
      </c>
      <c r="L498" s="29">
        <v>1.4999999999999999E-2</v>
      </c>
      <c r="M498" s="29">
        <v>0.02</v>
      </c>
      <c r="N498" s="29">
        <v>0.02</v>
      </c>
      <c r="O498" s="27" t="s">
        <v>166</v>
      </c>
      <c r="P498" s="30" t="s">
        <v>164</v>
      </c>
      <c r="Q498" s="31">
        <v>293858973.92000002</v>
      </c>
      <c r="R498" s="31">
        <v>2665.19</v>
      </c>
      <c r="S498" s="32">
        <v>1.9462E-2</v>
      </c>
      <c r="T498" s="32" t="s">
        <v>139</v>
      </c>
      <c r="U498" s="32">
        <v>-2.1101000000000002E-2</v>
      </c>
      <c r="V498" s="32">
        <v>0.124311</v>
      </c>
      <c r="W498" s="32">
        <v>3.1803999999999999E-2</v>
      </c>
      <c r="X498" s="32">
        <v>-0.12073299999999999</v>
      </c>
      <c r="Y498" s="32">
        <v>0.357927</v>
      </c>
      <c r="Z498" s="32">
        <v>0.712561</v>
      </c>
      <c r="AA498" s="32">
        <v>1.115801</v>
      </c>
      <c r="AB498" s="32">
        <v>1.570716</v>
      </c>
    </row>
    <row r="499" spans="1:28" ht="15.6" customHeight="1" x14ac:dyDescent="0.25">
      <c r="A499" s="24" t="s">
        <v>827</v>
      </c>
      <c r="B499" s="50">
        <v>4115</v>
      </c>
      <c r="C499" s="25" t="s">
        <v>828</v>
      </c>
      <c r="D499" s="25" t="s">
        <v>112</v>
      </c>
      <c r="E499" s="25" t="s">
        <v>194</v>
      </c>
      <c r="F499" s="25" t="s">
        <v>128</v>
      </c>
      <c r="G499" s="26" t="s">
        <v>289</v>
      </c>
      <c r="H499" s="27" t="s">
        <v>258</v>
      </c>
      <c r="I499" s="24" t="s">
        <v>106</v>
      </c>
      <c r="J499" s="24" t="s">
        <v>121</v>
      </c>
      <c r="K499" s="28" t="s">
        <v>108</v>
      </c>
      <c r="L499" s="29">
        <v>0.03</v>
      </c>
      <c r="M499" s="29">
        <v>1.4999999999999999E-2</v>
      </c>
      <c r="N499" s="29">
        <v>0.02</v>
      </c>
      <c r="O499" s="27" t="s">
        <v>116</v>
      </c>
      <c r="P499" s="30" t="s">
        <v>112</v>
      </c>
      <c r="Q499" s="31">
        <v>1406856725.5599999</v>
      </c>
      <c r="R499" s="31">
        <v>1710.52</v>
      </c>
      <c r="S499" s="32">
        <v>1.8270000000000002E-2</v>
      </c>
      <c r="T499" s="32" t="s">
        <v>139</v>
      </c>
      <c r="U499" s="32">
        <v>3.9800000000000002E-4</v>
      </c>
      <c r="V499" s="32">
        <v>2.3500000000000001E-3</v>
      </c>
      <c r="W499" s="32">
        <v>6.7799999999999996E-3</v>
      </c>
      <c r="X499" s="32">
        <v>1.4206E-2</v>
      </c>
      <c r="Y499" s="32">
        <v>2.6297999999999998E-2</v>
      </c>
      <c r="Z499" s="32">
        <v>6.0419E-2</v>
      </c>
      <c r="AA499" s="32">
        <v>0.106638</v>
      </c>
      <c r="AB499" s="32">
        <v>0.144428</v>
      </c>
    </row>
    <row r="500" spans="1:28" ht="15.6" customHeight="1" x14ac:dyDescent="0.25">
      <c r="A500" s="24" t="s">
        <v>829</v>
      </c>
      <c r="B500" s="50">
        <v>4116</v>
      </c>
      <c r="C500" s="25" t="s">
        <v>830</v>
      </c>
      <c r="D500" s="25" t="s">
        <v>112</v>
      </c>
      <c r="E500" s="25" t="s">
        <v>194</v>
      </c>
      <c r="F500" s="25" t="s">
        <v>103</v>
      </c>
      <c r="G500" s="26" t="s">
        <v>336</v>
      </c>
      <c r="H500" s="27" t="s">
        <v>831</v>
      </c>
      <c r="I500" s="24" t="s">
        <v>106</v>
      </c>
      <c r="J500" s="24" t="s">
        <v>107</v>
      </c>
      <c r="K500" s="28" t="s">
        <v>108</v>
      </c>
      <c r="L500" s="29">
        <v>0.03</v>
      </c>
      <c r="M500" s="29">
        <v>1.4999999999999999E-2</v>
      </c>
      <c r="N500" s="29">
        <v>0.02</v>
      </c>
      <c r="O500" s="27" t="s">
        <v>116</v>
      </c>
      <c r="P500" s="30" t="s">
        <v>832</v>
      </c>
      <c r="Q500" s="31">
        <v>653227.98</v>
      </c>
      <c r="R500" s="31">
        <v>750.42</v>
      </c>
      <c r="S500" s="32">
        <v>1.1498E-2</v>
      </c>
      <c r="T500" s="32" t="s">
        <v>139</v>
      </c>
      <c r="U500" s="32">
        <v>1.6000000000000001E-4</v>
      </c>
      <c r="V500" s="32">
        <v>1.214E-3</v>
      </c>
      <c r="W500" s="32">
        <v>4.0940000000000004E-3</v>
      </c>
      <c r="X500" s="32">
        <v>8.5609999999999992E-3</v>
      </c>
      <c r="Y500" s="32">
        <v>1.6553999999999999E-2</v>
      </c>
      <c r="Z500" s="32">
        <v>3.6592E-2</v>
      </c>
      <c r="AA500" s="32">
        <v>8.4594000000000003E-2</v>
      </c>
      <c r="AB500" s="32">
        <v>0.235015</v>
      </c>
    </row>
    <row r="501" spans="1:28" ht="15.6" customHeight="1" x14ac:dyDescent="0.25">
      <c r="A501" s="24" t="s">
        <v>1570</v>
      </c>
      <c r="B501" s="50">
        <v>4117</v>
      </c>
      <c r="C501" s="25" t="s">
        <v>1571</v>
      </c>
      <c r="D501" s="25" t="s">
        <v>112</v>
      </c>
      <c r="E501" s="25" t="s">
        <v>194</v>
      </c>
      <c r="F501" s="25" t="s">
        <v>113</v>
      </c>
      <c r="G501" s="26" t="s">
        <v>1572</v>
      </c>
      <c r="H501" s="27" t="s">
        <v>120</v>
      </c>
      <c r="I501" s="24" t="s">
        <v>998</v>
      </c>
      <c r="J501" s="24" t="s">
        <v>107</v>
      </c>
      <c r="K501" s="28" t="s">
        <v>108</v>
      </c>
      <c r="L501" s="29">
        <v>0.03</v>
      </c>
      <c r="M501" s="29">
        <v>1.4999999999999999E-2</v>
      </c>
      <c r="N501" s="29">
        <v>0.02</v>
      </c>
      <c r="O501" s="27" t="s">
        <v>116</v>
      </c>
      <c r="P501" s="30" t="s">
        <v>832</v>
      </c>
      <c r="Q501" s="31">
        <v>2001822859.52</v>
      </c>
      <c r="R501" s="31">
        <v>150.9</v>
      </c>
      <c r="S501" s="32">
        <v>7.7470000000000004E-3</v>
      </c>
      <c r="T501" s="32" t="s">
        <v>139</v>
      </c>
      <c r="U501" s="32">
        <v>1.1280000000000001E-3</v>
      </c>
      <c r="V501" s="32">
        <v>6.6709999999999998E-3</v>
      </c>
      <c r="W501" s="32">
        <v>7.4099999999999999E-3</v>
      </c>
      <c r="X501" s="32">
        <v>7.6119999999999998E-3</v>
      </c>
      <c r="Y501" s="32">
        <v>8.0829999999999999E-3</v>
      </c>
      <c r="Z501" s="32">
        <v>8.0712999999999993E-2</v>
      </c>
      <c r="AA501" s="32">
        <v>0.15173300000000001</v>
      </c>
      <c r="AB501" s="32">
        <v>0.14752899999999999</v>
      </c>
    </row>
    <row r="502" spans="1:28" ht="15.6" customHeight="1" x14ac:dyDescent="0.25">
      <c r="A502" s="24" t="s">
        <v>1573</v>
      </c>
      <c r="B502" s="50">
        <v>4118</v>
      </c>
      <c r="C502" s="25" t="s">
        <v>1574</v>
      </c>
      <c r="D502" s="25" t="s">
        <v>112</v>
      </c>
      <c r="E502" s="25" t="s">
        <v>194</v>
      </c>
      <c r="F502" s="25" t="s">
        <v>138</v>
      </c>
      <c r="G502" s="26" t="s">
        <v>139</v>
      </c>
      <c r="H502" s="27" t="s">
        <v>283</v>
      </c>
      <c r="I502" s="24" t="s">
        <v>998</v>
      </c>
      <c r="J502" s="24" t="s">
        <v>121</v>
      </c>
      <c r="K502" s="28" t="s">
        <v>227</v>
      </c>
      <c r="L502" s="29">
        <v>0.03</v>
      </c>
      <c r="M502" s="29">
        <v>1.4999999999999999E-2</v>
      </c>
      <c r="N502" s="29">
        <v>0.02</v>
      </c>
      <c r="O502" s="27" t="s">
        <v>116</v>
      </c>
      <c r="P502" s="30" t="s">
        <v>112</v>
      </c>
      <c r="Q502" s="31">
        <v>202191813.81999999</v>
      </c>
      <c r="R502" s="31">
        <v>993.87</v>
      </c>
      <c r="S502" s="32">
        <v>-4.7189000000000002E-2</v>
      </c>
      <c r="T502" s="32" t="s">
        <v>139</v>
      </c>
      <c r="U502" s="32">
        <v>-2.6589999999999999E-3</v>
      </c>
      <c r="V502" s="32">
        <v>2.9789E-2</v>
      </c>
      <c r="W502" s="32">
        <v>1.1253000000000001E-2</v>
      </c>
      <c r="X502" s="32">
        <v>-1.5852000000000002E-2</v>
      </c>
      <c r="Y502" s="32">
        <v>-9.0075000000000002E-2</v>
      </c>
      <c r="Z502" s="32">
        <v>0.130693</v>
      </c>
      <c r="AA502" s="32">
        <v>0.30074600000000001</v>
      </c>
      <c r="AB502" s="32">
        <v>0.2248</v>
      </c>
    </row>
    <row r="503" spans="1:28" ht="15.6" customHeight="1" x14ac:dyDescent="0.25">
      <c r="A503" s="24" t="s">
        <v>833</v>
      </c>
      <c r="B503" s="50">
        <v>4119</v>
      </c>
      <c r="C503" s="25" t="s">
        <v>834</v>
      </c>
      <c r="D503" s="25" t="s">
        <v>112</v>
      </c>
      <c r="E503" s="25" t="s">
        <v>194</v>
      </c>
      <c r="F503" s="25" t="s">
        <v>103</v>
      </c>
      <c r="G503" s="26" t="s">
        <v>336</v>
      </c>
      <c r="H503" s="27" t="s">
        <v>806</v>
      </c>
      <c r="I503" s="24" t="s">
        <v>106</v>
      </c>
      <c r="J503" s="24" t="s">
        <v>107</v>
      </c>
      <c r="K503" s="28" t="s">
        <v>108</v>
      </c>
      <c r="L503" s="29">
        <v>0.03</v>
      </c>
      <c r="M503" s="29">
        <v>1.4999999999999999E-2</v>
      </c>
      <c r="N503" s="29">
        <v>0.02</v>
      </c>
      <c r="O503" s="27" t="s">
        <v>116</v>
      </c>
      <c r="P503" s="30" t="s">
        <v>112</v>
      </c>
      <c r="Q503" s="31">
        <v>547675.79</v>
      </c>
      <c r="R503" s="31">
        <v>1348.86</v>
      </c>
      <c r="S503" s="32">
        <v>1.2102999999999999E-2</v>
      </c>
      <c r="T503" s="32" t="s">
        <v>139</v>
      </c>
      <c r="U503" s="32">
        <v>1.7799999999999999E-4</v>
      </c>
      <c r="V503" s="32">
        <v>1.284E-3</v>
      </c>
      <c r="W503" s="32">
        <v>4.3109999999999997E-3</v>
      </c>
      <c r="X503" s="32">
        <v>9.0139999999999994E-3</v>
      </c>
      <c r="Y503" s="32">
        <v>1.7478E-2</v>
      </c>
      <c r="Z503" s="32">
        <v>3.8790999999999999E-2</v>
      </c>
      <c r="AA503" s="32">
        <v>6.5905000000000005E-2</v>
      </c>
      <c r="AB503" s="32">
        <v>9.8088999999999996E-2</v>
      </c>
    </row>
    <row r="504" spans="1:28" ht="15.6" customHeight="1" x14ac:dyDescent="0.25">
      <c r="A504" s="24" t="s">
        <v>835</v>
      </c>
      <c r="B504" s="50">
        <v>4123</v>
      </c>
      <c r="C504" s="25" t="s">
        <v>836</v>
      </c>
      <c r="D504" s="25" t="s">
        <v>821</v>
      </c>
      <c r="E504" s="25" t="s">
        <v>194</v>
      </c>
      <c r="F504" s="25" t="s">
        <v>128</v>
      </c>
      <c r="G504" s="26" t="s">
        <v>289</v>
      </c>
      <c r="H504" s="27" t="s">
        <v>130</v>
      </c>
      <c r="I504" s="24" t="s">
        <v>106</v>
      </c>
      <c r="J504" s="24" t="s">
        <v>107</v>
      </c>
      <c r="K504" s="28" t="s">
        <v>108</v>
      </c>
      <c r="L504" s="29">
        <v>0.03</v>
      </c>
      <c r="M504" s="29">
        <v>0.02</v>
      </c>
      <c r="N504" s="29">
        <v>0.02</v>
      </c>
      <c r="O504" s="27" t="s">
        <v>148</v>
      </c>
      <c r="P504" s="30" t="s">
        <v>821</v>
      </c>
      <c r="Q504" s="31">
        <v>1232569.43</v>
      </c>
      <c r="R504" s="31">
        <v>123.26</v>
      </c>
      <c r="S504" s="32">
        <v>1.3235E-2</v>
      </c>
      <c r="T504" s="32" t="s">
        <v>139</v>
      </c>
      <c r="U504" s="32">
        <v>3.2499999999999999E-4</v>
      </c>
      <c r="V504" s="32">
        <v>1.707E-3</v>
      </c>
      <c r="W504" s="32">
        <v>4.7280000000000004E-3</v>
      </c>
      <c r="X504" s="32">
        <v>1.0825E-2</v>
      </c>
      <c r="Y504" s="32">
        <v>1.8846000000000002E-2</v>
      </c>
      <c r="Z504" s="32">
        <v>4.2543999999999998E-2</v>
      </c>
      <c r="AA504" s="32">
        <v>7.2479000000000002E-2</v>
      </c>
      <c r="AB504" s="32">
        <v>9.9260000000000001E-2</v>
      </c>
    </row>
    <row r="505" spans="1:28" ht="15.6" customHeight="1" x14ac:dyDescent="0.25">
      <c r="A505" s="24" t="s">
        <v>1575</v>
      </c>
      <c r="B505" s="50">
        <v>4124</v>
      </c>
      <c r="C505" s="25" t="s">
        <v>1576</v>
      </c>
      <c r="D505" s="25" t="s">
        <v>821</v>
      </c>
      <c r="E505" s="25" t="s">
        <v>194</v>
      </c>
      <c r="F505" s="25" t="s">
        <v>113</v>
      </c>
      <c r="G505" s="26" t="s">
        <v>406</v>
      </c>
      <c r="H505" s="27" t="s">
        <v>120</v>
      </c>
      <c r="I505" s="24" t="s">
        <v>998</v>
      </c>
      <c r="J505" s="24" t="s">
        <v>107</v>
      </c>
      <c r="K505" s="28" t="s">
        <v>108</v>
      </c>
      <c r="L505" s="29">
        <v>0.03</v>
      </c>
      <c r="M505" s="29">
        <v>0.02</v>
      </c>
      <c r="N505" s="29">
        <v>0.02</v>
      </c>
      <c r="O505" s="27" t="s">
        <v>148</v>
      </c>
      <c r="P505" s="30" t="s">
        <v>821</v>
      </c>
      <c r="Q505" s="31">
        <v>122483563.52</v>
      </c>
      <c r="R505" s="31">
        <v>137.05000000000001</v>
      </c>
      <c r="S505" s="32">
        <v>1.4508999999999999E-2</v>
      </c>
      <c r="T505" s="32" t="s">
        <v>139</v>
      </c>
      <c r="U505" s="32">
        <v>1.315E-3</v>
      </c>
      <c r="V505" s="32">
        <v>4.2500000000000003E-3</v>
      </c>
      <c r="W505" s="32">
        <v>7.4980000000000003E-3</v>
      </c>
      <c r="X505" s="32">
        <v>1.2635E-2</v>
      </c>
      <c r="Y505" s="32">
        <v>1.6767000000000001E-2</v>
      </c>
      <c r="Z505" s="32">
        <v>6.5459000000000003E-2</v>
      </c>
      <c r="AA505" s="32">
        <v>0.12816900000000001</v>
      </c>
      <c r="AB505" s="32">
        <v>0.14094200000000001</v>
      </c>
    </row>
    <row r="506" spans="1:28" ht="15.6" customHeight="1" x14ac:dyDescent="0.25">
      <c r="A506" s="24" t="s">
        <v>1577</v>
      </c>
      <c r="B506" s="50">
        <v>4125</v>
      </c>
      <c r="C506" s="25" t="s">
        <v>1578</v>
      </c>
      <c r="D506" s="25" t="s">
        <v>821</v>
      </c>
      <c r="E506" s="25" t="s">
        <v>194</v>
      </c>
      <c r="F506" s="25" t="s">
        <v>128</v>
      </c>
      <c r="G506" s="26" t="s">
        <v>289</v>
      </c>
      <c r="H506" s="27" t="s">
        <v>130</v>
      </c>
      <c r="I506" s="24" t="s">
        <v>998</v>
      </c>
      <c r="J506" s="24" t="s">
        <v>107</v>
      </c>
      <c r="K506" s="28" t="s">
        <v>108</v>
      </c>
      <c r="L506" s="29">
        <v>0.03</v>
      </c>
      <c r="M506" s="29">
        <v>0.02</v>
      </c>
      <c r="N506" s="29">
        <v>0.02</v>
      </c>
      <c r="O506" s="27" t="s">
        <v>148</v>
      </c>
      <c r="P506" s="30" t="s">
        <v>821</v>
      </c>
      <c r="Q506" s="31">
        <v>3284384.1</v>
      </c>
      <c r="R506" s="31">
        <v>1534.04</v>
      </c>
      <c r="S506" s="32">
        <v>3.9597E-2</v>
      </c>
      <c r="T506" s="32" t="s">
        <v>139</v>
      </c>
      <c r="U506" s="32">
        <v>2.9300000000000002E-4</v>
      </c>
      <c r="V506" s="32">
        <v>1.8810000000000001E-3</v>
      </c>
      <c r="W506" s="32">
        <v>5.1110000000000001E-3</v>
      </c>
      <c r="X506" s="32">
        <v>3.6766E-2</v>
      </c>
      <c r="Y506" s="32">
        <v>4.5783999999999998E-2</v>
      </c>
      <c r="Z506" s="32">
        <v>9.9811999999999998E-2</v>
      </c>
      <c r="AA506" s="32">
        <v>0.18646499999999999</v>
      </c>
      <c r="AB506" s="32">
        <v>0.345779</v>
      </c>
    </row>
    <row r="507" spans="1:28" ht="15.6" customHeight="1" x14ac:dyDescent="0.25">
      <c r="A507" s="24" t="s">
        <v>837</v>
      </c>
      <c r="B507" s="50">
        <v>4126</v>
      </c>
      <c r="C507" s="25" t="s">
        <v>838</v>
      </c>
      <c r="D507" s="25" t="s">
        <v>504</v>
      </c>
      <c r="E507" s="25" t="s">
        <v>194</v>
      </c>
      <c r="F507" s="25" t="s">
        <v>113</v>
      </c>
      <c r="G507" s="26" t="s">
        <v>209</v>
      </c>
      <c r="H507" s="27" t="s">
        <v>839</v>
      </c>
      <c r="I507" s="24" t="s">
        <v>106</v>
      </c>
      <c r="J507" s="24" t="s">
        <v>107</v>
      </c>
      <c r="K507" s="28" t="s">
        <v>108</v>
      </c>
      <c r="L507" s="29">
        <v>0.02</v>
      </c>
      <c r="M507" s="29">
        <v>0.02</v>
      </c>
      <c r="N507" s="29">
        <v>0.02</v>
      </c>
      <c r="O507" s="27" t="s">
        <v>161</v>
      </c>
      <c r="P507" s="30" t="s">
        <v>504</v>
      </c>
      <c r="Q507" s="31">
        <v>2187249334.5900002</v>
      </c>
      <c r="R507" s="31">
        <v>1455.57</v>
      </c>
      <c r="S507" s="32">
        <v>-1.9949999999999998E-3</v>
      </c>
      <c r="T507" s="32" t="s">
        <v>139</v>
      </c>
      <c r="U507" s="32">
        <v>3.4400000000000001E-4</v>
      </c>
      <c r="V507" s="32">
        <v>5.0200000000000002E-3</v>
      </c>
      <c r="W507" s="32">
        <v>4.7280000000000004E-3</v>
      </c>
      <c r="X507" s="32">
        <v>5.4299999999999997E-4</v>
      </c>
      <c r="Y507" s="32">
        <v>-7.8659999999999997E-3</v>
      </c>
      <c r="Z507" s="32">
        <v>7.7233999999999997E-2</v>
      </c>
      <c r="AA507" s="32">
        <v>0.168626</v>
      </c>
      <c r="AB507" s="32">
        <v>0.17170199999999999</v>
      </c>
    </row>
    <row r="508" spans="1:28" ht="15.6" customHeight="1" x14ac:dyDescent="0.25">
      <c r="A508" s="24" t="s">
        <v>840</v>
      </c>
      <c r="B508" s="50">
        <v>4127</v>
      </c>
      <c r="C508" s="25" t="s">
        <v>841</v>
      </c>
      <c r="D508" s="25" t="s">
        <v>164</v>
      </c>
      <c r="E508" s="25" t="s">
        <v>194</v>
      </c>
      <c r="F508" s="25" t="s">
        <v>103</v>
      </c>
      <c r="G508" s="26" t="s">
        <v>842</v>
      </c>
      <c r="H508" s="27" t="s">
        <v>169</v>
      </c>
      <c r="I508" s="24" t="s">
        <v>106</v>
      </c>
      <c r="J508" s="24" t="s">
        <v>121</v>
      </c>
      <c r="K508" s="28" t="s">
        <v>108</v>
      </c>
      <c r="L508" s="29">
        <v>0.03</v>
      </c>
      <c r="M508" s="29">
        <v>1.4999999999999999E-2</v>
      </c>
      <c r="N508" s="29">
        <v>0.02</v>
      </c>
      <c r="O508" s="27" t="s">
        <v>166</v>
      </c>
      <c r="P508" s="30" t="s">
        <v>164</v>
      </c>
      <c r="Q508" s="31">
        <v>2255244927.4499998</v>
      </c>
      <c r="R508" s="31">
        <v>182.36</v>
      </c>
      <c r="S508" s="32">
        <v>1.5594E-2</v>
      </c>
      <c r="T508" s="32" t="s">
        <v>139</v>
      </c>
      <c r="U508" s="32">
        <v>2.7399999999999999E-4</v>
      </c>
      <c r="V508" s="32">
        <v>1.8680000000000001E-3</v>
      </c>
      <c r="W508" s="32">
        <v>5.5139999999999998E-3</v>
      </c>
      <c r="X508" s="32">
        <v>1.1594E-2</v>
      </c>
      <c r="Y508" s="32">
        <v>2.2599000000000001E-2</v>
      </c>
      <c r="Z508" s="32">
        <v>4.9131000000000001E-2</v>
      </c>
      <c r="AA508" s="32">
        <v>8.1485000000000002E-2</v>
      </c>
      <c r="AB508" s="32">
        <v>0.11856700000000001</v>
      </c>
    </row>
    <row r="509" spans="1:28" ht="15.6" customHeight="1" x14ac:dyDescent="0.25">
      <c r="A509" s="24" t="s">
        <v>1579</v>
      </c>
      <c r="B509" s="50">
        <v>4128</v>
      </c>
      <c r="C509" s="25" t="s">
        <v>1580</v>
      </c>
      <c r="D509" s="25" t="s">
        <v>159</v>
      </c>
      <c r="E509" s="25" t="s">
        <v>194</v>
      </c>
      <c r="F509" s="25" t="s">
        <v>113</v>
      </c>
      <c r="G509" s="26" t="s">
        <v>439</v>
      </c>
      <c r="H509" s="27" t="s">
        <v>115</v>
      </c>
      <c r="I509" s="24" t="s">
        <v>998</v>
      </c>
      <c r="J509" s="24" t="s">
        <v>121</v>
      </c>
      <c r="K509" s="28" t="s">
        <v>227</v>
      </c>
      <c r="L509" s="29">
        <v>0</v>
      </c>
      <c r="M509" s="29">
        <v>0</v>
      </c>
      <c r="N509" s="29">
        <v>0.02</v>
      </c>
      <c r="O509" s="27" t="s">
        <v>161</v>
      </c>
      <c r="P509" s="30" t="s">
        <v>159</v>
      </c>
      <c r="Q509" s="31">
        <v>1335240735.98</v>
      </c>
      <c r="R509" s="31">
        <v>21178.67</v>
      </c>
      <c r="S509" s="32">
        <v>-7.4050000000000001E-3</v>
      </c>
      <c r="T509" s="32" t="s">
        <v>139</v>
      </c>
      <c r="U509" s="32">
        <v>1.0480000000000001E-3</v>
      </c>
      <c r="V509" s="32">
        <v>3.8E-3</v>
      </c>
      <c r="W509" s="32">
        <v>4.3540000000000002E-3</v>
      </c>
      <c r="X509" s="32">
        <v>-1.7539999999999999E-3</v>
      </c>
      <c r="Y509" s="32">
        <v>-9.4750000000000008E-3</v>
      </c>
      <c r="Z509" s="32">
        <v>8.4293999999999994E-2</v>
      </c>
      <c r="AA509" s="32">
        <v>0.197044</v>
      </c>
      <c r="AB509" s="32">
        <v>0.14580399999999999</v>
      </c>
    </row>
    <row r="510" spans="1:28" ht="15.6" customHeight="1" x14ac:dyDescent="0.25">
      <c r="A510" s="24" t="s">
        <v>843</v>
      </c>
      <c r="B510" s="50">
        <v>4129</v>
      </c>
      <c r="C510" s="25" t="s">
        <v>844</v>
      </c>
      <c r="D510" s="25" t="s">
        <v>112</v>
      </c>
      <c r="E510" s="25" t="s">
        <v>194</v>
      </c>
      <c r="F510" s="25" t="s">
        <v>103</v>
      </c>
      <c r="G510" s="26" t="s">
        <v>401</v>
      </c>
      <c r="H510" s="27" t="s">
        <v>831</v>
      </c>
      <c r="I510" s="24" t="s">
        <v>106</v>
      </c>
      <c r="J510" s="24" t="s">
        <v>107</v>
      </c>
      <c r="K510" s="28" t="s">
        <v>108</v>
      </c>
      <c r="L510" s="29">
        <v>0.03</v>
      </c>
      <c r="M510" s="29">
        <v>1.4999999999999999E-2</v>
      </c>
      <c r="N510" s="29">
        <v>0.02</v>
      </c>
      <c r="O510" s="27" t="s">
        <v>116</v>
      </c>
      <c r="P510" s="30" t="s">
        <v>112</v>
      </c>
      <c r="Q510" s="31">
        <v>34194192.329999998</v>
      </c>
      <c r="R510" s="31">
        <v>3070.32</v>
      </c>
      <c r="S510" s="32">
        <v>1.5180000000000001E-2</v>
      </c>
      <c r="T510" s="32" t="s">
        <v>139</v>
      </c>
      <c r="U510" s="32">
        <v>2.41E-4</v>
      </c>
      <c r="V510" s="32">
        <v>1.7030000000000001E-3</v>
      </c>
      <c r="W510" s="32">
        <v>5.5050000000000003E-3</v>
      </c>
      <c r="X510" s="32">
        <v>1.1414000000000001E-2</v>
      </c>
      <c r="Y510" s="32">
        <v>2.2083999999999999E-2</v>
      </c>
      <c r="Z510" s="32">
        <v>4.8918000000000003E-2</v>
      </c>
      <c r="AA510" s="32">
        <v>8.0364000000000005E-2</v>
      </c>
      <c r="AB510" s="32">
        <v>0.121091</v>
      </c>
    </row>
    <row r="511" spans="1:28" ht="15.6" customHeight="1" x14ac:dyDescent="0.25">
      <c r="A511" s="24" t="s">
        <v>845</v>
      </c>
      <c r="B511" s="50">
        <v>4130</v>
      </c>
      <c r="C511" s="25" t="s">
        <v>846</v>
      </c>
      <c r="D511" s="25" t="s">
        <v>164</v>
      </c>
      <c r="E511" s="25" t="s">
        <v>194</v>
      </c>
      <c r="F511" s="25" t="s">
        <v>103</v>
      </c>
      <c r="G511" s="26" t="s">
        <v>244</v>
      </c>
      <c r="H511" s="27" t="s">
        <v>169</v>
      </c>
      <c r="I511" s="24" t="s">
        <v>106</v>
      </c>
      <c r="J511" s="24" t="s">
        <v>107</v>
      </c>
      <c r="K511" s="28" t="s">
        <v>108</v>
      </c>
      <c r="L511" s="29">
        <v>0</v>
      </c>
      <c r="M511" s="29">
        <v>0</v>
      </c>
      <c r="N511" s="29">
        <v>6.5000000000000006E-3</v>
      </c>
      <c r="O511" s="27" t="s">
        <v>173</v>
      </c>
      <c r="P511" s="30" t="s">
        <v>164</v>
      </c>
      <c r="Q511" s="31">
        <v>2927311527.3800001</v>
      </c>
      <c r="R511" s="31">
        <v>1284.27</v>
      </c>
      <c r="S511" s="32">
        <v>1.6615000000000001E-2</v>
      </c>
      <c r="T511" s="32" t="s">
        <v>139</v>
      </c>
      <c r="U511" s="32">
        <v>2.7999999999999998E-4</v>
      </c>
      <c r="V511" s="32">
        <v>1.9189999999999999E-3</v>
      </c>
      <c r="W511" s="32">
        <v>5.7800000000000004E-3</v>
      </c>
      <c r="X511" s="32">
        <v>1.2279999999999999E-2</v>
      </c>
      <c r="Y511" s="32">
        <v>2.4081999999999999E-2</v>
      </c>
      <c r="Z511" s="32">
        <v>5.3267000000000002E-2</v>
      </c>
      <c r="AA511" s="32">
        <v>8.9620000000000005E-2</v>
      </c>
      <c r="AB511" s="32">
        <v>0.137327</v>
      </c>
    </row>
    <row r="512" spans="1:28" ht="15.6" customHeight="1" x14ac:dyDescent="0.25">
      <c r="A512" s="24" t="s">
        <v>847</v>
      </c>
      <c r="B512" s="50">
        <v>4131</v>
      </c>
      <c r="C512" s="25" t="s">
        <v>848</v>
      </c>
      <c r="D512" s="25" t="s">
        <v>261</v>
      </c>
      <c r="E512" s="25" t="s">
        <v>194</v>
      </c>
      <c r="F512" s="25" t="s">
        <v>103</v>
      </c>
      <c r="G512" s="26" t="s">
        <v>244</v>
      </c>
      <c r="H512" s="27" t="s">
        <v>849</v>
      </c>
      <c r="I512" s="24" t="s">
        <v>106</v>
      </c>
      <c r="J512" s="24" t="s">
        <v>107</v>
      </c>
      <c r="K512" s="28" t="s">
        <v>108</v>
      </c>
      <c r="L512" s="29">
        <v>0</v>
      </c>
      <c r="M512" s="29">
        <v>0</v>
      </c>
      <c r="N512" s="29">
        <v>0.01</v>
      </c>
      <c r="O512" s="27" t="s">
        <v>548</v>
      </c>
      <c r="P512" s="30" t="s">
        <v>261</v>
      </c>
      <c r="Q512" s="31">
        <v>2157779759.96</v>
      </c>
      <c r="R512" s="31">
        <v>142.63</v>
      </c>
      <c r="S512" s="32">
        <v>1.668E-2</v>
      </c>
      <c r="T512" s="32" t="s">
        <v>139</v>
      </c>
      <c r="U512" s="32">
        <v>2.81E-4</v>
      </c>
      <c r="V512" s="32">
        <v>1.967E-3</v>
      </c>
      <c r="W512" s="32">
        <v>5.9950000000000003E-3</v>
      </c>
      <c r="X512" s="32">
        <v>1.2566000000000001E-2</v>
      </c>
      <c r="Y512" s="32">
        <v>2.4493999999999998E-2</v>
      </c>
      <c r="Z512" s="32">
        <v>5.3164000000000003E-2</v>
      </c>
      <c r="AA512" s="32">
        <v>8.8445999999999997E-2</v>
      </c>
      <c r="AB512" s="32">
        <v>0.13306299999999999</v>
      </c>
    </row>
    <row r="513" spans="1:28" ht="15.6" customHeight="1" x14ac:dyDescent="0.25">
      <c r="A513" s="24" t="s">
        <v>850</v>
      </c>
      <c r="B513" s="50">
        <v>4132</v>
      </c>
      <c r="C513" s="25" t="s">
        <v>851</v>
      </c>
      <c r="D513" s="25" t="s">
        <v>261</v>
      </c>
      <c r="E513" s="25" t="s">
        <v>194</v>
      </c>
      <c r="F513" s="25" t="s">
        <v>113</v>
      </c>
      <c r="G513" s="26" t="s">
        <v>852</v>
      </c>
      <c r="H513" s="27" t="s">
        <v>115</v>
      </c>
      <c r="I513" s="24" t="s">
        <v>106</v>
      </c>
      <c r="J513" s="24" t="s">
        <v>107</v>
      </c>
      <c r="K513" s="28" t="s">
        <v>108</v>
      </c>
      <c r="L513" s="29">
        <v>0.01</v>
      </c>
      <c r="M513" s="29">
        <v>5.0000000000000001E-3</v>
      </c>
      <c r="N513" s="29">
        <v>0.01</v>
      </c>
      <c r="O513" s="27" t="s">
        <v>116</v>
      </c>
      <c r="P513" s="30" t="s">
        <v>261</v>
      </c>
      <c r="Q513" s="31">
        <v>1010805025.49</v>
      </c>
      <c r="R513" s="31">
        <v>140.43</v>
      </c>
      <c r="S513" s="32">
        <v>-6.8599999999999998E-3</v>
      </c>
      <c r="T513" s="32" t="s">
        <v>139</v>
      </c>
      <c r="U513" s="32">
        <v>4.9899999999999999E-4</v>
      </c>
      <c r="V513" s="32">
        <v>6.8110000000000002E-3</v>
      </c>
      <c r="W513" s="32">
        <v>3.0000000000000001E-3</v>
      </c>
      <c r="X513" s="32">
        <v>-2.3440000000000002E-3</v>
      </c>
      <c r="Y513" s="32">
        <v>-1.4456999999999999E-2</v>
      </c>
      <c r="Z513" s="32">
        <v>7.4773999999999993E-2</v>
      </c>
      <c r="AA513" s="32">
        <v>0.16752600000000001</v>
      </c>
      <c r="AB513" s="32">
        <v>3.0981999999999999E-2</v>
      </c>
    </row>
    <row r="514" spans="1:28" ht="15.6" customHeight="1" x14ac:dyDescent="0.25">
      <c r="A514" s="24" t="s">
        <v>853</v>
      </c>
      <c r="B514" s="50">
        <v>4133</v>
      </c>
      <c r="C514" s="25" t="s">
        <v>854</v>
      </c>
      <c r="D514" s="25" t="s">
        <v>261</v>
      </c>
      <c r="E514" s="25" t="s">
        <v>194</v>
      </c>
      <c r="F514" s="25" t="s">
        <v>155</v>
      </c>
      <c r="G514" s="26" t="s">
        <v>139</v>
      </c>
      <c r="H514" s="27" t="s">
        <v>202</v>
      </c>
      <c r="I514" s="24" t="s">
        <v>106</v>
      </c>
      <c r="J514" s="24" t="s">
        <v>107</v>
      </c>
      <c r="K514" s="28" t="s">
        <v>108</v>
      </c>
      <c r="L514" s="29">
        <v>0.02</v>
      </c>
      <c r="M514" s="29">
        <v>1.4999999999999999E-2</v>
      </c>
      <c r="N514" s="29">
        <v>0.02</v>
      </c>
      <c r="O514" s="27" t="s">
        <v>116</v>
      </c>
      <c r="P514" s="30" t="s">
        <v>261</v>
      </c>
      <c r="Q514" s="31">
        <v>4306272.93</v>
      </c>
      <c r="R514" s="31">
        <v>144.4</v>
      </c>
      <c r="S514" s="32">
        <v>-6.1727999999999998E-2</v>
      </c>
      <c r="T514" s="32" t="s">
        <v>139</v>
      </c>
      <c r="U514" s="32">
        <v>-8.378E-3</v>
      </c>
      <c r="V514" s="32">
        <v>5.0716999999999998E-2</v>
      </c>
      <c r="W514" s="32">
        <v>3.6686000000000003E-2</v>
      </c>
      <c r="X514" s="32">
        <v>-7.424E-3</v>
      </c>
      <c r="Y514" s="32">
        <v>-0.151586</v>
      </c>
      <c r="Z514" s="32">
        <v>0.13575599999999999</v>
      </c>
      <c r="AA514" s="32">
        <v>0.30820799999999998</v>
      </c>
      <c r="AB514" s="32">
        <v>0.21354699999999999</v>
      </c>
    </row>
    <row r="515" spans="1:28" ht="15.6" customHeight="1" x14ac:dyDescent="0.25">
      <c r="A515" s="24" t="s">
        <v>855</v>
      </c>
      <c r="B515" s="50">
        <v>4138</v>
      </c>
      <c r="C515" s="25" t="s">
        <v>856</v>
      </c>
      <c r="D515" s="25" t="s">
        <v>164</v>
      </c>
      <c r="E515" s="25" t="s">
        <v>194</v>
      </c>
      <c r="F515" s="25" t="s">
        <v>103</v>
      </c>
      <c r="G515" s="26" t="s">
        <v>244</v>
      </c>
      <c r="H515" s="27" t="s">
        <v>857</v>
      </c>
      <c r="I515" s="24" t="s">
        <v>106</v>
      </c>
      <c r="J515" s="24" t="s">
        <v>107</v>
      </c>
      <c r="K515" s="28" t="s">
        <v>108</v>
      </c>
      <c r="L515" s="29">
        <v>0.01</v>
      </c>
      <c r="M515" s="29">
        <v>0.01</v>
      </c>
      <c r="N515" s="29">
        <v>0.01</v>
      </c>
      <c r="O515" s="27" t="s">
        <v>166</v>
      </c>
      <c r="P515" s="30" t="s">
        <v>164</v>
      </c>
      <c r="Q515" s="31">
        <v>5883313487.1999998</v>
      </c>
      <c r="R515" s="31">
        <v>1234.3900000000001</v>
      </c>
      <c r="S515" s="32">
        <v>1.6761999999999999E-2</v>
      </c>
      <c r="T515" s="32" t="s">
        <v>139</v>
      </c>
      <c r="U515" s="32">
        <v>2.8400000000000002E-4</v>
      </c>
      <c r="V515" s="32">
        <v>1.9970000000000001E-3</v>
      </c>
      <c r="W515" s="32">
        <v>6.0470000000000003E-3</v>
      </c>
      <c r="X515" s="32">
        <v>1.2508999999999999E-2</v>
      </c>
      <c r="Y515" s="32">
        <v>2.4466999999999999E-2</v>
      </c>
      <c r="Z515" s="32">
        <v>5.6406999999999999E-2</v>
      </c>
      <c r="AA515" s="32">
        <v>9.0690999999999994E-2</v>
      </c>
      <c r="AB515" s="32">
        <v>0.134685</v>
      </c>
    </row>
    <row r="516" spans="1:28" ht="15.6" customHeight="1" x14ac:dyDescent="0.25">
      <c r="A516" s="24" t="s">
        <v>858</v>
      </c>
      <c r="B516" s="50">
        <v>4139</v>
      </c>
      <c r="C516" s="25" t="s">
        <v>859</v>
      </c>
      <c r="D516" s="25" t="s">
        <v>504</v>
      </c>
      <c r="E516" s="25" t="s">
        <v>194</v>
      </c>
      <c r="F516" s="25" t="s">
        <v>128</v>
      </c>
      <c r="G516" s="26" t="s">
        <v>289</v>
      </c>
      <c r="H516" s="27" t="s">
        <v>130</v>
      </c>
      <c r="I516" s="24" t="s">
        <v>106</v>
      </c>
      <c r="J516" s="24" t="s">
        <v>107</v>
      </c>
      <c r="K516" s="28" t="s">
        <v>108</v>
      </c>
      <c r="L516" s="29">
        <v>0.01</v>
      </c>
      <c r="M516" s="29">
        <v>0.01</v>
      </c>
      <c r="N516" s="29">
        <v>0.01</v>
      </c>
      <c r="O516" s="27" t="s">
        <v>161</v>
      </c>
      <c r="P516" s="30" t="s">
        <v>504</v>
      </c>
      <c r="Q516" s="31">
        <v>6720367546.5200005</v>
      </c>
      <c r="R516" s="31">
        <v>1326.05</v>
      </c>
      <c r="S516" s="32">
        <v>2.0140000000000002E-2</v>
      </c>
      <c r="T516" s="32" t="s">
        <v>139</v>
      </c>
      <c r="U516" s="32">
        <v>4.5300000000000001E-4</v>
      </c>
      <c r="V516" s="32">
        <v>2.555E-3</v>
      </c>
      <c r="W516" s="32">
        <v>7.5069999999999998E-3</v>
      </c>
      <c r="X516" s="32">
        <v>1.5398999999999999E-2</v>
      </c>
      <c r="Y516" s="32">
        <v>2.8097E-2</v>
      </c>
      <c r="Z516" s="32">
        <v>6.5331E-2</v>
      </c>
      <c r="AA516" s="32">
        <v>0.11013000000000001</v>
      </c>
      <c r="AB516" s="32">
        <v>0.157081</v>
      </c>
    </row>
    <row r="517" spans="1:28" ht="15.6" customHeight="1" x14ac:dyDescent="0.25">
      <c r="A517" s="24" t="s">
        <v>860</v>
      </c>
      <c r="B517" s="50">
        <v>4140</v>
      </c>
      <c r="C517" s="25" t="s">
        <v>861</v>
      </c>
      <c r="D517" s="25" t="s">
        <v>322</v>
      </c>
      <c r="E517" s="25" t="s">
        <v>194</v>
      </c>
      <c r="F517" s="25" t="s">
        <v>128</v>
      </c>
      <c r="G517" s="26" t="s">
        <v>289</v>
      </c>
      <c r="H517" s="27" t="s">
        <v>130</v>
      </c>
      <c r="I517" s="24" t="s">
        <v>106</v>
      </c>
      <c r="J517" s="24" t="s">
        <v>107</v>
      </c>
      <c r="K517" s="28" t="s">
        <v>108</v>
      </c>
      <c r="L517" s="29">
        <v>0.03</v>
      </c>
      <c r="M517" s="29">
        <v>1.4999999999999999E-2</v>
      </c>
      <c r="N517" s="29">
        <v>0.02</v>
      </c>
      <c r="O517" s="27" t="s">
        <v>161</v>
      </c>
      <c r="P517" s="30" t="s">
        <v>322</v>
      </c>
      <c r="Q517" s="31">
        <v>664614.03</v>
      </c>
      <c r="R517" s="31">
        <v>127.42</v>
      </c>
      <c r="S517" s="32">
        <v>1.4248E-2</v>
      </c>
      <c r="T517" s="32" t="s">
        <v>139</v>
      </c>
      <c r="U517" s="32">
        <v>3.1399999999999999E-4</v>
      </c>
      <c r="V517" s="32">
        <v>1.8079999999999999E-3</v>
      </c>
      <c r="W517" s="32">
        <v>4.731E-3</v>
      </c>
      <c r="X517" s="32">
        <v>1.119E-2</v>
      </c>
      <c r="Y517" s="32">
        <v>1.985E-2</v>
      </c>
      <c r="Z517" s="32">
        <v>4.3314999999999999E-2</v>
      </c>
      <c r="AA517" s="32">
        <v>7.5636999999999996E-2</v>
      </c>
      <c r="AB517" s="32">
        <v>0.11351899999999999</v>
      </c>
    </row>
    <row r="518" spans="1:28" ht="15.6" customHeight="1" x14ac:dyDescent="0.25">
      <c r="A518" s="24" t="s">
        <v>1581</v>
      </c>
      <c r="B518" s="50">
        <v>4141</v>
      </c>
      <c r="C518" s="25" t="s">
        <v>1582</v>
      </c>
      <c r="D518" s="25" t="s">
        <v>322</v>
      </c>
      <c r="E518" s="25" t="s">
        <v>194</v>
      </c>
      <c r="F518" s="25" t="s">
        <v>113</v>
      </c>
      <c r="G518" s="26" t="s">
        <v>431</v>
      </c>
      <c r="H518" s="27" t="s">
        <v>115</v>
      </c>
      <c r="I518" s="24" t="s">
        <v>998</v>
      </c>
      <c r="J518" s="24" t="s">
        <v>107</v>
      </c>
      <c r="K518" s="28" t="s">
        <v>108</v>
      </c>
      <c r="L518" s="29">
        <v>0.03</v>
      </c>
      <c r="M518" s="29">
        <v>1.4999999999999999E-2</v>
      </c>
      <c r="N518" s="29">
        <v>0.02</v>
      </c>
      <c r="O518" s="27" t="s">
        <v>161</v>
      </c>
      <c r="P518" s="30" t="s">
        <v>322</v>
      </c>
      <c r="Q518" s="31">
        <v>67619245.640000001</v>
      </c>
      <c r="R518" s="31">
        <v>124.42</v>
      </c>
      <c r="S518" s="32">
        <v>1.6100000000000001E-3</v>
      </c>
      <c r="T518" s="32" t="s">
        <v>139</v>
      </c>
      <c r="U518" s="32">
        <v>5.6300000000000002E-4</v>
      </c>
      <c r="V518" s="32">
        <v>2.4979999999999998E-3</v>
      </c>
      <c r="W518" s="32">
        <v>3.0639999999999999E-3</v>
      </c>
      <c r="X518" s="32">
        <v>1.449E-3</v>
      </c>
      <c r="Y518" s="32">
        <v>-2.085E-3</v>
      </c>
      <c r="Z518" s="32">
        <v>5.4942999999999999E-2</v>
      </c>
      <c r="AA518" s="32">
        <v>0.13356399999999999</v>
      </c>
      <c r="AB518" s="32">
        <v>2.767E-2</v>
      </c>
    </row>
    <row r="519" spans="1:28" ht="15.6" customHeight="1" x14ac:dyDescent="0.25">
      <c r="A519" s="24" t="s">
        <v>1583</v>
      </c>
      <c r="B519" s="50">
        <v>4143</v>
      </c>
      <c r="C519" s="25" t="s">
        <v>1584</v>
      </c>
      <c r="D519" s="25" t="s">
        <v>164</v>
      </c>
      <c r="E519" s="25" t="s">
        <v>194</v>
      </c>
      <c r="F519" s="25" t="s">
        <v>155</v>
      </c>
      <c r="G519" s="26" t="s">
        <v>139</v>
      </c>
      <c r="H519" s="27" t="s">
        <v>1585</v>
      </c>
      <c r="I519" s="24" t="s">
        <v>998</v>
      </c>
      <c r="J519" s="24" t="s">
        <v>107</v>
      </c>
      <c r="K519" s="28" t="s">
        <v>108</v>
      </c>
      <c r="L519" s="29">
        <v>0.03</v>
      </c>
      <c r="M519" s="29">
        <v>1.4999999999999999E-2</v>
      </c>
      <c r="N519" s="29">
        <v>0.02</v>
      </c>
      <c r="O519" s="27" t="s">
        <v>173</v>
      </c>
      <c r="P519" s="30" t="s">
        <v>164</v>
      </c>
      <c r="Q519" s="31">
        <v>35935862.159999996</v>
      </c>
      <c r="R519" s="31">
        <v>1045.52</v>
      </c>
      <c r="S519" s="32">
        <v>6.4045000000000005E-2</v>
      </c>
      <c r="T519" s="32" t="s">
        <v>139</v>
      </c>
      <c r="U519" s="32">
        <v>-1.1150999999999999E-2</v>
      </c>
      <c r="V519" s="32">
        <v>6.5151000000000001E-2</v>
      </c>
      <c r="W519" s="32">
        <v>2.7456999999999999E-2</v>
      </c>
      <c r="X519" s="32">
        <v>8.3317000000000002E-2</v>
      </c>
      <c r="Y519" s="32">
        <v>-4.5430999999999999E-2</v>
      </c>
      <c r="Z519" s="32">
        <v>0.34439199999999998</v>
      </c>
      <c r="AA519" s="32">
        <v>0.57476799999999995</v>
      </c>
      <c r="AB519" s="32">
        <v>0.45490000000000003</v>
      </c>
    </row>
    <row r="520" spans="1:28" ht="15.6" customHeight="1" x14ac:dyDescent="0.25">
      <c r="A520" s="24" t="s">
        <v>1586</v>
      </c>
      <c r="B520" s="50">
        <v>4144</v>
      </c>
      <c r="C520" s="25" t="s">
        <v>1587</v>
      </c>
      <c r="D520" s="25" t="s">
        <v>164</v>
      </c>
      <c r="E520" s="25" t="s">
        <v>194</v>
      </c>
      <c r="F520" s="25" t="s">
        <v>138</v>
      </c>
      <c r="G520" s="26" t="s">
        <v>139</v>
      </c>
      <c r="H520" s="27" t="s">
        <v>1588</v>
      </c>
      <c r="I520" s="24" t="s">
        <v>998</v>
      </c>
      <c r="J520" s="24" t="s">
        <v>107</v>
      </c>
      <c r="K520" s="28" t="s">
        <v>108</v>
      </c>
      <c r="L520" s="29">
        <v>0.03</v>
      </c>
      <c r="M520" s="29">
        <v>1.4999999999999999E-2</v>
      </c>
      <c r="N520" s="29">
        <v>1.4999999999999999E-2</v>
      </c>
      <c r="O520" s="27" t="s">
        <v>173</v>
      </c>
      <c r="P520" s="30" t="s">
        <v>164</v>
      </c>
      <c r="Q520" s="31">
        <v>645010108.87</v>
      </c>
      <c r="R520" s="31">
        <v>739.08</v>
      </c>
      <c r="S520" s="32">
        <v>4.5079000000000001E-2</v>
      </c>
      <c r="T520" s="32" t="s">
        <v>139</v>
      </c>
      <c r="U520" s="32">
        <v>-6.1590000000000004E-3</v>
      </c>
      <c r="V520" s="32">
        <v>4.3338000000000002E-2</v>
      </c>
      <c r="W520" s="32">
        <v>1.6420000000000001E-2</v>
      </c>
      <c r="X520" s="32">
        <v>5.3165999999999998E-2</v>
      </c>
      <c r="Y520" s="32">
        <v>-1.0139E-2</v>
      </c>
      <c r="Z520" s="32">
        <v>0.23544499999999999</v>
      </c>
      <c r="AA520" s="32">
        <v>0.37549300000000002</v>
      </c>
      <c r="AB520" s="32">
        <v>0.312357</v>
      </c>
    </row>
    <row r="521" spans="1:28" ht="15.6" customHeight="1" x14ac:dyDescent="0.25">
      <c r="A521" s="24" t="s">
        <v>1589</v>
      </c>
      <c r="B521" s="50">
        <v>4145</v>
      </c>
      <c r="C521" s="25" t="s">
        <v>1590</v>
      </c>
      <c r="D521" s="25" t="s">
        <v>164</v>
      </c>
      <c r="E521" s="25" t="s">
        <v>194</v>
      </c>
      <c r="F521" s="25" t="s">
        <v>113</v>
      </c>
      <c r="G521" s="26" t="s">
        <v>176</v>
      </c>
      <c r="H521" s="27" t="s">
        <v>1591</v>
      </c>
      <c r="I521" s="24" t="s">
        <v>998</v>
      </c>
      <c r="J521" s="24" t="s">
        <v>107</v>
      </c>
      <c r="K521" s="28" t="s">
        <v>108</v>
      </c>
      <c r="L521" s="29">
        <v>0.03</v>
      </c>
      <c r="M521" s="29">
        <v>1.4999999999999999E-2</v>
      </c>
      <c r="N521" s="29">
        <v>0.01</v>
      </c>
      <c r="O521" s="27" t="s">
        <v>173</v>
      </c>
      <c r="P521" s="30" t="s">
        <v>164</v>
      </c>
      <c r="Q521" s="31">
        <v>31253158.620000001</v>
      </c>
      <c r="R521" s="31">
        <v>263.88</v>
      </c>
      <c r="S521" s="32">
        <v>7.2519999999999998E-3</v>
      </c>
      <c r="T521" s="32" t="s">
        <v>139</v>
      </c>
      <c r="U521" s="32">
        <v>3.4099999999999999E-4</v>
      </c>
      <c r="V521" s="32">
        <v>9.2169999999999995E-3</v>
      </c>
      <c r="W521" s="32">
        <v>5.7549999999999997E-3</v>
      </c>
      <c r="X521" s="32">
        <v>8.1759999999999992E-3</v>
      </c>
      <c r="Y521" s="32">
        <v>-6.1390000000000004E-3</v>
      </c>
      <c r="Z521" s="32">
        <v>5.2908999999999998E-2</v>
      </c>
      <c r="AA521" s="32">
        <v>0.162416</v>
      </c>
      <c r="AB521" s="32">
        <v>0.146756</v>
      </c>
    </row>
    <row r="522" spans="1:28" ht="15.6" customHeight="1" x14ac:dyDescent="0.25">
      <c r="A522" s="24" t="s">
        <v>1592</v>
      </c>
      <c r="B522" s="50">
        <v>4147</v>
      </c>
      <c r="C522" s="25" t="s">
        <v>1593</v>
      </c>
      <c r="D522" s="25" t="s">
        <v>164</v>
      </c>
      <c r="E522" s="25" t="s">
        <v>194</v>
      </c>
      <c r="F522" s="25" t="s">
        <v>155</v>
      </c>
      <c r="G522" s="26" t="s">
        <v>139</v>
      </c>
      <c r="H522" s="27" t="s">
        <v>156</v>
      </c>
      <c r="I522" s="24" t="s">
        <v>998</v>
      </c>
      <c r="J522" s="24" t="s">
        <v>107</v>
      </c>
      <c r="K522" s="28" t="s">
        <v>180</v>
      </c>
      <c r="L522" s="29">
        <v>0.03</v>
      </c>
      <c r="M522" s="29">
        <v>1.4999999999999999E-2</v>
      </c>
      <c r="N522" s="29">
        <v>0.02</v>
      </c>
      <c r="O522" s="27" t="s">
        <v>166</v>
      </c>
      <c r="P522" s="30" t="s">
        <v>627</v>
      </c>
      <c r="Q522" s="31">
        <v>178874715.66999999</v>
      </c>
      <c r="R522" s="31">
        <v>1136.3499999999999</v>
      </c>
      <c r="S522" s="32">
        <v>5.8592999999999999E-2</v>
      </c>
      <c r="T522" s="32" t="s">
        <v>139</v>
      </c>
      <c r="U522" s="32">
        <v>-1.107E-2</v>
      </c>
      <c r="V522" s="32">
        <v>5.6037999999999998E-2</v>
      </c>
      <c r="W522" s="32">
        <v>3.3169999999999998E-2</v>
      </c>
      <c r="X522" s="32">
        <v>7.0791000000000007E-2</v>
      </c>
      <c r="Y522" s="32">
        <v>-3.9611E-2</v>
      </c>
      <c r="Z522" s="32">
        <v>0.25441799999999998</v>
      </c>
      <c r="AA522" s="32">
        <v>0.40759800000000002</v>
      </c>
      <c r="AB522" s="32">
        <v>0.27759600000000001</v>
      </c>
    </row>
    <row r="523" spans="1:28" ht="15.6" customHeight="1" x14ac:dyDescent="0.25">
      <c r="A523" s="24" t="s">
        <v>862</v>
      </c>
      <c r="B523" s="50">
        <v>4150</v>
      </c>
      <c r="C523" s="25" t="s">
        <v>863</v>
      </c>
      <c r="D523" s="25" t="s">
        <v>164</v>
      </c>
      <c r="E523" s="25" t="s">
        <v>194</v>
      </c>
      <c r="F523" s="25" t="s">
        <v>113</v>
      </c>
      <c r="G523" s="26" t="s">
        <v>347</v>
      </c>
      <c r="H523" s="27" t="s">
        <v>115</v>
      </c>
      <c r="I523" s="24" t="s">
        <v>106</v>
      </c>
      <c r="J523" s="24" t="s">
        <v>121</v>
      </c>
      <c r="K523" s="28" t="s">
        <v>227</v>
      </c>
      <c r="L523" s="29">
        <v>0.03</v>
      </c>
      <c r="M523" s="29">
        <v>1.4999999999999999E-2</v>
      </c>
      <c r="N523" s="29">
        <v>0.02</v>
      </c>
      <c r="O523" s="27" t="s">
        <v>173</v>
      </c>
      <c r="P523" s="30" t="s">
        <v>663</v>
      </c>
      <c r="Q523" s="31">
        <v>1408962287.3800001</v>
      </c>
      <c r="R523" s="31">
        <v>1155.94</v>
      </c>
      <c r="S523" s="32">
        <v>-4.483E-3</v>
      </c>
      <c r="T523" s="32" t="s">
        <v>139</v>
      </c>
      <c r="U523" s="32">
        <v>5.9699999999999998E-4</v>
      </c>
      <c r="V523" s="32">
        <v>8.8669999999999999E-3</v>
      </c>
      <c r="W523" s="32">
        <v>2.3240000000000001E-3</v>
      </c>
      <c r="X523" s="32">
        <v>-9.77E-4</v>
      </c>
      <c r="Y523" s="32">
        <v>-1.2197E-2</v>
      </c>
      <c r="Z523" s="32">
        <v>9.2131000000000005E-2</v>
      </c>
      <c r="AA523" s="32">
        <v>0.20510300000000001</v>
      </c>
      <c r="AB523" s="32">
        <v>0.13835800000000001</v>
      </c>
    </row>
    <row r="524" spans="1:28" ht="15.6" customHeight="1" x14ac:dyDescent="0.25">
      <c r="A524" s="24" t="s">
        <v>864</v>
      </c>
      <c r="B524" s="50">
        <v>4151</v>
      </c>
      <c r="C524" s="25" t="s">
        <v>865</v>
      </c>
      <c r="D524" s="25" t="s">
        <v>164</v>
      </c>
      <c r="E524" s="25" t="s">
        <v>194</v>
      </c>
      <c r="F524" s="25" t="s">
        <v>113</v>
      </c>
      <c r="G524" s="26" t="s">
        <v>866</v>
      </c>
      <c r="H524" s="27" t="s">
        <v>115</v>
      </c>
      <c r="I524" s="24" t="s">
        <v>106</v>
      </c>
      <c r="J524" s="24" t="s">
        <v>107</v>
      </c>
      <c r="K524" s="28" t="s">
        <v>108</v>
      </c>
      <c r="L524" s="29">
        <v>0.03</v>
      </c>
      <c r="M524" s="29">
        <v>1.4999999999999999E-2</v>
      </c>
      <c r="N524" s="29">
        <v>0.02</v>
      </c>
      <c r="O524" s="27" t="s">
        <v>173</v>
      </c>
      <c r="P524" s="30" t="s">
        <v>663</v>
      </c>
      <c r="Q524" s="31">
        <v>148987301.69999999</v>
      </c>
      <c r="R524" s="31">
        <v>1243.08</v>
      </c>
      <c r="S524" s="32">
        <v>6.0210000000000003E-3</v>
      </c>
      <c r="T524" s="32" t="s">
        <v>139</v>
      </c>
      <c r="U524" s="32">
        <v>7.0799999999999997E-4</v>
      </c>
      <c r="V524" s="32">
        <v>7.8729999999999998E-3</v>
      </c>
      <c r="W524" s="32">
        <v>6.8199999999999997E-3</v>
      </c>
      <c r="X524" s="32">
        <v>5.8339999999999998E-3</v>
      </c>
      <c r="Y524" s="32">
        <v>-5.5760000000000002E-3</v>
      </c>
      <c r="Z524" s="32">
        <v>6.7882999999999999E-2</v>
      </c>
      <c r="AA524" s="32">
        <v>0.15453800000000001</v>
      </c>
      <c r="AB524" s="32">
        <v>0.15273999999999999</v>
      </c>
    </row>
    <row r="525" spans="1:28" ht="15.6" customHeight="1" x14ac:dyDescent="0.25">
      <c r="A525" s="24" t="s">
        <v>1594</v>
      </c>
      <c r="B525" s="50">
        <v>4152</v>
      </c>
      <c r="C525" s="25" t="s">
        <v>1595</v>
      </c>
      <c r="D525" s="25" t="s">
        <v>112</v>
      </c>
      <c r="E525" s="25" t="s">
        <v>194</v>
      </c>
      <c r="F525" s="25" t="s">
        <v>155</v>
      </c>
      <c r="G525" s="26" t="s">
        <v>139</v>
      </c>
      <c r="H525" s="27" t="s">
        <v>588</v>
      </c>
      <c r="I525" s="24" t="s">
        <v>998</v>
      </c>
      <c r="J525" s="24" t="s">
        <v>121</v>
      </c>
      <c r="K525" s="28" t="s">
        <v>108</v>
      </c>
      <c r="L525" s="29">
        <v>0.03</v>
      </c>
      <c r="M525" s="29">
        <v>1.4999999999999999E-2</v>
      </c>
      <c r="N525" s="29">
        <v>0.02</v>
      </c>
      <c r="O525" s="27" t="s">
        <v>116</v>
      </c>
      <c r="P525" s="30" t="s">
        <v>112</v>
      </c>
      <c r="Q525" s="31">
        <v>2650123931.6399999</v>
      </c>
      <c r="R525" s="31">
        <v>3352.99</v>
      </c>
      <c r="S525" s="32">
        <v>-2.2398000000000001E-2</v>
      </c>
      <c r="T525" s="32" t="s">
        <v>139</v>
      </c>
      <c r="U525" s="32">
        <v>-9.2929999999999992E-3</v>
      </c>
      <c r="V525" s="32">
        <v>6.4552999999999999E-2</v>
      </c>
      <c r="W525" s="32">
        <v>3.4681999999999998E-2</v>
      </c>
      <c r="X525" s="32">
        <v>3.1308000000000002E-2</v>
      </c>
      <c r="Y525" s="32">
        <v>-0.120656</v>
      </c>
      <c r="Z525" s="32">
        <v>0.264044</v>
      </c>
      <c r="AA525" s="32">
        <v>0.46811799999999998</v>
      </c>
      <c r="AB525" s="32">
        <v>0.43630200000000002</v>
      </c>
    </row>
    <row r="526" spans="1:28" ht="15.6" customHeight="1" x14ac:dyDescent="0.25">
      <c r="A526" s="24" t="s">
        <v>1596</v>
      </c>
      <c r="B526" s="50">
        <v>4155</v>
      </c>
      <c r="C526" s="25" t="s">
        <v>1597</v>
      </c>
      <c r="D526" s="25" t="s">
        <v>164</v>
      </c>
      <c r="E526" s="25" t="s">
        <v>194</v>
      </c>
      <c r="F526" s="25" t="s">
        <v>155</v>
      </c>
      <c r="G526" s="26" t="s">
        <v>139</v>
      </c>
      <c r="H526" s="27" t="s">
        <v>139</v>
      </c>
      <c r="I526" s="24" t="s">
        <v>998</v>
      </c>
      <c r="J526" s="24" t="s">
        <v>121</v>
      </c>
      <c r="K526" s="28" t="s">
        <v>180</v>
      </c>
      <c r="L526" s="29">
        <v>0</v>
      </c>
      <c r="M526" s="29">
        <v>1.4999999999999999E-2</v>
      </c>
      <c r="N526" s="29">
        <v>0</v>
      </c>
      <c r="O526" s="27" t="s">
        <v>166</v>
      </c>
      <c r="P526" s="30" t="s">
        <v>164</v>
      </c>
      <c r="Q526" s="31">
        <v>973707031.71000004</v>
      </c>
      <c r="R526" s="31">
        <v>2574.98</v>
      </c>
      <c r="S526" s="32">
        <v>0.12812499999999999</v>
      </c>
      <c r="T526" s="32" t="s">
        <v>139</v>
      </c>
      <c r="U526" s="32">
        <v>-1.0225E-2</v>
      </c>
      <c r="V526" s="32">
        <v>6.7610000000000003E-2</v>
      </c>
      <c r="W526" s="32">
        <v>1.4726E-2</v>
      </c>
      <c r="X526" s="32">
        <v>0.103385</v>
      </c>
      <c r="Y526" s="32">
        <v>5.0930999999999997E-2</v>
      </c>
      <c r="Z526" s="32">
        <v>0.52277700000000005</v>
      </c>
      <c r="AA526" s="32">
        <v>0.75849500000000003</v>
      </c>
      <c r="AB526" s="32">
        <v>0.69379999999999997</v>
      </c>
    </row>
    <row r="527" spans="1:28" ht="15.6" customHeight="1" x14ac:dyDescent="0.25">
      <c r="A527" s="24" t="s">
        <v>1598</v>
      </c>
      <c r="B527" s="50">
        <v>4156</v>
      </c>
      <c r="C527" s="25" t="s">
        <v>1599</v>
      </c>
      <c r="D527" s="25" t="s">
        <v>127</v>
      </c>
      <c r="E527" s="25" t="s">
        <v>194</v>
      </c>
      <c r="F527" s="25" t="s">
        <v>138</v>
      </c>
      <c r="G527" s="26" t="s">
        <v>139</v>
      </c>
      <c r="H527" s="27" t="s">
        <v>1600</v>
      </c>
      <c r="I527" s="24" t="s">
        <v>998</v>
      </c>
      <c r="J527" s="24" t="s">
        <v>107</v>
      </c>
      <c r="K527" s="28" t="s">
        <v>227</v>
      </c>
      <c r="L527" s="29">
        <v>0.02</v>
      </c>
      <c r="M527" s="29">
        <v>0.02</v>
      </c>
      <c r="N527" s="29">
        <v>0.02</v>
      </c>
      <c r="O527" s="27" t="s">
        <v>131</v>
      </c>
      <c r="P527" s="30" t="s">
        <v>131</v>
      </c>
      <c r="Q527" s="31">
        <v>217573242.47</v>
      </c>
      <c r="R527" s="31">
        <v>1295.3399999999999</v>
      </c>
      <c r="S527" s="32">
        <v>-3.1862000000000001E-2</v>
      </c>
      <c r="T527" s="32" t="s">
        <v>139</v>
      </c>
      <c r="U527" s="32">
        <v>-4.0980000000000001E-3</v>
      </c>
      <c r="V527" s="32">
        <v>2.6637999999999998E-2</v>
      </c>
      <c r="W527" s="32">
        <v>5.1209999999999997E-3</v>
      </c>
      <c r="X527" s="32">
        <v>2.1006E-2</v>
      </c>
      <c r="Y527" s="32">
        <v>-8.0490999999999993E-2</v>
      </c>
      <c r="Z527" s="32">
        <v>8.6976999999999999E-2</v>
      </c>
      <c r="AA527" s="32">
        <v>0.19608900000000001</v>
      </c>
      <c r="AB527" s="32">
        <v>0.17275199999999999</v>
      </c>
    </row>
    <row r="528" spans="1:28" ht="15.6" customHeight="1" x14ac:dyDescent="0.25">
      <c r="A528" s="24" t="s">
        <v>867</v>
      </c>
      <c r="B528" s="50">
        <v>4159</v>
      </c>
      <c r="C528" s="25" t="s">
        <v>868</v>
      </c>
      <c r="D528" s="25" t="s">
        <v>112</v>
      </c>
      <c r="E528" s="25" t="s">
        <v>194</v>
      </c>
      <c r="F528" s="25" t="s">
        <v>113</v>
      </c>
      <c r="G528" s="26" t="s">
        <v>531</v>
      </c>
      <c r="H528" s="27" t="s">
        <v>199</v>
      </c>
      <c r="I528" s="24" t="s">
        <v>106</v>
      </c>
      <c r="J528" s="24" t="s">
        <v>121</v>
      </c>
      <c r="K528" s="28" t="s">
        <v>108</v>
      </c>
      <c r="L528" s="29">
        <v>0.03</v>
      </c>
      <c r="M528" s="29">
        <v>1.4999999999999999E-2</v>
      </c>
      <c r="N528" s="29">
        <v>0.02</v>
      </c>
      <c r="O528" s="27" t="s">
        <v>116</v>
      </c>
      <c r="P528" s="30" t="s">
        <v>112</v>
      </c>
      <c r="Q528" s="31">
        <v>2000060331.5999999</v>
      </c>
      <c r="R528" s="31">
        <v>1226.79</v>
      </c>
      <c r="S528" s="32">
        <v>6.927E-3</v>
      </c>
      <c r="T528" s="32" t="s">
        <v>139</v>
      </c>
      <c r="U528" s="32">
        <v>1.2570000000000001E-3</v>
      </c>
      <c r="V528" s="32">
        <v>4.2069999999999998E-3</v>
      </c>
      <c r="W528" s="32">
        <v>6.6550000000000003E-3</v>
      </c>
      <c r="X528" s="32">
        <v>5.5900000000000004E-3</v>
      </c>
      <c r="Y528" s="32">
        <v>5.5240000000000003E-3</v>
      </c>
      <c r="Z528" s="32">
        <v>8.8661000000000004E-2</v>
      </c>
      <c r="AA528" s="32">
        <v>0.18237999999999999</v>
      </c>
      <c r="AB528" s="32">
        <v>0.18858900000000001</v>
      </c>
    </row>
    <row r="529" spans="1:28" ht="15.6" customHeight="1" x14ac:dyDescent="0.25">
      <c r="A529" s="24" t="s">
        <v>869</v>
      </c>
      <c r="B529" s="50">
        <v>4160</v>
      </c>
      <c r="C529" s="25" t="s">
        <v>870</v>
      </c>
      <c r="D529" s="25" t="s">
        <v>112</v>
      </c>
      <c r="E529" s="25" t="s">
        <v>194</v>
      </c>
      <c r="F529" s="25" t="s">
        <v>103</v>
      </c>
      <c r="G529" s="26" t="s">
        <v>244</v>
      </c>
      <c r="H529" s="27" t="s">
        <v>567</v>
      </c>
      <c r="I529" s="24" t="s">
        <v>106</v>
      </c>
      <c r="J529" s="24" t="s">
        <v>107</v>
      </c>
      <c r="K529" s="28" t="s">
        <v>108</v>
      </c>
      <c r="L529" s="29">
        <v>0.03</v>
      </c>
      <c r="M529" s="29">
        <v>1.4999999999999999E-2</v>
      </c>
      <c r="N529" s="29">
        <v>0.02</v>
      </c>
      <c r="O529" s="27" t="s">
        <v>161</v>
      </c>
      <c r="P529" s="30" t="s">
        <v>112</v>
      </c>
      <c r="Q529" s="31">
        <v>179721684.15000001</v>
      </c>
      <c r="R529" s="31">
        <v>1145.43</v>
      </c>
      <c r="S529" s="32">
        <v>1.7446E-2</v>
      </c>
      <c r="T529" s="32" t="s">
        <v>139</v>
      </c>
      <c r="U529" s="32">
        <v>2.9700000000000001E-4</v>
      </c>
      <c r="V529" s="32">
        <v>2.1519999999999998E-3</v>
      </c>
      <c r="W529" s="32">
        <v>6.2810000000000001E-3</v>
      </c>
      <c r="X529" s="32">
        <v>1.3259999999999999E-2</v>
      </c>
      <c r="Y529" s="32">
        <v>2.5139999999999999E-2</v>
      </c>
      <c r="Z529" s="32">
        <v>5.5404000000000002E-2</v>
      </c>
      <c r="AA529" s="32">
        <v>8.9879000000000001E-2</v>
      </c>
      <c r="AB529" s="32">
        <v>0.134516</v>
      </c>
    </row>
    <row r="530" spans="1:28" ht="15.6" customHeight="1" x14ac:dyDescent="0.25">
      <c r="A530" s="24" t="s">
        <v>871</v>
      </c>
      <c r="B530" s="50">
        <v>4161</v>
      </c>
      <c r="C530" s="25" t="s">
        <v>872</v>
      </c>
      <c r="D530" s="25" t="s">
        <v>112</v>
      </c>
      <c r="E530" s="25" t="s">
        <v>194</v>
      </c>
      <c r="F530" s="25" t="s">
        <v>128</v>
      </c>
      <c r="G530" s="26" t="s">
        <v>289</v>
      </c>
      <c r="H530" s="27" t="s">
        <v>130</v>
      </c>
      <c r="I530" s="24" t="s">
        <v>106</v>
      </c>
      <c r="J530" s="24" t="s">
        <v>107</v>
      </c>
      <c r="K530" s="28" t="s">
        <v>108</v>
      </c>
      <c r="L530" s="29">
        <v>0.03</v>
      </c>
      <c r="M530" s="29">
        <v>1.4999999999999999E-2</v>
      </c>
      <c r="N530" s="29">
        <v>0.02</v>
      </c>
      <c r="O530" s="27" t="s">
        <v>161</v>
      </c>
      <c r="P530" s="30" t="s">
        <v>112</v>
      </c>
      <c r="Q530" s="31">
        <v>1115958.28</v>
      </c>
      <c r="R530" s="31">
        <v>1115.95</v>
      </c>
      <c r="S530" s="32">
        <v>1.3625E-2</v>
      </c>
      <c r="T530" s="32" t="s">
        <v>139</v>
      </c>
      <c r="U530" s="32">
        <v>4.2999999999999999E-4</v>
      </c>
      <c r="V530" s="32">
        <v>2.0019999999999999E-3</v>
      </c>
      <c r="W530" s="32">
        <v>5.025E-3</v>
      </c>
      <c r="X530" s="32">
        <v>1.0640999999999999E-2</v>
      </c>
      <c r="Y530" s="32">
        <v>1.8908999999999999E-2</v>
      </c>
      <c r="Z530" s="32">
        <v>4.4319999999999998E-2</v>
      </c>
      <c r="AA530" s="32">
        <v>7.4672000000000002E-2</v>
      </c>
      <c r="AB530" s="32">
        <v>0.105404</v>
      </c>
    </row>
    <row r="531" spans="1:28" ht="15.6" customHeight="1" x14ac:dyDescent="0.25">
      <c r="A531" s="24" t="s">
        <v>1601</v>
      </c>
      <c r="B531" s="50">
        <v>4162</v>
      </c>
      <c r="C531" s="25" t="s">
        <v>1602</v>
      </c>
      <c r="D531" s="25" t="s">
        <v>112</v>
      </c>
      <c r="E531" s="25" t="s">
        <v>194</v>
      </c>
      <c r="F531" s="25" t="s">
        <v>113</v>
      </c>
      <c r="G531" s="26" t="s">
        <v>638</v>
      </c>
      <c r="H531" s="27" t="s">
        <v>327</v>
      </c>
      <c r="I531" s="24" t="s">
        <v>998</v>
      </c>
      <c r="J531" s="24" t="s">
        <v>107</v>
      </c>
      <c r="K531" s="28" t="s">
        <v>108</v>
      </c>
      <c r="L531" s="29">
        <v>0.03</v>
      </c>
      <c r="M531" s="29">
        <v>1.4999999999999999E-2</v>
      </c>
      <c r="N531" s="29">
        <v>0.02</v>
      </c>
      <c r="O531" s="27" t="s">
        <v>116</v>
      </c>
      <c r="P531" s="30" t="s">
        <v>112</v>
      </c>
      <c r="Q531" s="31">
        <v>3586108493.8200002</v>
      </c>
      <c r="R531" s="31">
        <v>11640.14</v>
      </c>
      <c r="S531" s="32">
        <v>3.8200000000000002E-4</v>
      </c>
      <c r="T531" s="32" t="s">
        <v>139</v>
      </c>
      <c r="U531" s="32">
        <v>9.3199999999999999E-4</v>
      </c>
      <c r="V531" s="32">
        <v>7.2760000000000003E-3</v>
      </c>
      <c r="W531" s="32">
        <v>6.0639999999999999E-3</v>
      </c>
      <c r="X531" s="32">
        <v>9.19E-4</v>
      </c>
      <c r="Y531" s="32">
        <v>-6.8459999999999997E-3</v>
      </c>
      <c r="Z531" s="32">
        <v>9.7188999999999998E-2</v>
      </c>
      <c r="AA531" s="32">
        <v>0.20655100000000001</v>
      </c>
      <c r="AB531" s="32">
        <v>0.16016</v>
      </c>
    </row>
    <row r="532" spans="1:28" ht="15.6" customHeight="1" x14ac:dyDescent="0.25">
      <c r="A532" s="24" t="s">
        <v>1603</v>
      </c>
      <c r="B532" s="50">
        <v>4163</v>
      </c>
      <c r="C532" s="25" t="s">
        <v>1604</v>
      </c>
      <c r="D532" s="25" t="s">
        <v>112</v>
      </c>
      <c r="E532" s="25" t="s">
        <v>194</v>
      </c>
      <c r="F532" s="25" t="s">
        <v>113</v>
      </c>
      <c r="G532" s="26" t="s">
        <v>347</v>
      </c>
      <c r="H532" s="27" t="s">
        <v>115</v>
      </c>
      <c r="I532" s="24" t="s">
        <v>998</v>
      </c>
      <c r="J532" s="24" t="s">
        <v>107</v>
      </c>
      <c r="K532" s="28" t="s">
        <v>108</v>
      </c>
      <c r="L532" s="29">
        <v>0.03</v>
      </c>
      <c r="M532" s="29">
        <v>1.4999999999999999E-2</v>
      </c>
      <c r="N532" s="29">
        <v>0.02</v>
      </c>
      <c r="O532" s="27" t="s">
        <v>116</v>
      </c>
      <c r="P532" s="30" t="s">
        <v>112</v>
      </c>
      <c r="Q532" s="31">
        <v>638769.31000000006</v>
      </c>
      <c r="R532" s="31">
        <v>1114.78</v>
      </c>
      <c r="S532" s="32">
        <v>9.5820000000000002E-3</v>
      </c>
      <c r="T532" s="32" t="s">
        <v>139</v>
      </c>
      <c r="U532" s="32">
        <v>4.9399999999999997E-4</v>
      </c>
      <c r="V532" s="32">
        <v>2.5179999999999998E-3</v>
      </c>
      <c r="W532" s="32">
        <v>4.9940000000000002E-3</v>
      </c>
      <c r="X532" s="32">
        <v>6.4819999999999999E-3</v>
      </c>
      <c r="Y532" s="32">
        <v>1.0185E-2</v>
      </c>
      <c r="Z532" s="32">
        <v>4.6044000000000002E-2</v>
      </c>
      <c r="AA532" s="32">
        <v>8.9790999999999996E-2</v>
      </c>
      <c r="AB532" s="32">
        <v>0.111169</v>
      </c>
    </row>
    <row r="533" spans="1:28" ht="15.6" customHeight="1" x14ac:dyDescent="0.25">
      <c r="A533" s="24" t="s">
        <v>1605</v>
      </c>
      <c r="B533" s="50">
        <v>4165</v>
      </c>
      <c r="C533" s="25" t="s">
        <v>1606</v>
      </c>
      <c r="D533" s="25" t="s">
        <v>127</v>
      </c>
      <c r="E533" s="25" t="s">
        <v>194</v>
      </c>
      <c r="F533" s="25" t="s">
        <v>113</v>
      </c>
      <c r="G533" s="26" t="s">
        <v>685</v>
      </c>
      <c r="H533" s="27" t="s">
        <v>1607</v>
      </c>
      <c r="I533" s="24" t="s">
        <v>998</v>
      </c>
      <c r="J533" s="24" t="s">
        <v>121</v>
      </c>
      <c r="K533" s="28" t="s">
        <v>108</v>
      </c>
      <c r="L533" s="29">
        <v>0.03</v>
      </c>
      <c r="M533" s="29">
        <v>0.03</v>
      </c>
      <c r="N533" s="29">
        <v>0.02</v>
      </c>
      <c r="O533" s="27" t="s">
        <v>131</v>
      </c>
      <c r="P533" s="30" t="s">
        <v>131</v>
      </c>
      <c r="Q533" s="31">
        <v>708027375.99000001</v>
      </c>
      <c r="R533" s="31">
        <v>1277.8800000000001</v>
      </c>
      <c r="S533" s="32">
        <v>-5.3200000000000003E-4</v>
      </c>
      <c r="T533" s="32" t="s">
        <v>139</v>
      </c>
      <c r="U533" s="32">
        <v>2.8200000000000002E-4</v>
      </c>
      <c r="V533" s="32">
        <v>7.5849999999999997E-3</v>
      </c>
      <c r="W533" s="32">
        <v>3.8409999999999998E-3</v>
      </c>
      <c r="X533" s="32">
        <v>1.418E-3</v>
      </c>
      <c r="Y533" s="32">
        <v>-1.4300999999999999E-2</v>
      </c>
      <c r="Z533" s="32">
        <v>9.6449999999999994E-2</v>
      </c>
      <c r="AA533" s="32">
        <v>0.22303899999999999</v>
      </c>
      <c r="AB533" s="32">
        <v>0.27049800000000002</v>
      </c>
    </row>
    <row r="534" spans="1:28" ht="15.6" customHeight="1" x14ac:dyDescent="0.25">
      <c r="A534" s="24" t="s">
        <v>873</v>
      </c>
      <c r="B534" s="50">
        <v>4166</v>
      </c>
      <c r="C534" s="25" t="s">
        <v>874</v>
      </c>
      <c r="D534" s="25" t="s">
        <v>164</v>
      </c>
      <c r="E534" s="25" t="s">
        <v>194</v>
      </c>
      <c r="F534" s="25" t="s">
        <v>138</v>
      </c>
      <c r="G534" s="26" t="s">
        <v>139</v>
      </c>
      <c r="H534" s="27" t="s">
        <v>875</v>
      </c>
      <c r="I534" s="24" t="s">
        <v>106</v>
      </c>
      <c r="J534" s="24" t="s">
        <v>121</v>
      </c>
      <c r="K534" s="28" t="s">
        <v>108</v>
      </c>
      <c r="L534" s="29">
        <v>0.03</v>
      </c>
      <c r="M534" s="29">
        <v>1.4999999999999999E-2</v>
      </c>
      <c r="N534" s="29">
        <v>0.02</v>
      </c>
      <c r="O534" s="27" t="s">
        <v>548</v>
      </c>
      <c r="P534" s="30" t="s">
        <v>164</v>
      </c>
      <c r="Q534" s="31">
        <v>6085164167.96</v>
      </c>
      <c r="R534" s="31">
        <v>1268.74</v>
      </c>
      <c r="S534" s="32">
        <v>3.3099999999999997E-2</v>
      </c>
      <c r="T534" s="32" t="s">
        <v>139</v>
      </c>
      <c r="U534" s="32">
        <v>-3.2680000000000001E-3</v>
      </c>
      <c r="V534" s="32">
        <v>3.1789999999999999E-2</v>
      </c>
      <c r="W534" s="32">
        <v>1.5032999999999999E-2</v>
      </c>
      <c r="X534" s="32">
        <v>3.9192999999999999E-2</v>
      </c>
      <c r="Y534" s="32">
        <v>1.8710000000000001E-3</v>
      </c>
      <c r="Z534" s="32">
        <v>0.193468</v>
      </c>
      <c r="AA534" s="32">
        <v>0.335642</v>
      </c>
      <c r="AB534" s="32">
        <v>0.31107499999999999</v>
      </c>
    </row>
    <row r="535" spans="1:28" ht="15.6" customHeight="1" x14ac:dyDescent="0.25">
      <c r="A535" s="24" t="s">
        <v>1608</v>
      </c>
      <c r="B535" s="50">
        <v>4167</v>
      </c>
      <c r="C535" s="25" t="s">
        <v>1609</v>
      </c>
      <c r="D535" s="25" t="s">
        <v>127</v>
      </c>
      <c r="E535" s="25" t="s">
        <v>194</v>
      </c>
      <c r="F535" s="25" t="s">
        <v>113</v>
      </c>
      <c r="G535" s="26" t="s">
        <v>1610</v>
      </c>
      <c r="H535" s="27" t="s">
        <v>115</v>
      </c>
      <c r="I535" s="24" t="s">
        <v>998</v>
      </c>
      <c r="J535" s="24" t="s">
        <v>107</v>
      </c>
      <c r="K535" s="28" t="s">
        <v>108</v>
      </c>
      <c r="L535" s="29">
        <v>5.0000000000000001E-3</v>
      </c>
      <c r="M535" s="29">
        <v>1E-3</v>
      </c>
      <c r="N535" s="29">
        <v>0.02</v>
      </c>
      <c r="O535" s="27" t="s">
        <v>131</v>
      </c>
      <c r="P535" s="30" t="s">
        <v>131</v>
      </c>
      <c r="Q535" s="31">
        <v>612890211.51999998</v>
      </c>
      <c r="R535" s="31">
        <v>1989.22</v>
      </c>
      <c r="S535" s="32">
        <v>-4.0600000000000002E-3</v>
      </c>
      <c r="T535" s="32" t="s">
        <v>139</v>
      </c>
      <c r="U535" s="32">
        <v>3.97E-4</v>
      </c>
      <c r="V535" s="32">
        <v>6.2220000000000001E-3</v>
      </c>
      <c r="W535" s="32">
        <v>4.2560000000000002E-3</v>
      </c>
      <c r="X535" s="32">
        <v>-2.2169999999999998E-3</v>
      </c>
      <c r="Y535" s="32">
        <v>-1.8086000000000001E-2</v>
      </c>
      <c r="Z535" s="32">
        <v>8.1474000000000005E-2</v>
      </c>
      <c r="AA535" s="32">
        <v>0.17327000000000001</v>
      </c>
      <c r="AB535" s="32">
        <v>0.136541</v>
      </c>
    </row>
    <row r="536" spans="1:28" ht="15.6" customHeight="1" x14ac:dyDescent="0.25">
      <c r="A536" s="24" t="s">
        <v>876</v>
      </c>
      <c r="B536" s="50">
        <v>4168</v>
      </c>
      <c r="C536" s="25" t="s">
        <v>877</v>
      </c>
      <c r="D536" s="25" t="s">
        <v>127</v>
      </c>
      <c r="E536" s="25" t="s">
        <v>194</v>
      </c>
      <c r="F536" s="25" t="s">
        <v>103</v>
      </c>
      <c r="G536" s="26" t="s">
        <v>104</v>
      </c>
      <c r="H536" s="27" t="s">
        <v>217</v>
      </c>
      <c r="I536" s="24" t="s">
        <v>106</v>
      </c>
      <c r="J536" s="24" t="s">
        <v>107</v>
      </c>
      <c r="K536" s="28" t="s">
        <v>108</v>
      </c>
      <c r="L536" s="29">
        <v>0</v>
      </c>
      <c r="M536" s="29">
        <v>0</v>
      </c>
      <c r="N536" s="29">
        <v>5.0000000000000001E-3</v>
      </c>
      <c r="O536" s="27" t="s">
        <v>131</v>
      </c>
      <c r="P536" s="30" t="s">
        <v>131</v>
      </c>
      <c r="Q536" s="31">
        <v>3545469499.3699999</v>
      </c>
      <c r="R536" s="31">
        <v>16875.18</v>
      </c>
      <c r="S536" s="32">
        <v>1.7611000000000002E-2</v>
      </c>
      <c r="T536" s="32" t="s">
        <v>139</v>
      </c>
      <c r="U536" s="32">
        <v>2.9500000000000001E-4</v>
      </c>
      <c r="V536" s="32">
        <v>2.1099999999999999E-3</v>
      </c>
      <c r="W536" s="32">
        <v>6.3400000000000001E-3</v>
      </c>
      <c r="X536" s="32">
        <v>1.3247E-2</v>
      </c>
      <c r="Y536" s="32">
        <v>2.5423000000000001E-2</v>
      </c>
      <c r="Z536" s="32">
        <v>5.4595999999999999E-2</v>
      </c>
      <c r="AA536" s="32">
        <v>9.0778999999999999E-2</v>
      </c>
      <c r="AB536" s="32">
        <v>0.137433</v>
      </c>
    </row>
    <row r="537" spans="1:28" ht="15.6" customHeight="1" x14ac:dyDescent="0.25">
      <c r="A537" s="24" t="s">
        <v>878</v>
      </c>
      <c r="B537" s="50">
        <v>4169</v>
      </c>
      <c r="C537" s="25" t="s">
        <v>879</v>
      </c>
      <c r="D537" s="25" t="s">
        <v>127</v>
      </c>
      <c r="E537" s="25" t="s">
        <v>194</v>
      </c>
      <c r="F537" s="25" t="s">
        <v>361</v>
      </c>
      <c r="G537" s="26" t="s">
        <v>139</v>
      </c>
      <c r="H537" s="27" t="s">
        <v>188</v>
      </c>
      <c r="I537" s="24" t="s">
        <v>106</v>
      </c>
      <c r="J537" s="24" t="s">
        <v>107</v>
      </c>
      <c r="K537" s="28" t="s">
        <v>108</v>
      </c>
      <c r="L537" s="29">
        <v>0</v>
      </c>
      <c r="M537" s="29">
        <v>0</v>
      </c>
      <c r="N537" s="29">
        <v>0.02</v>
      </c>
      <c r="O537" s="27" t="s">
        <v>131</v>
      </c>
      <c r="P537" s="30" t="s">
        <v>131</v>
      </c>
      <c r="Q537" s="31">
        <v>2386245988.5</v>
      </c>
      <c r="R537" s="31">
        <v>142886.69</v>
      </c>
      <c r="S537" s="32">
        <v>1.2371999999999999E-2</v>
      </c>
      <c r="T537" s="32" t="s">
        <v>139</v>
      </c>
      <c r="U537" s="32">
        <v>2.0900000000000001E-4</v>
      </c>
      <c r="V537" s="32">
        <v>1.4E-3</v>
      </c>
      <c r="W537" s="32">
        <v>4.2449999999999996E-3</v>
      </c>
      <c r="X537" s="32">
        <v>9.0290000000000006E-3</v>
      </c>
      <c r="Y537" s="32">
        <v>1.8748000000000001E-2</v>
      </c>
      <c r="Z537" s="32">
        <v>4.0697999999999998E-2</v>
      </c>
      <c r="AA537" s="32">
        <v>6.8088999999999997E-2</v>
      </c>
      <c r="AB537" s="32">
        <v>0.104171</v>
      </c>
    </row>
    <row r="538" spans="1:28" ht="15.6" customHeight="1" x14ac:dyDescent="0.25">
      <c r="A538" s="24" t="s">
        <v>880</v>
      </c>
      <c r="B538" s="50">
        <v>4170</v>
      </c>
      <c r="C538" s="25" t="s">
        <v>6</v>
      </c>
      <c r="D538" s="25" t="s">
        <v>127</v>
      </c>
      <c r="E538" s="25" t="s">
        <v>194</v>
      </c>
      <c r="F538" s="25" t="s">
        <v>155</v>
      </c>
      <c r="G538" s="26" t="s">
        <v>139</v>
      </c>
      <c r="H538" s="27" t="s">
        <v>156</v>
      </c>
      <c r="I538" s="24" t="s">
        <v>106</v>
      </c>
      <c r="J538" s="24" t="s">
        <v>107</v>
      </c>
      <c r="K538" s="28" t="s">
        <v>108</v>
      </c>
      <c r="L538" s="29">
        <v>0.03</v>
      </c>
      <c r="M538" s="29">
        <v>1.4999999999999999E-2</v>
      </c>
      <c r="N538" s="29">
        <v>0.02</v>
      </c>
      <c r="O538" s="27" t="s">
        <v>131</v>
      </c>
      <c r="P538" s="30" t="s">
        <v>131</v>
      </c>
      <c r="Q538" s="31">
        <v>776465813.02999997</v>
      </c>
      <c r="R538" s="31">
        <v>259.75</v>
      </c>
      <c r="S538" s="32">
        <v>1.074E-2</v>
      </c>
      <c r="T538" s="32" t="s">
        <v>139</v>
      </c>
      <c r="U538" s="32">
        <v>-1.0853E-2</v>
      </c>
      <c r="V538" s="32">
        <v>5.9901000000000003E-2</v>
      </c>
      <c r="W538" s="32">
        <v>9.051E-3</v>
      </c>
      <c r="X538" s="32">
        <v>4.5102999999999997E-2</v>
      </c>
      <c r="Y538" s="32">
        <v>-0.102732</v>
      </c>
      <c r="Z538" s="32">
        <v>0.31246499999999999</v>
      </c>
      <c r="AA538" s="32">
        <v>0.61355400000000004</v>
      </c>
      <c r="AB538" s="32">
        <v>0.571766</v>
      </c>
    </row>
    <row r="539" spans="1:28" ht="15.6" customHeight="1" x14ac:dyDescent="0.25">
      <c r="A539" s="24" t="s">
        <v>881</v>
      </c>
      <c r="B539" s="50">
        <v>4171</v>
      </c>
      <c r="C539" s="25" t="s">
        <v>882</v>
      </c>
      <c r="D539" s="25" t="s">
        <v>127</v>
      </c>
      <c r="E539" s="25" t="s">
        <v>194</v>
      </c>
      <c r="F539" s="25" t="s">
        <v>128</v>
      </c>
      <c r="G539" s="26" t="s">
        <v>250</v>
      </c>
      <c r="H539" s="27" t="s">
        <v>130</v>
      </c>
      <c r="I539" s="24" t="s">
        <v>106</v>
      </c>
      <c r="J539" s="24" t="s">
        <v>107</v>
      </c>
      <c r="K539" s="28" t="s">
        <v>108</v>
      </c>
      <c r="L539" s="29">
        <v>0</v>
      </c>
      <c r="M539" s="29">
        <v>0</v>
      </c>
      <c r="N539" s="29">
        <v>0.02</v>
      </c>
      <c r="O539" s="27" t="s">
        <v>131</v>
      </c>
      <c r="P539" s="30" t="s">
        <v>131</v>
      </c>
      <c r="Q539" s="31">
        <v>6864424457.9799995</v>
      </c>
      <c r="R539" s="31">
        <v>1542.38</v>
      </c>
      <c r="S539" s="32">
        <v>1.9835999999999999E-2</v>
      </c>
      <c r="T539" s="32" t="s">
        <v>139</v>
      </c>
      <c r="U539" s="32">
        <v>4.86E-4</v>
      </c>
      <c r="V539" s="32">
        <v>2.6909999999999998E-3</v>
      </c>
      <c r="W539" s="32">
        <v>7.2820000000000003E-3</v>
      </c>
      <c r="X539" s="32">
        <v>1.4884E-2</v>
      </c>
      <c r="Y539" s="32">
        <v>2.7288E-2</v>
      </c>
      <c r="Z539" s="32">
        <v>6.2267000000000003E-2</v>
      </c>
      <c r="AA539" s="32">
        <v>0.10443</v>
      </c>
      <c r="AB539" s="32">
        <v>0.151502</v>
      </c>
    </row>
    <row r="540" spans="1:28" ht="15.6" customHeight="1" x14ac:dyDescent="0.25">
      <c r="A540" s="24" t="s">
        <v>883</v>
      </c>
      <c r="B540" s="50">
        <v>4172</v>
      </c>
      <c r="C540" s="25" t="s">
        <v>884</v>
      </c>
      <c r="D540" s="25" t="s">
        <v>127</v>
      </c>
      <c r="E540" s="25" t="s">
        <v>194</v>
      </c>
      <c r="F540" s="25" t="s">
        <v>138</v>
      </c>
      <c r="G540" s="26" t="s">
        <v>139</v>
      </c>
      <c r="H540" s="27" t="s">
        <v>885</v>
      </c>
      <c r="I540" s="24" t="s">
        <v>106</v>
      </c>
      <c r="J540" s="24" t="s">
        <v>107</v>
      </c>
      <c r="K540" s="28" t="s">
        <v>108</v>
      </c>
      <c r="L540" s="29">
        <v>0.02</v>
      </c>
      <c r="M540" s="29">
        <v>0.02</v>
      </c>
      <c r="N540" s="29">
        <v>0.02</v>
      </c>
      <c r="O540" s="27" t="s">
        <v>131</v>
      </c>
      <c r="P540" s="30" t="s">
        <v>131</v>
      </c>
      <c r="Q540" s="31">
        <v>2636583858.1300001</v>
      </c>
      <c r="R540" s="31">
        <v>1461</v>
      </c>
      <c r="S540" s="32">
        <v>2.003E-3</v>
      </c>
      <c r="T540" s="32" t="s">
        <v>139</v>
      </c>
      <c r="U540" s="32">
        <v>-3.8999999999999998E-3</v>
      </c>
      <c r="V540" s="32">
        <v>2.5385000000000001E-2</v>
      </c>
      <c r="W540" s="32">
        <v>1.9819999999999998E-3</v>
      </c>
      <c r="X540" s="32">
        <v>1.4647E-2</v>
      </c>
      <c r="Y540" s="32">
        <v>-5.3339999999999999E-2</v>
      </c>
      <c r="Z540" s="32">
        <v>0.17238300000000001</v>
      </c>
      <c r="AA540" s="32">
        <v>0.33799800000000002</v>
      </c>
      <c r="AB540" s="32">
        <v>0.31905600000000001</v>
      </c>
    </row>
    <row r="541" spans="1:28" ht="15.6" customHeight="1" x14ac:dyDescent="0.25">
      <c r="A541" s="24" t="s">
        <v>886</v>
      </c>
      <c r="B541" s="50">
        <v>4173</v>
      </c>
      <c r="C541" s="25" t="s">
        <v>887</v>
      </c>
      <c r="D541" s="25" t="s">
        <v>127</v>
      </c>
      <c r="E541" s="25" t="s">
        <v>194</v>
      </c>
      <c r="F541" s="25" t="s">
        <v>138</v>
      </c>
      <c r="G541" s="26" t="s">
        <v>139</v>
      </c>
      <c r="H541" s="27" t="s">
        <v>283</v>
      </c>
      <c r="I541" s="24" t="s">
        <v>106</v>
      </c>
      <c r="J541" s="24" t="s">
        <v>107</v>
      </c>
      <c r="K541" s="28" t="s">
        <v>227</v>
      </c>
      <c r="L541" s="29">
        <v>0.02</v>
      </c>
      <c r="M541" s="29">
        <v>0.02</v>
      </c>
      <c r="N541" s="29">
        <v>0.02</v>
      </c>
      <c r="O541" s="27" t="s">
        <v>131</v>
      </c>
      <c r="P541" s="30" t="s">
        <v>131</v>
      </c>
      <c r="Q541" s="31">
        <v>210487665.41</v>
      </c>
      <c r="R541" s="31">
        <v>1495.02</v>
      </c>
      <c r="S541" s="32">
        <v>1.312E-2</v>
      </c>
      <c r="T541" s="32" t="s">
        <v>139</v>
      </c>
      <c r="U541" s="32">
        <v>-4.1570000000000001E-3</v>
      </c>
      <c r="V541" s="32">
        <v>2.6207000000000001E-2</v>
      </c>
      <c r="W541" s="32">
        <v>4.3059999999999999E-3</v>
      </c>
      <c r="X541" s="32">
        <v>2.3803999999999999E-2</v>
      </c>
      <c r="Y541" s="32">
        <v>-3.7575999999999998E-2</v>
      </c>
      <c r="Z541" s="32">
        <v>0.18829699999999999</v>
      </c>
      <c r="AA541" s="32">
        <v>0.35792400000000002</v>
      </c>
      <c r="AB541" s="32">
        <v>0.34870000000000001</v>
      </c>
    </row>
    <row r="542" spans="1:28" ht="15.6" customHeight="1" x14ac:dyDescent="0.25">
      <c r="A542" s="24" t="s">
        <v>888</v>
      </c>
      <c r="B542" s="50">
        <v>4174</v>
      </c>
      <c r="C542" s="25" t="s">
        <v>889</v>
      </c>
      <c r="D542" s="25" t="s">
        <v>127</v>
      </c>
      <c r="E542" s="25" t="s">
        <v>194</v>
      </c>
      <c r="F542" s="25" t="s">
        <v>103</v>
      </c>
      <c r="G542" s="26" t="s">
        <v>216</v>
      </c>
      <c r="H542" s="27" t="s">
        <v>806</v>
      </c>
      <c r="I542" s="24" t="s">
        <v>106</v>
      </c>
      <c r="J542" s="24" t="s">
        <v>107</v>
      </c>
      <c r="K542" s="28" t="s">
        <v>108</v>
      </c>
      <c r="L542" s="29">
        <v>0</v>
      </c>
      <c r="M542" s="29">
        <v>0</v>
      </c>
      <c r="N542" s="29">
        <v>0.02</v>
      </c>
      <c r="O542" s="27" t="s">
        <v>131</v>
      </c>
      <c r="P542" s="30" t="s">
        <v>131</v>
      </c>
      <c r="Q542" s="31">
        <v>183869880.59</v>
      </c>
      <c r="R542" s="31">
        <v>1151.98</v>
      </c>
      <c r="S542" s="32">
        <v>1.2828000000000001E-2</v>
      </c>
      <c r="T542" s="32" t="s">
        <v>139</v>
      </c>
      <c r="U542" s="32">
        <v>1.9100000000000001E-4</v>
      </c>
      <c r="V542" s="32">
        <v>1.495E-3</v>
      </c>
      <c r="W542" s="32">
        <v>4.4990000000000004E-3</v>
      </c>
      <c r="X542" s="32">
        <v>9.5790000000000007E-3</v>
      </c>
      <c r="Y542" s="32">
        <v>1.8928E-2</v>
      </c>
      <c r="Z542" s="32">
        <v>4.1347000000000002E-2</v>
      </c>
      <c r="AA542" s="32">
        <v>7.2577000000000003E-2</v>
      </c>
      <c r="AB542" s="32">
        <v>0.112465</v>
      </c>
    </row>
    <row r="543" spans="1:28" ht="15.6" customHeight="1" x14ac:dyDescent="0.25">
      <c r="A543" s="24" t="s">
        <v>1611</v>
      </c>
      <c r="B543" s="50">
        <v>4177</v>
      </c>
      <c r="C543" s="25" t="s">
        <v>1612</v>
      </c>
      <c r="D543" s="25" t="s">
        <v>164</v>
      </c>
      <c r="E543" s="25" t="s">
        <v>194</v>
      </c>
      <c r="F543" s="25" t="s">
        <v>155</v>
      </c>
      <c r="G543" s="26" t="s">
        <v>139</v>
      </c>
      <c r="H543" s="27" t="s">
        <v>156</v>
      </c>
      <c r="I543" s="24" t="s">
        <v>998</v>
      </c>
      <c r="J543" s="24" t="s">
        <v>121</v>
      </c>
      <c r="K543" s="28" t="s">
        <v>180</v>
      </c>
      <c r="L543" s="29">
        <v>0</v>
      </c>
      <c r="M543" s="29">
        <v>0</v>
      </c>
      <c r="N543" s="29">
        <v>0.02</v>
      </c>
      <c r="O543" s="27" t="s">
        <v>166</v>
      </c>
      <c r="P543" s="30" t="s">
        <v>627</v>
      </c>
      <c r="Q543" s="31">
        <v>273733094.47000003</v>
      </c>
      <c r="R543" s="31">
        <v>1706.84</v>
      </c>
      <c r="S543" s="32">
        <v>7.5357999999999994E-2</v>
      </c>
      <c r="T543" s="32" t="s">
        <v>139</v>
      </c>
      <c r="U543" s="32">
        <v>-1.1015E-2</v>
      </c>
      <c r="V543" s="32">
        <v>6.4784999999999995E-2</v>
      </c>
      <c r="W543" s="32">
        <v>2.5148E-2</v>
      </c>
      <c r="X543" s="32">
        <v>9.3694E-2</v>
      </c>
      <c r="Y543" s="32">
        <v>-2.6772000000000001E-2</v>
      </c>
      <c r="Z543" s="32">
        <v>0.37727500000000003</v>
      </c>
      <c r="AA543" s="32">
        <v>0.55815300000000001</v>
      </c>
      <c r="AB543" s="32">
        <v>0.45049</v>
      </c>
    </row>
    <row r="544" spans="1:28" ht="15.6" customHeight="1" x14ac:dyDescent="0.25">
      <c r="A544" s="24" t="s">
        <v>1613</v>
      </c>
      <c r="B544" s="50">
        <v>4178</v>
      </c>
      <c r="C544" s="25" t="s">
        <v>1614</v>
      </c>
      <c r="D544" s="25" t="s">
        <v>164</v>
      </c>
      <c r="E544" s="25" t="s">
        <v>194</v>
      </c>
      <c r="F544" s="25" t="s">
        <v>138</v>
      </c>
      <c r="G544" s="26" t="s">
        <v>139</v>
      </c>
      <c r="H544" s="27" t="s">
        <v>1615</v>
      </c>
      <c r="I544" s="24" t="s">
        <v>998</v>
      </c>
      <c r="J544" s="24" t="s">
        <v>121</v>
      </c>
      <c r="K544" s="28" t="s">
        <v>108</v>
      </c>
      <c r="L544" s="29">
        <v>0.03</v>
      </c>
      <c r="M544" s="29">
        <v>1.4999999999999999E-2</v>
      </c>
      <c r="N544" s="29">
        <v>0.02</v>
      </c>
      <c r="O544" s="27" t="s">
        <v>166</v>
      </c>
      <c r="P544" s="30" t="s">
        <v>164</v>
      </c>
      <c r="Q544" s="31">
        <v>253514367.81999999</v>
      </c>
      <c r="R544" s="31">
        <v>1367.43</v>
      </c>
      <c r="S544" s="32">
        <v>5.2548999999999998E-2</v>
      </c>
      <c r="T544" s="32" t="s">
        <v>139</v>
      </c>
      <c r="U544" s="32">
        <v>-4.1729999999999996E-3</v>
      </c>
      <c r="V544" s="32">
        <v>3.8046999999999997E-2</v>
      </c>
      <c r="W544" s="32">
        <v>1.0344000000000001E-2</v>
      </c>
      <c r="X544" s="32">
        <v>5.2354999999999999E-2</v>
      </c>
      <c r="Y544" s="32">
        <v>1.0822E-2</v>
      </c>
      <c r="Z544" s="32">
        <v>0.22136700000000001</v>
      </c>
      <c r="AA544" s="32">
        <v>0.34213100000000002</v>
      </c>
      <c r="AB544" s="32">
        <v>0.35785699999999998</v>
      </c>
    </row>
    <row r="545" spans="1:28" ht="15.6" customHeight="1" x14ac:dyDescent="0.25">
      <c r="A545" s="24" t="s">
        <v>890</v>
      </c>
      <c r="B545" s="50">
        <v>4181</v>
      </c>
      <c r="C545" s="25" t="s">
        <v>891</v>
      </c>
      <c r="D545" s="25" t="s">
        <v>101</v>
      </c>
      <c r="E545" s="25" t="s">
        <v>194</v>
      </c>
      <c r="F545" s="25" t="s">
        <v>103</v>
      </c>
      <c r="G545" s="26" t="s">
        <v>244</v>
      </c>
      <c r="H545" s="27" t="s">
        <v>337</v>
      </c>
      <c r="I545" s="24" t="s">
        <v>106</v>
      </c>
      <c r="J545" s="24" t="s">
        <v>107</v>
      </c>
      <c r="K545" s="28" t="s">
        <v>108</v>
      </c>
      <c r="L545" s="29">
        <v>0</v>
      </c>
      <c r="M545" s="29">
        <v>0</v>
      </c>
      <c r="N545" s="29">
        <v>0.02</v>
      </c>
      <c r="O545" s="27" t="s">
        <v>109</v>
      </c>
      <c r="P545" s="30" t="s">
        <v>101</v>
      </c>
      <c r="Q545" s="31">
        <v>553553310.44000006</v>
      </c>
      <c r="R545" s="31">
        <v>14670.03</v>
      </c>
      <c r="S545" s="32">
        <v>1.4631999999999999E-2</v>
      </c>
      <c r="T545" s="32" t="s">
        <v>139</v>
      </c>
      <c r="U545" s="32">
        <v>2.8800000000000001E-4</v>
      </c>
      <c r="V545" s="32">
        <v>1.892E-3</v>
      </c>
      <c r="W545" s="32">
        <v>5.5189999999999996E-3</v>
      </c>
      <c r="X545" s="32">
        <v>1.1243E-2</v>
      </c>
      <c r="Y545" s="32">
        <v>2.1066999999999999E-2</v>
      </c>
      <c r="Z545" s="32">
        <v>4.5626E-2</v>
      </c>
      <c r="AA545" s="32">
        <v>7.5500999999999999E-2</v>
      </c>
      <c r="AB545" s="32">
        <v>0.109614</v>
      </c>
    </row>
    <row r="546" spans="1:28" ht="15.6" customHeight="1" x14ac:dyDescent="0.25">
      <c r="A546" s="24" t="s">
        <v>1616</v>
      </c>
      <c r="B546" s="50">
        <v>4182</v>
      </c>
      <c r="C546" s="25" t="s">
        <v>1617</v>
      </c>
      <c r="D546" s="25" t="s">
        <v>101</v>
      </c>
      <c r="E546" s="25" t="s">
        <v>194</v>
      </c>
      <c r="F546" s="25" t="s">
        <v>113</v>
      </c>
      <c r="G546" s="26" t="s">
        <v>151</v>
      </c>
      <c r="H546" s="27" t="s">
        <v>839</v>
      </c>
      <c r="I546" s="24" t="s">
        <v>998</v>
      </c>
      <c r="J546" s="24" t="s">
        <v>107</v>
      </c>
      <c r="K546" s="28" t="s">
        <v>227</v>
      </c>
      <c r="L546" s="29">
        <v>0</v>
      </c>
      <c r="M546" s="29">
        <v>0</v>
      </c>
      <c r="N546" s="29">
        <v>0.02</v>
      </c>
      <c r="O546" s="27" t="s">
        <v>109</v>
      </c>
      <c r="P546" s="30" t="s">
        <v>101</v>
      </c>
      <c r="Q546" s="31">
        <v>70474892.620000005</v>
      </c>
      <c r="R546" s="31">
        <v>16035.22</v>
      </c>
      <c r="S546" s="32">
        <v>8.0800000000000002E-4</v>
      </c>
      <c r="T546" s="32" t="s">
        <v>139</v>
      </c>
      <c r="U546" s="32">
        <v>2.2000000000000001E-4</v>
      </c>
      <c r="V546" s="32">
        <v>5.6540000000000002E-3</v>
      </c>
      <c r="W546" s="32">
        <v>4.359E-3</v>
      </c>
      <c r="X546" s="32">
        <v>3.3270000000000001E-3</v>
      </c>
      <c r="Y546" s="32">
        <v>-7.7819999999999999E-3</v>
      </c>
      <c r="Z546" s="32">
        <v>5.9664000000000002E-2</v>
      </c>
      <c r="AA546" s="32">
        <v>0.13017899999999999</v>
      </c>
      <c r="AB546" s="32">
        <v>8.5481000000000001E-2</v>
      </c>
    </row>
    <row r="547" spans="1:28" ht="15.6" customHeight="1" x14ac:dyDescent="0.25">
      <c r="A547" s="24" t="s">
        <v>1618</v>
      </c>
      <c r="B547" s="50">
        <v>4183</v>
      </c>
      <c r="C547" s="25" t="s">
        <v>1619</v>
      </c>
      <c r="D547" s="25" t="s">
        <v>101</v>
      </c>
      <c r="E547" s="25" t="s">
        <v>194</v>
      </c>
      <c r="F547" s="25" t="s">
        <v>113</v>
      </c>
      <c r="G547" s="26" t="s">
        <v>198</v>
      </c>
      <c r="H547" s="27" t="s">
        <v>120</v>
      </c>
      <c r="I547" s="24" t="s">
        <v>998</v>
      </c>
      <c r="J547" s="24" t="s">
        <v>107</v>
      </c>
      <c r="K547" s="28" t="s">
        <v>108</v>
      </c>
      <c r="L547" s="29">
        <v>0</v>
      </c>
      <c r="M547" s="29">
        <v>0</v>
      </c>
      <c r="N547" s="29">
        <v>0.02</v>
      </c>
      <c r="O547" s="27" t="s">
        <v>109</v>
      </c>
      <c r="P547" s="30" t="s">
        <v>101</v>
      </c>
      <c r="Q547" s="31">
        <v>53875451.909999996</v>
      </c>
      <c r="R547" s="31">
        <v>19272.84</v>
      </c>
      <c r="S547" s="32">
        <v>1.2329E-2</v>
      </c>
      <c r="T547" s="32" t="s">
        <v>139</v>
      </c>
      <c r="U547" s="32">
        <v>1.689E-3</v>
      </c>
      <c r="V547" s="32">
        <v>4.1770000000000002E-3</v>
      </c>
      <c r="W547" s="32">
        <v>5.8129999999999996E-3</v>
      </c>
      <c r="X547" s="32">
        <v>1.0709E-2</v>
      </c>
      <c r="Y547" s="32">
        <v>1.4093E-2</v>
      </c>
      <c r="Z547" s="32">
        <v>5.5343999999999997E-2</v>
      </c>
      <c r="AA547" s="32">
        <v>0.10612199999999999</v>
      </c>
      <c r="AB547" s="32">
        <v>0.115552</v>
      </c>
    </row>
    <row r="548" spans="1:28" ht="15.6" customHeight="1" x14ac:dyDescent="0.25">
      <c r="A548" s="24" t="s">
        <v>892</v>
      </c>
      <c r="B548" s="50">
        <v>4184</v>
      </c>
      <c r="C548" s="25" t="s">
        <v>893</v>
      </c>
      <c r="D548" s="25" t="s">
        <v>101</v>
      </c>
      <c r="E548" s="25" t="s">
        <v>194</v>
      </c>
      <c r="F548" s="25" t="s">
        <v>128</v>
      </c>
      <c r="G548" s="26" t="s">
        <v>289</v>
      </c>
      <c r="H548" s="27" t="s">
        <v>130</v>
      </c>
      <c r="I548" s="24" t="s">
        <v>106</v>
      </c>
      <c r="J548" s="24" t="s">
        <v>107</v>
      </c>
      <c r="K548" s="28" t="s">
        <v>108</v>
      </c>
      <c r="L548" s="29">
        <v>0</v>
      </c>
      <c r="M548" s="29">
        <v>0</v>
      </c>
      <c r="N548" s="29">
        <v>0.02</v>
      </c>
      <c r="O548" s="27" t="s">
        <v>109</v>
      </c>
      <c r="P548" s="30" t="s">
        <v>101</v>
      </c>
      <c r="Q548" s="31">
        <v>988317730.36000001</v>
      </c>
      <c r="R548" s="31">
        <v>126.6</v>
      </c>
      <c r="S548" s="32">
        <v>1.7113E-2</v>
      </c>
      <c r="T548" s="32" t="s">
        <v>139</v>
      </c>
      <c r="U548" s="32">
        <v>3.9500000000000001E-4</v>
      </c>
      <c r="V548" s="32">
        <v>2.4550000000000002E-3</v>
      </c>
      <c r="W548" s="32">
        <v>6.5989999999999998E-3</v>
      </c>
      <c r="X548" s="32">
        <v>1.3124E-2</v>
      </c>
      <c r="Y548" s="32">
        <v>2.4022999999999999E-2</v>
      </c>
      <c r="Z548" s="32">
        <v>5.7113999999999998E-2</v>
      </c>
      <c r="AA548" s="32">
        <v>9.6294000000000005E-2</v>
      </c>
      <c r="AB548" s="32">
        <v>0.13308900000000001</v>
      </c>
    </row>
    <row r="549" spans="1:28" ht="15.6" customHeight="1" x14ac:dyDescent="0.25">
      <c r="A549" s="24" t="s">
        <v>894</v>
      </c>
      <c r="B549" s="50">
        <v>4185</v>
      </c>
      <c r="C549" s="25" t="s">
        <v>895</v>
      </c>
      <c r="D549" s="25" t="s">
        <v>101</v>
      </c>
      <c r="E549" s="25" t="s">
        <v>194</v>
      </c>
      <c r="F549" s="25" t="s">
        <v>138</v>
      </c>
      <c r="G549" s="26" t="s">
        <v>139</v>
      </c>
      <c r="H549" s="27" t="s">
        <v>896</v>
      </c>
      <c r="I549" s="24" t="s">
        <v>106</v>
      </c>
      <c r="J549" s="24" t="s">
        <v>107</v>
      </c>
      <c r="K549" s="28" t="s">
        <v>108</v>
      </c>
      <c r="L549" s="29">
        <v>2E-3</v>
      </c>
      <c r="M549" s="29">
        <v>9.0000000000000011E-3</v>
      </c>
      <c r="N549" s="29">
        <v>0.02</v>
      </c>
      <c r="O549" s="27" t="s">
        <v>109</v>
      </c>
      <c r="P549" s="30" t="s">
        <v>101</v>
      </c>
      <c r="Q549" s="31">
        <v>204891758.53999999</v>
      </c>
      <c r="R549" s="31">
        <v>15719.92</v>
      </c>
      <c r="S549" s="32">
        <v>-1.2494999999999999E-2</v>
      </c>
      <c r="T549" s="32" t="s">
        <v>139</v>
      </c>
      <c r="U549" s="32">
        <v>-3.5019999999999999E-3</v>
      </c>
      <c r="V549" s="32">
        <v>2.6526999999999998E-2</v>
      </c>
      <c r="W549" s="32">
        <v>9.9159999999999995E-3</v>
      </c>
      <c r="X549" s="32">
        <v>6.4770000000000001E-3</v>
      </c>
      <c r="Y549" s="32">
        <v>-4.9725999999999999E-2</v>
      </c>
      <c r="Z549" s="32">
        <v>5.6769E-2</v>
      </c>
      <c r="AA549" s="32">
        <v>0.144927</v>
      </c>
      <c r="AB549" s="32">
        <v>0.122396</v>
      </c>
    </row>
    <row r="550" spans="1:28" ht="15.6" customHeight="1" x14ac:dyDescent="0.25">
      <c r="A550" s="24" t="s">
        <v>1620</v>
      </c>
      <c r="B550" s="50">
        <v>4186</v>
      </c>
      <c r="C550" s="25" t="s">
        <v>1621</v>
      </c>
      <c r="D550" s="25" t="s">
        <v>101</v>
      </c>
      <c r="E550" s="25" t="s">
        <v>194</v>
      </c>
      <c r="F550" s="25" t="s">
        <v>138</v>
      </c>
      <c r="G550" s="26" t="s">
        <v>139</v>
      </c>
      <c r="H550" s="27" t="s">
        <v>1622</v>
      </c>
      <c r="I550" s="24" t="s">
        <v>998</v>
      </c>
      <c r="J550" s="24" t="s">
        <v>107</v>
      </c>
      <c r="K550" s="28" t="s">
        <v>227</v>
      </c>
      <c r="L550" s="29">
        <v>0.03</v>
      </c>
      <c r="M550" s="29">
        <v>1.4999999999999999E-2</v>
      </c>
      <c r="N550" s="29">
        <v>0.02</v>
      </c>
      <c r="O550" s="27" t="s">
        <v>109</v>
      </c>
      <c r="P550" s="30" t="s">
        <v>101</v>
      </c>
      <c r="Q550" s="31">
        <v>134171429.86</v>
      </c>
      <c r="R550" s="31">
        <v>15676.74</v>
      </c>
      <c r="S550" s="32">
        <v>-5.1999999999999997E-5</v>
      </c>
      <c r="T550" s="32" t="s">
        <v>139</v>
      </c>
      <c r="U550" s="32">
        <v>6.8000000000000005E-4</v>
      </c>
      <c r="V550" s="32">
        <v>7.5929999999999999E-3</v>
      </c>
      <c r="W550" s="32">
        <v>6.5719999999999997E-3</v>
      </c>
      <c r="X550" s="32">
        <v>2.9009999999999999E-3</v>
      </c>
      <c r="Y550" s="32">
        <v>-1.9319999999999999E-3</v>
      </c>
      <c r="Z550" s="32">
        <v>8.3104999999999998E-2</v>
      </c>
      <c r="AA550" s="32">
        <v>0.168044</v>
      </c>
      <c r="AB550" s="32">
        <v>0.16553999999999999</v>
      </c>
    </row>
    <row r="551" spans="1:28" ht="15.6" customHeight="1" x14ac:dyDescent="0.25">
      <c r="A551" s="24" t="s">
        <v>897</v>
      </c>
      <c r="B551" s="50">
        <v>4187</v>
      </c>
      <c r="C551" s="25" t="s">
        <v>898</v>
      </c>
      <c r="D551" s="25" t="s">
        <v>101</v>
      </c>
      <c r="E551" s="25" t="s">
        <v>194</v>
      </c>
      <c r="F551" s="25" t="s">
        <v>155</v>
      </c>
      <c r="G551" s="26" t="s">
        <v>139</v>
      </c>
      <c r="H551" s="27" t="s">
        <v>156</v>
      </c>
      <c r="I551" s="24" t="s">
        <v>106</v>
      </c>
      <c r="J551" s="24" t="s">
        <v>107</v>
      </c>
      <c r="K551" s="28" t="s">
        <v>108</v>
      </c>
      <c r="L551" s="29">
        <v>2E-3</v>
      </c>
      <c r="M551" s="29">
        <v>1E-3</v>
      </c>
      <c r="N551" s="29">
        <v>0.02</v>
      </c>
      <c r="O551" s="27" t="s">
        <v>109</v>
      </c>
      <c r="P551" s="30" t="s">
        <v>101</v>
      </c>
      <c r="Q551" s="31">
        <v>240676338.62</v>
      </c>
      <c r="R551" s="31">
        <v>23212.639999999999</v>
      </c>
      <c r="S551" s="32">
        <v>1.9719999999999998E-3</v>
      </c>
      <c r="T551" s="32" t="s">
        <v>139</v>
      </c>
      <c r="U551" s="32">
        <v>-1.0323000000000001E-2</v>
      </c>
      <c r="V551" s="32">
        <v>5.8916000000000003E-2</v>
      </c>
      <c r="W551" s="32">
        <v>2.6372E-2</v>
      </c>
      <c r="X551" s="32">
        <v>3.6051E-2</v>
      </c>
      <c r="Y551" s="32">
        <v>-9.7143999999999994E-2</v>
      </c>
      <c r="Z551" s="32">
        <v>0.30929800000000002</v>
      </c>
      <c r="AA551" s="32">
        <v>0.538883</v>
      </c>
      <c r="AB551" s="32">
        <v>0.50209000000000004</v>
      </c>
    </row>
    <row r="552" spans="1:28" ht="15.6" customHeight="1" x14ac:dyDescent="0.25">
      <c r="A552" s="24" t="s">
        <v>1623</v>
      </c>
      <c r="B552" s="50">
        <v>4188</v>
      </c>
      <c r="C552" s="25" t="s">
        <v>1624</v>
      </c>
      <c r="D552" s="25" t="s">
        <v>101</v>
      </c>
      <c r="E552" s="25" t="s">
        <v>194</v>
      </c>
      <c r="F552" s="25" t="s">
        <v>155</v>
      </c>
      <c r="G552" s="26" t="s">
        <v>139</v>
      </c>
      <c r="H552" s="27" t="s">
        <v>156</v>
      </c>
      <c r="I552" s="24" t="s">
        <v>998</v>
      </c>
      <c r="J552" s="24" t="s">
        <v>107</v>
      </c>
      <c r="K552" s="28" t="s">
        <v>180</v>
      </c>
      <c r="L552" s="29">
        <v>2E-3</v>
      </c>
      <c r="M552" s="29">
        <v>1E-3</v>
      </c>
      <c r="N552" s="29">
        <v>0.02</v>
      </c>
      <c r="O552" s="27" t="s">
        <v>109</v>
      </c>
      <c r="P552" s="30" t="s">
        <v>101</v>
      </c>
      <c r="Q552" s="31">
        <v>264248185.96000001</v>
      </c>
      <c r="R552" s="31">
        <v>16255.34</v>
      </c>
      <c r="S552" s="32">
        <v>1.5131E-2</v>
      </c>
      <c r="T552" s="32" t="s">
        <v>139</v>
      </c>
      <c r="U552" s="32">
        <v>-1.2008E-2</v>
      </c>
      <c r="V552" s="32">
        <v>6.0317000000000003E-2</v>
      </c>
      <c r="W552" s="32">
        <v>1.3410999999999999E-2</v>
      </c>
      <c r="X552" s="32">
        <v>4.9271000000000002E-2</v>
      </c>
      <c r="Y552" s="32">
        <v>-7.0678000000000005E-2</v>
      </c>
      <c r="Z552" s="32">
        <v>0.18649099999999999</v>
      </c>
      <c r="AA552" s="32">
        <v>0.32572400000000001</v>
      </c>
      <c r="AB552" s="32">
        <v>0.27868199999999999</v>
      </c>
    </row>
    <row r="553" spans="1:28" ht="15.6" customHeight="1" x14ac:dyDescent="0.25">
      <c r="A553" s="24" t="s">
        <v>899</v>
      </c>
      <c r="B553" s="50">
        <v>4189</v>
      </c>
      <c r="C553" s="25" t="s">
        <v>900</v>
      </c>
      <c r="D553" s="25" t="s">
        <v>101</v>
      </c>
      <c r="E553" s="25" t="s">
        <v>194</v>
      </c>
      <c r="F553" s="25" t="s">
        <v>103</v>
      </c>
      <c r="G553" s="26" t="s">
        <v>392</v>
      </c>
      <c r="H553" s="27" t="s">
        <v>217</v>
      </c>
      <c r="I553" s="24" t="s">
        <v>106</v>
      </c>
      <c r="J553" s="24" t="s">
        <v>107</v>
      </c>
      <c r="K553" s="28" t="s">
        <v>108</v>
      </c>
      <c r="L553" s="29">
        <v>0</v>
      </c>
      <c r="M553" s="29">
        <v>0</v>
      </c>
      <c r="N553" s="29">
        <v>0.02</v>
      </c>
      <c r="O553" s="27" t="s">
        <v>109</v>
      </c>
      <c r="P553" s="30" t="s">
        <v>101</v>
      </c>
      <c r="Q553" s="31">
        <v>275795283.13999999</v>
      </c>
      <c r="R553" s="31">
        <v>146447.39000000001</v>
      </c>
      <c r="S553" s="32">
        <v>1.7760000000000001E-2</v>
      </c>
      <c r="T553" s="32" t="s">
        <v>139</v>
      </c>
      <c r="U553" s="32">
        <v>2.72E-4</v>
      </c>
      <c r="V553" s="32">
        <v>2.6350000000000002E-3</v>
      </c>
      <c r="W553" s="32">
        <v>6.6E-3</v>
      </c>
      <c r="X553" s="32">
        <v>1.4028000000000001E-2</v>
      </c>
      <c r="Y553" s="32">
        <v>2.6227E-2</v>
      </c>
      <c r="Z553" s="32">
        <v>5.4015000000000001E-2</v>
      </c>
      <c r="AA553" s="32">
        <v>8.3570000000000005E-2</v>
      </c>
      <c r="AB553" s="32">
        <v>0.11730699999999999</v>
      </c>
    </row>
    <row r="554" spans="1:28" ht="15.6" customHeight="1" x14ac:dyDescent="0.25">
      <c r="A554" s="24" t="s">
        <v>901</v>
      </c>
      <c r="B554" s="50">
        <v>4193</v>
      </c>
      <c r="C554" s="25" t="s">
        <v>902</v>
      </c>
      <c r="D554" s="25" t="s">
        <v>127</v>
      </c>
      <c r="E554" s="25" t="s">
        <v>194</v>
      </c>
      <c r="F554" s="25" t="s">
        <v>103</v>
      </c>
      <c r="G554" s="26" t="s">
        <v>392</v>
      </c>
      <c r="H554" s="27" t="s">
        <v>903</v>
      </c>
      <c r="I554" s="24" t="s">
        <v>106</v>
      </c>
      <c r="J554" s="24" t="s">
        <v>107</v>
      </c>
      <c r="K554" s="28" t="s">
        <v>108</v>
      </c>
      <c r="L554" s="29">
        <v>0.02</v>
      </c>
      <c r="M554" s="29">
        <v>0.02</v>
      </c>
      <c r="N554" s="29">
        <v>0.02</v>
      </c>
      <c r="O554" s="27" t="s">
        <v>131</v>
      </c>
      <c r="P554" s="30" t="s">
        <v>131</v>
      </c>
      <c r="Q554" s="31">
        <v>132303300.31</v>
      </c>
      <c r="R554" s="31">
        <v>1176.83</v>
      </c>
      <c r="S554" s="32">
        <v>1.3424999999999999E-2</v>
      </c>
      <c r="T554" s="32" t="s">
        <v>139</v>
      </c>
      <c r="U554" s="32">
        <v>2.04E-4</v>
      </c>
      <c r="V554" s="32">
        <v>1.6000000000000001E-3</v>
      </c>
      <c r="W554" s="32">
        <v>4.8589999999999996E-3</v>
      </c>
      <c r="X554" s="32">
        <v>1.0128E-2</v>
      </c>
      <c r="Y554" s="32">
        <v>1.9465E-2</v>
      </c>
      <c r="Z554" s="32">
        <v>4.1119999999999997E-2</v>
      </c>
      <c r="AA554" s="32">
        <v>7.0419999999999996E-2</v>
      </c>
      <c r="AB554" s="32">
        <v>0.15157599999999999</v>
      </c>
    </row>
    <row r="555" spans="1:28" ht="15.6" customHeight="1" x14ac:dyDescent="0.25">
      <c r="A555" s="24" t="s">
        <v>1625</v>
      </c>
      <c r="B555" s="50">
        <v>4194</v>
      </c>
      <c r="C555" s="25" t="s">
        <v>1626</v>
      </c>
      <c r="D555" s="25" t="s">
        <v>127</v>
      </c>
      <c r="E555" s="25" t="s">
        <v>194</v>
      </c>
      <c r="F555" s="25" t="s">
        <v>113</v>
      </c>
      <c r="G555" s="26" t="s">
        <v>1627</v>
      </c>
      <c r="H555" s="27" t="s">
        <v>115</v>
      </c>
      <c r="I555" s="24" t="s">
        <v>998</v>
      </c>
      <c r="J555" s="24" t="s">
        <v>107</v>
      </c>
      <c r="K555" s="28" t="s">
        <v>108</v>
      </c>
      <c r="L555" s="29">
        <v>0.03</v>
      </c>
      <c r="M555" s="29">
        <v>0.03</v>
      </c>
      <c r="N555" s="29">
        <v>0.02</v>
      </c>
      <c r="O555" s="27" t="s">
        <v>131</v>
      </c>
      <c r="P555" s="30" t="s">
        <v>131</v>
      </c>
      <c r="Q555" s="31">
        <v>1343666.12</v>
      </c>
      <c r="R555" s="31">
        <v>1137.32</v>
      </c>
      <c r="S555" s="32">
        <v>9.9989999999999992E-3</v>
      </c>
      <c r="T555" s="32" t="s">
        <v>139</v>
      </c>
      <c r="U555" s="32">
        <v>6.5099999999999999E-4</v>
      </c>
      <c r="V555" s="32">
        <v>2.5479999999999999E-3</v>
      </c>
      <c r="W555" s="32">
        <v>4.3179999999999998E-3</v>
      </c>
      <c r="X555" s="32">
        <v>6.9150000000000001E-3</v>
      </c>
      <c r="Y555" s="32">
        <v>1.0897E-2</v>
      </c>
      <c r="Z555" s="32">
        <v>4.9333000000000002E-2</v>
      </c>
      <c r="AA555" s="32">
        <v>9.7173999999999996E-2</v>
      </c>
      <c r="AB555" s="32">
        <v>0.13642199999999999</v>
      </c>
    </row>
    <row r="556" spans="1:28" ht="15.6" customHeight="1" x14ac:dyDescent="0.25">
      <c r="A556" s="24" t="s">
        <v>1628</v>
      </c>
      <c r="B556" s="50">
        <v>4195</v>
      </c>
      <c r="C556" s="25" t="s">
        <v>1629</v>
      </c>
      <c r="D556" s="25" t="s">
        <v>127</v>
      </c>
      <c r="E556" s="25" t="s">
        <v>194</v>
      </c>
      <c r="F556" s="25" t="s">
        <v>155</v>
      </c>
      <c r="G556" s="26" t="s">
        <v>139</v>
      </c>
      <c r="H556" s="27" t="s">
        <v>156</v>
      </c>
      <c r="I556" s="24" t="s">
        <v>998</v>
      </c>
      <c r="J556" s="24" t="s">
        <v>107</v>
      </c>
      <c r="K556" s="28" t="s">
        <v>108</v>
      </c>
      <c r="L556" s="29">
        <v>0.03</v>
      </c>
      <c r="M556" s="29">
        <v>0.03</v>
      </c>
      <c r="N556" s="29">
        <v>0.02</v>
      </c>
      <c r="O556" s="27" t="s">
        <v>131</v>
      </c>
      <c r="P556" s="30" t="s">
        <v>131</v>
      </c>
      <c r="Q556" s="31">
        <v>146531795.68000001</v>
      </c>
      <c r="R556" s="31">
        <v>169.21</v>
      </c>
      <c r="S556" s="32">
        <v>1.361E-3</v>
      </c>
      <c r="T556" s="32" t="s">
        <v>139</v>
      </c>
      <c r="U556" s="32">
        <v>-1.0640999999999999E-2</v>
      </c>
      <c r="V556" s="32">
        <v>5.5320000000000001E-2</v>
      </c>
      <c r="W556" s="32">
        <v>-6.2249999999999996E-3</v>
      </c>
      <c r="X556" s="32">
        <v>3.2586999999999998E-2</v>
      </c>
      <c r="Y556" s="32">
        <v>-0.11068500000000001</v>
      </c>
      <c r="Z556" s="32">
        <v>0.31455899999999998</v>
      </c>
      <c r="AA556" s="32">
        <v>0.65535100000000002</v>
      </c>
      <c r="AB556" s="32">
        <v>0.66185400000000005</v>
      </c>
    </row>
    <row r="557" spans="1:28" ht="15.6" customHeight="1" x14ac:dyDescent="0.25">
      <c r="A557" s="24" t="s">
        <v>904</v>
      </c>
      <c r="B557" s="50">
        <v>4196</v>
      </c>
      <c r="C557" s="25" t="s">
        <v>905</v>
      </c>
      <c r="D557" s="25" t="s">
        <v>127</v>
      </c>
      <c r="E557" s="25" t="s">
        <v>194</v>
      </c>
      <c r="F557" s="25" t="s">
        <v>103</v>
      </c>
      <c r="G557" s="26" t="s">
        <v>216</v>
      </c>
      <c r="H557" s="27" t="s">
        <v>188</v>
      </c>
      <c r="I557" s="24" t="s">
        <v>106</v>
      </c>
      <c r="J557" s="24" t="s">
        <v>107</v>
      </c>
      <c r="K557" s="28" t="s">
        <v>227</v>
      </c>
      <c r="L557" s="29">
        <v>0.02</v>
      </c>
      <c r="M557" s="29">
        <v>0.06</v>
      </c>
      <c r="N557" s="29">
        <v>5.0000000000000001E-3</v>
      </c>
      <c r="O557" s="27" t="s">
        <v>131</v>
      </c>
      <c r="P557" s="30" t="s">
        <v>131</v>
      </c>
      <c r="Q557" s="31">
        <v>106097441.08</v>
      </c>
      <c r="R557" s="31">
        <v>1018.71</v>
      </c>
      <c r="S557" s="32">
        <v>-1.1748E-2</v>
      </c>
      <c r="T557" s="32" t="s">
        <v>139</v>
      </c>
      <c r="U557" s="32">
        <v>2.3599999999999999E-4</v>
      </c>
      <c r="V557" s="32">
        <v>1.7799999999999999E-3</v>
      </c>
      <c r="W557" s="32">
        <v>-2.1252E-2</v>
      </c>
      <c r="X557" s="32">
        <v>-1.5492000000000001E-2</v>
      </c>
      <c r="Y557" s="32">
        <v>-4.8450000000000003E-3</v>
      </c>
      <c r="Z557" s="32">
        <v>2.2138000000000001E-2</v>
      </c>
      <c r="AA557" s="32">
        <v>5.5086000000000003E-2</v>
      </c>
      <c r="AB557" s="32" t="s">
        <v>139</v>
      </c>
    </row>
    <row r="558" spans="1:28" ht="15.6" customHeight="1" x14ac:dyDescent="0.25">
      <c r="A558" s="24" t="s">
        <v>906</v>
      </c>
      <c r="B558" s="50">
        <v>4197</v>
      </c>
      <c r="C558" s="25" t="s">
        <v>907</v>
      </c>
      <c r="D558" s="25" t="s">
        <v>908</v>
      </c>
      <c r="E558" s="25" t="s">
        <v>194</v>
      </c>
      <c r="F558" s="25" t="s">
        <v>155</v>
      </c>
      <c r="G558" s="26" t="s">
        <v>139</v>
      </c>
      <c r="H558" s="27" t="s">
        <v>139</v>
      </c>
      <c r="I558" s="24" t="s">
        <v>106</v>
      </c>
      <c r="J558" s="24" t="s">
        <v>107</v>
      </c>
      <c r="K558" s="28" t="s">
        <v>227</v>
      </c>
      <c r="L558" s="29">
        <v>5.0000000000000001E-3</v>
      </c>
      <c r="M558" s="29">
        <v>5.0000000000000001E-3</v>
      </c>
      <c r="N558" s="29">
        <v>0.02</v>
      </c>
      <c r="O558" s="27" t="s">
        <v>166</v>
      </c>
      <c r="P558" s="30" t="s">
        <v>908</v>
      </c>
      <c r="Q558" s="31">
        <v>201811093.44999999</v>
      </c>
      <c r="R558" s="31">
        <v>156.41999999999999</v>
      </c>
      <c r="S558" s="32">
        <v>8.6249999999999993E-2</v>
      </c>
      <c r="T558" s="32" t="s">
        <v>139</v>
      </c>
      <c r="U558" s="32">
        <v>-9.7490000000000007E-3</v>
      </c>
      <c r="V558" s="32">
        <v>6.2563999999999995E-2</v>
      </c>
      <c r="W558" s="32">
        <v>3.7886999999999997E-2</v>
      </c>
      <c r="X558" s="32">
        <v>9.4612000000000002E-2</v>
      </c>
      <c r="Y558" s="32">
        <v>-5.9740000000000001E-3</v>
      </c>
      <c r="Z558" s="32">
        <v>0.488182</v>
      </c>
      <c r="AA558" s="32">
        <v>0.69850500000000004</v>
      </c>
      <c r="AB558" s="32" t="s">
        <v>139</v>
      </c>
    </row>
    <row r="559" spans="1:28" ht="15.6" customHeight="1" x14ac:dyDescent="0.25">
      <c r="A559" s="24" t="s">
        <v>1630</v>
      </c>
      <c r="B559" s="50">
        <v>4198</v>
      </c>
      <c r="C559" s="25" t="s">
        <v>1631</v>
      </c>
      <c r="D559" s="25" t="s">
        <v>908</v>
      </c>
      <c r="E559" s="25" t="s">
        <v>194</v>
      </c>
      <c r="F559" s="25" t="s">
        <v>155</v>
      </c>
      <c r="G559" s="26" t="s">
        <v>139</v>
      </c>
      <c r="H559" s="27" t="s">
        <v>156</v>
      </c>
      <c r="I559" s="24" t="s">
        <v>998</v>
      </c>
      <c r="J559" s="24" t="s">
        <v>107</v>
      </c>
      <c r="K559" s="28" t="s">
        <v>108</v>
      </c>
      <c r="L559" s="29">
        <v>0.02</v>
      </c>
      <c r="M559" s="29">
        <v>1.4999999999999999E-2</v>
      </c>
      <c r="N559" s="29">
        <v>0.02</v>
      </c>
      <c r="O559" s="27" t="s">
        <v>262</v>
      </c>
      <c r="P559" s="30" t="s">
        <v>908</v>
      </c>
      <c r="Q559" s="31">
        <v>1524524950.75</v>
      </c>
      <c r="R559" s="31">
        <v>4560.43</v>
      </c>
      <c r="S559" s="32">
        <v>7.2126999999999997E-2</v>
      </c>
      <c r="T559" s="32" t="s">
        <v>139</v>
      </c>
      <c r="U559" s="32">
        <v>-1.0248E-2</v>
      </c>
      <c r="V559" s="32">
        <v>5.5718999999999998E-2</v>
      </c>
      <c r="W559" s="32">
        <v>2.4826999999999998E-2</v>
      </c>
      <c r="X559" s="32">
        <v>7.5961000000000001E-2</v>
      </c>
      <c r="Y559" s="32">
        <v>-2.2589999999999999E-2</v>
      </c>
      <c r="Z559" s="32">
        <v>0.42673499999999998</v>
      </c>
      <c r="AA559" s="32">
        <v>0.70157000000000003</v>
      </c>
      <c r="AB559" s="32">
        <v>0.65039800000000003</v>
      </c>
    </row>
    <row r="560" spans="1:28" ht="15.6" customHeight="1" x14ac:dyDescent="0.25">
      <c r="A560" s="24" t="s">
        <v>909</v>
      </c>
      <c r="B560" s="50">
        <v>4199</v>
      </c>
      <c r="C560" s="25" t="s">
        <v>910</v>
      </c>
      <c r="D560" s="25" t="s">
        <v>908</v>
      </c>
      <c r="E560" s="25" t="s">
        <v>194</v>
      </c>
      <c r="F560" s="25" t="s">
        <v>103</v>
      </c>
      <c r="G560" s="26" t="s">
        <v>104</v>
      </c>
      <c r="H560" s="27" t="s">
        <v>139</v>
      </c>
      <c r="I560" s="24" t="s">
        <v>106</v>
      </c>
      <c r="J560" s="24" t="s">
        <v>107</v>
      </c>
      <c r="K560" s="28" t="s">
        <v>108</v>
      </c>
      <c r="L560" s="29">
        <v>0</v>
      </c>
      <c r="M560" s="29">
        <v>0</v>
      </c>
      <c r="N560" s="29">
        <v>6.5000000000000006E-3</v>
      </c>
      <c r="O560" s="27" t="s">
        <v>262</v>
      </c>
      <c r="P560" s="30" t="s">
        <v>908</v>
      </c>
      <c r="Q560" s="31">
        <v>312651263.00999999</v>
      </c>
      <c r="R560" s="31">
        <v>1550.06</v>
      </c>
      <c r="S560" s="32">
        <v>1.6466000000000001E-2</v>
      </c>
      <c r="T560" s="32" t="s">
        <v>139</v>
      </c>
      <c r="U560" s="32">
        <v>2.7700000000000001E-4</v>
      </c>
      <c r="V560" s="32">
        <v>1.9070000000000001E-3</v>
      </c>
      <c r="W560" s="32">
        <v>5.8009999999999997E-3</v>
      </c>
      <c r="X560" s="32">
        <v>1.2258E-2</v>
      </c>
      <c r="Y560" s="32">
        <v>2.419E-2</v>
      </c>
      <c r="Z560" s="32">
        <v>5.2615000000000002E-2</v>
      </c>
      <c r="AA560" s="32">
        <v>8.6839E-2</v>
      </c>
      <c r="AB560" s="32">
        <v>0.130853</v>
      </c>
    </row>
    <row r="561" spans="1:28" ht="15.6" customHeight="1" x14ac:dyDescent="0.25">
      <c r="A561" s="24" t="s">
        <v>1632</v>
      </c>
      <c r="B561" s="50">
        <v>4200</v>
      </c>
      <c r="C561" s="25" t="s">
        <v>1633</v>
      </c>
      <c r="D561" s="25" t="s">
        <v>908</v>
      </c>
      <c r="E561" s="25" t="s">
        <v>194</v>
      </c>
      <c r="F561" s="25" t="s">
        <v>138</v>
      </c>
      <c r="G561" s="26" t="s">
        <v>139</v>
      </c>
      <c r="H561" s="27" t="s">
        <v>1282</v>
      </c>
      <c r="I561" s="24" t="s">
        <v>998</v>
      </c>
      <c r="J561" s="24" t="s">
        <v>107</v>
      </c>
      <c r="K561" s="28" t="s">
        <v>227</v>
      </c>
      <c r="L561" s="29">
        <v>0.03</v>
      </c>
      <c r="M561" s="29">
        <v>0.03</v>
      </c>
      <c r="N561" s="29">
        <v>0.02</v>
      </c>
      <c r="O561" s="27" t="s">
        <v>262</v>
      </c>
      <c r="P561" s="30" t="s">
        <v>908</v>
      </c>
      <c r="Q561" s="31">
        <v>2063056513</v>
      </c>
      <c r="R561" s="31">
        <v>2191.46</v>
      </c>
      <c r="S561" s="32">
        <v>4.3999999999999997E-2</v>
      </c>
      <c r="T561" s="32" t="s">
        <v>139</v>
      </c>
      <c r="U561" s="32">
        <v>-5.012E-3</v>
      </c>
      <c r="V561" s="32">
        <v>3.1975000000000003E-2</v>
      </c>
      <c r="W561" s="32">
        <v>1.4584E-2</v>
      </c>
      <c r="X561" s="32">
        <v>4.3607E-2</v>
      </c>
      <c r="Y561" s="32">
        <v>-3.5920000000000001E-3</v>
      </c>
      <c r="Z561" s="32">
        <v>0.249108</v>
      </c>
      <c r="AA561" s="32">
        <v>0.42432999999999998</v>
      </c>
      <c r="AB561" s="32">
        <v>0.41441099999999997</v>
      </c>
    </row>
    <row r="562" spans="1:28" ht="15.6" customHeight="1" x14ac:dyDescent="0.25">
      <c r="A562" s="24" t="s">
        <v>1634</v>
      </c>
      <c r="B562" s="50">
        <v>4201</v>
      </c>
      <c r="C562" s="25" t="s">
        <v>1635</v>
      </c>
      <c r="D562" s="25" t="s">
        <v>908</v>
      </c>
      <c r="E562" s="25" t="s">
        <v>194</v>
      </c>
      <c r="F562" s="25" t="s">
        <v>113</v>
      </c>
      <c r="G562" s="26" t="s">
        <v>1160</v>
      </c>
      <c r="H562" s="27" t="s">
        <v>839</v>
      </c>
      <c r="I562" s="24" t="s">
        <v>998</v>
      </c>
      <c r="J562" s="24" t="s">
        <v>107</v>
      </c>
      <c r="K562" s="28" t="s">
        <v>108</v>
      </c>
      <c r="L562" s="29">
        <v>5.0000000000000001E-3</v>
      </c>
      <c r="M562" s="29">
        <v>2.5000000000000001E-3</v>
      </c>
      <c r="N562" s="29">
        <v>9.0000000000000011E-3</v>
      </c>
      <c r="O562" s="27" t="s">
        <v>262</v>
      </c>
      <c r="P562" s="30" t="s">
        <v>908</v>
      </c>
      <c r="Q562" s="31">
        <v>22997135.809999999</v>
      </c>
      <c r="R562" s="31">
        <v>1843.63</v>
      </c>
      <c r="S562" s="32">
        <v>4.6210000000000001E-3</v>
      </c>
      <c r="T562" s="32" t="s">
        <v>139</v>
      </c>
      <c r="U562" s="32">
        <v>7.7099999999999998E-4</v>
      </c>
      <c r="V562" s="32">
        <v>3.336E-3</v>
      </c>
      <c r="W562" s="32">
        <v>5.947E-3</v>
      </c>
      <c r="X562" s="32">
        <v>4.6210000000000001E-3</v>
      </c>
      <c r="Y562" s="32">
        <v>3.6359999999999999E-3</v>
      </c>
      <c r="Z562" s="32">
        <v>9.0228000000000003E-2</v>
      </c>
      <c r="AA562" s="32">
        <v>0.18142</v>
      </c>
      <c r="AB562" s="32">
        <v>0.21521699999999999</v>
      </c>
    </row>
    <row r="563" spans="1:28" ht="15.6" customHeight="1" x14ac:dyDescent="0.25">
      <c r="A563" s="24" t="s">
        <v>911</v>
      </c>
      <c r="B563" s="50">
        <v>4202</v>
      </c>
      <c r="C563" s="25" t="s">
        <v>912</v>
      </c>
      <c r="D563" s="25" t="s">
        <v>908</v>
      </c>
      <c r="E563" s="25" t="s">
        <v>194</v>
      </c>
      <c r="F563" s="25" t="s">
        <v>128</v>
      </c>
      <c r="G563" s="26" t="s">
        <v>913</v>
      </c>
      <c r="H563" s="27" t="s">
        <v>130</v>
      </c>
      <c r="I563" s="24" t="s">
        <v>106</v>
      </c>
      <c r="J563" s="24" t="s">
        <v>107</v>
      </c>
      <c r="K563" s="28" t="s">
        <v>108</v>
      </c>
      <c r="L563" s="29">
        <v>0</v>
      </c>
      <c r="M563" s="29">
        <v>0</v>
      </c>
      <c r="N563" s="29">
        <v>0.02</v>
      </c>
      <c r="O563" s="27" t="s">
        <v>262</v>
      </c>
      <c r="P563" s="30" t="s">
        <v>908</v>
      </c>
      <c r="Q563" s="31">
        <v>212149190.94</v>
      </c>
      <c r="R563" s="31">
        <v>1362.86</v>
      </c>
      <c r="S563" s="32">
        <v>1.8047000000000001E-2</v>
      </c>
      <c r="T563" s="32" t="s">
        <v>139</v>
      </c>
      <c r="U563" s="32">
        <v>4.8500000000000003E-4</v>
      </c>
      <c r="V563" s="32">
        <v>2.516E-3</v>
      </c>
      <c r="W563" s="32">
        <v>6.6480000000000003E-3</v>
      </c>
      <c r="X563" s="32">
        <v>1.3641E-2</v>
      </c>
      <c r="Y563" s="32">
        <v>2.5701999999999999E-2</v>
      </c>
      <c r="Z563" s="32">
        <v>6.0955000000000002E-2</v>
      </c>
      <c r="AA563" s="32">
        <v>0.103673</v>
      </c>
      <c r="AB563" s="32">
        <v>0.15092800000000001</v>
      </c>
    </row>
    <row r="564" spans="1:28" ht="15.6" customHeight="1" x14ac:dyDescent="0.25">
      <c r="A564" s="24" t="s">
        <v>1636</v>
      </c>
      <c r="B564" s="50">
        <v>4203</v>
      </c>
      <c r="C564" s="25" t="s">
        <v>1637</v>
      </c>
      <c r="D564" s="25" t="s">
        <v>908</v>
      </c>
      <c r="E564" s="25" t="s">
        <v>194</v>
      </c>
      <c r="F564" s="25" t="s">
        <v>113</v>
      </c>
      <c r="G564" s="26" t="s">
        <v>1572</v>
      </c>
      <c r="H564" s="27" t="s">
        <v>327</v>
      </c>
      <c r="I564" s="24" t="s">
        <v>998</v>
      </c>
      <c r="J564" s="24" t="s">
        <v>107</v>
      </c>
      <c r="K564" s="28" t="s">
        <v>108</v>
      </c>
      <c r="L564" s="29">
        <v>0.03</v>
      </c>
      <c r="M564" s="29">
        <v>0.03</v>
      </c>
      <c r="N564" s="29">
        <v>0.02</v>
      </c>
      <c r="O564" s="27" t="s">
        <v>262</v>
      </c>
      <c r="P564" s="30" t="s">
        <v>908</v>
      </c>
      <c r="Q564" s="31">
        <v>229170353.69999999</v>
      </c>
      <c r="R564" s="31">
        <v>1542.05</v>
      </c>
      <c r="S564" s="32">
        <v>1.273E-3</v>
      </c>
      <c r="T564" s="32" t="s">
        <v>139</v>
      </c>
      <c r="U564" s="32">
        <v>1.266E-3</v>
      </c>
      <c r="V564" s="32">
        <v>3.9189999999999997E-3</v>
      </c>
      <c r="W564" s="32">
        <v>3.7559999999999998E-3</v>
      </c>
      <c r="X564" s="32">
        <v>1.286E-3</v>
      </c>
      <c r="Y564" s="32">
        <v>-3.2060000000000001E-3</v>
      </c>
      <c r="Z564" s="32">
        <v>7.0236000000000007E-2</v>
      </c>
      <c r="AA564" s="32">
        <v>0.157556</v>
      </c>
      <c r="AB564" s="32">
        <v>0.196631</v>
      </c>
    </row>
    <row r="565" spans="1:28" ht="15.6" customHeight="1" x14ac:dyDescent="0.25">
      <c r="A565" s="24" t="s">
        <v>914</v>
      </c>
      <c r="B565" s="50">
        <v>4204</v>
      </c>
      <c r="C565" s="25" t="s">
        <v>915</v>
      </c>
      <c r="D565" s="25" t="s">
        <v>350</v>
      </c>
      <c r="E565" s="25" t="s">
        <v>194</v>
      </c>
      <c r="F565" s="25" t="s">
        <v>103</v>
      </c>
      <c r="G565" s="26" t="s">
        <v>392</v>
      </c>
      <c r="H565" s="27" t="s">
        <v>188</v>
      </c>
      <c r="I565" s="24" t="s">
        <v>106</v>
      </c>
      <c r="J565" s="24" t="s">
        <v>107</v>
      </c>
      <c r="K565" s="28" t="s">
        <v>108</v>
      </c>
      <c r="L565" s="29">
        <v>0.03</v>
      </c>
      <c r="M565" s="29">
        <v>0.03</v>
      </c>
      <c r="N565" s="29">
        <v>0.02</v>
      </c>
      <c r="O565" s="27" t="s">
        <v>262</v>
      </c>
      <c r="P565" s="30" t="s">
        <v>350</v>
      </c>
      <c r="Q565" s="31">
        <v>275305307.20999998</v>
      </c>
      <c r="R565" s="31">
        <v>126.34</v>
      </c>
      <c r="S565" s="32">
        <v>1.5350000000000001E-2</v>
      </c>
      <c r="T565" s="32" t="s">
        <v>139</v>
      </c>
      <c r="U565" s="32">
        <v>2.3800000000000001E-4</v>
      </c>
      <c r="V565" s="32">
        <v>1.903E-3</v>
      </c>
      <c r="W565" s="32">
        <v>5.5710000000000004E-3</v>
      </c>
      <c r="X565" s="32">
        <v>1.1771999999999999E-2</v>
      </c>
      <c r="Y565" s="32">
        <v>2.1919999999999999E-2</v>
      </c>
      <c r="Z565" s="32">
        <v>4.8551999999999998E-2</v>
      </c>
      <c r="AA565" s="32">
        <v>8.3069000000000004E-2</v>
      </c>
      <c r="AB565" s="32">
        <v>0.12672800000000001</v>
      </c>
    </row>
    <row r="566" spans="1:28" ht="15.6" customHeight="1" x14ac:dyDescent="0.25">
      <c r="A566" s="24" t="s">
        <v>916</v>
      </c>
      <c r="B566" s="50">
        <v>4205</v>
      </c>
      <c r="C566" s="25" t="s">
        <v>917</v>
      </c>
      <c r="D566" s="25" t="s">
        <v>350</v>
      </c>
      <c r="E566" s="25" t="s">
        <v>194</v>
      </c>
      <c r="F566" s="25" t="s">
        <v>103</v>
      </c>
      <c r="G566" s="26" t="s">
        <v>392</v>
      </c>
      <c r="H566" s="27" t="s">
        <v>188</v>
      </c>
      <c r="I566" s="24" t="s">
        <v>106</v>
      </c>
      <c r="J566" s="24" t="s">
        <v>107</v>
      </c>
      <c r="K566" s="28" t="s">
        <v>108</v>
      </c>
      <c r="L566" s="29">
        <v>0.03</v>
      </c>
      <c r="M566" s="29">
        <v>0.03</v>
      </c>
      <c r="N566" s="29">
        <v>0.02</v>
      </c>
      <c r="O566" s="27" t="s">
        <v>262</v>
      </c>
      <c r="P566" s="30" t="s">
        <v>350</v>
      </c>
      <c r="Q566" s="31">
        <v>1077597634.72</v>
      </c>
      <c r="R566" s="31">
        <v>123.56</v>
      </c>
      <c r="S566" s="32">
        <v>1.6955000000000001E-2</v>
      </c>
      <c r="T566" s="32" t="s">
        <v>139</v>
      </c>
      <c r="U566" s="32">
        <v>2.43E-4</v>
      </c>
      <c r="V566" s="32">
        <v>2.0270000000000002E-3</v>
      </c>
      <c r="W566" s="32">
        <v>5.9430000000000004E-3</v>
      </c>
      <c r="X566" s="32">
        <v>1.2538000000000001E-2</v>
      </c>
      <c r="Y566" s="32">
        <v>2.4459000000000002E-2</v>
      </c>
      <c r="Z566" s="32">
        <v>5.2650000000000002E-2</v>
      </c>
      <c r="AA566" s="32">
        <v>8.7580000000000005E-2</v>
      </c>
      <c r="AB566" s="32">
        <v>0.13150200000000001</v>
      </c>
    </row>
    <row r="567" spans="1:28" ht="15.6" customHeight="1" x14ac:dyDescent="0.25">
      <c r="A567" s="24" t="s">
        <v>918</v>
      </c>
      <c r="B567" s="50">
        <v>4206</v>
      </c>
      <c r="C567" s="25" t="s">
        <v>919</v>
      </c>
      <c r="D567" s="25" t="s">
        <v>350</v>
      </c>
      <c r="E567" s="25" t="s">
        <v>194</v>
      </c>
      <c r="F567" s="25" t="s">
        <v>128</v>
      </c>
      <c r="G567" s="26" t="s">
        <v>289</v>
      </c>
      <c r="H567" s="27" t="s">
        <v>130</v>
      </c>
      <c r="I567" s="24" t="s">
        <v>106</v>
      </c>
      <c r="J567" s="24" t="s">
        <v>107</v>
      </c>
      <c r="K567" s="28" t="s">
        <v>108</v>
      </c>
      <c r="L567" s="29">
        <v>0.03</v>
      </c>
      <c r="M567" s="29">
        <v>0.03</v>
      </c>
      <c r="N567" s="29">
        <v>0.02</v>
      </c>
      <c r="O567" s="27" t="s">
        <v>262</v>
      </c>
      <c r="P567" s="30" t="s">
        <v>350</v>
      </c>
      <c r="Q567" s="31">
        <v>1172075943.6400001</v>
      </c>
      <c r="R567" s="31">
        <v>125.77</v>
      </c>
      <c r="S567" s="32">
        <v>1.8710999999999998E-2</v>
      </c>
      <c r="T567" s="32" t="s">
        <v>139</v>
      </c>
      <c r="U567" s="32">
        <v>3.9800000000000002E-4</v>
      </c>
      <c r="V567" s="32">
        <v>2.3909999999999999E-3</v>
      </c>
      <c r="W567" s="32">
        <v>6.7239999999999999E-3</v>
      </c>
      <c r="X567" s="32">
        <v>1.3865000000000001E-2</v>
      </c>
      <c r="Y567" s="32">
        <v>2.5604999999999999E-2</v>
      </c>
      <c r="Z567" s="32">
        <v>5.8313999999999998E-2</v>
      </c>
      <c r="AA567" s="32">
        <v>9.7947999999999993E-2</v>
      </c>
      <c r="AB567" s="32">
        <v>0.14461199999999999</v>
      </c>
    </row>
    <row r="568" spans="1:28" ht="15.6" customHeight="1" x14ac:dyDescent="0.25">
      <c r="A568" s="24" t="s">
        <v>1638</v>
      </c>
      <c r="B568" s="50">
        <v>4207</v>
      </c>
      <c r="C568" s="25" t="s">
        <v>1639</v>
      </c>
      <c r="D568" s="25" t="s">
        <v>350</v>
      </c>
      <c r="E568" s="25" t="s">
        <v>194</v>
      </c>
      <c r="F568" s="25" t="s">
        <v>113</v>
      </c>
      <c r="G568" s="26" t="s">
        <v>1640</v>
      </c>
      <c r="H568" s="27" t="s">
        <v>1641</v>
      </c>
      <c r="I568" s="24" t="s">
        <v>998</v>
      </c>
      <c r="J568" s="24" t="s">
        <v>107</v>
      </c>
      <c r="K568" s="28" t="s">
        <v>108</v>
      </c>
      <c r="L568" s="29">
        <v>0.03</v>
      </c>
      <c r="M568" s="29">
        <v>0.03</v>
      </c>
      <c r="N568" s="29">
        <v>0.02</v>
      </c>
      <c r="O568" s="27" t="s">
        <v>262</v>
      </c>
      <c r="P568" s="30" t="s">
        <v>350</v>
      </c>
      <c r="Q568" s="31">
        <v>1280723796.51</v>
      </c>
      <c r="R568" s="31">
        <v>137.6</v>
      </c>
      <c r="S568" s="32">
        <v>-2.32E-3</v>
      </c>
      <c r="T568" s="32" t="s">
        <v>139</v>
      </c>
      <c r="U568" s="32">
        <v>8.7299999999999997E-4</v>
      </c>
      <c r="V568" s="32">
        <v>3.3540000000000002E-3</v>
      </c>
      <c r="W568" s="32">
        <v>2.4039999999999999E-3</v>
      </c>
      <c r="X568" s="32">
        <v>-9.4399999999999996E-4</v>
      </c>
      <c r="Y568" s="32">
        <v>-6.2830000000000004E-3</v>
      </c>
      <c r="Z568" s="32">
        <v>7.6767000000000002E-2</v>
      </c>
      <c r="AA568" s="32">
        <v>0.17166200000000001</v>
      </c>
      <c r="AB568" s="32">
        <v>0.151561</v>
      </c>
    </row>
    <row r="569" spans="1:28" ht="15.6" customHeight="1" x14ac:dyDescent="0.25">
      <c r="A569" s="24" t="s">
        <v>1642</v>
      </c>
      <c r="B569" s="50">
        <v>4208</v>
      </c>
      <c r="C569" s="25" t="s">
        <v>1643</v>
      </c>
      <c r="D569" s="25" t="s">
        <v>350</v>
      </c>
      <c r="E569" s="25" t="s">
        <v>194</v>
      </c>
      <c r="F569" s="25" t="s">
        <v>138</v>
      </c>
      <c r="G569" s="26" t="s">
        <v>139</v>
      </c>
      <c r="H569" s="27" t="s">
        <v>757</v>
      </c>
      <c r="I569" s="24" t="s">
        <v>998</v>
      </c>
      <c r="J569" s="24" t="s">
        <v>107</v>
      </c>
      <c r="K569" s="28" t="s">
        <v>108</v>
      </c>
      <c r="L569" s="29">
        <v>0.03</v>
      </c>
      <c r="M569" s="29">
        <v>0.03</v>
      </c>
      <c r="N569" s="29">
        <v>0.02</v>
      </c>
      <c r="O569" s="27" t="s">
        <v>262</v>
      </c>
      <c r="P569" s="30" t="s">
        <v>350</v>
      </c>
      <c r="Q569" s="31">
        <v>1383796643.97</v>
      </c>
      <c r="R569" s="31">
        <v>151.44</v>
      </c>
      <c r="S569" s="32">
        <v>1.6511999999999999E-2</v>
      </c>
      <c r="T569" s="32" t="s">
        <v>139</v>
      </c>
      <c r="U569" s="32">
        <v>-4.5360000000000001E-3</v>
      </c>
      <c r="V569" s="32">
        <v>3.1817999999999999E-2</v>
      </c>
      <c r="W569" s="32">
        <v>1.5354E-2</v>
      </c>
      <c r="X569" s="32">
        <v>3.0134000000000001E-2</v>
      </c>
      <c r="Y569" s="32">
        <v>-4.267E-2</v>
      </c>
      <c r="Z569" s="32">
        <v>0.213948</v>
      </c>
      <c r="AA569" s="32">
        <v>0.38529099999999999</v>
      </c>
      <c r="AB569" s="32">
        <v>0.35468300000000003</v>
      </c>
    </row>
    <row r="570" spans="1:28" ht="15.6" customHeight="1" x14ac:dyDescent="0.25">
      <c r="A570" s="24" t="s">
        <v>1644</v>
      </c>
      <c r="B570" s="50">
        <v>4209</v>
      </c>
      <c r="C570" s="25" t="s">
        <v>1645</v>
      </c>
      <c r="D570" s="25" t="s">
        <v>350</v>
      </c>
      <c r="E570" s="25" t="s">
        <v>194</v>
      </c>
      <c r="F570" s="25" t="s">
        <v>155</v>
      </c>
      <c r="G570" s="26" t="s">
        <v>139</v>
      </c>
      <c r="H570" s="27" t="s">
        <v>1099</v>
      </c>
      <c r="I570" s="24" t="s">
        <v>998</v>
      </c>
      <c r="J570" s="24" t="s">
        <v>107</v>
      </c>
      <c r="K570" s="28" t="s">
        <v>108</v>
      </c>
      <c r="L570" s="29">
        <v>0.03</v>
      </c>
      <c r="M570" s="29">
        <v>1.4999999999999999E-2</v>
      </c>
      <c r="N570" s="29">
        <v>0.02</v>
      </c>
      <c r="O570" s="27" t="s">
        <v>262</v>
      </c>
      <c r="P570" s="30" t="s">
        <v>350</v>
      </c>
      <c r="Q570" s="31">
        <v>141344061.90000001</v>
      </c>
      <c r="R570" s="31">
        <v>240.43</v>
      </c>
      <c r="S570" s="32">
        <v>2.8313999999999999E-2</v>
      </c>
      <c r="T570" s="32" t="s">
        <v>139</v>
      </c>
      <c r="U570" s="32">
        <v>-1.0128E-2</v>
      </c>
      <c r="V570" s="32">
        <v>5.8184E-2</v>
      </c>
      <c r="W570" s="32">
        <v>3.0473E-2</v>
      </c>
      <c r="X570" s="32">
        <v>5.7160000000000002E-2</v>
      </c>
      <c r="Y570" s="32">
        <v>-6.5855999999999998E-2</v>
      </c>
      <c r="Z570" s="32">
        <v>0.36880200000000002</v>
      </c>
      <c r="AA570" s="32">
        <v>0.64093599999999995</v>
      </c>
      <c r="AB570" s="32">
        <v>0.64610400000000001</v>
      </c>
    </row>
    <row r="571" spans="1:28" ht="15.6" customHeight="1" x14ac:dyDescent="0.25">
      <c r="A571" s="24" t="s">
        <v>1646</v>
      </c>
      <c r="B571" s="50">
        <v>4210</v>
      </c>
      <c r="C571" s="25" t="s">
        <v>1647</v>
      </c>
      <c r="D571" s="25" t="s">
        <v>350</v>
      </c>
      <c r="E571" s="25" t="s">
        <v>194</v>
      </c>
      <c r="F571" s="25" t="s">
        <v>113</v>
      </c>
      <c r="G571" s="26" t="s">
        <v>1168</v>
      </c>
      <c r="H571" s="27" t="s">
        <v>152</v>
      </c>
      <c r="I571" s="24" t="s">
        <v>998</v>
      </c>
      <c r="J571" s="24" t="s">
        <v>121</v>
      </c>
      <c r="K571" s="28" t="s">
        <v>108</v>
      </c>
      <c r="L571" s="29">
        <v>0.03</v>
      </c>
      <c r="M571" s="29">
        <v>1.4999999999999999E-2</v>
      </c>
      <c r="N571" s="29">
        <v>0.02</v>
      </c>
      <c r="O571" s="27" t="s">
        <v>548</v>
      </c>
      <c r="P571" s="30" t="s">
        <v>350</v>
      </c>
      <c r="Q571" s="31">
        <v>2832980510.1500001</v>
      </c>
      <c r="R571" s="31">
        <v>256913.07</v>
      </c>
      <c r="S571" s="32">
        <v>1.993E-3</v>
      </c>
      <c r="T571" s="32" t="s">
        <v>139</v>
      </c>
      <c r="U571" s="32">
        <v>4.9700000000000005E-4</v>
      </c>
      <c r="V571" s="32">
        <v>7.1739999999999998E-3</v>
      </c>
      <c r="W571" s="32">
        <v>5.1419999999999999E-3</v>
      </c>
      <c r="X571" s="32">
        <v>3.408E-3</v>
      </c>
      <c r="Y571" s="32">
        <v>-9.4830000000000001E-3</v>
      </c>
      <c r="Z571" s="32">
        <v>9.3181E-2</v>
      </c>
      <c r="AA571" s="32">
        <v>0.188637</v>
      </c>
      <c r="AB571" s="32">
        <v>0.33438800000000002</v>
      </c>
    </row>
    <row r="572" spans="1:28" ht="15.6" customHeight="1" x14ac:dyDescent="0.25">
      <c r="A572" s="24" t="s">
        <v>920</v>
      </c>
      <c r="B572" s="50">
        <v>4211</v>
      </c>
      <c r="C572" s="25" t="s">
        <v>921</v>
      </c>
      <c r="D572" s="25" t="s">
        <v>164</v>
      </c>
      <c r="E572" s="25" t="s">
        <v>194</v>
      </c>
      <c r="F572" s="25" t="s">
        <v>138</v>
      </c>
      <c r="G572" s="26" t="s">
        <v>139</v>
      </c>
      <c r="H572" s="27" t="s">
        <v>922</v>
      </c>
      <c r="I572" s="24" t="s">
        <v>106</v>
      </c>
      <c r="J572" s="24" t="s">
        <v>107</v>
      </c>
      <c r="K572" s="28" t="s">
        <v>180</v>
      </c>
      <c r="L572" s="29">
        <v>0.02</v>
      </c>
      <c r="M572" s="29">
        <v>0.02</v>
      </c>
      <c r="N572" s="29">
        <v>0.02</v>
      </c>
      <c r="O572" s="27" t="s">
        <v>166</v>
      </c>
      <c r="P572" s="30" t="s">
        <v>627</v>
      </c>
      <c r="Q572" s="31">
        <v>2629004.75</v>
      </c>
      <c r="R572" s="31">
        <v>154.29</v>
      </c>
      <c r="S572" s="32">
        <v>5.4758000000000001E-2</v>
      </c>
      <c r="T572" s="32" t="s">
        <v>139</v>
      </c>
      <c r="U572" s="32">
        <v>-6.9509999999999997E-3</v>
      </c>
      <c r="V572" s="32">
        <v>5.0091999999999998E-2</v>
      </c>
      <c r="W572" s="32">
        <v>1.6067999999999999E-2</v>
      </c>
      <c r="X572" s="32">
        <v>6.7973000000000006E-2</v>
      </c>
      <c r="Y572" s="32">
        <v>-2.3010000000000001E-3</v>
      </c>
      <c r="Z572" s="32">
        <v>0.27813100000000002</v>
      </c>
      <c r="AA572" s="32">
        <v>0.44008700000000001</v>
      </c>
      <c r="AB572" s="32" t="s">
        <v>139</v>
      </c>
    </row>
    <row r="573" spans="1:28" ht="15.6" customHeight="1" x14ac:dyDescent="0.25">
      <c r="A573" s="24" t="s">
        <v>923</v>
      </c>
      <c r="B573" s="50">
        <v>4212</v>
      </c>
      <c r="C573" s="25" t="s">
        <v>924</v>
      </c>
      <c r="D573" s="25" t="s">
        <v>164</v>
      </c>
      <c r="E573" s="25" t="s">
        <v>194</v>
      </c>
      <c r="F573" s="25" t="s">
        <v>113</v>
      </c>
      <c r="G573" s="26" t="s">
        <v>925</v>
      </c>
      <c r="H573" s="27" t="s">
        <v>120</v>
      </c>
      <c r="I573" s="24" t="s">
        <v>106</v>
      </c>
      <c r="J573" s="24" t="s">
        <v>107</v>
      </c>
      <c r="K573" s="28" t="s">
        <v>108</v>
      </c>
      <c r="L573" s="29">
        <v>0.03</v>
      </c>
      <c r="M573" s="29">
        <v>0.03</v>
      </c>
      <c r="N573" s="29">
        <v>0.02</v>
      </c>
      <c r="O573" s="27" t="s">
        <v>166</v>
      </c>
      <c r="P573" s="30" t="s">
        <v>627</v>
      </c>
      <c r="Q573" s="31">
        <v>372070014.44999999</v>
      </c>
      <c r="R573" s="31">
        <v>109.25</v>
      </c>
      <c r="S573" s="32">
        <v>-9.1000000000000003E-5</v>
      </c>
      <c r="T573" s="32" t="s">
        <v>139</v>
      </c>
      <c r="U573" s="32">
        <v>1.65E-3</v>
      </c>
      <c r="V573" s="32">
        <v>4.5050000000000003E-3</v>
      </c>
      <c r="W573" s="32">
        <v>-2.738E-3</v>
      </c>
      <c r="X573" s="32">
        <v>-4.8279999999999998E-3</v>
      </c>
      <c r="Y573" s="32">
        <v>8.2600000000000002E-4</v>
      </c>
      <c r="Z573" s="32">
        <v>3.8005999999999998E-2</v>
      </c>
      <c r="AA573" s="32">
        <v>9.1619000000000006E-2</v>
      </c>
      <c r="AB573" s="32" t="s">
        <v>139</v>
      </c>
    </row>
    <row r="574" spans="1:28" ht="15.6" customHeight="1" x14ac:dyDescent="0.25">
      <c r="A574" s="24" t="s">
        <v>1648</v>
      </c>
      <c r="B574" s="50">
        <v>4213</v>
      </c>
      <c r="C574" s="25" t="s">
        <v>12</v>
      </c>
      <c r="D574" s="25" t="s">
        <v>164</v>
      </c>
      <c r="E574" s="25" t="s">
        <v>194</v>
      </c>
      <c r="F574" s="25" t="s">
        <v>155</v>
      </c>
      <c r="G574" s="26" t="s">
        <v>139</v>
      </c>
      <c r="H574" s="27" t="s">
        <v>1649</v>
      </c>
      <c r="I574" s="24" t="s">
        <v>998</v>
      </c>
      <c r="J574" s="24" t="s">
        <v>107</v>
      </c>
      <c r="K574" s="28" t="s">
        <v>108</v>
      </c>
      <c r="L574" s="29">
        <v>0.02</v>
      </c>
      <c r="M574" s="29">
        <v>0.02</v>
      </c>
      <c r="N574" s="29">
        <v>0.02</v>
      </c>
      <c r="O574" s="27" t="s">
        <v>166</v>
      </c>
      <c r="P574" s="30" t="s">
        <v>627</v>
      </c>
      <c r="Q574" s="31">
        <v>314247238.52999997</v>
      </c>
      <c r="R574" s="31">
        <v>188.32</v>
      </c>
      <c r="S574" s="32">
        <v>7.6853000000000005E-2</v>
      </c>
      <c r="T574" s="32" t="s">
        <v>139</v>
      </c>
      <c r="U574" s="32">
        <v>-1.0612999999999999E-2</v>
      </c>
      <c r="V574" s="32">
        <v>5.8929000000000002E-2</v>
      </c>
      <c r="W574" s="32">
        <v>2.8004000000000001E-2</v>
      </c>
      <c r="X574" s="32">
        <v>8.0250000000000002E-2</v>
      </c>
      <c r="Y574" s="32">
        <v>-3.5097999999999997E-2</v>
      </c>
      <c r="Z574" s="32">
        <v>0.39703300000000002</v>
      </c>
      <c r="AA574" s="32">
        <v>0.63075899999999996</v>
      </c>
      <c r="AB574" s="32" t="s">
        <v>139</v>
      </c>
    </row>
    <row r="575" spans="1:28" ht="15.6" customHeight="1" x14ac:dyDescent="0.25">
      <c r="A575" s="24" t="s">
        <v>926</v>
      </c>
      <c r="B575" s="50">
        <v>4214</v>
      </c>
      <c r="C575" s="25" t="s">
        <v>927</v>
      </c>
      <c r="D575" s="25" t="s">
        <v>164</v>
      </c>
      <c r="E575" s="25" t="s">
        <v>194</v>
      </c>
      <c r="F575" s="25" t="s">
        <v>361</v>
      </c>
      <c r="G575" s="26" t="s">
        <v>139</v>
      </c>
      <c r="H575" s="27" t="s">
        <v>188</v>
      </c>
      <c r="I575" s="24" t="s">
        <v>106</v>
      </c>
      <c r="J575" s="24" t="s">
        <v>107</v>
      </c>
      <c r="K575" s="28" t="s">
        <v>108</v>
      </c>
      <c r="L575" s="29">
        <v>0</v>
      </c>
      <c r="M575" s="29">
        <v>0</v>
      </c>
      <c r="N575" s="29">
        <v>1.5E-3</v>
      </c>
      <c r="O575" s="27" t="s">
        <v>166</v>
      </c>
      <c r="P575" s="30" t="s">
        <v>164</v>
      </c>
      <c r="Q575" s="31">
        <v>3553754083.0100002</v>
      </c>
      <c r="R575" s="31">
        <v>1090.8900000000001</v>
      </c>
      <c r="S575" s="32">
        <v>1.2971999999999999E-2</v>
      </c>
      <c r="T575" s="32" t="s">
        <v>139</v>
      </c>
      <c r="U575" s="32">
        <v>2.1100000000000001E-4</v>
      </c>
      <c r="V575" s="32">
        <v>1.4779999999999999E-3</v>
      </c>
      <c r="W575" s="32">
        <v>4.614E-3</v>
      </c>
      <c r="X575" s="32">
        <v>9.5409999999999991E-3</v>
      </c>
      <c r="Y575" s="32">
        <v>1.9370999999999999E-2</v>
      </c>
      <c r="Z575" s="32">
        <v>4.1392999999999999E-2</v>
      </c>
      <c r="AA575" s="32">
        <v>6.9961999999999996E-2</v>
      </c>
      <c r="AB575" s="32" t="s">
        <v>139</v>
      </c>
    </row>
    <row r="576" spans="1:28" ht="15.6" customHeight="1" x14ac:dyDescent="0.25">
      <c r="A576" s="24" t="s">
        <v>928</v>
      </c>
      <c r="B576" s="50">
        <v>4215</v>
      </c>
      <c r="C576" s="25" t="s">
        <v>929</v>
      </c>
      <c r="D576" s="25" t="s">
        <v>241</v>
      </c>
      <c r="E576" s="25" t="s">
        <v>194</v>
      </c>
      <c r="F576" s="25" t="s">
        <v>128</v>
      </c>
      <c r="G576" s="26" t="s">
        <v>289</v>
      </c>
      <c r="H576" s="27" t="s">
        <v>130</v>
      </c>
      <c r="I576" s="24" t="s">
        <v>106</v>
      </c>
      <c r="J576" s="24" t="s">
        <v>107</v>
      </c>
      <c r="K576" s="28" t="s">
        <v>108</v>
      </c>
      <c r="L576" s="29">
        <v>0.03</v>
      </c>
      <c r="M576" s="29">
        <v>1.4999999999999999E-2</v>
      </c>
      <c r="N576" s="29">
        <v>0.02</v>
      </c>
      <c r="O576" s="27" t="s">
        <v>148</v>
      </c>
      <c r="P576" s="30" t="s">
        <v>930</v>
      </c>
      <c r="Q576" s="31">
        <v>6501436505.3699999</v>
      </c>
      <c r="R576" s="31">
        <v>1362.69</v>
      </c>
      <c r="S576" s="32">
        <v>1.8520999999999999E-2</v>
      </c>
      <c r="T576" s="32" t="s">
        <v>139</v>
      </c>
      <c r="U576" s="32">
        <v>4.1100000000000002E-4</v>
      </c>
      <c r="V576" s="32">
        <v>2.3909999999999999E-3</v>
      </c>
      <c r="W576" s="32">
        <v>6.8570000000000002E-3</v>
      </c>
      <c r="X576" s="32">
        <v>1.3989E-2</v>
      </c>
      <c r="Y576" s="32">
        <v>2.6702E-2</v>
      </c>
      <c r="Z576" s="32">
        <v>6.3769999999999993E-2</v>
      </c>
      <c r="AA576" s="32">
        <v>0.1075</v>
      </c>
      <c r="AB576" s="32">
        <v>0.15704799999999999</v>
      </c>
    </row>
    <row r="577" spans="1:28" ht="15.6" customHeight="1" x14ac:dyDescent="0.25">
      <c r="A577" s="24" t="s">
        <v>931</v>
      </c>
      <c r="B577" s="50">
        <v>4216</v>
      </c>
      <c r="C577" s="25" t="s">
        <v>932</v>
      </c>
      <c r="D577" s="25" t="s">
        <v>241</v>
      </c>
      <c r="E577" s="25" t="s">
        <v>194</v>
      </c>
      <c r="F577" s="25" t="s">
        <v>155</v>
      </c>
      <c r="G577" s="26" t="s">
        <v>139</v>
      </c>
      <c r="H577" s="27" t="s">
        <v>156</v>
      </c>
      <c r="I577" s="24" t="s">
        <v>106</v>
      </c>
      <c r="J577" s="24" t="s">
        <v>107</v>
      </c>
      <c r="K577" s="28" t="s">
        <v>108</v>
      </c>
      <c r="L577" s="29">
        <v>0.03</v>
      </c>
      <c r="M577" s="29">
        <v>1.4999999999999999E-2</v>
      </c>
      <c r="N577" s="29">
        <v>0.02</v>
      </c>
      <c r="O577" s="27" t="s">
        <v>148</v>
      </c>
      <c r="P577" s="30" t="s">
        <v>930</v>
      </c>
      <c r="Q577" s="31">
        <v>2334229722.6199999</v>
      </c>
      <c r="R577" s="31">
        <v>717.01</v>
      </c>
      <c r="S577" s="32">
        <v>-1.1811E-2</v>
      </c>
      <c r="T577" s="32" t="s">
        <v>139</v>
      </c>
      <c r="U577" s="32">
        <v>-1.0064999999999999E-2</v>
      </c>
      <c r="V577" s="32">
        <v>6.3639000000000001E-2</v>
      </c>
      <c r="W577" s="32">
        <v>2.7234999999999999E-2</v>
      </c>
      <c r="X577" s="32">
        <v>3.1579999999999997E-2</v>
      </c>
      <c r="Y577" s="32">
        <v>-0.11430999999999999</v>
      </c>
      <c r="Z577" s="32">
        <v>0.34053099999999997</v>
      </c>
      <c r="AA577" s="32">
        <v>0.611765</v>
      </c>
      <c r="AB577" s="32">
        <v>0.48317199999999999</v>
      </c>
    </row>
    <row r="578" spans="1:28" ht="15.6" customHeight="1" x14ac:dyDescent="0.25">
      <c r="A578" s="24" t="s">
        <v>933</v>
      </c>
      <c r="B578" s="50">
        <v>4217</v>
      </c>
      <c r="C578" s="25" t="s">
        <v>934</v>
      </c>
      <c r="D578" s="25" t="s">
        <v>241</v>
      </c>
      <c r="E578" s="25" t="s">
        <v>194</v>
      </c>
      <c r="F578" s="25" t="s">
        <v>103</v>
      </c>
      <c r="G578" s="26" t="s">
        <v>244</v>
      </c>
      <c r="H578" s="27" t="s">
        <v>446</v>
      </c>
      <c r="I578" s="24" t="s">
        <v>106</v>
      </c>
      <c r="J578" s="24" t="s">
        <v>107</v>
      </c>
      <c r="K578" s="28" t="s">
        <v>108</v>
      </c>
      <c r="L578" s="29">
        <v>0</v>
      </c>
      <c r="M578" s="29">
        <v>0</v>
      </c>
      <c r="N578" s="29">
        <v>0.02</v>
      </c>
      <c r="O578" s="27" t="s">
        <v>148</v>
      </c>
      <c r="P578" s="30" t="s">
        <v>466</v>
      </c>
      <c r="Q578" s="31">
        <v>2859673509.27</v>
      </c>
      <c r="R578" s="31">
        <v>1322.34</v>
      </c>
      <c r="S578" s="32">
        <v>1.6997000000000002E-2</v>
      </c>
      <c r="T578" s="32" t="s">
        <v>139</v>
      </c>
      <c r="U578" s="32">
        <v>2.9500000000000001E-4</v>
      </c>
      <c r="V578" s="32">
        <v>2.0309999999999998E-3</v>
      </c>
      <c r="W578" s="32">
        <v>6.1250000000000002E-3</v>
      </c>
      <c r="X578" s="32">
        <v>1.2767000000000001E-2</v>
      </c>
      <c r="Y578" s="32">
        <v>2.5340000000000001E-2</v>
      </c>
      <c r="Z578" s="32">
        <v>5.6722000000000002E-2</v>
      </c>
      <c r="AA578" s="32">
        <v>9.4244999999999995E-2</v>
      </c>
      <c r="AB578" s="32">
        <v>0.14166100000000001</v>
      </c>
    </row>
    <row r="579" spans="1:28" ht="15.6" customHeight="1" x14ac:dyDescent="0.25">
      <c r="A579" s="24" t="s">
        <v>935</v>
      </c>
      <c r="B579" s="50">
        <v>4218</v>
      </c>
      <c r="C579" s="25" t="s">
        <v>936</v>
      </c>
      <c r="D579" s="25" t="s">
        <v>241</v>
      </c>
      <c r="E579" s="25" t="s">
        <v>194</v>
      </c>
      <c r="F579" s="25" t="s">
        <v>113</v>
      </c>
      <c r="G579" s="26" t="s">
        <v>198</v>
      </c>
      <c r="H579" s="27" t="s">
        <v>440</v>
      </c>
      <c r="I579" s="24" t="s">
        <v>106</v>
      </c>
      <c r="J579" s="24" t="s">
        <v>107</v>
      </c>
      <c r="K579" s="28" t="s">
        <v>108</v>
      </c>
      <c r="L579" s="29">
        <v>0.03</v>
      </c>
      <c r="M579" s="29">
        <v>1.4999999999999999E-2</v>
      </c>
      <c r="N579" s="29">
        <v>0.02</v>
      </c>
      <c r="O579" s="27" t="s">
        <v>148</v>
      </c>
      <c r="P579" s="30" t="s">
        <v>930</v>
      </c>
      <c r="Q579" s="31">
        <v>3528505302.3800001</v>
      </c>
      <c r="R579" s="31">
        <v>1448.68</v>
      </c>
      <c r="S579" s="32">
        <v>-1.2960000000000001E-3</v>
      </c>
      <c r="T579" s="32" t="s">
        <v>139</v>
      </c>
      <c r="U579" s="32">
        <v>3.59E-4</v>
      </c>
      <c r="V579" s="32">
        <v>6.7270000000000003E-3</v>
      </c>
      <c r="W579" s="32">
        <v>3.7209999999999999E-3</v>
      </c>
      <c r="X579" s="32">
        <v>9.7E-5</v>
      </c>
      <c r="Y579" s="32">
        <v>-1.1835E-2</v>
      </c>
      <c r="Z579" s="32">
        <v>8.0806000000000003E-2</v>
      </c>
      <c r="AA579" s="32">
        <v>0.16880899999999999</v>
      </c>
      <c r="AB579" s="32">
        <v>0.15329699999999999</v>
      </c>
    </row>
    <row r="580" spans="1:28" ht="15.6" customHeight="1" x14ac:dyDescent="0.25">
      <c r="A580" s="24" t="s">
        <v>1650</v>
      </c>
      <c r="B580" s="50">
        <v>4219</v>
      </c>
      <c r="C580" s="25" t="s">
        <v>1651</v>
      </c>
      <c r="D580" s="25" t="s">
        <v>164</v>
      </c>
      <c r="E580" s="25" t="s">
        <v>194</v>
      </c>
      <c r="F580" s="25" t="s">
        <v>138</v>
      </c>
      <c r="G580" s="26" t="s">
        <v>139</v>
      </c>
      <c r="H580" s="27" t="s">
        <v>1652</v>
      </c>
      <c r="I580" s="24" t="s">
        <v>998</v>
      </c>
      <c r="J580" s="24" t="s">
        <v>107</v>
      </c>
      <c r="K580" s="28" t="s">
        <v>227</v>
      </c>
      <c r="L580" s="29">
        <v>0.03</v>
      </c>
      <c r="M580" s="29">
        <v>1.4999999999999999E-2</v>
      </c>
      <c r="N580" s="29">
        <v>0.02</v>
      </c>
      <c r="O580" s="27" t="s">
        <v>166</v>
      </c>
      <c r="P580" s="30" t="s">
        <v>164</v>
      </c>
      <c r="Q580" s="31">
        <v>586505254.26999998</v>
      </c>
      <c r="R580" s="31">
        <v>1477.16</v>
      </c>
      <c r="S580" s="32">
        <v>4.3671000000000001E-2</v>
      </c>
      <c r="T580" s="32" t="s">
        <v>139</v>
      </c>
      <c r="U580" s="32">
        <v>-5.306E-3</v>
      </c>
      <c r="V580" s="32">
        <v>4.2096000000000001E-2</v>
      </c>
      <c r="W580" s="32">
        <v>6.9389999999999999E-3</v>
      </c>
      <c r="X580" s="32">
        <v>3.8535E-2</v>
      </c>
      <c r="Y580" s="32">
        <v>2.0617E-2</v>
      </c>
      <c r="Z580" s="32">
        <v>0.28439799999999998</v>
      </c>
      <c r="AA580" s="32">
        <v>0.46579999999999999</v>
      </c>
      <c r="AB580" s="32" t="s">
        <v>139</v>
      </c>
    </row>
    <row r="581" spans="1:28" ht="15.6" customHeight="1" x14ac:dyDescent="0.25">
      <c r="A581" s="24" t="s">
        <v>937</v>
      </c>
      <c r="B581" s="50">
        <v>4220</v>
      </c>
      <c r="C581" s="25" t="s">
        <v>938</v>
      </c>
      <c r="D581" s="25" t="s">
        <v>241</v>
      </c>
      <c r="E581" s="25" t="s">
        <v>194</v>
      </c>
      <c r="F581" s="25" t="s">
        <v>138</v>
      </c>
      <c r="G581" s="26" t="s">
        <v>139</v>
      </c>
      <c r="H581" s="27" t="s">
        <v>939</v>
      </c>
      <c r="I581" s="24" t="s">
        <v>106</v>
      </c>
      <c r="J581" s="24" t="s">
        <v>107</v>
      </c>
      <c r="K581" s="28" t="s">
        <v>108</v>
      </c>
      <c r="L581" s="29">
        <v>0.03</v>
      </c>
      <c r="M581" s="29">
        <v>1.4999999999999999E-2</v>
      </c>
      <c r="N581" s="29">
        <v>0.02</v>
      </c>
      <c r="O581" s="27" t="s">
        <v>148</v>
      </c>
      <c r="P581" s="30" t="s">
        <v>940</v>
      </c>
      <c r="Q581" s="31">
        <v>4212628069.2800002</v>
      </c>
      <c r="R581" s="31">
        <v>2055.33</v>
      </c>
      <c r="S581" s="32">
        <v>-1.6653999999999999E-2</v>
      </c>
      <c r="T581" s="32" t="s">
        <v>139</v>
      </c>
      <c r="U581" s="32">
        <v>-4.8129999999999996E-3</v>
      </c>
      <c r="V581" s="32">
        <v>2.9245E-2</v>
      </c>
      <c r="W581" s="32">
        <v>1.0924E-2</v>
      </c>
      <c r="X581" s="32">
        <v>3.5349999999999999E-3</v>
      </c>
      <c r="Y581" s="32">
        <v>-7.9202999999999996E-2</v>
      </c>
      <c r="Z581" s="32">
        <v>0.18178800000000001</v>
      </c>
      <c r="AA581" s="32">
        <v>0.333565</v>
      </c>
      <c r="AB581" s="32">
        <v>0.200263</v>
      </c>
    </row>
    <row r="582" spans="1:28" ht="15.6" customHeight="1" x14ac:dyDescent="0.25">
      <c r="A582" s="24" t="s">
        <v>941</v>
      </c>
      <c r="B582" s="50">
        <v>4221</v>
      </c>
      <c r="C582" s="25" t="s">
        <v>942</v>
      </c>
      <c r="D582" s="25" t="s">
        <v>241</v>
      </c>
      <c r="E582" s="25" t="s">
        <v>194</v>
      </c>
      <c r="F582" s="25" t="s">
        <v>113</v>
      </c>
      <c r="G582" s="26" t="s">
        <v>943</v>
      </c>
      <c r="H582" s="27" t="s">
        <v>309</v>
      </c>
      <c r="I582" s="24" t="s">
        <v>106</v>
      </c>
      <c r="J582" s="24" t="s">
        <v>107</v>
      </c>
      <c r="K582" s="28" t="s">
        <v>108</v>
      </c>
      <c r="L582" s="29">
        <v>0.03</v>
      </c>
      <c r="M582" s="29">
        <v>0.01</v>
      </c>
      <c r="N582" s="29">
        <v>0.02</v>
      </c>
      <c r="O582" s="27" t="s">
        <v>148</v>
      </c>
      <c r="P582" s="30" t="s">
        <v>940</v>
      </c>
      <c r="Q582" s="31">
        <v>3765979988.04</v>
      </c>
      <c r="R582" s="31">
        <v>1119.6600000000001</v>
      </c>
      <c r="S582" s="32">
        <v>-4.1089999999999998E-3</v>
      </c>
      <c r="T582" s="32" t="s">
        <v>139</v>
      </c>
      <c r="U582" s="32">
        <v>7.2400000000000003E-4</v>
      </c>
      <c r="V582" s="32">
        <v>5.0720000000000001E-3</v>
      </c>
      <c r="W582" s="32">
        <v>4.3049999999999998E-3</v>
      </c>
      <c r="X582" s="32">
        <v>-4.2000000000000002E-4</v>
      </c>
      <c r="Y582" s="32">
        <v>-1.3863E-2</v>
      </c>
      <c r="Z582" s="32">
        <v>7.3088E-2</v>
      </c>
      <c r="AA582" s="32">
        <v>0.15701999999999999</v>
      </c>
      <c r="AB582" s="32">
        <v>8.7111999999999995E-2</v>
      </c>
    </row>
    <row r="583" spans="1:28" ht="15.6" customHeight="1" x14ac:dyDescent="0.25">
      <c r="A583" s="24" t="s">
        <v>944</v>
      </c>
      <c r="B583" s="50">
        <v>4222</v>
      </c>
      <c r="C583" s="25" t="s">
        <v>945</v>
      </c>
      <c r="D583" s="25" t="s">
        <v>112</v>
      </c>
      <c r="E583" s="25" t="s">
        <v>194</v>
      </c>
      <c r="F583" s="25" t="s">
        <v>361</v>
      </c>
      <c r="G583" s="26" t="s">
        <v>139</v>
      </c>
      <c r="H583" s="27" t="s">
        <v>188</v>
      </c>
      <c r="I583" s="24" t="s">
        <v>106</v>
      </c>
      <c r="J583" s="24" t="s">
        <v>107</v>
      </c>
      <c r="K583" s="28" t="s">
        <v>108</v>
      </c>
      <c r="L583" s="29">
        <v>0.03</v>
      </c>
      <c r="M583" s="29">
        <v>1.4999999999999999E-2</v>
      </c>
      <c r="N583" s="29">
        <v>0.02</v>
      </c>
      <c r="O583" s="27" t="s">
        <v>548</v>
      </c>
      <c r="P583" s="30" t="s">
        <v>112</v>
      </c>
      <c r="Q583" s="31">
        <v>536628581.97000003</v>
      </c>
      <c r="R583" s="31">
        <v>1068.7</v>
      </c>
      <c r="S583" s="32">
        <v>1.3524E-2</v>
      </c>
      <c r="T583" s="32" t="s">
        <v>139</v>
      </c>
      <c r="U583" s="32">
        <v>2.1499999999999999E-4</v>
      </c>
      <c r="V583" s="32">
        <v>1.5280000000000001E-3</v>
      </c>
      <c r="W583" s="32">
        <v>4.8329999999999996E-3</v>
      </c>
      <c r="X583" s="32">
        <v>1.0028E-2</v>
      </c>
      <c r="Y583" s="32">
        <v>2.0004999999999998E-2</v>
      </c>
      <c r="Z583" s="32">
        <v>4.1577000000000003E-2</v>
      </c>
      <c r="AA583" s="32">
        <v>6.7835000000000006E-2</v>
      </c>
      <c r="AB583" s="32" t="s">
        <v>139</v>
      </c>
    </row>
    <row r="584" spans="1:28" ht="15.6" customHeight="1" x14ac:dyDescent="0.25">
      <c r="A584" s="24" t="s">
        <v>946</v>
      </c>
      <c r="B584" s="50">
        <v>4223</v>
      </c>
      <c r="C584" s="25" t="s">
        <v>947</v>
      </c>
      <c r="D584" s="25" t="s">
        <v>112</v>
      </c>
      <c r="E584" s="25" t="s">
        <v>194</v>
      </c>
      <c r="F584" s="25" t="s">
        <v>128</v>
      </c>
      <c r="G584" s="26" t="s">
        <v>289</v>
      </c>
      <c r="H584" s="27" t="s">
        <v>258</v>
      </c>
      <c r="I584" s="24" t="s">
        <v>106</v>
      </c>
      <c r="J584" s="24" t="s">
        <v>121</v>
      </c>
      <c r="K584" s="28" t="s">
        <v>108</v>
      </c>
      <c r="L584" s="29">
        <v>0</v>
      </c>
      <c r="M584" s="29">
        <v>0</v>
      </c>
      <c r="N584" s="29">
        <v>0.02</v>
      </c>
      <c r="O584" s="27" t="s">
        <v>548</v>
      </c>
      <c r="P584" s="30" t="s">
        <v>112</v>
      </c>
      <c r="Q584" s="31">
        <v>619106.21</v>
      </c>
      <c r="R584" s="31">
        <v>1095.76</v>
      </c>
      <c r="S584" s="32">
        <v>1.5185000000000001E-2</v>
      </c>
      <c r="T584" s="32" t="s">
        <v>139</v>
      </c>
      <c r="U584" s="32">
        <v>2.3699999999999999E-4</v>
      </c>
      <c r="V584" s="32">
        <v>1.9659999999999999E-3</v>
      </c>
      <c r="W584" s="32">
        <v>5.3949999999999996E-3</v>
      </c>
      <c r="X584" s="32">
        <v>1.1790999999999999E-2</v>
      </c>
      <c r="Y584" s="32">
        <v>2.3979E-2</v>
      </c>
      <c r="Z584" s="32">
        <v>5.7397999999999998E-2</v>
      </c>
      <c r="AA584" s="32">
        <v>9.4675999999999996E-2</v>
      </c>
      <c r="AB584" s="32" t="s">
        <v>139</v>
      </c>
    </row>
    <row r="585" spans="1:28" ht="15.6" customHeight="1" x14ac:dyDescent="0.25">
      <c r="A585" s="24" t="s">
        <v>948</v>
      </c>
      <c r="B585" s="50">
        <v>4224</v>
      </c>
      <c r="C585" s="25" t="s">
        <v>949</v>
      </c>
      <c r="D585" s="25" t="s">
        <v>112</v>
      </c>
      <c r="E585" s="25" t="s">
        <v>194</v>
      </c>
      <c r="F585" s="25" t="s">
        <v>113</v>
      </c>
      <c r="G585" s="26" t="s">
        <v>531</v>
      </c>
      <c r="H585" s="27" t="s">
        <v>115</v>
      </c>
      <c r="I585" s="24" t="s">
        <v>106</v>
      </c>
      <c r="J585" s="24" t="s">
        <v>121</v>
      </c>
      <c r="K585" s="28" t="s">
        <v>108</v>
      </c>
      <c r="L585" s="29">
        <v>0</v>
      </c>
      <c r="M585" s="29">
        <v>0</v>
      </c>
      <c r="N585" s="29">
        <v>0.02</v>
      </c>
      <c r="O585" s="27" t="s">
        <v>548</v>
      </c>
      <c r="P585" s="30" t="s">
        <v>112</v>
      </c>
      <c r="Q585" s="31">
        <v>1465298452.48</v>
      </c>
      <c r="R585" s="31">
        <v>1117.77</v>
      </c>
      <c r="S585" s="32">
        <v>2.9250000000000001E-3</v>
      </c>
      <c r="T585" s="32" t="s">
        <v>139</v>
      </c>
      <c r="U585" s="32">
        <v>1.075E-3</v>
      </c>
      <c r="V585" s="32">
        <v>6.7549999999999997E-3</v>
      </c>
      <c r="W585" s="32">
        <v>6.202E-3</v>
      </c>
      <c r="X585" s="32">
        <v>2.5019999999999999E-3</v>
      </c>
      <c r="Y585" s="32">
        <v>-4.2000000000000002E-4</v>
      </c>
      <c r="Z585" s="32">
        <v>5.9317000000000002E-2</v>
      </c>
      <c r="AA585" s="32">
        <v>0.116698</v>
      </c>
      <c r="AB585" s="32" t="s">
        <v>139</v>
      </c>
    </row>
    <row r="586" spans="1:28" ht="15.6" customHeight="1" x14ac:dyDescent="0.25">
      <c r="A586" s="24" t="s">
        <v>1653</v>
      </c>
      <c r="B586" s="50">
        <v>4225</v>
      </c>
      <c r="C586" s="25" t="s">
        <v>1654</v>
      </c>
      <c r="D586" s="25" t="s">
        <v>164</v>
      </c>
      <c r="E586" s="25" t="s">
        <v>194</v>
      </c>
      <c r="F586" s="25" t="s">
        <v>138</v>
      </c>
      <c r="G586" s="26" t="s">
        <v>139</v>
      </c>
      <c r="H586" s="27" t="s">
        <v>1655</v>
      </c>
      <c r="I586" s="24" t="s">
        <v>998</v>
      </c>
      <c r="J586" s="24" t="s">
        <v>107</v>
      </c>
      <c r="K586" s="28" t="s">
        <v>227</v>
      </c>
      <c r="L586" s="29">
        <v>2E-3</v>
      </c>
      <c r="M586" s="29">
        <v>1E-3</v>
      </c>
      <c r="N586" s="29">
        <v>0.02</v>
      </c>
      <c r="O586" s="27" t="s">
        <v>166</v>
      </c>
      <c r="P586" s="30" t="s">
        <v>164</v>
      </c>
      <c r="Q586" s="31">
        <v>99093652.180000007</v>
      </c>
      <c r="R586" s="31">
        <v>142106.42000000001</v>
      </c>
      <c r="S586" s="32">
        <v>4.28E-4</v>
      </c>
      <c r="T586" s="32" t="s">
        <v>139</v>
      </c>
      <c r="U586" s="32">
        <v>1.444E-3</v>
      </c>
      <c r="V586" s="32">
        <v>3.823E-3</v>
      </c>
      <c r="W586" s="32">
        <v>2.7130000000000001E-3</v>
      </c>
      <c r="X586" s="32">
        <v>-5.1460000000000004E-3</v>
      </c>
      <c r="Y586" s="32">
        <v>5.44E-4</v>
      </c>
      <c r="Z586" s="32">
        <v>7.1766999999999997E-2</v>
      </c>
      <c r="AA586" s="32">
        <v>0.186829</v>
      </c>
      <c r="AB586" s="32">
        <v>0.15042700000000001</v>
      </c>
    </row>
    <row r="587" spans="1:28" ht="15.6" customHeight="1" x14ac:dyDescent="0.25">
      <c r="A587" s="24" t="s">
        <v>1656</v>
      </c>
      <c r="B587" s="50">
        <v>4226</v>
      </c>
      <c r="C587" s="25" t="s">
        <v>1657</v>
      </c>
      <c r="D587" s="25" t="s">
        <v>164</v>
      </c>
      <c r="E587" s="25" t="s">
        <v>194</v>
      </c>
      <c r="F587" s="25" t="s">
        <v>138</v>
      </c>
      <c r="G587" s="26" t="s">
        <v>139</v>
      </c>
      <c r="H587" s="27" t="s">
        <v>1658</v>
      </c>
      <c r="I587" s="24" t="s">
        <v>998</v>
      </c>
      <c r="J587" s="24" t="s">
        <v>107</v>
      </c>
      <c r="K587" s="28" t="s">
        <v>227</v>
      </c>
      <c r="L587" s="29">
        <v>0</v>
      </c>
      <c r="M587" s="29">
        <v>0</v>
      </c>
      <c r="N587" s="29">
        <v>0.02</v>
      </c>
      <c r="O587" s="27" t="s">
        <v>166</v>
      </c>
      <c r="P587" s="30" t="s">
        <v>164</v>
      </c>
      <c r="Q587" s="31">
        <v>354804377.30000001</v>
      </c>
      <c r="R587" s="31">
        <v>1717.76</v>
      </c>
      <c r="S587" s="32">
        <v>5.8333999999999997E-2</v>
      </c>
      <c r="T587" s="32" t="s">
        <v>139</v>
      </c>
      <c r="U587" s="32">
        <v>-7.0870000000000004E-3</v>
      </c>
      <c r="V587" s="32">
        <v>3.2511999999999999E-2</v>
      </c>
      <c r="W587" s="32">
        <v>1.8095E-2</v>
      </c>
      <c r="X587" s="32">
        <v>5.7453999999999998E-2</v>
      </c>
      <c r="Y587" s="32">
        <v>2.3E-2</v>
      </c>
      <c r="Z587" s="32">
        <v>0.31302099999999999</v>
      </c>
      <c r="AA587" s="32">
        <v>0.47863499999999998</v>
      </c>
      <c r="AB587" s="32">
        <v>0.43535400000000002</v>
      </c>
    </row>
    <row r="588" spans="1:28" ht="15.6" customHeight="1" x14ac:dyDescent="0.25">
      <c r="A588" s="24" t="s">
        <v>1659</v>
      </c>
      <c r="B588" s="50">
        <v>4227</v>
      </c>
      <c r="C588" s="25" t="s">
        <v>1660</v>
      </c>
      <c r="D588" s="25" t="s">
        <v>164</v>
      </c>
      <c r="E588" s="25" t="s">
        <v>194</v>
      </c>
      <c r="F588" s="25" t="s">
        <v>138</v>
      </c>
      <c r="G588" s="26" t="s">
        <v>139</v>
      </c>
      <c r="H588" s="27" t="s">
        <v>1661</v>
      </c>
      <c r="I588" s="24" t="s">
        <v>998</v>
      </c>
      <c r="J588" s="24" t="s">
        <v>107</v>
      </c>
      <c r="K588" s="28" t="s">
        <v>108</v>
      </c>
      <c r="L588" s="29">
        <v>0</v>
      </c>
      <c r="M588" s="29">
        <v>0</v>
      </c>
      <c r="N588" s="29">
        <v>0.02</v>
      </c>
      <c r="O588" s="27" t="s">
        <v>166</v>
      </c>
      <c r="P588" s="30" t="s">
        <v>164</v>
      </c>
      <c r="Q588" s="31">
        <v>201680431.63999999</v>
      </c>
      <c r="R588" s="31">
        <v>15130.52</v>
      </c>
      <c r="S588" s="32">
        <v>9.1215000000000004E-2</v>
      </c>
      <c r="T588" s="32" t="s">
        <v>139</v>
      </c>
      <c r="U588" s="32">
        <v>-5.5469999999999998E-3</v>
      </c>
      <c r="V588" s="32">
        <v>3.7384000000000001E-2</v>
      </c>
      <c r="W588" s="32">
        <v>1.5027E-2</v>
      </c>
      <c r="X588" s="32">
        <v>7.7705999999999997E-2</v>
      </c>
      <c r="Y588" s="32">
        <v>6.3774999999999998E-2</v>
      </c>
      <c r="Z588" s="32">
        <v>0.30512400000000001</v>
      </c>
      <c r="AA588" s="32">
        <v>0.45768599999999998</v>
      </c>
      <c r="AB588" s="32">
        <v>0.43018699999999999</v>
      </c>
    </row>
    <row r="589" spans="1:28" ht="15.6" customHeight="1" x14ac:dyDescent="0.25">
      <c r="A589" s="24" t="s">
        <v>1662</v>
      </c>
      <c r="B589" s="50">
        <v>4228</v>
      </c>
      <c r="C589" s="25" t="s">
        <v>1663</v>
      </c>
      <c r="D589" s="25" t="s">
        <v>127</v>
      </c>
      <c r="E589" s="25" t="s">
        <v>194</v>
      </c>
      <c r="F589" s="25" t="s">
        <v>113</v>
      </c>
      <c r="G589" s="26" t="s">
        <v>191</v>
      </c>
      <c r="H589" s="27" t="s">
        <v>115</v>
      </c>
      <c r="I589" s="24" t="s">
        <v>998</v>
      </c>
      <c r="J589" s="24" t="s">
        <v>107</v>
      </c>
      <c r="K589" s="28" t="s">
        <v>227</v>
      </c>
      <c r="L589" s="29">
        <v>0.03</v>
      </c>
      <c r="M589" s="29">
        <v>0.03</v>
      </c>
      <c r="N589" s="29">
        <v>0.02</v>
      </c>
      <c r="O589" s="27" t="s">
        <v>131</v>
      </c>
      <c r="P589" s="30" t="s">
        <v>131</v>
      </c>
      <c r="Q589" s="31">
        <v>1111300.51</v>
      </c>
      <c r="R589" s="31">
        <v>1111.3</v>
      </c>
      <c r="S589" s="32">
        <v>5.4650000000000002E-3</v>
      </c>
      <c r="T589" s="32" t="s">
        <v>139</v>
      </c>
      <c r="U589" s="32">
        <v>9.4600000000000001E-4</v>
      </c>
      <c r="V589" s="32">
        <v>3.2139999999999998E-3</v>
      </c>
      <c r="W589" s="32">
        <v>3.676E-3</v>
      </c>
      <c r="X589" s="32">
        <v>2.0830000000000002E-3</v>
      </c>
      <c r="Y589" s="32">
        <v>2.1909999999999998E-3</v>
      </c>
      <c r="Z589" s="32">
        <v>5.3803999999999998E-2</v>
      </c>
      <c r="AA589" s="32" t="s">
        <v>139</v>
      </c>
      <c r="AB589" s="32" t="s">
        <v>139</v>
      </c>
    </row>
    <row r="590" spans="1:28" ht="15.6" customHeight="1" x14ac:dyDescent="0.25">
      <c r="A590" s="24" t="s">
        <v>1664</v>
      </c>
      <c r="B590" s="50">
        <v>4229</v>
      </c>
      <c r="C590" s="25" t="s">
        <v>1665</v>
      </c>
      <c r="D590" s="25" t="s">
        <v>164</v>
      </c>
      <c r="E590" s="25" t="s">
        <v>194</v>
      </c>
      <c r="F590" s="25" t="s">
        <v>155</v>
      </c>
      <c r="G590" s="26" t="s">
        <v>139</v>
      </c>
      <c r="H590" s="27" t="s">
        <v>588</v>
      </c>
      <c r="I590" s="24" t="s">
        <v>998</v>
      </c>
      <c r="J590" s="24" t="s">
        <v>121</v>
      </c>
      <c r="K590" s="28" t="s">
        <v>227</v>
      </c>
      <c r="L590" s="29">
        <v>0</v>
      </c>
      <c r="M590" s="29">
        <v>0</v>
      </c>
      <c r="N590" s="29">
        <v>0.02</v>
      </c>
      <c r="O590" s="27" t="s">
        <v>166</v>
      </c>
      <c r="P590" s="30" t="s">
        <v>164</v>
      </c>
      <c r="Q590" s="31">
        <v>363015516.80000001</v>
      </c>
      <c r="R590" s="31">
        <v>2102.33</v>
      </c>
      <c r="S590" s="32">
        <v>-2.4000000000000001E-5</v>
      </c>
      <c r="T590" s="32" t="s">
        <v>139</v>
      </c>
      <c r="U590" s="32">
        <v>-6.9249999999999997E-3</v>
      </c>
      <c r="V590" s="32">
        <v>2.7255999999999999E-2</v>
      </c>
      <c r="W590" s="32">
        <v>1.7398E-2</v>
      </c>
      <c r="X590" s="32">
        <v>3.6836000000000001E-2</v>
      </c>
      <c r="Y590" s="32">
        <v>-6.5266000000000005E-2</v>
      </c>
      <c r="Z590" s="32">
        <v>0.40722900000000001</v>
      </c>
      <c r="AA590" s="32">
        <v>0.70908599999999999</v>
      </c>
      <c r="AB590" s="32">
        <v>0.607765</v>
      </c>
    </row>
    <row r="591" spans="1:28" ht="15.6" customHeight="1" x14ac:dyDescent="0.25">
      <c r="A591" s="24" t="s">
        <v>1666</v>
      </c>
      <c r="B591" s="50">
        <v>4230</v>
      </c>
      <c r="C591" s="25" t="s">
        <v>1667</v>
      </c>
      <c r="D591" s="25" t="s">
        <v>164</v>
      </c>
      <c r="E591" s="25" t="s">
        <v>194</v>
      </c>
      <c r="F591" s="25" t="s">
        <v>155</v>
      </c>
      <c r="G591" s="26" t="s">
        <v>139</v>
      </c>
      <c r="H591" s="27" t="s">
        <v>1668</v>
      </c>
      <c r="I591" s="24" t="s">
        <v>998</v>
      </c>
      <c r="J591" s="24" t="s">
        <v>121</v>
      </c>
      <c r="K591" s="28" t="s">
        <v>227</v>
      </c>
      <c r="L591" s="29">
        <v>2E-3</v>
      </c>
      <c r="M591" s="29">
        <v>1E-3</v>
      </c>
      <c r="N591" s="29">
        <v>0.02</v>
      </c>
      <c r="O591" s="27" t="s">
        <v>166</v>
      </c>
      <c r="P591" s="30" t="s">
        <v>164</v>
      </c>
      <c r="Q591" s="31">
        <v>3337144757.02</v>
      </c>
      <c r="R591" s="31">
        <v>1497.6</v>
      </c>
      <c r="S591" s="32">
        <v>0.105729</v>
      </c>
      <c r="T591" s="32" t="s">
        <v>139</v>
      </c>
      <c r="U591" s="32">
        <v>-9.9360000000000004E-3</v>
      </c>
      <c r="V591" s="32">
        <v>6.7434999999999995E-2</v>
      </c>
      <c r="W591" s="32">
        <v>2.3349000000000002E-2</v>
      </c>
      <c r="X591" s="32">
        <v>9.9293000000000006E-2</v>
      </c>
      <c r="Y591" s="32">
        <v>3.474E-2</v>
      </c>
      <c r="Z591" s="32">
        <v>0.48427100000000001</v>
      </c>
      <c r="AA591" s="32">
        <v>0.73455800000000004</v>
      </c>
      <c r="AB591" s="32">
        <v>0.66437000000000002</v>
      </c>
    </row>
    <row r="592" spans="1:28" ht="15.6" customHeight="1" x14ac:dyDescent="0.25">
      <c r="A592" s="24" t="s">
        <v>1669</v>
      </c>
      <c r="B592" s="50">
        <v>4231</v>
      </c>
      <c r="C592" s="25" t="s">
        <v>1670</v>
      </c>
      <c r="D592" s="25" t="s">
        <v>164</v>
      </c>
      <c r="E592" s="25" t="s">
        <v>194</v>
      </c>
      <c r="F592" s="25" t="s">
        <v>155</v>
      </c>
      <c r="G592" s="26" t="s">
        <v>139</v>
      </c>
      <c r="H592" s="27" t="s">
        <v>156</v>
      </c>
      <c r="I592" s="24" t="s">
        <v>998</v>
      </c>
      <c r="J592" s="24" t="s">
        <v>107</v>
      </c>
      <c r="K592" s="28" t="s">
        <v>108</v>
      </c>
      <c r="L592" s="29">
        <v>0.02</v>
      </c>
      <c r="M592" s="29">
        <v>0.02</v>
      </c>
      <c r="N592" s="29">
        <v>1.4999999999999999E-2</v>
      </c>
      <c r="O592" s="27" t="s">
        <v>166</v>
      </c>
      <c r="P592" s="30" t="s">
        <v>627</v>
      </c>
      <c r="Q592" s="31">
        <v>2100231.65</v>
      </c>
      <c r="R592" s="31">
        <v>158.16999999999999</v>
      </c>
      <c r="S592" s="32">
        <v>3.5889999999999998E-2</v>
      </c>
      <c r="T592" s="32" t="s">
        <v>139</v>
      </c>
      <c r="U592" s="32">
        <v>-8.4010000000000005E-3</v>
      </c>
      <c r="V592" s="32">
        <v>4.5683000000000001E-2</v>
      </c>
      <c r="W592" s="32">
        <v>3.9293000000000002E-2</v>
      </c>
      <c r="X592" s="32">
        <v>6.0333999999999999E-2</v>
      </c>
      <c r="Y592" s="32">
        <v>-7.8692999999999999E-2</v>
      </c>
      <c r="Z592" s="32">
        <v>0.30859599999999998</v>
      </c>
      <c r="AA592" s="32" t="s">
        <v>139</v>
      </c>
      <c r="AB592" s="32" t="s">
        <v>139</v>
      </c>
    </row>
    <row r="593" spans="1:28" ht="15.6" customHeight="1" x14ac:dyDescent="0.25">
      <c r="A593" s="24" t="s">
        <v>1671</v>
      </c>
      <c r="B593" s="50">
        <v>4232</v>
      </c>
      <c r="C593" s="25" t="s">
        <v>1672</v>
      </c>
      <c r="D593" s="25" t="s">
        <v>164</v>
      </c>
      <c r="E593" s="25" t="s">
        <v>194</v>
      </c>
      <c r="F593" s="25" t="s">
        <v>155</v>
      </c>
      <c r="G593" s="26" t="s">
        <v>139</v>
      </c>
      <c r="H593" s="27" t="s">
        <v>156</v>
      </c>
      <c r="I593" s="24" t="s">
        <v>998</v>
      </c>
      <c r="J593" s="24" t="s">
        <v>107</v>
      </c>
      <c r="K593" s="28" t="s">
        <v>108</v>
      </c>
      <c r="L593" s="29">
        <v>0.02</v>
      </c>
      <c r="M593" s="29">
        <v>0.02</v>
      </c>
      <c r="N593" s="29">
        <v>1.4999999999999999E-2</v>
      </c>
      <c r="O593" s="27" t="s">
        <v>166</v>
      </c>
      <c r="P593" s="30" t="s">
        <v>627</v>
      </c>
      <c r="Q593" s="31">
        <v>2604177.46</v>
      </c>
      <c r="R593" s="31">
        <v>134.22</v>
      </c>
      <c r="S593" s="32">
        <v>-2.3498999999999999E-2</v>
      </c>
      <c r="T593" s="32" t="s">
        <v>139</v>
      </c>
      <c r="U593" s="32">
        <v>-1.2289E-2</v>
      </c>
      <c r="V593" s="32">
        <v>6.1615000000000003E-2</v>
      </c>
      <c r="W593" s="32">
        <v>3.4051999999999999E-2</v>
      </c>
      <c r="X593" s="32">
        <v>-2.0820000000000001E-3</v>
      </c>
      <c r="Y593" s="32">
        <v>-0.11347400000000001</v>
      </c>
      <c r="Z593" s="32">
        <v>0.17892</v>
      </c>
      <c r="AA593" s="32" t="s">
        <v>139</v>
      </c>
      <c r="AB593" s="32" t="s">
        <v>139</v>
      </c>
    </row>
    <row r="594" spans="1:28" ht="15.6" customHeight="1" x14ac:dyDescent="0.25">
      <c r="A594" s="24" t="s">
        <v>1673</v>
      </c>
      <c r="B594" s="50">
        <v>4233</v>
      </c>
      <c r="C594" s="25" t="s">
        <v>1674</v>
      </c>
      <c r="D594" s="25" t="s">
        <v>164</v>
      </c>
      <c r="E594" s="25" t="s">
        <v>194</v>
      </c>
      <c r="F594" s="25" t="s">
        <v>155</v>
      </c>
      <c r="G594" s="26" t="s">
        <v>139</v>
      </c>
      <c r="H594" s="27" t="s">
        <v>156</v>
      </c>
      <c r="I594" s="24" t="s">
        <v>998</v>
      </c>
      <c r="J594" s="24" t="s">
        <v>107</v>
      </c>
      <c r="K594" s="28" t="s">
        <v>108</v>
      </c>
      <c r="L594" s="29">
        <v>0.02</v>
      </c>
      <c r="M594" s="29">
        <v>0.02</v>
      </c>
      <c r="N594" s="29">
        <v>1.4999999999999999E-2</v>
      </c>
      <c r="O594" s="27" t="s">
        <v>166</v>
      </c>
      <c r="P594" s="30" t="s">
        <v>627</v>
      </c>
      <c r="Q594" s="31">
        <v>90769467.5</v>
      </c>
      <c r="R594" s="31">
        <v>183.65</v>
      </c>
      <c r="S594" s="32">
        <v>3.6283000000000003E-2</v>
      </c>
      <c r="T594" s="32" t="s">
        <v>139</v>
      </c>
      <c r="U594" s="32">
        <v>-1.0880000000000001E-2</v>
      </c>
      <c r="V594" s="32">
        <v>6.2052000000000003E-2</v>
      </c>
      <c r="W594" s="32">
        <v>2.529E-2</v>
      </c>
      <c r="X594" s="32">
        <v>6.5070000000000003E-2</v>
      </c>
      <c r="Y594" s="32">
        <v>-7.2614999999999999E-2</v>
      </c>
      <c r="Z594" s="32">
        <v>0.48536099999999999</v>
      </c>
      <c r="AA594" s="32" t="s">
        <v>139</v>
      </c>
      <c r="AB594" s="32" t="s">
        <v>139</v>
      </c>
    </row>
    <row r="595" spans="1:28" ht="15.6" customHeight="1" x14ac:dyDescent="0.25">
      <c r="A595" s="24" t="s">
        <v>1675</v>
      </c>
      <c r="B595" s="50">
        <v>4235</v>
      </c>
      <c r="C595" s="25" t="s">
        <v>1676</v>
      </c>
      <c r="D595" s="25" t="s">
        <v>112</v>
      </c>
      <c r="E595" s="25" t="s">
        <v>194</v>
      </c>
      <c r="F595" s="25" t="s">
        <v>155</v>
      </c>
      <c r="G595" s="26" t="s">
        <v>139</v>
      </c>
      <c r="H595" s="27" t="s">
        <v>156</v>
      </c>
      <c r="I595" s="24" t="s">
        <v>998</v>
      </c>
      <c r="J595" s="24" t="s">
        <v>107</v>
      </c>
      <c r="K595" s="28" t="s">
        <v>227</v>
      </c>
      <c r="L595" s="29">
        <v>0.03</v>
      </c>
      <c r="M595" s="29">
        <v>1.4999999999999999E-2</v>
      </c>
      <c r="N595" s="29">
        <v>0.02</v>
      </c>
      <c r="O595" s="27" t="s">
        <v>548</v>
      </c>
      <c r="P595" s="30" t="s">
        <v>112</v>
      </c>
      <c r="Q595" s="31">
        <v>44465623.57</v>
      </c>
      <c r="R595" s="31">
        <v>299.10000000000002</v>
      </c>
      <c r="S595" s="32">
        <v>-5.0144000000000001E-2</v>
      </c>
      <c r="T595" s="32" t="s">
        <v>139</v>
      </c>
      <c r="U595" s="32">
        <v>-5.3540000000000003E-3</v>
      </c>
      <c r="V595" s="32">
        <v>3.9841000000000001E-2</v>
      </c>
      <c r="W595" s="32">
        <v>2.1028000000000002E-2</v>
      </c>
      <c r="X595" s="32">
        <v>1.1498E-2</v>
      </c>
      <c r="Y595" s="32">
        <v>-0.11272600000000001</v>
      </c>
      <c r="Z595" s="32">
        <v>0.38037700000000002</v>
      </c>
      <c r="AA595" s="32">
        <v>0.61894499999999997</v>
      </c>
      <c r="AB595" s="32">
        <v>0.59316100000000005</v>
      </c>
    </row>
    <row r="596" spans="1:28" ht="15.6" customHeight="1" x14ac:dyDescent="0.25">
      <c r="A596" s="24" t="s">
        <v>950</v>
      </c>
      <c r="B596" s="50">
        <v>4236</v>
      </c>
      <c r="C596" s="25" t="s">
        <v>951</v>
      </c>
      <c r="D596" s="25" t="s">
        <v>164</v>
      </c>
      <c r="E596" s="25" t="s">
        <v>194</v>
      </c>
      <c r="F596" s="25" t="s">
        <v>113</v>
      </c>
      <c r="G596" s="26" t="s">
        <v>647</v>
      </c>
      <c r="H596" s="27" t="s">
        <v>952</v>
      </c>
      <c r="I596" s="24" t="s">
        <v>106</v>
      </c>
      <c r="J596" s="24" t="s">
        <v>121</v>
      </c>
      <c r="K596" s="28" t="s">
        <v>227</v>
      </c>
      <c r="L596" s="29">
        <v>0</v>
      </c>
      <c r="M596" s="29">
        <v>0</v>
      </c>
      <c r="N596" s="29">
        <v>0.02</v>
      </c>
      <c r="O596" s="27" t="s">
        <v>166</v>
      </c>
      <c r="P596" s="30" t="s">
        <v>164</v>
      </c>
      <c r="Q596" s="31">
        <v>3323776837.3299999</v>
      </c>
      <c r="R596" s="31">
        <v>1911.56</v>
      </c>
      <c r="S596" s="32">
        <v>5.143E-3</v>
      </c>
      <c r="T596" s="32" t="s">
        <v>139</v>
      </c>
      <c r="U596" s="32">
        <v>-1.2489999999999999E-3</v>
      </c>
      <c r="V596" s="32">
        <v>3.7439999999999999E-3</v>
      </c>
      <c r="W596" s="32">
        <v>-2.1770000000000001E-3</v>
      </c>
      <c r="X596" s="32">
        <v>8.5300000000000003E-4</v>
      </c>
      <c r="Y596" s="32">
        <v>2.1509E-2</v>
      </c>
      <c r="Z596" s="32">
        <v>8.1412999999999999E-2</v>
      </c>
      <c r="AA596" s="32">
        <v>0.169214</v>
      </c>
      <c r="AB596" s="32">
        <v>0.18723799999999999</v>
      </c>
    </row>
    <row r="597" spans="1:28" ht="15.6" customHeight="1" x14ac:dyDescent="0.25">
      <c r="A597" s="24" t="s">
        <v>1677</v>
      </c>
      <c r="B597" s="50">
        <v>4237</v>
      </c>
      <c r="C597" s="25" t="s">
        <v>1678</v>
      </c>
      <c r="D597" s="25" t="s">
        <v>164</v>
      </c>
      <c r="E597" s="25" t="s">
        <v>194</v>
      </c>
      <c r="F597" s="25" t="s">
        <v>138</v>
      </c>
      <c r="G597" s="26" t="s">
        <v>139</v>
      </c>
      <c r="H597" s="27" t="s">
        <v>1679</v>
      </c>
      <c r="I597" s="24" t="s">
        <v>998</v>
      </c>
      <c r="J597" s="24" t="s">
        <v>121</v>
      </c>
      <c r="K597" s="28" t="s">
        <v>227</v>
      </c>
      <c r="L597" s="29">
        <v>0.03</v>
      </c>
      <c r="M597" s="29">
        <v>1.4999999999999999E-2</v>
      </c>
      <c r="N597" s="29">
        <v>0.02</v>
      </c>
      <c r="O597" s="27" t="s">
        <v>166</v>
      </c>
      <c r="P597" s="30" t="s">
        <v>164</v>
      </c>
      <c r="Q597" s="31">
        <v>1782237576.29</v>
      </c>
      <c r="R597" s="31">
        <v>1428.5</v>
      </c>
      <c r="S597" s="32">
        <v>3.1884999999999997E-2</v>
      </c>
      <c r="T597" s="32" t="s">
        <v>139</v>
      </c>
      <c r="U597" s="32">
        <v>-1.949E-3</v>
      </c>
      <c r="V597" s="32">
        <v>2.3581000000000001E-2</v>
      </c>
      <c r="W597" s="32">
        <v>9.9620000000000004E-3</v>
      </c>
      <c r="X597" s="32">
        <v>3.2646000000000001E-2</v>
      </c>
      <c r="Y597" s="32">
        <v>1.1471E-2</v>
      </c>
      <c r="Z597" s="32">
        <v>0.17551700000000001</v>
      </c>
      <c r="AA597" s="32">
        <v>0.30540099999999998</v>
      </c>
      <c r="AB597" s="32">
        <v>0.38805200000000001</v>
      </c>
    </row>
    <row r="598" spans="1:28" ht="15.6" customHeight="1" x14ac:dyDescent="0.25">
      <c r="A598" s="24" t="s">
        <v>1680</v>
      </c>
      <c r="B598" s="50">
        <v>4238</v>
      </c>
      <c r="C598" s="25" t="s">
        <v>1681</v>
      </c>
      <c r="D598" s="25" t="s">
        <v>164</v>
      </c>
      <c r="E598" s="25" t="s">
        <v>194</v>
      </c>
      <c r="F598" s="25" t="s">
        <v>113</v>
      </c>
      <c r="G598" s="26" t="s">
        <v>866</v>
      </c>
      <c r="H598" s="27" t="s">
        <v>120</v>
      </c>
      <c r="I598" s="24" t="s">
        <v>998</v>
      </c>
      <c r="J598" s="24" t="s">
        <v>121</v>
      </c>
      <c r="K598" s="28" t="s">
        <v>108</v>
      </c>
      <c r="L598" s="29">
        <v>0</v>
      </c>
      <c r="M598" s="29">
        <v>0</v>
      </c>
      <c r="N598" s="29">
        <v>0.02</v>
      </c>
      <c r="O598" s="27" t="s">
        <v>166</v>
      </c>
      <c r="P598" s="30" t="s">
        <v>164</v>
      </c>
      <c r="Q598" s="31">
        <v>21129910970.73</v>
      </c>
      <c r="R598" s="31">
        <v>170.06</v>
      </c>
      <c r="S598" s="32">
        <v>2.1381000000000001E-2</v>
      </c>
      <c r="T598" s="32" t="s">
        <v>139</v>
      </c>
      <c r="U598" s="32">
        <v>4.7100000000000001E-4</v>
      </c>
      <c r="V598" s="32">
        <v>2.8310000000000002E-3</v>
      </c>
      <c r="W598" s="32">
        <v>8.1810000000000008E-3</v>
      </c>
      <c r="X598" s="32">
        <v>1.6740000000000001E-2</v>
      </c>
      <c r="Y598" s="32">
        <v>2.7366999999999999E-2</v>
      </c>
      <c r="Z598" s="32">
        <v>6.4072000000000004E-2</v>
      </c>
      <c r="AA598" s="32">
        <v>0.10824400000000001</v>
      </c>
      <c r="AB598" s="32">
        <v>0.14696200000000001</v>
      </c>
    </row>
    <row r="599" spans="1:28" ht="15.6" customHeight="1" x14ac:dyDescent="0.25">
      <c r="A599" s="24" t="s">
        <v>953</v>
      </c>
      <c r="B599" s="50">
        <v>4239</v>
      </c>
      <c r="C599" s="25" t="s">
        <v>954</v>
      </c>
      <c r="D599" s="25" t="s">
        <v>164</v>
      </c>
      <c r="E599" s="25" t="s">
        <v>194</v>
      </c>
      <c r="F599" s="25" t="s">
        <v>138</v>
      </c>
      <c r="G599" s="26" t="s">
        <v>139</v>
      </c>
      <c r="H599" s="27" t="s">
        <v>955</v>
      </c>
      <c r="I599" s="24" t="s">
        <v>106</v>
      </c>
      <c r="J599" s="24" t="s">
        <v>107</v>
      </c>
      <c r="K599" s="28" t="s">
        <v>227</v>
      </c>
      <c r="L599" s="29">
        <v>0.03</v>
      </c>
      <c r="M599" s="29">
        <v>1.4999999999999999E-2</v>
      </c>
      <c r="N599" s="29">
        <v>0.02</v>
      </c>
      <c r="O599" s="27" t="s">
        <v>166</v>
      </c>
      <c r="P599" s="30" t="s">
        <v>164</v>
      </c>
      <c r="Q599" s="31">
        <v>130954985.18000001</v>
      </c>
      <c r="R599" s="31">
        <v>175316.8</v>
      </c>
      <c r="S599" s="32">
        <v>0.13101099999999999</v>
      </c>
      <c r="T599" s="32" t="s">
        <v>139</v>
      </c>
      <c r="U599" s="32">
        <v>-8.5030000000000001E-3</v>
      </c>
      <c r="V599" s="32">
        <v>7.3634000000000005E-2</v>
      </c>
      <c r="W599" s="32">
        <v>3.1933999999999997E-2</v>
      </c>
      <c r="X599" s="32">
        <v>0.111821</v>
      </c>
      <c r="Y599" s="32">
        <v>0.14724899999999999</v>
      </c>
      <c r="Z599" s="32">
        <v>0.35236000000000001</v>
      </c>
      <c r="AA599" s="32">
        <v>0.50626199999999999</v>
      </c>
      <c r="AB599" s="32">
        <v>0.54473700000000003</v>
      </c>
    </row>
    <row r="600" spans="1:28" ht="15.6" customHeight="1" x14ac:dyDescent="0.25">
      <c r="A600" s="24" t="s">
        <v>1682</v>
      </c>
      <c r="B600" s="50">
        <v>4240</v>
      </c>
      <c r="C600" s="25" t="s">
        <v>1683</v>
      </c>
      <c r="D600" s="25" t="s">
        <v>164</v>
      </c>
      <c r="E600" s="25" t="s">
        <v>194</v>
      </c>
      <c r="F600" s="25" t="s">
        <v>113</v>
      </c>
      <c r="G600" s="26" t="s">
        <v>151</v>
      </c>
      <c r="H600" s="27" t="s">
        <v>1498</v>
      </c>
      <c r="I600" s="24" t="s">
        <v>998</v>
      </c>
      <c r="J600" s="24" t="s">
        <v>121</v>
      </c>
      <c r="K600" s="28" t="s">
        <v>108</v>
      </c>
      <c r="L600" s="29">
        <v>0</v>
      </c>
      <c r="M600" s="29">
        <v>0</v>
      </c>
      <c r="N600" s="29">
        <v>0.02</v>
      </c>
      <c r="O600" s="27" t="s">
        <v>166</v>
      </c>
      <c r="P600" s="30" t="s">
        <v>164</v>
      </c>
      <c r="Q600" s="31">
        <v>1648614039.3599999</v>
      </c>
      <c r="R600" s="31">
        <v>302.11</v>
      </c>
      <c r="S600" s="32">
        <v>6.463E-3</v>
      </c>
      <c r="T600" s="32" t="s">
        <v>139</v>
      </c>
      <c r="U600" s="32">
        <v>1.2260000000000001E-3</v>
      </c>
      <c r="V600" s="32">
        <v>6.0939999999999996E-3</v>
      </c>
      <c r="W600" s="32">
        <v>6.1609999999999998E-3</v>
      </c>
      <c r="X600" s="32">
        <v>5.6249999999999998E-3</v>
      </c>
      <c r="Y600" s="32">
        <v>3.454E-3</v>
      </c>
      <c r="Z600" s="32">
        <v>9.1082999999999997E-2</v>
      </c>
      <c r="AA600" s="32">
        <v>0.198326</v>
      </c>
      <c r="AB600" s="32">
        <v>0.18376999999999999</v>
      </c>
    </row>
    <row r="601" spans="1:28" ht="15.6" customHeight="1" x14ac:dyDescent="0.25">
      <c r="A601" s="24" t="s">
        <v>956</v>
      </c>
      <c r="B601" s="50">
        <v>4241</v>
      </c>
      <c r="C601" s="25" t="s">
        <v>957</v>
      </c>
      <c r="D601" s="25" t="s">
        <v>164</v>
      </c>
      <c r="E601" s="25" t="s">
        <v>194</v>
      </c>
      <c r="F601" s="25" t="s">
        <v>113</v>
      </c>
      <c r="G601" s="26" t="s">
        <v>958</v>
      </c>
      <c r="H601" s="27" t="s">
        <v>327</v>
      </c>
      <c r="I601" s="24" t="s">
        <v>106</v>
      </c>
      <c r="J601" s="24" t="s">
        <v>121</v>
      </c>
      <c r="K601" s="28" t="s">
        <v>227</v>
      </c>
      <c r="L601" s="29">
        <v>0.03</v>
      </c>
      <c r="M601" s="29">
        <v>1.4999999999999999E-2</v>
      </c>
      <c r="N601" s="29">
        <v>0.02</v>
      </c>
      <c r="O601" s="27" t="s">
        <v>166</v>
      </c>
      <c r="P601" s="30" t="s">
        <v>164</v>
      </c>
      <c r="Q601" s="31">
        <v>324265994.45999998</v>
      </c>
      <c r="R601" s="31">
        <v>1105.24</v>
      </c>
      <c r="S601" s="32">
        <v>1.0397999999999999E-2</v>
      </c>
      <c r="T601" s="32" t="s">
        <v>139</v>
      </c>
      <c r="U601" s="32">
        <v>1.359E-3</v>
      </c>
      <c r="V601" s="32">
        <v>4.6080000000000001E-3</v>
      </c>
      <c r="W601" s="32">
        <v>6.3099999999999996E-3</v>
      </c>
      <c r="X601" s="32">
        <v>8.1650000000000004E-3</v>
      </c>
      <c r="Y601" s="32">
        <v>1.0024E-2</v>
      </c>
      <c r="Z601" s="32">
        <v>8.9551000000000006E-2</v>
      </c>
      <c r="AA601" s="32">
        <v>0.15473000000000001</v>
      </c>
      <c r="AB601" s="32">
        <v>0.15653800000000001</v>
      </c>
    </row>
    <row r="602" spans="1:28" ht="15.6" customHeight="1" x14ac:dyDescent="0.25">
      <c r="A602" s="24" t="s">
        <v>1684</v>
      </c>
      <c r="B602" s="50">
        <v>4242</v>
      </c>
      <c r="C602" s="25" t="s">
        <v>1685</v>
      </c>
      <c r="D602" s="25" t="s">
        <v>101</v>
      </c>
      <c r="E602" s="25" t="s">
        <v>194</v>
      </c>
      <c r="F602" s="25" t="s">
        <v>155</v>
      </c>
      <c r="G602" s="26" t="s">
        <v>139</v>
      </c>
      <c r="H602" s="27" t="s">
        <v>156</v>
      </c>
      <c r="I602" s="24" t="s">
        <v>998</v>
      </c>
      <c r="J602" s="24" t="s">
        <v>107</v>
      </c>
      <c r="K602" s="28" t="s">
        <v>108</v>
      </c>
      <c r="L602" s="29">
        <v>0.03</v>
      </c>
      <c r="M602" s="29">
        <v>1.4999999999999999E-2</v>
      </c>
      <c r="N602" s="29">
        <v>0.02</v>
      </c>
      <c r="O602" s="27" t="s">
        <v>262</v>
      </c>
      <c r="P602" s="30" t="s">
        <v>101</v>
      </c>
      <c r="Q602" s="31">
        <v>42220016.880000003</v>
      </c>
      <c r="R602" s="31">
        <v>2732.84</v>
      </c>
      <c r="S602" s="32">
        <v>1.2538000000000001E-2</v>
      </c>
      <c r="T602" s="32" t="s">
        <v>139</v>
      </c>
      <c r="U602" s="32">
        <v>-9.7109999999999991E-3</v>
      </c>
      <c r="V602" s="32">
        <v>6.2196000000000001E-2</v>
      </c>
      <c r="W602" s="32">
        <v>3.5116000000000001E-2</v>
      </c>
      <c r="X602" s="32">
        <v>4.4516E-2</v>
      </c>
      <c r="Y602" s="32">
        <v>-8.8961999999999999E-2</v>
      </c>
      <c r="Z602" s="32">
        <v>0.358547</v>
      </c>
      <c r="AA602" s="32">
        <v>0.58194400000000002</v>
      </c>
      <c r="AB602" s="32">
        <v>0.51317500000000005</v>
      </c>
    </row>
    <row r="603" spans="1:28" ht="15.6" customHeight="1" x14ac:dyDescent="0.25">
      <c r="A603" s="24" t="s">
        <v>959</v>
      </c>
      <c r="B603" s="50">
        <v>4243</v>
      </c>
      <c r="C603" s="25" t="s">
        <v>960</v>
      </c>
      <c r="D603" s="25" t="s">
        <v>101</v>
      </c>
      <c r="E603" s="25" t="s">
        <v>194</v>
      </c>
      <c r="F603" s="25" t="s">
        <v>103</v>
      </c>
      <c r="G603" s="26" t="s">
        <v>104</v>
      </c>
      <c r="H603" s="27" t="s">
        <v>961</v>
      </c>
      <c r="I603" s="24" t="s">
        <v>106</v>
      </c>
      <c r="J603" s="24" t="s">
        <v>107</v>
      </c>
      <c r="K603" s="28" t="s">
        <v>108</v>
      </c>
      <c r="L603" s="29">
        <v>0.03</v>
      </c>
      <c r="M603" s="29">
        <v>1.4999999999999999E-2</v>
      </c>
      <c r="N603" s="29">
        <v>0.02</v>
      </c>
      <c r="O603" s="27" t="s">
        <v>262</v>
      </c>
      <c r="P603" s="30" t="s">
        <v>291</v>
      </c>
      <c r="Q603" s="31">
        <v>4720384429.8199997</v>
      </c>
      <c r="R603" s="31">
        <v>1566.89</v>
      </c>
      <c r="S603" s="32">
        <v>1.8162000000000001E-2</v>
      </c>
      <c r="T603" s="32" t="s">
        <v>139</v>
      </c>
      <c r="U603" s="32">
        <v>2.9399999999999999E-4</v>
      </c>
      <c r="V603" s="32">
        <v>2.085E-3</v>
      </c>
      <c r="W603" s="32">
        <v>6.417E-3</v>
      </c>
      <c r="X603" s="32">
        <v>1.3761000000000001E-2</v>
      </c>
      <c r="Y603" s="32">
        <v>2.6405000000000001E-2</v>
      </c>
      <c r="Z603" s="32">
        <v>5.6453999999999997E-2</v>
      </c>
      <c r="AA603" s="32">
        <v>8.9820999999999998E-2</v>
      </c>
      <c r="AB603" s="32">
        <v>0.12998199999999999</v>
      </c>
    </row>
    <row r="604" spans="1:28" ht="15.6" customHeight="1" x14ac:dyDescent="0.25">
      <c r="A604" s="24" t="s">
        <v>1686</v>
      </c>
      <c r="B604" s="50">
        <v>4244</v>
      </c>
      <c r="C604" s="25" t="s">
        <v>1687</v>
      </c>
      <c r="D604" s="25" t="s">
        <v>101</v>
      </c>
      <c r="E604" s="25" t="s">
        <v>194</v>
      </c>
      <c r="F604" s="25" t="s">
        <v>138</v>
      </c>
      <c r="G604" s="26" t="s">
        <v>139</v>
      </c>
      <c r="H604" s="27" t="s">
        <v>1688</v>
      </c>
      <c r="I604" s="24" t="s">
        <v>998</v>
      </c>
      <c r="J604" s="24" t="s">
        <v>107</v>
      </c>
      <c r="K604" s="28" t="s">
        <v>108</v>
      </c>
      <c r="L604" s="29">
        <v>0.03</v>
      </c>
      <c r="M604" s="29">
        <v>1.4999999999999999E-2</v>
      </c>
      <c r="N604" s="29">
        <v>0.02</v>
      </c>
      <c r="O604" s="27" t="s">
        <v>262</v>
      </c>
      <c r="P604" s="30" t="s">
        <v>101</v>
      </c>
      <c r="Q604" s="31">
        <v>3947001.78</v>
      </c>
      <c r="R604" s="31">
        <v>2216.9899999999998</v>
      </c>
      <c r="S604" s="32">
        <v>2.9439E-2</v>
      </c>
      <c r="T604" s="32" t="s">
        <v>139</v>
      </c>
      <c r="U604" s="32">
        <v>-4.1190000000000003E-3</v>
      </c>
      <c r="V604" s="32">
        <v>3.4145000000000002E-2</v>
      </c>
      <c r="W604" s="32">
        <v>2.657E-2</v>
      </c>
      <c r="X604" s="32">
        <v>2.2648999999999999E-2</v>
      </c>
      <c r="Y604" s="32">
        <v>-7.8410000000000007E-3</v>
      </c>
      <c r="Z604" s="32">
        <v>0.221193</v>
      </c>
      <c r="AA604" s="32">
        <v>0.34146799999999999</v>
      </c>
      <c r="AB604" s="32">
        <v>0.29621199999999998</v>
      </c>
    </row>
    <row r="605" spans="1:28" ht="15.6" customHeight="1" x14ac:dyDescent="0.25">
      <c r="A605" s="24" t="s">
        <v>962</v>
      </c>
      <c r="B605" s="50">
        <v>4245</v>
      </c>
      <c r="C605" s="25" t="s">
        <v>963</v>
      </c>
      <c r="D605" s="25" t="s">
        <v>101</v>
      </c>
      <c r="E605" s="25" t="s">
        <v>194</v>
      </c>
      <c r="F605" s="25" t="s">
        <v>128</v>
      </c>
      <c r="G605" s="26" t="s">
        <v>250</v>
      </c>
      <c r="H605" s="27" t="s">
        <v>964</v>
      </c>
      <c r="I605" s="24" t="s">
        <v>106</v>
      </c>
      <c r="J605" s="24" t="s">
        <v>107</v>
      </c>
      <c r="K605" s="28" t="s">
        <v>108</v>
      </c>
      <c r="L605" s="29">
        <v>0.03</v>
      </c>
      <c r="M605" s="29">
        <v>1.4999999999999999E-2</v>
      </c>
      <c r="N605" s="29">
        <v>0.02</v>
      </c>
      <c r="O605" s="27" t="s">
        <v>262</v>
      </c>
      <c r="P605" s="30" t="s">
        <v>291</v>
      </c>
      <c r="Q605" s="31">
        <v>2007875924.72</v>
      </c>
      <c r="R605" s="31">
        <v>1615.33</v>
      </c>
      <c r="S605" s="32">
        <v>2.0204E-2</v>
      </c>
      <c r="T605" s="32" t="s">
        <v>139</v>
      </c>
      <c r="U605" s="32">
        <v>4.2700000000000002E-4</v>
      </c>
      <c r="V605" s="32">
        <v>2.6440000000000001E-3</v>
      </c>
      <c r="W605" s="32">
        <v>7.4780000000000003E-3</v>
      </c>
      <c r="X605" s="32">
        <v>1.5439E-2</v>
      </c>
      <c r="Y605" s="32">
        <v>2.7668000000000002E-2</v>
      </c>
      <c r="Z605" s="32">
        <v>6.2052999999999997E-2</v>
      </c>
      <c r="AA605" s="32">
        <v>0.10011399999999999</v>
      </c>
      <c r="AB605" s="32">
        <v>0.13431299999999999</v>
      </c>
    </row>
    <row r="606" spans="1:28" ht="15.6" customHeight="1" x14ac:dyDescent="0.25">
      <c r="A606" s="24" t="s">
        <v>1689</v>
      </c>
      <c r="B606" s="50">
        <v>4246</v>
      </c>
      <c r="C606" s="25" t="s">
        <v>1690</v>
      </c>
      <c r="D606" s="25" t="s">
        <v>101</v>
      </c>
      <c r="E606" s="25" t="s">
        <v>194</v>
      </c>
      <c r="F606" s="25" t="s">
        <v>113</v>
      </c>
      <c r="G606" s="26" t="s">
        <v>114</v>
      </c>
      <c r="H606" s="27" t="s">
        <v>115</v>
      </c>
      <c r="I606" s="24" t="s">
        <v>998</v>
      </c>
      <c r="J606" s="24" t="s">
        <v>107</v>
      </c>
      <c r="K606" s="28" t="s">
        <v>108</v>
      </c>
      <c r="L606" s="29">
        <v>0.03</v>
      </c>
      <c r="M606" s="29">
        <v>1.4999999999999999E-2</v>
      </c>
      <c r="N606" s="29">
        <v>0.02</v>
      </c>
      <c r="O606" s="27" t="s">
        <v>262</v>
      </c>
      <c r="P606" s="30" t="s">
        <v>291</v>
      </c>
      <c r="Q606" s="31">
        <v>59407286.460000001</v>
      </c>
      <c r="R606" s="31">
        <v>1970.65</v>
      </c>
      <c r="S606" s="32">
        <v>3.1050000000000001E-3</v>
      </c>
      <c r="T606" s="32" t="s">
        <v>139</v>
      </c>
      <c r="U606" s="32">
        <v>4.37E-4</v>
      </c>
      <c r="V606" s="32">
        <v>4.0759999999999998E-3</v>
      </c>
      <c r="W606" s="32">
        <v>3.6110000000000001E-3</v>
      </c>
      <c r="X606" s="32">
        <v>4.1219999999999998E-3</v>
      </c>
      <c r="Y606" s="32">
        <v>2.4979999999999998E-3</v>
      </c>
      <c r="Z606" s="32">
        <v>0.133411</v>
      </c>
      <c r="AA606" s="32">
        <v>0.23749600000000001</v>
      </c>
      <c r="AB606" s="32">
        <v>0.21154500000000001</v>
      </c>
    </row>
    <row r="607" spans="1:28" ht="15.6" customHeight="1" x14ac:dyDescent="0.25">
      <c r="A607" s="24" t="s">
        <v>1691</v>
      </c>
      <c r="B607" s="50">
        <v>4247</v>
      </c>
      <c r="C607" s="25" t="s">
        <v>1692</v>
      </c>
      <c r="D607" s="25" t="s">
        <v>101</v>
      </c>
      <c r="E607" s="25" t="s">
        <v>194</v>
      </c>
      <c r="F607" s="25" t="s">
        <v>138</v>
      </c>
      <c r="G607" s="26" t="s">
        <v>139</v>
      </c>
      <c r="H607" s="27" t="s">
        <v>283</v>
      </c>
      <c r="I607" s="24" t="s">
        <v>998</v>
      </c>
      <c r="J607" s="24" t="s">
        <v>107</v>
      </c>
      <c r="K607" s="28" t="s">
        <v>108</v>
      </c>
      <c r="L607" s="29">
        <v>0.03</v>
      </c>
      <c r="M607" s="29">
        <v>1.4999999999999999E-2</v>
      </c>
      <c r="N607" s="29">
        <v>0.02</v>
      </c>
      <c r="O607" s="27" t="s">
        <v>262</v>
      </c>
      <c r="P607" s="30" t="s">
        <v>101</v>
      </c>
      <c r="Q607" s="31">
        <v>475217706</v>
      </c>
      <c r="R607" s="31">
        <v>1785.97</v>
      </c>
      <c r="S607" s="32">
        <v>-1.5897000000000001E-2</v>
      </c>
      <c r="T607" s="32" t="s">
        <v>139</v>
      </c>
      <c r="U607" s="32">
        <v>-2.0669999999999998E-3</v>
      </c>
      <c r="V607" s="32">
        <v>2.0409E-2</v>
      </c>
      <c r="W607" s="32">
        <v>8.8909999999999996E-3</v>
      </c>
      <c r="X607" s="32">
        <v>1.74E-4</v>
      </c>
      <c r="Y607" s="32">
        <v>-4.4965999999999999E-2</v>
      </c>
      <c r="Z607" s="32">
        <v>0.108046</v>
      </c>
      <c r="AA607" s="32">
        <v>0.20218</v>
      </c>
      <c r="AB607" s="32">
        <v>0.145036</v>
      </c>
    </row>
    <row r="608" spans="1:28" ht="15.6" customHeight="1" x14ac:dyDescent="0.25">
      <c r="A608" s="24" t="s">
        <v>965</v>
      </c>
      <c r="B608" s="50">
        <v>4248</v>
      </c>
      <c r="C608" s="25" t="s">
        <v>966</v>
      </c>
      <c r="D608" s="25" t="s">
        <v>101</v>
      </c>
      <c r="E608" s="25" t="s">
        <v>194</v>
      </c>
      <c r="F608" s="25" t="s">
        <v>103</v>
      </c>
      <c r="G608" s="26" t="s">
        <v>104</v>
      </c>
      <c r="H608" s="27" t="s">
        <v>124</v>
      </c>
      <c r="I608" s="24" t="s">
        <v>106</v>
      </c>
      <c r="J608" s="24" t="s">
        <v>107</v>
      </c>
      <c r="K608" s="28" t="s">
        <v>108</v>
      </c>
      <c r="L608" s="29">
        <v>0.03</v>
      </c>
      <c r="M608" s="29">
        <v>1.4999999999999999E-2</v>
      </c>
      <c r="N608" s="29">
        <v>0.02</v>
      </c>
      <c r="O608" s="27" t="s">
        <v>262</v>
      </c>
      <c r="P608" s="30" t="s">
        <v>291</v>
      </c>
      <c r="Q608" s="31">
        <v>1655630.25</v>
      </c>
      <c r="R608" s="31">
        <v>1437.37</v>
      </c>
      <c r="S608" s="32">
        <v>5.8430000000000001E-3</v>
      </c>
      <c r="T608" s="32" t="s">
        <v>139</v>
      </c>
      <c r="U608" s="32">
        <v>1.46E-4</v>
      </c>
      <c r="V608" s="32">
        <v>7.7999999999999999E-4</v>
      </c>
      <c r="W608" s="32">
        <v>2.0709999999999999E-3</v>
      </c>
      <c r="X608" s="32">
        <v>4.522E-3</v>
      </c>
      <c r="Y608" s="32">
        <v>8.1010000000000006E-3</v>
      </c>
      <c r="Z608" s="32">
        <v>1.9281E-2</v>
      </c>
      <c r="AA608" s="32">
        <v>4.3395000000000003E-2</v>
      </c>
      <c r="AB608" s="32">
        <v>7.3552999999999993E-2</v>
      </c>
    </row>
    <row r="609" spans="1:28" ht="15.6" customHeight="1" x14ac:dyDescent="0.25">
      <c r="A609" s="24" t="s">
        <v>967</v>
      </c>
      <c r="B609" s="50">
        <v>4249</v>
      </c>
      <c r="C609" s="25" t="s">
        <v>968</v>
      </c>
      <c r="D609" s="25" t="s">
        <v>908</v>
      </c>
      <c r="E609" s="25" t="s">
        <v>194</v>
      </c>
      <c r="F609" s="25" t="s">
        <v>128</v>
      </c>
      <c r="G609" s="26" t="s">
        <v>289</v>
      </c>
      <c r="H609" s="27" t="s">
        <v>130</v>
      </c>
      <c r="I609" s="24" t="s">
        <v>106</v>
      </c>
      <c r="J609" s="24" t="s">
        <v>107</v>
      </c>
      <c r="K609" s="28" t="s">
        <v>108</v>
      </c>
      <c r="L609" s="29">
        <v>0</v>
      </c>
      <c r="M609" s="29">
        <v>0</v>
      </c>
      <c r="N609" s="29">
        <v>0.02</v>
      </c>
      <c r="O609" s="27" t="s">
        <v>166</v>
      </c>
      <c r="P609" s="30" t="s">
        <v>908</v>
      </c>
      <c r="Q609" s="31">
        <v>176842779.28</v>
      </c>
      <c r="R609" s="31">
        <v>1075.0999999999999</v>
      </c>
      <c r="S609" s="32">
        <v>2.0996999999999998E-2</v>
      </c>
      <c r="T609" s="32" t="s">
        <v>139</v>
      </c>
      <c r="U609" s="32">
        <v>5.1199999999999998E-4</v>
      </c>
      <c r="V609" s="32">
        <v>2.7420000000000001E-3</v>
      </c>
      <c r="W609" s="32">
        <v>7.3460000000000001E-3</v>
      </c>
      <c r="X609" s="32">
        <v>1.5779000000000001E-2</v>
      </c>
      <c r="Y609" s="32">
        <v>2.9080000000000002E-2</v>
      </c>
      <c r="Z609" s="32">
        <v>7.0646E-2</v>
      </c>
      <c r="AA609" s="32" t="s">
        <v>139</v>
      </c>
      <c r="AB609" s="32" t="s">
        <v>139</v>
      </c>
    </row>
    <row r="610" spans="1:28" ht="15.6" customHeight="1" x14ac:dyDescent="0.25">
      <c r="A610" s="24" t="s">
        <v>1693</v>
      </c>
      <c r="B610" s="50">
        <v>4250</v>
      </c>
      <c r="C610" s="25" t="s">
        <v>1694</v>
      </c>
      <c r="D610" s="25" t="s">
        <v>164</v>
      </c>
      <c r="E610" s="25" t="s">
        <v>194</v>
      </c>
      <c r="F610" s="25" t="s">
        <v>113</v>
      </c>
      <c r="G610" s="26" t="s">
        <v>1695</v>
      </c>
      <c r="H610" s="27" t="s">
        <v>115</v>
      </c>
      <c r="I610" s="24" t="s">
        <v>998</v>
      </c>
      <c r="J610" s="24" t="s">
        <v>121</v>
      </c>
      <c r="K610" s="28" t="s">
        <v>227</v>
      </c>
      <c r="L610" s="29">
        <v>0</v>
      </c>
      <c r="M610" s="29">
        <v>0</v>
      </c>
      <c r="N610" s="29">
        <v>0.02</v>
      </c>
      <c r="O610" s="27" t="s">
        <v>166</v>
      </c>
      <c r="P610" s="30" t="s">
        <v>164</v>
      </c>
      <c r="Q610" s="31">
        <v>2021157548.8299999</v>
      </c>
      <c r="R610" s="31">
        <v>141.38999999999999</v>
      </c>
      <c r="S610" s="32">
        <v>4.0480000000000004E-3</v>
      </c>
      <c r="T610" s="32" t="s">
        <v>139</v>
      </c>
      <c r="U610" s="32">
        <v>1.487E-3</v>
      </c>
      <c r="V610" s="32">
        <v>4.6179999999999997E-3</v>
      </c>
      <c r="W610" s="32">
        <v>3.8340000000000002E-3</v>
      </c>
      <c r="X610" s="32">
        <v>1.487E-3</v>
      </c>
      <c r="Y610" s="32">
        <v>1.2750000000000001E-3</v>
      </c>
      <c r="Z610" s="32">
        <v>-1.0775E-2</v>
      </c>
      <c r="AA610" s="32">
        <v>2.0202999999999999E-2</v>
      </c>
      <c r="AB610" s="32">
        <v>2.5606E-2</v>
      </c>
    </row>
    <row r="611" spans="1:28" ht="15.6" customHeight="1" x14ac:dyDescent="0.25">
      <c r="A611" s="24" t="s">
        <v>1696</v>
      </c>
      <c r="B611" s="50">
        <v>4251</v>
      </c>
      <c r="C611" s="25" t="s">
        <v>1697</v>
      </c>
      <c r="D611" s="25" t="s">
        <v>908</v>
      </c>
      <c r="E611" s="25" t="s">
        <v>194</v>
      </c>
      <c r="F611" s="25" t="s">
        <v>155</v>
      </c>
      <c r="G611" s="26" t="s">
        <v>139</v>
      </c>
      <c r="H611" s="27" t="s">
        <v>156</v>
      </c>
      <c r="I611" s="24" t="s">
        <v>998</v>
      </c>
      <c r="J611" s="24" t="s">
        <v>107</v>
      </c>
      <c r="K611" s="28" t="s">
        <v>180</v>
      </c>
      <c r="L611" s="29">
        <v>0.02</v>
      </c>
      <c r="M611" s="29">
        <v>1.4999999999999999E-2</v>
      </c>
      <c r="N611" s="29">
        <v>0.02</v>
      </c>
      <c r="O611" s="27" t="s">
        <v>166</v>
      </c>
      <c r="P611" s="30" t="s">
        <v>908</v>
      </c>
      <c r="Q611" s="31">
        <v>86842220.659999996</v>
      </c>
      <c r="R611" s="31">
        <v>1367.27</v>
      </c>
      <c r="S611" s="32">
        <v>7.5591000000000005E-2</v>
      </c>
      <c r="T611" s="32" t="s">
        <v>139</v>
      </c>
      <c r="U611" s="32">
        <v>-1.0573000000000001E-2</v>
      </c>
      <c r="V611" s="32">
        <v>5.4106000000000001E-2</v>
      </c>
      <c r="W611" s="32">
        <v>2.9881000000000001E-2</v>
      </c>
      <c r="X611" s="32">
        <v>7.5679999999999997E-2</v>
      </c>
      <c r="Y611" s="32">
        <v>-9.6249999999999999E-3</v>
      </c>
      <c r="Z611" s="32">
        <v>0.43078100000000003</v>
      </c>
      <c r="AA611" s="32" t="s">
        <v>139</v>
      </c>
      <c r="AB611" s="32" t="s">
        <v>139</v>
      </c>
    </row>
    <row r="612" spans="1:28" ht="15.6" customHeight="1" x14ac:dyDescent="0.25">
      <c r="A612" s="24" t="s">
        <v>1698</v>
      </c>
      <c r="B612" s="50">
        <v>4252</v>
      </c>
      <c r="C612" s="25" t="s">
        <v>1699</v>
      </c>
      <c r="D612" s="25" t="s">
        <v>164</v>
      </c>
      <c r="E612" s="25" t="s">
        <v>194</v>
      </c>
      <c r="F612" s="25" t="s">
        <v>138</v>
      </c>
      <c r="G612" s="26" t="s">
        <v>139</v>
      </c>
      <c r="H612" s="27" t="s">
        <v>641</v>
      </c>
      <c r="I612" s="24" t="s">
        <v>998</v>
      </c>
      <c r="J612" s="24" t="s">
        <v>107</v>
      </c>
      <c r="K612" s="28" t="s">
        <v>108</v>
      </c>
      <c r="L612" s="29">
        <v>0</v>
      </c>
      <c r="M612" s="29">
        <v>0</v>
      </c>
      <c r="N612" s="29">
        <v>0.02</v>
      </c>
      <c r="O612" s="27" t="s">
        <v>166</v>
      </c>
      <c r="P612" s="30" t="s">
        <v>164</v>
      </c>
      <c r="Q612" s="31">
        <v>251178730.50999999</v>
      </c>
      <c r="R612" s="31">
        <v>17892.71</v>
      </c>
      <c r="S612" s="32">
        <v>4.1012E-2</v>
      </c>
      <c r="T612" s="32" t="s">
        <v>139</v>
      </c>
      <c r="U612" s="32">
        <v>-3.8110000000000002E-3</v>
      </c>
      <c r="V612" s="32">
        <v>3.8767999999999997E-2</v>
      </c>
      <c r="W612" s="32">
        <v>1.7826000000000002E-2</v>
      </c>
      <c r="X612" s="32">
        <v>4.9250000000000002E-2</v>
      </c>
      <c r="Y612" s="32">
        <v>5.3280000000000003E-3</v>
      </c>
      <c r="Z612" s="32">
        <v>0.26314900000000002</v>
      </c>
      <c r="AA612" s="32">
        <v>0.41268500000000002</v>
      </c>
      <c r="AB612" s="32">
        <v>0.39489200000000002</v>
      </c>
    </row>
    <row r="613" spans="1:28" ht="15.6" customHeight="1" x14ac:dyDescent="0.25">
      <c r="A613" s="24" t="s">
        <v>1700</v>
      </c>
      <c r="B613" s="50">
        <v>4253</v>
      </c>
      <c r="C613" s="25" t="s">
        <v>1701</v>
      </c>
      <c r="D613" s="25" t="s">
        <v>164</v>
      </c>
      <c r="E613" s="25" t="s">
        <v>194</v>
      </c>
      <c r="F613" s="25" t="s">
        <v>138</v>
      </c>
      <c r="G613" s="26" t="s">
        <v>139</v>
      </c>
      <c r="H613" s="27" t="s">
        <v>1030</v>
      </c>
      <c r="I613" s="24" t="s">
        <v>998</v>
      </c>
      <c r="J613" s="24" t="s">
        <v>107</v>
      </c>
      <c r="K613" s="28" t="s">
        <v>108</v>
      </c>
      <c r="L613" s="29">
        <v>0</v>
      </c>
      <c r="M613" s="29">
        <v>0</v>
      </c>
      <c r="N613" s="29">
        <v>0.02</v>
      </c>
      <c r="O613" s="27" t="s">
        <v>166</v>
      </c>
      <c r="P613" s="30" t="s">
        <v>164</v>
      </c>
      <c r="Q613" s="31">
        <v>123343812.45</v>
      </c>
      <c r="R613" s="31">
        <v>1011.57</v>
      </c>
      <c r="S613" s="32">
        <v>3.8488000000000001E-2</v>
      </c>
      <c r="T613" s="32" t="s">
        <v>139</v>
      </c>
      <c r="U613" s="32">
        <v>-5.2900000000000004E-3</v>
      </c>
      <c r="V613" s="32">
        <v>3.6422999999999997E-2</v>
      </c>
      <c r="W613" s="32">
        <v>2.2428E-2</v>
      </c>
      <c r="X613" s="32">
        <v>4.5788000000000002E-2</v>
      </c>
      <c r="Y613" s="32">
        <v>9.8530000000000006E-3</v>
      </c>
      <c r="Z613" s="32" t="s">
        <v>139</v>
      </c>
      <c r="AA613" s="32" t="s">
        <v>139</v>
      </c>
      <c r="AB613" s="32" t="s">
        <v>139</v>
      </c>
    </row>
    <row r="614" spans="1:28" ht="15.6" customHeight="1" x14ac:dyDescent="0.25">
      <c r="A614" s="24" t="s">
        <v>1702</v>
      </c>
      <c r="B614" s="50">
        <v>4254</v>
      </c>
      <c r="C614" s="25" t="s">
        <v>1703</v>
      </c>
      <c r="D614" s="25" t="s">
        <v>164</v>
      </c>
      <c r="E614" s="25" t="s">
        <v>194</v>
      </c>
      <c r="F614" s="25" t="s">
        <v>138</v>
      </c>
      <c r="G614" s="26" t="s">
        <v>139</v>
      </c>
      <c r="H614" s="27" t="s">
        <v>1704</v>
      </c>
      <c r="I614" s="24" t="s">
        <v>998</v>
      </c>
      <c r="J614" s="24" t="s">
        <v>107</v>
      </c>
      <c r="K614" s="28" t="s">
        <v>227</v>
      </c>
      <c r="L614" s="29">
        <v>0</v>
      </c>
      <c r="M614" s="29">
        <v>0</v>
      </c>
      <c r="N614" s="29">
        <v>0.02</v>
      </c>
      <c r="O614" s="27" t="s">
        <v>166</v>
      </c>
      <c r="P614" s="30" t="s">
        <v>164</v>
      </c>
      <c r="Q614" s="31">
        <v>396337172.42000002</v>
      </c>
      <c r="R614" s="31">
        <v>183.1</v>
      </c>
      <c r="S614" s="32">
        <v>3.5340999999999997E-2</v>
      </c>
      <c r="T614" s="32" t="s">
        <v>139</v>
      </c>
      <c r="U614" s="32">
        <v>-7.1040000000000001E-3</v>
      </c>
      <c r="V614" s="32">
        <v>4.3958999999999998E-2</v>
      </c>
      <c r="W614" s="32">
        <v>1.7901E-2</v>
      </c>
      <c r="X614" s="32">
        <v>5.1392E-2</v>
      </c>
      <c r="Y614" s="32">
        <v>-3.8200000000000002E-4</v>
      </c>
      <c r="Z614" s="32">
        <v>0.161581</v>
      </c>
      <c r="AA614" s="32">
        <v>0.26397900000000002</v>
      </c>
      <c r="AB614" s="32">
        <v>0.33020500000000003</v>
      </c>
    </row>
    <row r="615" spans="1:28" ht="15.6" customHeight="1" x14ac:dyDescent="0.25">
      <c r="A615" s="24" t="s">
        <v>1705</v>
      </c>
      <c r="B615" s="50">
        <v>4255</v>
      </c>
      <c r="C615" s="25" t="s">
        <v>1706</v>
      </c>
      <c r="D615" s="25" t="s">
        <v>164</v>
      </c>
      <c r="E615" s="25" t="s">
        <v>194</v>
      </c>
      <c r="F615" s="25" t="s">
        <v>138</v>
      </c>
      <c r="G615" s="26" t="s">
        <v>139</v>
      </c>
      <c r="H615" s="27" t="s">
        <v>521</v>
      </c>
      <c r="I615" s="24" t="s">
        <v>998</v>
      </c>
      <c r="J615" s="24" t="s">
        <v>107</v>
      </c>
      <c r="K615" s="28" t="s">
        <v>108</v>
      </c>
      <c r="L615" s="29">
        <v>0</v>
      </c>
      <c r="M615" s="29">
        <v>0</v>
      </c>
      <c r="N615" s="29">
        <v>0.02</v>
      </c>
      <c r="O615" s="27" t="s">
        <v>166</v>
      </c>
      <c r="P615" s="30" t="s">
        <v>164</v>
      </c>
      <c r="Q615" s="31">
        <v>288051799.31</v>
      </c>
      <c r="R615" s="31">
        <v>6480.98</v>
      </c>
      <c r="S615" s="32">
        <v>5.8078999999999999E-2</v>
      </c>
      <c r="T615" s="32" t="s">
        <v>139</v>
      </c>
      <c r="U615" s="32">
        <v>-4.7010000000000003E-3</v>
      </c>
      <c r="V615" s="32">
        <v>5.0845000000000001E-2</v>
      </c>
      <c r="W615" s="32">
        <v>1.6730999999999999E-2</v>
      </c>
      <c r="X615" s="32">
        <v>6.0594000000000002E-2</v>
      </c>
      <c r="Y615" s="32">
        <v>2.1169E-2</v>
      </c>
      <c r="Z615" s="32">
        <v>0.299734</v>
      </c>
      <c r="AA615" s="32">
        <v>0.46990700000000002</v>
      </c>
      <c r="AB615" s="32">
        <v>0.42220299999999999</v>
      </c>
    </row>
    <row r="616" spans="1:28" ht="15.6" customHeight="1" x14ac:dyDescent="0.25">
      <c r="A616" s="24" t="s">
        <v>1707</v>
      </c>
      <c r="B616" s="50">
        <v>4256</v>
      </c>
      <c r="C616" s="25" t="s">
        <v>1708</v>
      </c>
      <c r="D616" s="25" t="s">
        <v>112</v>
      </c>
      <c r="E616" s="25" t="s">
        <v>194</v>
      </c>
      <c r="F616" s="25" t="s">
        <v>113</v>
      </c>
      <c r="G616" s="26" t="s">
        <v>1709</v>
      </c>
      <c r="H616" s="27" t="s">
        <v>598</v>
      </c>
      <c r="I616" s="24" t="s">
        <v>998</v>
      </c>
      <c r="J616" s="24" t="s">
        <v>121</v>
      </c>
      <c r="K616" s="28" t="s">
        <v>227</v>
      </c>
      <c r="L616" s="29">
        <v>0</v>
      </c>
      <c r="M616" s="29">
        <v>0</v>
      </c>
      <c r="N616" s="29">
        <v>0.02</v>
      </c>
      <c r="O616" s="27" t="s">
        <v>116</v>
      </c>
      <c r="P616" s="30" t="s">
        <v>112</v>
      </c>
      <c r="Q616" s="31">
        <v>1104095.58</v>
      </c>
      <c r="R616" s="31">
        <v>1104.0899999999999</v>
      </c>
      <c r="S616" s="32">
        <v>8.8170000000000002E-3</v>
      </c>
      <c r="T616" s="32" t="s">
        <v>139</v>
      </c>
      <c r="U616" s="32">
        <v>9.0700000000000004E-4</v>
      </c>
      <c r="V616" s="32">
        <v>3.271E-3</v>
      </c>
      <c r="W616" s="32">
        <v>4.5859999999999998E-3</v>
      </c>
      <c r="X616" s="32">
        <v>5.3359999999999996E-3</v>
      </c>
      <c r="Y616" s="32">
        <v>7.4089999999999998E-3</v>
      </c>
      <c r="Z616" s="32">
        <v>5.7840999999999997E-2</v>
      </c>
      <c r="AA616" s="32">
        <v>0.12614</v>
      </c>
      <c r="AB616" s="32">
        <v>0.10050199999999999</v>
      </c>
    </row>
    <row r="617" spans="1:28" ht="15.6" customHeight="1" x14ac:dyDescent="0.25">
      <c r="A617" s="24" t="s">
        <v>969</v>
      </c>
      <c r="B617" s="50">
        <v>4257</v>
      </c>
      <c r="C617" s="25" t="s">
        <v>970</v>
      </c>
      <c r="D617" s="25" t="s">
        <v>127</v>
      </c>
      <c r="E617" s="25" t="s">
        <v>194</v>
      </c>
      <c r="F617" s="25" t="s">
        <v>128</v>
      </c>
      <c r="G617" s="26" t="s">
        <v>250</v>
      </c>
      <c r="H617" s="27" t="s">
        <v>130</v>
      </c>
      <c r="I617" s="24" t="s">
        <v>106</v>
      </c>
      <c r="J617" s="24" t="s">
        <v>107</v>
      </c>
      <c r="K617" s="28" t="s">
        <v>108</v>
      </c>
      <c r="L617" s="29">
        <v>0</v>
      </c>
      <c r="M617" s="29">
        <v>0</v>
      </c>
      <c r="N617" s="29">
        <v>7.4999999999999997E-3</v>
      </c>
      <c r="O617" s="27" t="s">
        <v>131</v>
      </c>
      <c r="P617" s="30" t="s">
        <v>131</v>
      </c>
      <c r="Q617" s="31">
        <v>596738907.29999995</v>
      </c>
      <c r="R617" s="31">
        <v>216.93</v>
      </c>
      <c r="S617" s="32">
        <v>1.7351999999999999E-2</v>
      </c>
      <c r="T617" s="32" t="s">
        <v>139</v>
      </c>
      <c r="U617" s="32">
        <v>3.6900000000000002E-4</v>
      </c>
      <c r="V617" s="32">
        <v>2.31E-3</v>
      </c>
      <c r="W617" s="32">
        <v>6.5890000000000002E-3</v>
      </c>
      <c r="X617" s="32">
        <v>1.3502E-2</v>
      </c>
      <c r="Y617" s="32">
        <v>2.4076E-2</v>
      </c>
      <c r="Z617" s="32">
        <v>5.7008999999999997E-2</v>
      </c>
      <c r="AA617" s="32">
        <v>9.6990999999999994E-2</v>
      </c>
      <c r="AB617" s="32">
        <v>0.13970299999999999</v>
      </c>
    </row>
    <row r="618" spans="1:28" ht="15.6" customHeight="1" x14ac:dyDescent="0.25">
      <c r="A618" s="24" t="s">
        <v>1710</v>
      </c>
      <c r="B618" s="50">
        <v>4258</v>
      </c>
      <c r="C618" s="25" t="s">
        <v>1711</v>
      </c>
      <c r="D618" s="25" t="s">
        <v>127</v>
      </c>
      <c r="E618" s="25" t="s">
        <v>194</v>
      </c>
      <c r="F618" s="25" t="s">
        <v>155</v>
      </c>
      <c r="G618" s="26" t="s">
        <v>139</v>
      </c>
      <c r="H618" s="27" t="s">
        <v>156</v>
      </c>
      <c r="I618" s="24" t="s">
        <v>998</v>
      </c>
      <c r="J618" s="24" t="s">
        <v>107</v>
      </c>
      <c r="K618" s="28" t="s">
        <v>108</v>
      </c>
      <c r="L618" s="29">
        <v>0.02</v>
      </c>
      <c r="M618" s="29">
        <v>0.02</v>
      </c>
      <c r="N618" s="29">
        <v>0.02</v>
      </c>
      <c r="O618" s="27" t="s">
        <v>131</v>
      </c>
      <c r="P618" s="30" t="s">
        <v>131</v>
      </c>
      <c r="Q618" s="31">
        <v>29985181.34</v>
      </c>
      <c r="R618" s="31">
        <v>196.82</v>
      </c>
      <c r="S618" s="32">
        <v>-6.0794000000000001E-2</v>
      </c>
      <c r="T618" s="32" t="s">
        <v>139</v>
      </c>
      <c r="U618" s="32">
        <v>-3.7460000000000002E-3</v>
      </c>
      <c r="V618" s="32">
        <v>2.9232000000000001E-2</v>
      </c>
      <c r="W618" s="32">
        <v>9.1780000000000004E-3</v>
      </c>
      <c r="X618" s="32">
        <v>-7.1165999999999993E-2</v>
      </c>
      <c r="Y618" s="32">
        <v>-0.158169</v>
      </c>
      <c r="Z618" s="32">
        <v>0.13558700000000001</v>
      </c>
      <c r="AA618" s="32">
        <v>0.446355</v>
      </c>
      <c r="AB618" s="32">
        <v>0.43339899999999998</v>
      </c>
    </row>
    <row r="619" spans="1:28" ht="15.6" customHeight="1" x14ac:dyDescent="0.25">
      <c r="A619" s="24" t="s">
        <v>1712</v>
      </c>
      <c r="B619" s="50">
        <v>4259</v>
      </c>
      <c r="C619" s="25" t="s">
        <v>1713</v>
      </c>
      <c r="D619" s="25" t="s">
        <v>127</v>
      </c>
      <c r="E619" s="25" t="s">
        <v>194</v>
      </c>
      <c r="F619" s="25" t="s">
        <v>155</v>
      </c>
      <c r="G619" s="26" t="s">
        <v>139</v>
      </c>
      <c r="H619" s="27" t="s">
        <v>156</v>
      </c>
      <c r="I619" s="24" t="s">
        <v>998</v>
      </c>
      <c r="J619" s="24" t="s">
        <v>107</v>
      </c>
      <c r="K619" s="28" t="s">
        <v>108</v>
      </c>
      <c r="L619" s="29">
        <v>0.02</v>
      </c>
      <c r="M619" s="29">
        <v>1.4999999999999999E-2</v>
      </c>
      <c r="N619" s="29">
        <v>0.02</v>
      </c>
      <c r="O619" s="27" t="s">
        <v>131</v>
      </c>
      <c r="P619" s="30" t="s">
        <v>131</v>
      </c>
      <c r="Q619" s="31">
        <v>613758918.73000002</v>
      </c>
      <c r="R619" s="31">
        <v>829.05</v>
      </c>
      <c r="S619" s="32">
        <v>5.4299999999999997E-4</v>
      </c>
      <c r="T619" s="32" t="s">
        <v>139</v>
      </c>
      <c r="U619" s="32">
        <v>-1.1353E-2</v>
      </c>
      <c r="V619" s="32">
        <v>5.8285000000000003E-2</v>
      </c>
      <c r="W619" s="32">
        <v>-9.3439999999999999E-3</v>
      </c>
      <c r="X619" s="32">
        <v>3.8714999999999999E-2</v>
      </c>
      <c r="Y619" s="32">
        <v>-0.112604</v>
      </c>
      <c r="Z619" s="32">
        <v>0.36247099999999999</v>
      </c>
      <c r="AA619" s="32">
        <v>0.714862</v>
      </c>
      <c r="AB619" s="32">
        <v>0.61753199999999997</v>
      </c>
    </row>
    <row r="620" spans="1:28" ht="15.6" customHeight="1" x14ac:dyDescent="0.25">
      <c r="A620" s="24" t="s">
        <v>971</v>
      </c>
      <c r="B620" s="50">
        <v>4260</v>
      </c>
      <c r="C620" s="25" t="s">
        <v>972</v>
      </c>
      <c r="D620" s="25" t="s">
        <v>101</v>
      </c>
      <c r="E620" s="25" t="s">
        <v>194</v>
      </c>
      <c r="F620" s="25" t="s">
        <v>103</v>
      </c>
      <c r="G620" s="26" t="s">
        <v>392</v>
      </c>
      <c r="H620" s="27" t="s">
        <v>337</v>
      </c>
      <c r="I620" s="24" t="s">
        <v>106</v>
      </c>
      <c r="J620" s="24" t="s">
        <v>107</v>
      </c>
      <c r="K620" s="28" t="s">
        <v>108</v>
      </c>
      <c r="L620" s="29">
        <v>0.03</v>
      </c>
      <c r="M620" s="29">
        <v>0</v>
      </c>
      <c r="N620" s="29">
        <v>0.02</v>
      </c>
      <c r="O620" s="27" t="s">
        <v>109</v>
      </c>
      <c r="P620" s="30" t="s">
        <v>101</v>
      </c>
      <c r="Q620" s="31">
        <v>12365682.890000001</v>
      </c>
      <c r="R620" s="31">
        <v>140.91</v>
      </c>
      <c r="S620" s="32">
        <v>2.6966E-2</v>
      </c>
      <c r="T620" s="32" t="s">
        <v>139</v>
      </c>
      <c r="U620" s="32">
        <v>1.4200000000000001E-4</v>
      </c>
      <c r="V620" s="32">
        <v>6.9319999999999998E-3</v>
      </c>
      <c r="W620" s="32">
        <v>9.4560000000000009E-3</v>
      </c>
      <c r="X620" s="32">
        <v>2.4501999999999999E-2</v>
      </c>
      <c r="Y620" s="32">
        <v>4.4860999999999998E-2</v>
      </c>
      <c r="Z620" s="32">
        <v>8.3672999999999997E-2</v>
      </c>
      <c r="AA620" s="32">
        <v>0.101462</v>
      </c>
      <c r="AB620" s="32">
        <v>0.120111</v>
      </c>
    </row>
    <row r="621" spans="1:28" ht="15.6" customHeight="1" x14ac:dyDescent="0.25">
      <c r="A621" s="24" t="s">
        <v>973</v>
      </c>
      <c r="B621" s="50">
        <v>4263</v>
      </c>
      <c r="C621" s="25" t="s">
        <v>974</v>
      </c>
      <c r="D621" s="25" t="s">
        <v>908</v>
      </c>
      <c r="E621" s="25" t="s">
        <v>194</v>
      </c>
      <c r="F621" s="25" t="s">
        <v>138</v>
      </c>
      <c r="G621" s="26" t="s">
        <v>139</v>
      </c>
      <c r="H621" s="27" t="s">
        <v>975</v>
      </c>
      <c r="I621" s="24" t="s">
        <v>106</v>
      </c>
      <c r="J621" s="24" t="s">
        <v>107</v>
      </c>
      <c r="K621" s="28" t="s">
        <v>227</v>
      </c>
      <c r="L621" s="29">
        <v>0.03</v>
      </c>
      <c r="M621" s="29">
        <v>0.03</v>
      </c>
      <c r="N621" s="29">
        <v>0.02</v>
      </c>
      <c r="O621" s="27" t="s">
        <v>262</v>
      </c>
      <c r="P621" s="30" t="s">
        <v>908</v>
      </c>
      <c r="Q621" s="31">
        <v>626816.48</v>
      </c>
      <c r="R621" s="31">
        <v>2021.98</v>
      </c>
      <c r="S621" s="32">
        <v>7.1184999999999998E-2</v>
      </c>
      <c r="T621" s="32" t="s">
        <v>139</v>
      </c>
      <c r="U621" s="32">
        <v>-9.3970000000000008E-3</v>
      </c>
      <c r="V621" s="32">
        <v>3.1496000000000003E-2</v>
      </c>
      <c r="W621" s="32">
        <v>9.4409999999999997E-3</v>
      </c>
      <c r="X621" s="32">
        <v>7.1742E-2</v>
      </c>
      <c r="Y621" s="32">
        <v>-1.9449999999999999E-3</v>
      </c>
      <c r="Z621" s="32">
        <v>0.50811899999999999</v>
      </c>
      <c r="AA621" s="32">
        <v>0.74074499999999999</v>
      </c>
      <c r="AB621" s="32">
        <v>0.719634</v>
      </c>
    </row>
    <row r="622" spans="1:28" ht="15.6" customHeight="1" x14ac:dyDescent="0.25">
      <c r="A622" s="24" t="s">
        <v>976</v>
      </c>
      <c r="B622" s="50">
        <v>4265</v>
      </c>
      <c r="C622" s="25" t="s">
        <v>977</v>
      </c>
      <c r="D622" s="25" t="s">
        <v>127</v>
      </c>
      <c r="E622" s="25" t="s">
        <v>194</v>
      </c>
      <c r="F622" s="25" t="s">
        <v>138</v>
      </c>
      <c r="G622" s="26" t="s">
        <v>139</v>
      </c>
      <c r="H622" s="27" t="s">
        <v>195</v>
      </c>
      <c r="I622" s="24" t="s">
        <v>106</v>
      </c>
      <c r="J622" s="24" t="s">
        <v>107</v>
      </c>
      <c r="K622" s="28" t="s">
        <v>227</v>
      </c>
      <c r="L622" s="29">
        <v>0.03</v>
      </c>
      <c r="M622" s="29">
        <v>1.4999999999999999E-2</v>
      </c>
      <c r="N622" s="29">
        <v>0.02</v>
      </c>
      <c r="O622" s="27" t="s">
        <v>131</v>
      </c>
      <c r="P622" s="30" t="s">
        <v>978</v>
      </c>
      <c r="Q622" s="31">
        <v>1016669.22</v>
      </c>
      <c r="R622" s="31">
        <v>101.66</v>
      </c>
      <c r="S622" s="32" t="s">
        <v>139</v>
      </c>
      <c r="T622" s="32" t="s">
        <v>139</v>
      </c>
      <c r="U622" s="32">
        <v>-1.9629999999999999E-3</v>
      </c>
      <c r="V622" s="32">
        <v>1.4874999999999999E-2</v>
      </c>
      <c r="W622" s="32" t="s">
        <v>139</v>
      </c>
      <c r="X622" s="32" t="s">
        <v>139</v>
      </c>
      <c r="Y622" s="32" t="s">
        <v>139</v>
      </c>
      <c r="Z622" s="32" t="s">
        <v>139</v>
      </c>
      <c r="AA622" s="32" t="s">
        <v>139</v>
      </c>
      <c r="AB622" s="32" t="s">
        <v>139</v>
      </c>
    </row>
    <row r="623" spans="1:28" ht="15.6" customHeight="1" x14ac:dyDescent="0.25">
      <c r="A623" s="24" t="s">
        <v>979</v>
      </c>
      <c r="B623" s="50">
        <v>4266</v>
      </c>
      <c r="C623" s="25" t="s">
        <v>980</v>
      </c>
      <c r="D623" s="25" t="s">
        <v>127</v>
      </c>
      <c r="E623" s="25" t="s">
        <v>194</v>
      </c>
      <c r="F623" s="25" t="s">
        <v>155</v>
      </c>
      <c r="G623" s="26" t="s">
        <v>139</v>
      </c>
      <c r="H623" s="27" t="s">
        <v>632</v>
      </c>
      <c r="I623" s="24" t="s">
        <v>106</v>
      </c>
      <c r="J623" s="24" t="s">
        <v>107</v>
      </c>
      <c r="K623" s="28" t="s">
        <v>227</v>
      </c>
      <c r="L623" s="29">
        <v>0.03</v>
      </c>
      <c r="M623" s="29">
        <v>1.4999999999999999E-2</v>
      </c>
      <c r="N623" s="29">
        <v>0.02</v>
      </c>
      <c r="O623" s="27" t="s">
        <v>131</v>
      </c>
      <c r="P623" s="30" t="s">
        <v>978</v>
      </c>
      <c r="Q623" s="31">
        <v>1031501.73</v>
      </c>
      <c r="R623" s="31">
        <v>103.15</v>
      </c>
      <c r="S623" s="32" t="s">
        <v>139</v>
      </c>
      <c r="T623" s="32" t="s">
        <v>139</v>
      </c>
      <c r="U623" s="32">
        <v>-6.7400000000000003E-3</v>
      </c>
      <c r="V623" s="32">
        <v>2.7902E-2</v>
      </c>
      <c r="W623" s="32" t="s">
        <v>139</v>
      </c>
      <c r="X623" s="32" t="s">
        <v>139</v>
      </c>
      <c r="Y623" s="32" t="s">
        <v>139</v>
      </c>
      <c r="Z623" s="32" t="s">
        <v>139</v>
      </c>
      <c r="AA623" s="32" t="s">
        <v>139</v>
      </c>
      <c r="AB623" s="32" t="s">
        <v>139</v>
      </c>
    </row>
    <row r="624" spans="1:28" ht="15.6" customHeight="1" x14ac:dyDescent="0.25">
      <c r="A624" s="24" t="s">
        <v>981</v>
      </c>
      <c r="B624" s="50">
        <v>30002</v>
      </c>
      <c r="C624" s="25" t="s">
        <v>982</v>
      </c>
      <c r="D624" s="25" t="s">
        <v>712</v>
      </c>
      <c r="E624" s="25" t="s">
        <v>194</v>
      </c>
      <c r="F624" s="25" t="s">
        <v>113</v>
      </c>
      <c r="G624" s="26" t="s">
        <v>748</v>
      </c>
      <c r="H624" s="27" t="s">
        <v>115</v>
      </c>
      <c r="I624" s="24" t="s">
        <v>106</v>
      </c>
      <c r="J624" s="24" t="s">
        <v>121</v>
      </c>
      <c r="K624" s="28" t="s">
        <v>108</v>
      </c>
      <c r="L624" s="29">
        <v>0</v>
      </c>
      <c r="M624" s="29">
        <v>0</v>
      </c>
      <c r="N624" s="29">
        <v>0.02</v>
      </c>
      <c r="O624" s="27" t="s">
        <v>548</v>
      </c>
      <c r="P624" s="30" t="s">
        <v>712</v>
      </c>
      <c r="Q624" s="31">
        <v>200901020.74000001</v>
      </c>
      <c r="R624" s="31">
        <v>1006.19</v>
      </c>
      <c r="S624" s="32" t="s">
        <v>139</v>
      </c>
      <c r="T624" s="32" t="s">
        <v>139</v>
      </c>
      <c r="U624" s="32">
        <v>2.6800000000000001E-4</v>
      </c>
      <c r="V624" s="32">
        <v>1.8519999999999999E-3</v>
      </c>
      <c r="W624" s="32">
        <v>5.0540000000000003E-3</v>
      </c>
      <c r="X624" s="32" t="s">
        <v>139</v>
      </c>
      <c r="Y624" s="32" t="s">
        <v>139</v>
      </c>
      <c r="Z624" s="32" t="s">
        <v>139</v>
      </c>
      <c r="AA624" s="32" t="s">
        <v>139</v>
      </c>
      <c r="AB624" s="32" t="s">
        <v>139</v>
      </c>
    </row>
    <row r="625" spans="1:28" ht="15.6" customHeight="1" x14ac:dyDescent="0.25">
      <c r="A625" s="24" t="s">
        <v>983</v>
      </c>
      <c r="B625" s="50">
        <v>30003</v>
      </c>
      <c r="C625" s="25" t="s">
        <v>984</v>
      </c>
      <c r="D625" s="25" t="s">
        <v>342</v>
      </c>
      <c r="E625" s="25" t="s">
        <v>194</v>
      </c>
      <c r="F625" s="25" t="s">
        <v>113</v>
      </c>
      <c r="G625" s="26" t="s">
        <v>985</v>
      </c>
      <c r="H625" s="27" t="s">
        <v>327</v>
      </c>
      <c r="I625" s="24" t="s">
        <v>106</v>
      </c>
      <c r="J625" s="24" t="s">
        <v>107</v>
      </c>
      <c r="K625" s="28" t="s">
        <v>227</v>
      </c>
      <c r="L625" s="29">
        <v>0.03</v>
      </c>
      <c r="M625" s="29">
        <v>1.4999999999999999E-2</v>
      </c>
      <c r="N625" s="29">
        <v>0.02</v>
      </c>
      <c r="O625" s="27" t="s">
        <v>659</v>
      </c>
      <c r="P625" s="30" t="s">
        <v>344</v>
      </c>
      <c r="Q625" s="31">
        <v>543521.87</v>
      </c>
      <c r="R625" s="31">
        <v>1006.52</v>
      </c>
      <c r="S625" s="32" t="s">
        <v>139</v>
      </c>
      <c r="T625" s="32" t="s">
        <v>139</v>
      </c>
      <c r="U625" s="32">
        <v>7.2599999999999997E-4</v>
      </c>
      <c r="V625" s="32">
        <v>2.8999999999999998E-3</v>
      </c>
      <c r="W625" s="32">
        <v>7.3759999999999997E-3</v>
      </c>
      <c r="X625" s="32" t="s">
        <v>139</v>
      </c>
      <c r="Y625" s="32" t="s">
        <v>139</v>
      </c>
      <c r="Z625" s="32" t="s">
        <v>139</v>
      </c>
      <c r="AA625" s="32" t="s">
        <v>139</v>
      </c>
      <c r="AB625" s="32" t="s">
        <v>139</v>
      </c>
    </row>
    <row r="626" spans="1:28" ht="15.6" customHeight="1" x14ac:dyDescent="0.25">
      <c r="A626" s="24" t="s">
        <v>986</v>
      </c>
      <c r="B626" s="50">
        <v>30004</v>
      </c>
      <c r="C626" s="25" t="s">
        <v>987</v>
      </c>
      <c r="D626" s="25" t="s">
        <v>342</v>
      </c>
      <c r="E626" s="25" t="s">
        <v>194</v>
      </c>
      <c r="F626" s="25" t="s">
        <v>155</v>
      </c>
      <c r="G626" s="26" t="s">
        <v>139</v>
      </c>
      <c r="H626" s="27" t="s">
        <v>156</v>
      </c>
      <c r="I626" s="24" t="s">
        <v>106</v>
      </c>
      <c r="J626" s="24" t="s">
        <v>107</v>
      </c>
      <c r="K626" s="28" t="s">
        <v>227</v>
      </c>
      <c r="L626" s="29">
        <v>0.03</v>
      </c>
      <c r="M626" s="29">
        <v>1.4999999999999999E-2</v>
      </c>
      <c r="N626" s="29">
        <v>0.02</v>
      </c>
      <c r="O626" s="27" t="s">
        <v>663</v>
      </c>
      <c r="P626" s="30" t="s">
        <v>344</v>
      </c>
      <c r="Q626" s="31">
        <v>547935.41</v>
      </c>
      <c r="R626" s="31">
        <v>1016.58</v>
      </c>
      <c r="S626" s="32" t="s">
        <v>139</v>
      </c>
      <c r="T626" s="32" t="s">
        <v>139</v>
      </c>
      <c r="U626" s="32">
        <v>-4.9200000000000003E-4</v>
      </c>
      <c r="V626" s="32">
        <v>1.7496000000000001E-2</v>
      </c>
      <c r="W626" s="32">
        <v>1.7883E-2</v>
      </c>
      <c r="X626" s="32" t="s">
        <v>139</v>
      </c>
      <c r="Y626" s="32" t="s">
        <v>139</v>
      </c>
      <c r="Z626" s="32" t="s">
        <v>139</v>
      </c>
      <c r="AA626" s="32" t="s">
        <v>139</v>
      </c>
      <c r="AB626" s="32" t="s">
        <v>139</v>
      </c>
    </row>
    <row r="627" spans="1:28" ht="15.6" customHeight="1" x14ac:dyDescent="0.25">
      <c r="A627" s="24" t="s">
        <v>988</v>
      </c>
      <c r="B627" s="50">
        <v>30005</v>
      </c>
      <c r="C627" s="25" t="s">
        <v>989</v>
      </c>
      <c r="D627" s="25" t="s">
        <v>342</v>
      </c>
      <c r="E627" s="25" t="s">
        <v>194</v>
      </c>
      <c r="F627" s="25" t="s">
        <v>113</v>
      </c>
      <c r="G627" s="26" t="s">
        <v>985</v>
      </c>
      <c r="H627" s="27" t="s">
        <v>327</v>
      </c>
      <c r="I627" s="24" t="s">
        <v>106</v>
      </c>
      <c r="J627" s="24" t="s">
        <v>107</v>
      </c>
      <c r="K627" s="28" t="s">
        <v>227</v>
      </c>
      <c r="L627" s="29">
        <v>0.03</v>
      </c>
      <c r="M627" s="29">
        <v>1.4999999999999999E-2</v>
      </c>
      <c r="N627" s="29">
        <v>0.02</v>
      </c>
      <c r="O627" s="27" t="s">
        <v>131</v>
      </c>
      <c r="P627" s="30" t="s">
        <v>344</v>
      </c>
      <c r="Q627" s="31">
        <v>543877.29</v>
      </c>
      <c r="R627" s="31">
        <v>1007.18</v>
      </c>
      <c r="S627" s="32" t="s">
        <v>139</v>
      </c>
      <c r="T627" s="32" t="s">
        <v>139</v>
      </c>
      <c r="U627" s="32">
        <v>6.7599999999999995E-4</v>
      </c>
      <c r="V627" s="32">
        <v>2.9979999999999998E-3</v>
      </c>
      <c r="W627" s="32">
        <v>7.9260000000000008E-3</v>
      </c>
      <c r="X627" s="32" t="s">
        <v>139</v>
      </c>
      <c r="Y627" s="32" t="s">
        <v>139</v>
      </c>
      <c r="Z627" s="32" t="s">
        <v>139</v>
      </c>
      <c r="AA627" s="32" t="s">
        <v>139</v>
      </c>
      <c r="AB627" s="32" t="s">
        <v>139</v>
      </c>
    </row>
    <row r="628" spans="1:28" ht="15.6" customHeight="1" x14ac:dyDescent="0.25">
      <c r="A628" s="24" t="s">
        <v>990</v>
      </c>
      <c r="B628" s="50">
        <v>30007</v>
      </c>
      <c r="C628" s="25" t="s">
        <v>991</v>
      </c>
      <c r="D628" s="25" t="s">
        <v>524</v>
      </c>
      <c r="E628" s="25" t="s">
        <v>194</v>
      </c>
      <c r="F628" s="25" t="s">
        <v>113</v>
      </c>
      <c r="G628" s="26" t="s">
        <v>748</v>
      </c>
      <c r="H628" s="27" t="s">
        <v>115</v>
      </c>
      <c r="I628" s="24" t="s">
        <v>106</v>
      </c>
      <c r="J628" s="24" t="s">
        <v>121</v>
      </c>
      <c r="K628" s="28" t="s">
        <v>108</v>
      </c>
      <c r="L628" s="29">
        <v>0</v>
      </c>
      <c r="M628" s="29">
        <v>0</v>
      </c>
      <c r="N628" s="29">
        <v>0.02</v>
      </c>
      <c r="O628" s="27" t="s">
        <v>548</v>
      </c>
      <c r="P628" s="30" t="s">
        <v>524</v>
      </c>
      <c r="Q628" s="31">
        <v>202259049.94999999</v>
      </c>
      <c r="R628" s="31">
        <v>1005.49</v>
      </c>
      <c r="S628" s="32" t="s">
        <v>139</v>
      </c>
      <c r="T628" s="32" t="s">
        <v>139</v>
      </c>
      <c r="U628" s="32">
        <v>7.9600000000000005E-4</v>
      </c>
      <c r="V628" s="32">
        <v>4.7159999999999997E-3</v>
      </c>
      <c r="W628" s="32" t="s">
        <v>139</v>
      </c>
      <c r="X628" s="32" t="s">
        <v>139</v>
      </c>
      <c r="Y628" s="32" t="s">
        <v>139</v>
      </c>
      <c r="Z628" s="32" t="s">
        <v>139</v>
      </c>
      <c r="AA628" s="32" t="s">
        <v>139</v>
      </c>
      <c r="AB628" s="32" t="s">
        <v>139</v>
      </c>
    </row>
    <row r="629" spans="1:28" ht="15.6" customHeight="1" x14ac:dyDescent="0.25">
      <c r="A629" s="24" t="s">
        <v>992</v>
      </c>
      <c r="B629" s="50">
        <v>30009</v>
      </c>
      <c r="C629" s="25" t="s">
        <v>993</v>
      </c>
      <c r="D629" s="25" t="s">
        <v>718</v>
      </c>
      <c r="E629" s="25" t="s">
        <v>194</v>
      </c>
      <c r="F629" s="25" t="s">
        <v>113</v>
      </c>
      <c r="G629" s="26" t="s">
        <v>994</v>
      </c>
      <c r="H629" s="27" t="s">
        <v>115</v>
      </c>
      <c r="I629" s="24" t="s">
        <v>106</v>
      </c>
      <c r="J629" s="24" t="s">
        <v>121</v>
      </c>
      <c r="K629" s="28" t="s">
        <v>108</v>
      </c>
      <c r="L629" s="29">
        <v>0</v>
      </c>
      <c r="M629" s="29">
        <v>0</v>
      </c>
      <c r="N629" s="29">
        <v>0.02</v>
      </c>
      <c r="O629" s="27" t="s">
        <v>548</v>
      </c>
      <c r="P629" s="30" t="s">
        <v>718</v>
      </c>
      <c r="Q629" s="31">
        <v>201469817.16</v>
      </c>
      <c r="R629" s="31">
        <v>1003.26</v>
      </c>
      <c r="S629" s="32" t="s">
        <v>139</v>
      </c>
      <c r="T629" s="32" t="s">
        <v>139</v>
      </c>
      <c r="U629" s="32">
        <v>4.2900000000000002E-4</v>
      </c>
      <c r="V629" s="32">
        <v>2.238E-3</v>
      </c>
      <c r="W629" s="32" t="s">
        <v>139</v>
      </c>
      <c r="X629" s="32" t="s">
        <v>139</v>
      </c>
      <c r="Y629" s="32" t="s">
        <v>139</v>
      </c>
      <c r="Z629" s="32" t="s">
        <v>139</v>
      </c>
      <c r="AA629" s="32" t="s">
        <v>139</v>
      </c>
      <c r="AB629" s="32" t="s">
        <v>139</v>
      </c>
    </row>
    <row r="630" spans="1:28" ht="15.6" customHeight="1" x14ac:dyDescent="0.25">
      <c r="A630" s="24"/>
      <c r="B630" s="24"/>
      <c r="C630" s="25"/>
      <c r="D630" s="25"/>
      <c r="E630" s="25"/>
      <c r="F630" s="25"/>
      <c r="G630" s="26"/>
      <c r="H630" s="27"/>
      <c r="I630" s="24"/>
      <c r="J630" s="24"/>
      <c r="K630" s="28"/>
      <c r="L630" s="29"/>
      <c r="M630" s="29"/>
      <c r="N630" s="29"/>
      <c r="O630" s="27"/>
      <c r="P630" s="30"/>
      <c r="Q630" s="31"/>
      <c r="R630" s="31"/>
      <c r="S630" s="32"/>
      <c r="T630" s="32"/>
      <c r="U630" s="32"/>
      <c r="V630" s="32"/>
      <c r="W630" s="32"/>
      <c r="X630" s="32"/>
      <c r="Y630" s="32"/>
      <c r="Z630" s="32"/>
      <c r="AA630" s="32"/>
      <c r="AB630" s="32"/>
    </row>
    <row r="631" spans="1:28" ht="15.6" customHeight="1" x14ac:dyDescent="0.25">
      <c r="A631" s="24"/>
      <c r="B631" s="24"/>
      <c r="C631" s="25"/>
      <c r="D631" s="25"/>
      <c r="E631" s="25"/>
      <c r="F631" s="25"/>
      <c r="G631" s="26"/>
      <c r="H631" s="27"/>
      <c r="I631" s="24"/>
      <c r="J631" s="24"/>
      <c r="K631" s="28"/>
      <c r="L631" s="29"/>
      <c r="M631" s="29"/>
      <c r="N631" s="29"/>
      <c r="O631" s="27"/>
      <c r="P631" s="30"/>
      <c r="Q631" s="31"/>
      <c r="R631" s="31"/>
      <c r="S631" s="32"/>
      <c r="T631" s="32"/>
      <c r="U631" s="32"/>
      <c r="V631" s="32"/>
      <c r="W631" s="32"/>
      <c r="X631" s="32"/>
      <c r="Y631" s="32"/>
      <c r="Z631" s="32"/>
      <c r="AA631" s="32"/>
      <c r="AB631" s="32"/>
    </row>
    <row r="632" spans="1:28" ht="15.6" customHeight="1" x14ac:dyDescent="0.25">
      <c r="A632" s="24"/>
      <c r="B632" s="24"/>
      <c r="C632" s="25"/>
      <c r="D632" s="25"/>
      <c r="E632" s="25"/>
      <c r="F632" s="25"/>
      <c r="G632" s="26"/>
      <c r="H632" s="27"/>
      <c r="I632" s="24"/>
      <c r="J632" s="24"/>
      <c r="K632" s="28"/>
      <c r="L632" s="29"/>
      <c r="M632" s="29"/>
      <c r="N632" s="29"/>
      <c r="O632" s="27"/>
      <c r="P632" s="30"/>
      <c r="Q632" s="31"/>
      <c r="R632" s="31"/>
      <c r="S632" s="32"/>
      <c r="T632" s="32"/>
      <c r="U632" s="32"/>
      <c r="V632" s="32"/>
      <c r="W632" s="32"/>
      <c r="X632" s="32"/>
      <c r="Y632" s="32"/>
      <c r="Z632" s="32"/>
      <c r="AA632" s="32"/>
      <c r="AB632" s="32"/>
    </row>
    <row r="633" spans="1:28" ht="15.6" customHeight="1" x14ac:dyDescent="0.25">
      <c r="A633" s="24"/>
      <c r="B633" s="24"/>
      <c r="C633" s="25"/>
      <c r="D633" s="25"/>
      <c r="E633" s="25"/>
      <c r="F633" s="25"/>
      <c r="G633" s="26"/>
      <c r="H633" s="27"/>
      <c r="I633" s="24"/>
      <c r="J633" s="24"/>
      <c r="K633" s="28"/>
      <c r="L633" s="29"/>
      <c r="M633" s="29"/>
      <c r="N633" s="29"/>
      <c r="O633" s="27"/>
      <c r="P633" s="30"/>
      <c r="Q633" s="31"/>
      <c r="R633" s="31"/>
      <c r="S633" s="32"/>
      <c r="T633" s="32"/>
      <c r="U633" s="32"/>
      <c r="V633" s="32"/>
      <c r="W633" s="32"/>
      <c r="X633" s="32"/>
      <c r="Y633" s="32"/>
      <c r="Z633" s="32"/>
      <c r="AA633" s="32"/>
      <c r="AB633" s="32"/>
    </row>
    <row r="634" spans="1:28" ht="15.6" customHeight="1" x14ac:dyDescent="0.25">
      <c r="A634" s="24"/>
      <c r="B634" s="24"/>
      <c r="C634" s="25"/>
      <c r="D634" s="25"/>
      <c r="E634" s="25"/>
      <c r="F634" s="25"/>
      <c r="G634" s="26"/>
      <c r="H634" s="27"/>
      <c r="I634" s="24"/>
      <c r="J634" s="24"/>
      <c r="K634" s="28"/>
      <c r="L634" s="29"/>
      <c r="M634" s="29"/>
      <c r="N634" s="29"/>
      <c r="O634" s="27"/>
      <c r="P634" s="30"/>
      <c r="Q634" s="31"/>
      <c r="R634" s="31"/>
      <c r="S634" s="32"/>
      <c r="T634" s="32"/>
      <c r="U634" s="32"/>
      <c r="V634" s="32"/>
      <c r="W634" s="32"/>
      <c r="X634" s="32"/>
      <c r="Y634" s="32"/>
      <c r="Z634" s="32"/>
      <c r="AA634" s="32"/>
      <c r="AB634" s="32"/>
    </row>
    <row r="635" spans="1:28" ht="15.6" customHeight="1" x14ac:dyDescent="0.25">
      <c r="A635" s="24"/>
      <c r="B635" s="24"/>
      <c r="C635" s="25"/>
      <c r="D635" s="25"/>
      <c r="E635" s="25"/>
      <c r="F635" s="25"/>
      <c r="G635" s="26"/>
      <c r="H635" s="27"/>
      <c r="I635" s="24"/>
      <c r="J635" s="24"/>
      <c r="K635" s="28"/>
      <c r="L635" s="29"/>
      <c r="M635" s="29"/>
      <c r="N635" s="29"/>
      <c r="O635" s="27"/>
      <c r="P635" s="30"/>
      <c r="Q635" s="31"/>
      <c r="R635" s="31"/>
      <c r="S635" s="32"/>
      <c r="T635" s="32"/>
      <c r="U635" s="32"/>
      <c r="V635" s="32"/>
      <c r="W635" s="32"/>
      <c r="X635" s="32"/>
      <c r="Y635" s="32"/>
      <c r="Z635" s="32"/>
      <c r="AA635" s="32"/>
      <c r="AB635" s="32"/>
    </row>
    <row r="636" spans="1:28" ht="15.6" customHeight="1" x14ac:dyDescent="0.25">
      <c r="A636" s="24"/>
      <c r="B636" s="24"/>
      <c r="C636" s="25"/>
      <c r="D636" s="25"/>
      <c r="E636" s="25"/>
      <c r="F636" s="25"/>
      <c r="G636" s="26"/>
      <c r="H636" s="27"/>
      <c r="I636" s="24"/>
      <c r="J636" s="24"/>
      <c r="K636" s="28"/>
      <c r="L636" s="29"/>
      <c r="M636" s="29"/>
      <c r="N636" s="29"/>
      <c r="O636" s="27"/>
      <c r="P636" s="30"/>
      <c r="Q636" s="31"/>
      <c r="R636" s="31"/>
      <c r="S636" s="32"/>
      <c r="T636" s="32"/>
      <c r="U636" s="32"/>
      <c r="V636" s="32"/>
      <c r="W636" s="32"/>
      <c r="X636" s="32"/>
      <c r="Y636" s="32"/>
      <c r="Z636" s="32"/>
      <c r="AA636" s="32"/>
      <c r="AB636" s="32"/>
    </row>
    <row r="637" spans="1:28" ht="15.6" customHeight="1" x14ac:dyDescent="0.25">
      <c r="A637" s="24"/>
      <c r="B637" s="24"/>
      <c r="C637" s="25"/>
      <c r="D637" s="25"/>
      <c r="E637" s="25"/>
      <c r="F637" s="25"/>
      <c r="G637" s="26"/>
      <c r="H637" s="27"/>
      <c r="I637" s="24"/>
      <c r="J637" s="24"/>
      <c r="K637" s="28"/>
      <c r="L637" s="29"/>
      <c r="M637" s="29"/>
      <c r="N637" s="29"/>
      <c r="O637" s="27"/>
      <c r="P637" s="30"/>
      <c r="Q637" s="31"/>
      <c r="R637" s="31"/>
      <c r="S637" s="32"/>
      <c r="T637" s="32"/>
      <c r="U637" s="32"/>
      <c r="V637" s="32"/>
      <c r="W637" s="32"/>
      <c r="X637" s="32"/>
      <c r="Y637" s="32"/>
      <c r="Z637" s="32"/>
      <c r="AA637" s="32"/>
      <c r="AB637" s="32"/>
    </row>
    <row r="638" spans="1:28" ht="15.6" customHeight="1" x14ac:dyDescent="0.25">
      <c r="A638" s="24"/>
      <c r="B638" s="24"/>
      <c r="C638" s="25"/>
      <c r="D638" s="25"/>
      <c r="E638" s="25"/>
      <c r="F638" s="25"/>
      <c r="G638" s="26"/>
      <c r="H638" s="27"/>
      <c r="I638" s="24"/>
      <c r="J638" s="24"/>
      <c r="K638" s="28"/>
      <c r="L638" s="29"/>
      <c r="M638" s="29"/>
      <c r="N638" s="29"/>
      <c r="O638" s="27"/>
      <c r="P638" s="30"/>
      <c r="Q638" s="31"/>
      <c r="R638" s="31"/>
      <c r="S638" s="32"/>
      <c r="T638" s="32"/>
      <c r="U638" s="32"/>
      <c r="V638" s="32"/>
      <c r="W638" s="32"/>
      <c r="X638" s="32"/>
      <c r="Y638" s="32"/>
      <c r="Z638" s="32"/>
      <c r="AA638" s="32"/>
      <c r="AB638" s="32"/>
    </row>
    <row r="639" spans="1:28" ht="15.6" customHeight="1" x14ac:dyDescent="0.25">
      <c r="A639" s="24"/>
      <c r="B639" s="24"/>
      <c r="C639" s="25"/>
      <c r="D639" s="25"/>
      <c r="E639" s="25"/>
      <c r="F639" s="25"/>
      <c r="G639" s="26"/>
      <c r="H639" s="27"/>
      <c r="I639" s="24"/>
      <c r="J639" s="24"/>
      <c r="K639" s="28"/>
      <c r="L639" s="29"/>
      <c r="M639" s="29"/>
      <c r="N639" s="29"/>
      <c r="O639" s="27"/>
      <c r="P639" s="30"/>
      <c r="Q639" s="31"/>
      <c r="R639" s="31"/>
      <c r="S639" s="32"/>
      <c r="T639" s="32"/>
      <c r="U639" s="32"/>
      <c r="V639" s="32"/>
      <c r="W639" s="32"/>
      <c r="X639" s="32"/>
      <c r="Y639" s="32"/>
      <c r="Z639" s="32"/>
      <c r="AA639" s="32"/>
      <c r="AB639" s="32"/>
    </row>
    <row r="640" spans="1:28" ht="15.6" customHeight="1" x14ac:dyDescent="0.25">
      <c r="A640" s="24"/>
      <c r="B640" s="24"/>
      <c r="C640" s="25"/>
      <c r="D640" s="25"/>
      <c r="E640" s="25"/>
      <c r="F640" s="25"/>
      <c r="G640" s="26"/>
      <c r="H640" s="27"/>
      <c r="I640" s="24"/>
      <c r="J640" s="24"/>
      <c r="K640" s="28"/>
      <c r="L640" s="29"/>
      <c r="M640" s="29"/>
      <c r="N640" s="29"/>
      <c r="O640" s="27"/>
      <c r="P640" s="30"/>
      <c r="Q640" s="31"/>
      <c r="R640" s="31"/>
      <c r="S640" s="32"/>
      <c r="T640" s="32"/>
      <c r="U640" s="32"/>
      <c r="V640" s="32"/>
      <c r="W640" s="32"/>
      <c r="X640" s="32"/>
      <c r="Y640" s="32"/>
      <c r="Z640" s="32"/>
      <c r="AA640" s="32"/>
      <c r="AB640" s="32"/>
    </row>
    <row r="641" spans="1:28" ht="15.6" customHeight="1" x14ac:dyDescent="0.25">
      <c r="A641" s="24"/>
      <c r="B641" s="24"/>
      <c r="C641" s="25"/>
      <c r="D641" s="25"/>
      <c r="E641" s="25"/>
      <c r="F641" s="25"/>
      <c r="G641" s="26"/>
      <c r="H641" s="27"/>
      <c r="I641" s="24"/>
      <c r="J641" s="24"/>
      <c r="K641" s="28"/>
      <c r="L641" s="29"/>
      <c r="M641" s="29"/>
      <c r="N641" s="29"/>
      <c r="O641" s="27"/>
      <c r="P641" s="30"/>
      <c r="Q641" s="31"/>
      <c r="R641" s="31"/>
      <c r="S641" s="32"/>
      <c r="T641" s="32"/>
      <c r="U641" s="32"/>
      <c r="V641" s="32"/>
      <c r="W641" s="32"/>
      <c r="X641" s="32"/>
      <c r="Y641" s="32"/>
      <c r="Z641" s="32"/>
      <c r="AA641" s="32"/>
      <c r="AB641" s="32"/>
    </row>
    <row r="642" spans="1:28" ht="15.6" customHeight="1" x14ac:dyDescent="0.25">
      <c r="A642" s="24"/>
      <c r="B642" s="24"/>
      <c r="C642" s="25"/>
      <c r="D642" s="25"/>
      <c r="E642" s="25"/>
      <c r="F642" s="25"/>
      <c r="G642" s="26"/>
      <c r="H642" s="27"/>
      <c r="I642" s="24"/>
      <c r="J642" s="24"/>
      <c r="K642" s="28"/>
      <c r="L642" s="29"/>
      <c r="M642" s="29"/>
      <c r="N642" s="29"/>
      <c r="O642" s="27"/>
      <c r="P642" s="30"/>
      <c r="Q642" s="31"/>
      <c r="R642" s="31"/>
      <c r="S642" s="32"/>
      <c r="T642" s="32"/>
      <c r="U642" s="32"/>
      <c r="V642" s="32"/>
      <c r="W642" s="32"/>
      <c r="X642" s="32"/>
      <c r="Y642" s="32"/>
      <c r="Z642" s="32"/>
      <c r="AA642" s="32"/>
      <c r="AB642" s="32"/>
    </row>
    <row r="643" spans="1:28" ht="15.6" customHeight="1" x14ac:dyDescent="0.25">
      <c r="A643" s="24"/>
      <c r="B643" s="24"/>
      <c r="C643" s="25"/>
      <c r="D643" s="25"/>
      <c r="E643" s="25"/>
      <c r="F643" s="25"/>
      <c r="G643" s="26"/>
      <c r="H643" s="27"/>
      <c r="I643" s="24"/>
      <c r="J643" s="24"/>
      <c r="K643" s="28"/>
      <c r="L643" s="29"/>
      <c r="M643" s="29"/>
      <c r="N643" s="29"/>
      <c r="O643" s="27"/>
      <c r="P643" s="30"/>
      <c r="Q643" s="31"/>
      <c r="R643" s="31"/>
      <c r="S643" s="32"/>
      <c r="T643" s="32"/>
      <c r="U643" s="32"/>
      <c r="V643" s="32"/>
      <c r="W643" s="32"/>
      <c r="X643" s="32"/>
      <c r="Y643" s="32"/>
      <c r="Z643" s="32"/>
      <c r="AA643" s="32"/>
      <c r="AB643" s="32"/>
    </row>
    <row r="644" spans="1:28" ht="15.6" customHeight="1" x14ac:dyDescent="0.25">
      <c r="A644" s="24"/>
      <c r="B644" s="24"/>
      <c r="C644" s="25"/>
      <c r="D644" s="25"/>
      <c r="E644" s="25"/>
      <c r="F644" s="25"/>
      <c r="G644" s="26"/>
      <c r="H644" s="27"/>
      <c r="I644" s="24"/>
      <c r="J644" s="24"/>
      <c r="K644" s="28"/>
      <c r="L644" s="29"/>
      <c r="M644" s="29"/>
      <c r="N644" s="29"/>
      <c r="O644" s="27"/>
      <c r="P644" s="30"/>
      <c r="Q644" s="31"/>
      <c r="R644" s="31"/>
      <c r="S644" s="32"/>
      <c r="T644" s="32"/>
      <c r="U644" s="32"/>
      <c r="V644" s="32"/>
      <c r="W644" s="32"/>
      <c r="X644" s="32"/>
      <c r="Y644" s="32"/>
      <c r="Z644" s="32"/>
      <c r="AA644" s="32"/>
      <c r="AB644" s="32"/>
    </row>
    <row r="645" spans="1:28" ht="15.6" customHeight="1" x14ac:dyDescent="0.25">
      <c r="A645" s="24"/>
      <c r="B645" s="24"/>
      <c r="C645" s="25"/>
      <c r="D645" s="25"/>
      <c r="E645" s="25"/>
      <c r="F645" s="25"/>
      <c r="G645" s="26"/>
      <c r="H645" s="27"/>
      <c r="I645" s="24"/>
      <c r="J645" s="24"/>
      <c r="K645" s="28"/>
      <c r="L645" s="29"/>
      <c r="M645" s="29"/>
      <c r="N645" s="29"/>
      <c r="O645" s="27"/>
      <c r="P645" s="30"/>
      <c r="Q645" s="31"/>
      <c r="R645" s="31"/>
      <c r="S645" s="32"/>
      <c r="T645" s="32"/>
      <c r="U645" s="32"/>
      <c r="V645" s="32"/>
      <c r="W645" s="32"/>
      <c r="X645" s="32"/>
      <c r="Y645" s="32"/>
      <c r="Z645" s="32"/>
      <c r="AA645" s="32"/>
      <c r="AB645" s="32"/>
    </row>
    <row r="646" spans="1:28" ht="15.6" customHeight="1" x14ac:dyDescent="0.25">
      <c r="A646" s="24"/>
      <c r="B646" s="24"/>
      <c r="C646" s="25"/>
      <c r="D646" s="25"/>
      <c r="E646" s="25"/>
      <c r="F646" s="25"/>
      <c r="G646" s="26"/>
      <c r="H646" s="27"/>
      <c r="I646" s="24"/>
      <c r="J646" s="24"/>
      <c r="K646" s="28"/>
      <c r="L646" s="29"/>
      <c r="M646" s="29"/>
      <c r="N646" s="29"/>
      <c r="O646" s="27"/>
      <c r="P646" s="30"/>
      <c r="Q646" s="31"/>
      <c r="R646" s="31"/>
      <c r="S646" s="32"/>
      <c r="T646" s="32"/>
      <c r="U646" s="32"/>
      <c r="V646" s="32"/>
      <c r="W646" s="32"/>
      <c r="X646" s="32"/>
      <c r="Y646" s="32"/>
      <c r="Z646" s="32"/>
      <c r="AA646" s="32"/>
      <c r="AB646" s="32"/>
    </row>
    <row r="647" spans="1:28" ht="15.6" customHeight="1" x14ac:dyDescent="0.25">
      <c r="A647" s="24"/>
      <c r="B647" s="24"/>
      <c r="C647" s="25"/>
      <c r="D647" s="25"/>
      <c r="E647" s="25"/>
      <c r="F647" s="25"/>
      <c r="G647" s="26"/>
      <c r="H647" s="27"/>
      <c r="I647" s="24"/>
      <c r="J647" s="24"/>
      <c r="K647" s="28"/>
      <c r="L647" s="29"/>
      <c r="M647" s="29"/>
      <c r="N647" s="29"/>
      <c r="O647" s="27"/>
      <c r="P647" s="30"/>
      <c r="Q647" s="31"/>
      <c r="R647" s="31"/>
      <c r="S647" s="32"/>
      <c r="T647" s="32"/>
      <c r="U647" s="32"/>
      <c r="V647" s="32"/>
      <c r="W647" s="32"/>
      <c r="X647" s="32"/>
      <c r="Y647" s="32"/>
      <c r="Z647" s="32"/>
      <c r="AA647" s="32"/>
      <c r="AB647" s="32"/>
    </row>
    <row r="648" spans="1:28" ht="15.6" customHeight="1" x14ac:dyDescent="0.25">
      <c r="A648" s="24"/>
      <c r="B648" s="24"/>
      <c r="C648" s="25"/>
      <c r="D648" s="25"/>
      <c r="E648" s="25"/>
      <c r="F648" s="25"/>
      <c r="G648" s="26"/>
      <c r="H648" s="27"/>
      <c r="I648" s="24"/>
      <c r="J648" s="24"/>
      <c r="K648" s="28"/>
      <c r="L648" s="29"/>
      <c r="M648" s="29"/>
      <c r="N648" s="29"/>
      <c r="O648" s="27"/>
      <c r="P648" s="30"/>
      <c r="Q648" s="31"/>
      <c r="R648" s="31"/>
      <c r="S648" s="32"/>
      <c r="T648" s="32"/>
      <c r="U648" s="32"/>
      <c r="V648" s="32"/>
      <c r="W648" s="32"/>
      <c r="X648" s="32"/>
      <c r="Y648" s="32"/>
      <c r="Z648" s="32"/>
      <c r="AA648" s="32"/>
      <c r="AB648" s="32"/>
    </row>
    <row r="649" spans="1:28" ht="15.6" customHeight="1" x14ac:dyDescent="0.25">
      <c r="A649" s="24"/>
      <c r="B649" s="24"/>
      <c r="C649" s="25"/>
      <c r="D649" s="25"/>
      <c r="E649" s="25"/>
      <c r="F649" s="25"/>
      <c r="G649" s="26"/>
      <c r="H649" s="27"/>
      <c r="I649" s="24"/>
      <c r="J649" s="24"/>
      <c r="K649" s="28"/>
      <c r="L649" s="29"/>
      <c r="M649" s="29"/>
      <c r="N649" s="29"/>
      <c r="O649" s="27"/>
      <c r="P649" s="30"/>
      <c r="Q649" s="31"/>
      <c r="R649" s="31"/>
      <c r="S649" s="32"/>
      <c r="T649" s="32"/>
      <c r="U649" s="32"/>
      <c r="V649" s="32"/>
      <c r="W649" s="32"/>
      <c r="X649" s="32"/>
      <c r="Y649" s="32"/>
      <c r="Z649" s="32"/>
      <c r="AA649" s="32"/>
      <c r="AB649" s="32"/>
    </row>
    <row r="650" spans="1:28" ht="15.6" customHeight="1" x14ac:dyDescent="0.25">
      <c r="A650" s="24"/>
      <c r="B650" s="24"/>
      <c r="C650" s="25"/>
      <c r="D650" s="25"/>
      <c r="E650" s="25"/>
      <c r="F650" s="25"/>
      <c r="G650" s="26"/>
      <c r="H650" s="27"/>
      <c r="I650" s="24"/>
      <c r="J650" s="24"/>
      <c r="K650" s="28"/>
      <c r="L650" s="29"/>
      <c r="M650" s="29"/>
      <c r="N650" s="29"/>
      <c r="O650" s="27"/>
      <c r="P650" s="30"/>
      <c r="Q650" s="31"/>
      <c r="R650" s="31"/>
      <c r="S650" s="32"/>
      <c r="T650" s="32"/>
      <c r="U650" s="32"/>
      <c r="V650" s="32"/>
      <c r="W650" s="32"/>
      <c r="X650" s="32"/>
      <c r="Y650" s="32"/>
      <c r="Z650" s="32"/>
      <c r="AA650" s="32"/>
      <c r="AB650" s="32"/>
    </row>
    <row r="651" spans="1:28" ht="15.6" customHeight="1" x14ac:dyDescent="0.25">
      <c r="A651" s="24"/>
      <c r="B651" s="24"/>
      <c r="C651" s="25"/>
      <c r="D651" s="25"/>
      <c r="E651" s="25"/>
      <c r="F651" s="25"/>
      <c r="G651" s="26"/>
      <c r="H651" s="27"/>
      <c r="I651" s="24"/>
      <c r="J651" s="24"/>
      <c r="K651" s="28"/>
      <c r="L651" s="29"/>
      <c r="M651" s="29"/>
      <c r="N651" s="29"/>
      <c r="O651" s="27"/>
      <c r="P651" s="30"/>
      <c r="Q651" s="31"/>
      <c r="R651" s="31"/>
      <c r="S651" s="32"/>
      <c r="T651" s="32"/>
      <c r="U651" s="32"/>
      <c r="V651" s="32"/>
      <c r="W651" s="32"/>
      <c r="X651" s="32"/>
      <c r="Y651" s="32"/>
      <c r="Z651" s="32"/>
      <c r="AA651" s="32"/>
      <c r="AB651" s="32"/>
    </row>
    <row r="652" spans="1:28" ht="15.6" customHeight="1" x14ac:dyDescent="0.25">
      <c r="A652" s="24"/>
      <c r="B652" s="24"/>
      <c r="C652" s="25"/>
      <c r="D652" s="25"/>
      <c r="E652" s="25"/>
      <c r="F652" s="25"/>
      <c r="G652" s="26"/>
      <c r="H652" s="27"/>
      <c r="I652" s="24"/>
      <c r="J652" s="24"/>
      <c r="K652" s="28"/>
      <c r="L652" s="29"/>
      <c r="M652" s="29"/>
      <c r="N652" s="29"/>
      <c r="O652" s="27"/>
      <c r="P652" s="30"/>
      <c r="Q652" s="31"/>
      <c r="R652" s="31"/>
      <c r="S652" s="32"/>
      <c r="T652" s="32"/>
      <c r="U652" s="32"/>
      <c r="V652" s="32"/>
      <c r="W652" s="32"/>
      <c r="X652" s="32"/>
      <c r="Y652" s="32"/>
      <c r="Z652" s="32"/>
      <c r="AA652" s="32"/>
      <c r="AB652" s="32"/>
    </row>
    <row r="653" spans="1:28" ht="15.6" customHeight="1" x14ac:dyDescent="0.25">
      <c r="A653" s="24"/>
      <c r="B653" s="24"/>
      <c r="C653" s="25"/>
      <c r="D653" s="25"/>
      <c r="E653" s="25"/>
      <c r="F653" s="25"/>
      <c r="G653" s="26"/>
      <c r="H653" s="27"/>
      <c r="I653" s="24"/>
      <c r="J653" s="24"/>
      <c r="K653" s="28"/>
      <c r="L653" s="29"/>
      <c r="M653" s="29"/>
      <c r="N653" s="29"/>
      <c r="O653" s="27"/>
      <c r="P653" s="30"/>
      <c r="Q653" s="31"/>
      <c r="R653" s="31"/>
      <c r="S653" s="32"/>
      <c r="T653" s="32"/>
      <c r="U653" s="32"/>
      <c r="V653" s="32"/>
      <c r="W653" s="32"/>
      <c r="X653" s="32"/>
      <c r="Y653" s="32"/>
      <c r="Z653" s="32"/>
      <c r="AA653" s="32"/>
      <c r="AB653" s="32"/>
    </row>
    <row r="654" spans="1:28" ht="15.6" customHeight="1" x14ac:dyDescent="0.25">
      <c r="A654" s="24"/>
      <c r="B654" s="24"/>
      <c r="C654" s="25"/>
      <c r="D654" s="25"/>
      <c r="E654" s="25"/>
      <c r="F654" s="25"/>
      <c r="G654" s="26"/>
      <c r="H654" s="27"/>
      <c r="I654" s="24"/>
      <c r="J654" s="24"/>
      <c r="K654" s="28"/>
      <c r="L654" s="29"/>
      <c r="M654" s="29"/>
      <c r="N654" s="29"/>
      <c r="O654" s="27"/>
      <c r="P654" s="30"/>
      <c r="Q654" s="31"/>
      <c r="R654" s="31"/>
      <c r="S654" s="32"/>
      <c r="T654" s="32"/>
      <c r="U654" s="32"/>
      <c r="V654" s="32"/>
      <c r="W654" s="32"/>
      <c r="X654" s="32"/>
      <c r="Y654" s="32"/>
      <c r="Z654" s="32"/>
      <c r="AA654" s="32"/>
      <c r="AB654" s="32"/>
    </row>
    <row r="655" spans="1:28" ht="15.6" customHeight="1" x14ac:dyDescent="0.25">
      <c r="A655" s="24"/>
      <c r="B655" s="24"/>
      <c r="C655" s="25"/>
      <c r="D655" s="25"/>
      <c r="E655" s="25"/>
      <c r="F655" s="25"/>
      <c r="G655" s="26"/>
      <c r="H655" s="27"/>
      <c r="I655" s="24"/>
      <c r="J655" s="24"/>
      <c r="K655" s="28"/>
      <c r="L655" s="29"/>
      <c r="M655" s="29"/>
      <c r="N655" s="29"/>
      <c r="O655" s="27"/>
      <c r="P655" s="30"/>
      <c r="Q655" s="31"/>
      <c r="R655" s="31"/>
      <c r="S655" s="32"/>
      <c r="T655" s="32"/>
      <c r="U655" s="32"/>
      <c r="V655" s="32"/>
      <c r="W655" s="32"/>
      <c r="X655" s="32"/>
      <c r="Y655" s="32"/>
      <c r="Z655" s="32"/>
      <c r="AA655" s="32"/>
      <c r="AB655" s="32"/>
    </row>
    <row r="656" spans="1:28" ht="15.6" customHeight="1" x14ac:dyDescent="0.25">
      <c r="A656" s="24"/>
      <c r="B656" s="24"/>
      <c r="C656" s="25"/>
      <c r="D656" s="25"/>
      <c r="E656" s="25"/>
      <c r="F656" s="25"/>
      <c r="G656" s="26"/>
      <c r="H656" s="27"/>
      <c r="I656" s="24"/>
      <c r="J656" s="24"/>
      <c r="K656" s="28"/>
      <c r="L656" s="29"/>
      <c r="M656" s="29"/>
      <c r="N656" s="29"/>
      <c r="O656" s="27"/>
      <c r="P656" s="30"/>
      <c r="Q656" s="31"/>
      <c r="R656" s="31"/>
      <c r="S656" s="32"/>
      <c r="T656" s="32"/>
      <c r="U656" s="32"/>
      <c r="V656" s="32"/>
      <c r="W656" s="32"/>
      <c r="X656" s="32"/>
      <c r="Y656" s="32"/>
      <c r="Z656" s="32"/>
      <c r="AA656" s="32"/>
      <c r="AB656" s="32"/>
    </row>
    <row r="657" spans="1:28" ht="15.6" customHeight="1" x14ac:dyDescent="0.25">
      <c r="A657" s="24"/>
      <c r="B657" s="24"/>
      <c r="C657" s="25"/>
      <c r="D657" s="25"/>
      <c r="E657" s="25"/>
      <c r="F657" s="25"/>
      <c r="G657" s="26"/>
      <c r="H657" s="27"/>
      <c r="I657" s="24"/>
      <c r="J657" s="24"/>
      <c r="K657" s="28"/>
      <c r="L657" s="29"/>
      <c r="M657" s="29"/>
      <c r="N657" s="29"/>
      <c r="O657" s="27"/>
      <c r="P657" s="30"/>
      <c r="Q657" s="31"/>
      <c r="R657" s="31"/>
      <c r="S657" s="32"/>
      <c r="T657" s="32"/>
      <c r="U657" s="32"/>
      <c r="V657" s="32"/>
      <c r="W657" s="32"/>
      <c r="X657" s="32"/>
      <c r="Y657" s="32"/>
      <c r="Z657" s="32"/>
      <c r="AA657" s="32"/>
      <c r="AB657" s="32"/>
    </row>
    <row r="658" spans="1:28" ht="15.6" customHeight="1" x14ac:dyDescent="0.25">
      <c r="A658" s="24"/>
      <c r="B658" s="24"/>
      <c r="C658" s="25"/>
      <c r="D658" s="25"/>
      <c r="E658" s="25"/>
      <c r="F658" s="25"/>
      <c r="G658" s="26"/>
      <c r="H658" s="27"/>
      <c r="I658" s="24"/>
      <c r="J658" s="24"/>
      <c r="K658" s="28"/>
      <c r="L658" s="29"/>
      <c r="M658" s="29"/>
      <c r="N658" s="29"/>
      <c r="O658" s="27"/>
      <c r="P658" s="30"/>
      <c r="Q658" s="31"/>
      <c r="R658" s="31"/>
      <c r="S658" s="32"/>
      <c r="T658" s="32"/>
      <c r="U658" s="32"/>
      <c r="V658" s="32"/>
      <c r="W658" s="32"/>
      <c r="X658" s="32"/>
      <c r="Y658" s="32"/>
      <c r="Z658" s="32"/>
      <c r="AA658" s="32"/>
      <c r="AB658" s="32"/>
    </row>
    <row r="659" spans="1:28" ht="15.6" customHeight="1" x14ac:dyDescent="0.25">
      <c r="A659" s="24"/>
      <c r="B659" s="24"/>
      <c r="C659" s="25"/>
      <c r="D659" s="25"/>
      <c r="E659" s="25"/>
      <c r="F659" s="25"/>
      <c r="G659" s="26"/>
      <c r="H659" s="27"/>
      <c r="I659" s="24"/>
      <c r="J659" s="24"/>
      <c r="K659" s="28"/>
      <c r="L659" s="29"/>
      <c r="M659" s="29"/>
      <c r="N659" s="29"/>
      <c r="O659" s="27"/>
      <c r="P659" s="30"/>
      <c r="Q659" s="31"/>
      <c r="R659" s="31"/>
      <c r="S659" s="32"/>
      <c r="T659" s="32"/>
      <c r="U659" s="32"/>
      <c r="V659" s="32"/>
      <c r="W659" s="32"/>
      <c r="X659" s="32"/>
      <c r="Y659" s="32"/>
      <c r="Z659" s="32"/>
      <c r="AA659" s="32"/>
      <c r="AB659" s="32"/>
    </row>
    <row r="660" spans="1:28" ht="15.6" customHeight="1" x14ac:dyDescent="0.25">
      <c r="A660" s="24"/>
      <c r="B660" s="24"/>
      <c r="C660" s="25"/>
      <c r="D660" s="25"/>
      <c r="E660" s="25"/>
      <c r="F660" s="25"/>
      <c r="G660" s="26"/>
      <c r="H660" s="27"/>
      <c r="I660" s="24"/>
      <c r="J660" s="24"/>
      <c r="K660" s="28"/>
      <c r="L660" s="29"/>
      <c r="M660" s="29"/>
      <c r="N660" s="29"/>
      <c r="O660" s="27"/>
      <c r="P660" s="30"/>
      <c r="Q660" s="31"/>
      <c r="R660" s="31"/>
      <c r="S660" s="32"/>
      <c r="T660" s="32"/>
      <c r="U660" s="32"/>
      <c r="V660" s="32"/>
      <c r="W660" s="32"/>
      <c r="X660" s="32"/>
      <c r="Y660" s="32"/>
      <c r="Z660" s="32"/>
      <c r="AA660" s="32"/>
      <c r="AB660" s="32"/>
    </row>
    <row r="661" spans="1:28" ht="15.6" customHeight="1" x14ac:dyDescent="0.25">
      <c r="A661" s="24"/>
      <c r="B661" s="24"/>
      <c r="C661" s="25"/>
      <c r="D661" s="25"/>
      <c r="E661" s="25"/>
      <c r="F661" s="25"/>
      <c r="G661" s="26"/>
      <c r="H661" s="27"/>
      <c r="I661" s="24"/>
      <c r="J661" s="24"/>
      <c r="K661" s="28"/>
      <c r="L661" s="29"/>
      <c r="M661" s="29"/>
      <c r="N661" s="29"/>
      <c r="O661" s="27"/>
      <c r="P661" s="30"/>
      <c r="Q661" s="31"/>
      <c r="R661" s="31"/>
      <c r="S661" s="32"/>
      <c r="T661" s="32"/>
      <c r="U661" s="32"/>
      <c r="V661" s="32"/>
      <c r="W661" s="32"/>
      <c r="X661" s="32"/>
      <c r="Y661" s="32"/>
      <c r="Z661" s="32"/>
      <c r="AA661" s="32"/>
      <c r="AB661" s="32"/>
    </row>
    <row r="662" spans="1:28" ht="15.6" customHeight="1" x14ac:dyDescent="0.25">
      <c r="A662" s="24"/>
      <c r="B662" s="24"/>
      <c r="C662" s="25"/>
      <c r="D662" s="25"/>
      <c r="E662" s="25"/>
      <c r="F662" s="25"/>
      <c r="G662" s="26"/>
      <c r="H662" s="27"/>
      <c r="I662" s="24"/>
      <c r="J662" s="24"/>
      <c r="K662" s="28"/>
      <c r="L662" s="29"/>
      <c r="M662" s="29"/>
      <c r="N662" s="29"/>
      <c r="O662" s="27"/>
      <c r="P662" s="30"/>
      <c r="Q662" s="31"/>
      <c r="R662" s="31"/>
      <c r="S662" s="32"/>
      <c r="T662" s="32"/>
      <c r="U662" s="32"/>
      <c r="V662" s="32"/>
      <c r="W662" s="32"/>
      <c r="X662" s="32"/>
      <c r="Y662" s="32"/>
      <c r="Z662" s="32"/>
      <c r="AA662" s="32"/>
      <c r="AB662" s="32"/>
    </row>
    <row r="663" spans="1:28" ht="15.6" customHeight="1" x14ac:dyDescent="0.25">
      <c r="A663" s="24"/>
      <c r="B663" s="24"/>
      <c r="C663" s="25"/>
      <c r="D663" s="25"/>
      <c r="E663" s="25"/>
      <c r="F663" s="25"/>
      <c r="G663" s="26"/>
      <c r="H663" s="27"/>
      <c r="I663" s="24"/>
      <c r="J663" s="24"/>
      <c r="K663" s="28"/>
      <c r="L663" s="29"/>
      <c r="M663" s="29"/>
      <c r="N663" s="29"/>
      <c r="O663" s="27"/>
      <c r="P663" s="30"/>
      <c r="Q663" s="31"/>
      <c r="R663" s="31"/>
      <c r="S663" s="32"/>
      <c r="T663" s="32"/>
      <c r="U663" s="32"/>
      <c r="V663" s="32"/>
      <c r="W663" s="32"/>
      <c r="X663" s="32"/>
      <c r="Y663" s="32"/>
      <c r="Z663" s="32"/>
      <c r="AA663" s="32"/>
      <c r="AB663" s="32"/>
    </row>
    <row r="664" spans="1:28" ht="15.6" customHeight="1" x14ac:dyDescent="0.25">
      <c r="A664" s="24"/>
      <c r="B664" s="24"/>
      <c r="C664" s="25"/>
      <c r="D664" s="25"/>
      <c r="E664" s="25"/>
      <c r="F664" s="25"/>
      <c r="G664" s="26"/>
      <c r="H664" s="27"/>
      <c r="I664" s="24"/>
      <c r="J664" s="24"/>
      <c r="K664" s="28"/>
      <c r="L664" s="29"/>
      <c r="M664" s="29"/>
      <c r="N664" s="29"/>
      <c r="O664" s="27"/>
      <c r="P664" s="30"/>
      <c r="Q664" s="31"/>
      <c r="R664" s="31"/>
      <c r="S664" s="32"/>
      <c r="T664" s="32"/>
      <c r="U664" s="32"/>
      <c r="V664" s="32"/>
      <c r="W664" s="32"/>
      <c r="X664" s="32"/>
      <c r="Y664" s="32"/>
      <c r="Z664" s="32"/>
      <c r="AA664" s="32"/>
      <c r="AB664" s="32"/>
    </row>
    <row r="665" spans="1:28" ht="15.6" customHeight="1" x14ac:dyDescent="0.25">
      <c r="A665" s="24"/>
      <c r="B665" s="24"/>
      <c r="C665" s="25"/>
      <c r="D665" s="25"/>
      <c r="E665" s="25"/>
      <c r="F665" s="25"/>
      <c r="G665" s="26"/>
      <c r="H665" s="27"/>
      <c r="I665" s="24"/>
      <c r="J665" s="24"/>
      <c r="K665" s="28"/>
      <c r="L665" s="29"/>
      <c r="M665" s="29"/>
      <c r="N665" s="29"/>
      <c r="O665" s="27"/>
      <c r="P665" s="30"/>
      <c r="Q665" s="31"/>
      <c r="R665" s="31"/>
      <c r="S665" s="32"/>
      <c r="T665" s="32"/>
      <c r="U665" s="32"/>
      <c r="V665" s="32"/>
      <c r="W665" s="32"/>
      <c r="X665" s="32"/>
      <c r="Y665" s="32"/>
      <c r="Z665" s="32"/>
      <c r="AA665" s="32"/>
      <c r="AB665" s="32"/>
    </row>
    <row r="666" spans="1:28" ht="15.6" customHeight="1" x14ac:dyDescent="0.25">
      <c r="A666" s="24"/>
      <c r="B666" s="24"/>
      <c r="C666" s="25"/>
      <c r="D666" s="25"/>
      <c r="E666" s="25"/>
      <c r="F666" s="25"/>
      <c r="G666" s="26"/>
      <c r="H666" s="27"/>
      <c r="I666" s="24"/>
      <c r="J666" s="24"/>
      <c r="K666" s="28"/>
      <c r="L666" s="29"/>
      <c r="M666" s="29"/>
      <c r="N666" s="29"/>
      <c r="O666" s="27"/>
      <c r="P666" s="30"/>
      <c r="Q666" s="31"/>
      <c r="R666" s="31"/>
      <c r="S666" s="32"/>
      <c r="T666" s="32"/>
      <c r="U666" s="32"/>
      <c r="V666" s="32"/>
      <c r="W666" s="32"/>
      <c r="X666" s="32"/>
      <c r="Y666" s="32"/>
      <c r="Z666" s="32"/>
      <c r="AA666" s="32"/>
      <c r="AB666" s="32"/>
    </row>
    <row r="667" spans="1:28" ht="15.6" customHeight="1" x14ac:dyDescent="0.25">
      <c r="A667" s="24"/>
      <c r="B667" s="24"/>
      <c r="C667" s="25"/>
      <c r="D667" s="25"/>
      <c r="E667" s="25"/>
      <c r="F667" s="25"/>
      <c r="G667" s="26"/>
      <c r="H667" s="27"/>
      <c r="I667" s="24"/>
      <c r="J667" s="24"/>
      <c r="K667" s="28"/>
      <c r="L667" s="29"/>
      <c r="M667" s="29"/>
      <c r="N667" s="29"/>
      <c r="O667" s="27"/>
      <c r="P667" s="30"/>
      <c r="Q667" s="31"/>
      <c r="R667" s="31"/>
      <c r="S667" s="32"/>
      <c r="T667" s="32"/>
      <c r="U667" s="32"/>
      <c r="V667" s="32"/>
      <c r="W667" s="32"/>
      <c r="X667" s="32"/>
      <c r="Y667" s="32"/>
      <c r="Z667" s="32"/>
      <c r="AA667" s="32"/>
      <c r="AB667" s="32"/>
    </row>
    <row r="668" spans="1:28" ht="15.6" customHeight="1" x14ac:dyDescent="0.25">
      <c r="A668" s="24"/>
      <c r="B668" s="24"/>
      <c r="C668" s="25"/>
      <c r="D668" s="25"/>
      <c r="E668" s="25"/>
      <c r="F668" s="25"/>
      <c r="G668" s="26"/>
      <c r="H668" s="27"/>
      <c r="I668" s="24"/>
      <c r="J668" s="24"/>
      <c r="K668" s="28"/>
      <c r="L668" s="29"/>
      <c r="M668" s="29"/>
      <c r="N668" s="29"/>
      <c r="O668" s="27"/>
      <c r="P668" s="30"/>
      <c r="Q668" s="31"/>
      <c r="R668" s="31"/>
      <c r="S668" s="32"/>
      <c r="T668" s="32"/>
      <c r="U668" s="32"/>
      <c r="V668" s="32"/>
      <c r="W668" s="32"/>
      <c r="X668" s="32"/>
      <c r="Y668" s="32"/>
      <c r="Z668" s="32"/>
      <c r="AA668" s="32"/>
      <c r="AB668" s="32"/>
    </row>
    <row r="669" spans="1:28" ht="15.6" customHeight="1" x14ac:dyDescent="0.25">
      <c r="A669" s="24"/>
      <c r="B669" s="24"/>
      <c r="C669" s="25"/>
      <c r="D669" s="25"/>
      <c r="E669" s="25"/>
      <c r="F669" s="25"/>
      <c r="G669" s="26"/>
      <c r="H669" s="27"/>
      <c r="I669" s="24"/>
      <c r="J669" s="24"/>
      <c r="K669" s="28"/>
      <c r="L669" s="29"/>
      <c r="M669" s="29"/>
      <c r="N669" s="29"/>
      <c r="O669" s="27"/>
      <c r="P669" s="30"/>
      <c r="Q669" s="31"/>
      <c r="R669" s="31"/>
      <c r="S669" s="32"/>
      <c r="T669" s="32"/>
      <c r="U669" s="32"/>
      <c r="V669" s="32"/>
      <c r="W669" s="32"/>
      <c r="X669" s="32"/>
      <c r="Y669" s="32"/>
      <c r="Z669" s="32"/>
      <c r="AA669" s="32"/>
      <c r="AB669" s="32"/>
    </row>
    <row r="670" spans="1:28" ht="15.6" customHeight="1" x14ac:dyDescent="0.25">
      <c r="A670" s="24"/>
      <c r="B670" s="24"/>
      <c r="C670" s="25"/>
      <c r="D670" s="25"/>
      <c r="E670" s="25"/>
      <c r="F670" s="25"/>
      <c r="G670" s="26"/>
      <c r="H670" s="27"/>
      <c r="I670" s="24"/>
      <c r="J670" s="24"/>
      <c r="K670" s="28"/>
      <c r="L670" s="29"/>
      <c r="M670" s="29"/>
      <c r="N670" s="29"/>
      <c r="O670" s="27"/>
      <c r="P670" s="30"/>
      <c r="Q670" s="31"/>
      <c r="R670" s="31"/>
      <c r="S670" s="32"/>
      <c r="T670" s="32"/>
      <c r="U670" s="32"/>
      <c r="V670" s="32"/>
      <c r="W670" s="32"/>
      <c r="X670" s="32"/>
      <c r="Y670" s="32"/>
      <c r="Z670" s="32"/>
      <c r="AA670" s="32"/>
      <c r="AB670" s="32"/>
    </row>
    <row r="671" spans="1:28" ht="15.6" customHeight="1" x14ac:dyDescent="0.25">
      <c r="A671" s="24"/>
      <c r="B671" s="24"/>
      <c r="C671" s="25"/>
      <c r="D671" s="25"/>
      <c r="E671" s="25"/>
      <c r="F671" s="25"/>
      <c r="G671" s="26"/>
      <c r="H671" s="27"/>
      <c r="I671" s="24"/>
      <c r="J671" s="24"/>
      <c r="K671" s="28"/>
      <c r="L671" s="29"/>
      <c r="M671" s="29"/>
      <c r="N671" s="29"/>
      <c r="O671" s="27"/>
      <c r="P671" s="30"/>
      <c r="Q671" s="31"/>
      <c r="R671" s="31"/>
      <c r="S671" s="32"/>
      <c r="T671" s="32"/>
      <c r="U671" s="32"/>
      <c r="V671" s="32"/>
      <c r="W671" s="32"/>
      <c r="X671" s="32"/>
      <c r="Y671" s="32"/>
      <c r="Z671" s="32"/>
      <c r="AA671" s="32"/>
      <c r="AB671" s="32"/>
    </row>
    <row r="672" spans="1:28" ht="15.6" customHeight="1" x14ac:dyDescent="0.25">
      <c r="A672" s="24"/>
      <c r="B672" s="24"/>
      <c r="C672" s="25"/>
      <c r="D672" s="25"/>
      <c r="E672" s="25"/>
      <c r="F672" s="25"/>
      <c r="G672" s="26"/>
      <c r="H672" s="27"/>
      <c r="I672" s="24"/>
      <c r="J672" s="24"/>
      <c r="K672" s="28"/>
      <c r="L672" s="29"/>
      <c r="M672" s="29"/>
      <c r="N672" s="29"/>
      <c r="O672" s="27"/>
      <c r="P672" s="30"/>
      <c r="Q672" s="31"/>
      <c r="R672" s="31"/>
      <c r="S672" s="32"/>
      <c r="T672" s="32"/>
      <c r="U672" s="32"/>
      <c r="V672" s="32"/>
      <c r="W672" s="32"/>
      <c r="X672" s="32"/>
      <c r="Y672" s="32"/>
      <c r="Z672" s="32"/>
      <c r="AA672" s="32"/>
      <c r="AB672" s="32"/>
    </row>
    <row r="673" spans="1:28" ht="15.6" customHeight="1" x14ac:dyDescent="0.25">
      <c r="A673" s="24"/>
      <c r="B673" s="24"/>
      <c r="C673" s="25"/>
      <c r="D673" s="25"/>
      <c r="E673" s="25"/>
      <c r="F673" s="25"/>
      <c r="G673" s="26"/>
      <c r="H673" s="27"/>
      <c r="I673" s="24"/>
      <c r="J673" s="24"/>
      <c r="K673" s="28"/>
      <c r="L673" s="29"/>
      <c r="M673" s="29"/>
      <c r="N673" s="29"/>
      <c r="O673" s="27"/>
      <c r="P673" s="30"/>
      <c r="Q673" s="31"/>
      <c r="R673" s="31"/>
      <c r="S673" s="32"/>
      <c r="T673" s="32"/>
      <c r="U673" s="32"/>
      <c r="V673" s="32"/>
      <c r="W673" s="32"/>
      <c r="X673" s="32"/>
      <c r="Y673" s="32"/>
      <c r="Z673" s="32"/>
      <c r="AA673" s="32"/>
      <c r="AB673" s="32"/>
    </row>
    <row r="674" spans="1:28" ht="15.6" customHeight="1" x14ac:dyDescent="0.25">
      <c r="A674" s="24"/>
      <c r="B674" s="24"/>
      <c r="C674" s="25"/>
      <c r="D674" s="25"/>
      <c r="E674" s="25"/>
      <c r="F674" s="25"/>
      <c r="G674" s="26"/>
      <c r="H674" s="27"/>
      <c r="I674" s="24"/>
      <c r="J674" s="24"/>
      <c r="K674" s="28"/>
      <c r="L674" s="29"/>
      <c r="M674" s="29"/>
      <c r="N674" s="29"/>
      <c r="O674" s="27"/>
      <c r="P674" s="30"/>
      <c r="Q674" s="31"/>
      <c r="R674" s="31"/>
      <c r="S674" s="32"/>
      <c r="T674" s="32"/>
      <c r="U674" s="32"/>
      <c r="V674" s="32"/>
      <c r="W674" s="32"/>
      <c r="X674" s="32"/>
      <c r="Y674" s="32"/>
      <c r="Z674" s="32"/>
      <c r="AA674" s="32"/>
      <c r="AB674" s="32"/>
    </row>
    <row r="675" spans="1:28" ht="15.6" customHeight="1" x14ac:dyDescent="0.25">
      <c r="A675" s="24"/>
      <c r="B675" s="24"/>
      <c r="C675" s="25"/>
      <c r="D675" s="25"/>
      <c r="E675" s="25"/>
      <c r="F675" s="25"/>
      <c r="G675" s="26"/>
      <c r="H675" s="27"/>
      <c r="I675" s="24"/>
      <c r="J675" s="24"/>
      <c r="K675" s="28"/>
      <c r="L675" s="29"/>
      <c r="M675" s="29"/>
      <c r="N675" s="29"/>
      <c r="O675" s="27"/>
      <c r="P675" s="30"/>
      <c r="Q675" s="31"/>
      <c r="R675" s="31"/>
      <c r="S675" s="32"/>
      <c r="T675" s="32"/>
      <c r="U675" s="32"/>
      <c r="V675" s="32"/>
      <c r="W675" s="32"/>
      <c r="X675" s="32"/>
      <c r="Y675" s="32"/>
      <c r="Z675" s="32"/>
      <c r="AA675" s="32"/>
      <c r="AB675" s="32"/>
    </row>
    <row r="676" spans="1:28" ht="15.6" customHeight="1" x14ac:dyDescent="0.25">
      <c r="A676" s="24"/>
      <c r="B676" s="24"/>
      <c r="C676" s="25"/>
      <c r="D676" s="25"/>
      <c r="E676" s="25"/>
      <c r="F676" s="25"/>
      <c r="G676" s="26"/>
      <c r="H676" s="27"/>
      <c r="I676" s="24"/>
      <c r="J676" s="24"/>
      <c r="K676" s="28"/>
      <c r="L676" s="29"/>
      <c r="M676" s="29"/>
      <c r="N676" s="29"/>
      <c r="O676" s="27"/>
      <c r="P676" s="30"/>
      <c r="Q676" s="31"/>
      <c r="R676" s="31"/>
      <c r="S676" s="32"/>
      <c r="T676" s="32"/>
      <c r="U676" s="32"/>
      <c r="V676" s="32"/>
      <c r="W676" s="32"/>
      <c r="X676" s="32"/>
      <c r="Y676" s="32"/>
      <c r="Z676" s="32"/>
      <c r="AA676" s="32"/>
      <c r="AB676" s="32"/>
    </row>
    <row r="677" spans="1:28" ht="15.6" customHeight="1" x14ac:dyDescent="0.25">
      <c r="A677" s="24"/>
      <c r="B677" s="24"/>
      <c r="C677" s="25"/>
      <c r="D677" s="25"/>
      <c r="E677" s="25"/>
      <c r="F677" s="25"/>
      <c r="G677" s="26"/>
      <c r="H677" s="27"/>
      <c r="I677" s="24"/>
      <c r="J677" s="24"/>
      <c r="K677" s="28"/>
      <c r="L677" s="29"/>
      <c r="M677" s="29"/>
      <c r="N677" s="29"/>
      <c r="O677" s="27"/>
      <c r="P677" s="30"/>
      <c r="Q677" s="31"/>
      <c r="R677" s="31"/>
      <c r="S677" s="32"/>
      <c r="T677" s="32"/>
      <c r="U677" s="32"/>
      <c r="V677" s="32"/>
      <c r="W677" s="32"/>
      <c r="X677" s="32"/>
      <c r="Y677" s="32"/>
      <c r="Z677" s="32"/>
      <c r="AA677" s="32"/>
      <c r="AB677" s="32"/>
    </row>
    <row r="678" spans="1:28" ht="15.6" customHeight="1" x14ac:dyDescent="0.25">
      <c r="A678" s="24"/>
      <c r="B678" s="24"/>
      <c r="C678" s="25"/>
      <c r="D678" s="25"/>
      <c r="E678" s="25"/>
      <c r="F678" s="25"/>
      <c r="G678" s="26"/>
      <c r="H678" s="27"/>
      <c r="I678" s="24"/>
      <c r="J678" s="24"/>
      <c r="K678" s="28"/>
      <c r="L678" s="29"/>
      <c r="M678" s="29"/>
      <c r="N678" s="29"/>
      <c r="O678" s="27"/>
      <c r="P678" s="30"/>
      <c r="Q678" s="31"/>
      <c r="R678" s="31"/>
      <c r="S678" s="32"/>
      <c r="T678" s="32"/>
      <c r="U678" s="32"/>
      <c r="V678" s="32"/>
      <c r="W678" s="32"/>
      <c r="X678" s="32"/>
      <c r="Y678" s="32"/>
      <c r="Z678" s="32"/>
      <c r="AA678" s="32"/>
      <c r="AB678" s="32"/>
    </row>
    <row r="679" spans="1:28" ht="15.6" customHeight="1" x14ac:dyDescent="0.25">
      <c r="A679" s="24"/>
      <c r="B679" s="24"/>
      <c r="C679" s="25"/>
      <c r="D679" s="25"/>
      <c r="E679" s="25"/>
      <c r="F679" s="25"/>
      <c r="G679" s="26"/>
      <c r="H679" s="27"/>
      <c r="I679" s="24"/>
      <c r="J679" s="24"/>
      <c r="K679" s="28"/>
      <c r="L679" s="29"/>
      <c r="M679" s="29"/>
      <c r="N679" s="29"/>
      <c r="O679" s="27"/>
      <c r="P679" s="30"/>
      <c r="Q679" s="31"/>
      <c r="R679" s="31"/>
      <c r="S679" s="32"/>
      <c r="T679" s="32"/>
      <c r="U679" s="32"/>
      <c r="V679" s="32"/>
      <c r="W679" s="32"/>
      <c r="X679" s="32"/>
      <c r="Y679" s="32"/>
      <c r="Z679" s="32"/>
      <c r="AA679" s="32"/>
      <c r="AB679" s="32"/>
    </row>
    <row r="680" spans="1:28" ht="15.6" customHeight="1" x14ac:dyDescent="0.25">
      <c r="A680" s="24"/>
      <c r="B680" s="24"/>
      <c r="C680" s="25"/>
      <c r="D680" s="25"/>
      <c r="E680" s="25"/>
      <c r="F680" s="25"/>
      <c r="G680" s="26"/>
      <c r="H680" s="27"/>
      <c r="I680" s="24"/>
      <c r="J680" s="24"/>
      <c r="K680" s="28"/>
      <c r="L680" s="29"/>
      <c r="M680" s="29"/>
      <c r="N680" s="29"/>
      <c r="O680" s="27"/>
      <c r="P680" s="30"/>
      <c r="Q680" s="31"/>
      <c r="R680" s="31"/>
      <c r="S680" s="32"/>
      <c r="T680" s="32"/>
      <c r="U680" s="32"/>
      <c r="V680" s="32"/>
      <c r="W680" s="32"/>
      <c r="X680" s="32"/>
      <c r="Y680" s="32"/>
      <c r="Z680" s="32"/>
      <c r="AA680" s="32"/>
      <c r="AB680" s="32"/>
    </row>
    <row r="681" spans="1:28" ht="15.6" customHeight="1" x14ac:dyDescent="0.25">
      <c r="A681" s="24"/>
      <c r="B681" s="24"/>
      <c r="C681" s="25"/>
      <c r="D681" s="25"/>
      <c r="E681" s="25"/>
      <c r="F681" s="25"/>
      <c r="G681" s="26"/>
      <c r="H681" s="27"/>
      <c r="I681" s="24"/>
      <c r="J681" s="24"/>
      <c r="K681" s="28"/>
      <c r="L681" s="29"/>
      <c r="M681" s="29"/>
      <c r="N681" s="29"/>
      <c r="O681" s="27"/>
      <c r="P681" s="30"/>
      <c r="Q681" s="31"/>
      <c r="R681" s="31"/>
      <c r="S681" s="32"/>
      <c r="T681" s="32"/>
      <c r="U681" s="32"/>
      <c r="V681" s="32"/>
      <c r="W681" s="32"/>
      <c r="X681" s="32"/>
      <c r="Y681" s="32"/>
      <c r="Z681" s="32"/>
      <c r="AA681" s="32"/>
      <c r="AB681" s="32"/>
    </row>
    <row r="682" spans="1:28" ht="15.6" customHeight="1" x14ac:dyDescent="0.25">
      <c r="A682" s="24"/>
      <c r="B682" s="24"/>
      <c r="C682" s="25"/>
      <c r="D682" s="25"/>
      <c r="E682" s="25"/>
      <c r="F682" s="25"/>
      <c r="G682" s="26"/>
      <c r="H682" s="27"/>
      <c r="I682" s="24"/>
      <c r="J682" s="24"/>
      <c r="K682" s="28"/>
      <c r="L682" s="29"/>
      <c r="M682" s="29"/>
      <c r="N682" s="29"/>
      <c r="O682" s="27"/>
      <c r="P682" s="30"/>
      <c r="Q682" s="31"/>
      <c r="R682" s="31"/>
      <c r="S682" s="32"/>
      <c r="T682" s="32"/>
      <c r="U682" s="32"/>
      <c r="V682" s="32"/>
      <c r="W682" s="32"/>
      <c r="X682" s="32"/>
      <c r="Y682" s="32"/>
      <c r="Z682" s="32"/>
      <c r="AA682" s="32"/>
      <c r="AB682" s="32"/>
    </row>
    <row r="683" spans="1:28" ht="15.6" customHeight="1" x14ac:dyDescent="0.25">
      <c r="A683" s="24"/>
      <c r="B683" s="24"/>
      <c r="C683" s="25"/>
      <c r="D683" s="25"/>
      <c r="E683" s="25"/>
      <c r="F683" s="25"/>
      <c r="G683" s="26"/>
      <c r="H683" s="27"/>
      <c r="I683" s="24"/>
      <c r="J683" s="24"/>
      <c r="K683" s="28"/>
      <c r="L683" s="29"/>
      <c r="M683" s="29"/>
      <c r="N683" s="29"/>
      <c r="O683" s="27"/>
      <c r="P683" s="30"/>
      <c r="Q683" s="31"/>
      <c r="R683" s="31"/>
      <c r="S683" s="32"/>
      <c r="T683" s="32"/>
      <c r="U683" s="32"/>
      <c r="V683" s="32"/>
      <c r="W683" s="32"/>
      <c r="X683" s="32"/>
      <c r="Y683" s="32"/>
      <c r="Z683" s="32"/>
      <c r="AA683" s="32"/>
      <c r="AB683" s="32"/>
    </row>
    <row r="684" spans="1:28" ht="15.6" customHeight="1" x14ac:dyDescent="0.25">
      <c r="A684" s="24"/>
      <c r="B684" s="24"/>
      <c r="C684" s="25"/>
      <c r="D684" s="25"/>
      <c r="E684" s="25"/>
      <c r="F684" s="25"/>
      <c r="G684" s="26"/>
      <c r="H684" s="27"/>
      <c r="I684" s="24"/>
      <c r="J684" s="24"/>
      <c r="K684" s="28"/>
      <c r="L684" s="29"/>
      <c r="M684" s="29"/>
      <c r="N684" s="29"/>
      <c r="O684" s="27"/>
      <c r="P684" s="30"/>
      <c r="Q684" s="31"/>
      <c r="R684" s="31"/>
      <c r="S684" s="32"/>
      <c r="T684" s="32"/>
      <c r="U684" s="32"/>
      <c r="V684" s="32"/>
      <c r="W684" s="32"/>
      <c r="X684" s="32"/>
      <c r="Y684" s="32"/>
      <c r="Z684" s="32"/>
      <c r="AA684" s="32"/>
      <c r="AB684" s="32"/>
    </row>
    <row r="685" spans="1:28" ht="15.6" customHeight="1" x14ac:dyDescent="0.25">
      <c r="A685" s="24"/>
      <c r="B685" s="24"/>
      <c r="C685" s="25"/>
      <c r="D685" s="25"/>
      <c r="E685" s="25"/>
      <c r="F685" s="25"/>
      <c r="G685" s="26"/>
      <c r="H685" s="27"/>
      <c r="I685" s="24"/>
      <c r="J685" s="24"/>
      <c r="K685" s="28"/>
      <c r="L685" s="29"/>
      <c r="M685" s="29"/>
      <c r="N685" s="29"/>
      <c r="O685" s="27"/>
      <c r="P685" s="30"/>
      <c r="Q685" s="31"/>
      <c r="R685" s="31"/>
      <c r="S685" s="32"/>
      <c r="T685" s="32"/>
      <c r="U685" s="32"/>
      <c r="V685" s="32"/>
      <c r="W685" s="32"/>
      <c r="X685" s="32"/>
      <c r="Y685" s="32"/>
      <c r="Z685" s="32"/>
      <c r="AA685" s="32"/>
      <c r="AB685" s="32"/>
    </row>
    <row r="686" spans="1:28" ht="15.6" customHeight="1" x14ac:dyDescent="0.25">
      <c r="A686" s="24"/>
      <c r="B686" s="24"/>
      <c r="C686" s="25"/>
      <c r="D686" s="25"/>
      <c r="E686" s="25"/>
      <c r="F686" s="25"/>
      <c r="G686" s="26"/>
      <c r="H686" s="27"/>
      <c r="I686" s="24"/>
      <c r="J686" s="24"/>
      <c r="K686" s="28"/>
      <c r="L686" s="29"/>
      <c r="M686" s="29"/>
      <c r="N686" s="29"/>
      <c r="O686" s="27"/>
      <c r="P686" s="30"/>
      <c r="Q686" s="31"/>
      <c r="R686" s="31"/>
      <c r="S686" s="32"/>
      <c r="T686" s="32"/>
      <c r="U686" s="32"/>
      <c r="V686" s="32"/>
      <c r="W686" s="32"/>
      <c r="X686" s="32"/>
      <c r="Y686" s="32"/>
      <c r="Z686" s="32"/>
      <c r="AA686" s="32"/>
      <c r="AB686" s="32"/>
    </row>
    <row r="687" spans="1:28" ht="15.6" customHeight="1" x14ac:dyDescent="0.25">
      <c r="A687" s="24"/>
      <c r="B687" s="24"/>
      <c r="C687" s="25"/>
      <c r="D687" s="25"/>
      <c r="E687" s="25"/>
      <c r="F687" s="25"/>
      <c r="G687" s="26"/>
      <c r="H687" s="27"/>
      <c r="I687" s="24"/>
      <c r="J687" s="24"/>
      <c r="K687" s="28"/>
      <c r="L687" s="29"/>
      <c r="M687" s="29"/>
      <c r="N687" s="29"/>
      <c r="O687" s="27"/>
      <c r="P687" s="30"/>
      <c r="Q687" s="31"/>
      <c r="R687" s="31"/>
      <c r="S687" s="32"/>
      <c r="T687" s="32"/>
      <c r="U687" s="32"/>
      <c r="V687" s="32"/>
      <c r="W687" s="32"/>
      <c r="X687" s="32"/>
      <c r="Y687" s="32"/>
      <c r="Z687" s="32"/>
      <c r="AA687" s="32"/>
      <c r="AB687" s="32"/>
    </row>
    <row r="688" spans="1:28" ht="15.6" customHeight="1" x14ac:dyDescent="0.25">
      <c r="A688" s="24"/>
      <c r="B688" s="24"/>
      <c r="C688" s="25"/>
      <c r="D688" s="25"/>
      <c r="E688" s="25"/>
      <c r="F688" s="25"/>
      <c r="G688" s="26"/>
      <c r="H688" s="27"/>
      <c r="I688" s="24"/>
      <c r="J688" s="24"/>
      <c r="K688" s="28"/>
      <c r="L688" s="29"/>
      <c r="M688" s="29"/>
      <c r="N688" s="29"/>
      <c r="O688" s="27"/>
      <c r="P688" s="30"/>
      <c r="Q688" s="31"/>
      <c r="R688" s="31"/>
      <c r="S688" s="32"/>
      <c r="T688" s="32"/>
      <c r="U688" s="32"/>
      <c r="V688" s="32"/>
      <c r="W688" s="32"/>
      <c r="X688" s="32"/>
      <c r="Y688" s="32"/>
      <c r="Z688" s="32"/>
      <c r="AA688" s="32"/>
      <c r="AB688" s="32"/>
    </row>
    <row r="689" spans="1:28" ht="15.6" customHeight="1" x14ac:dyDescent="0.25">
      <c r="A689" s="24"/>
      <c r="B689" s="24"/>
      <c r="C689" s="25"/>
      <c r="D689" s="25"/>
      <c r="E689" s="25"/>
      <c r="F689" s="25"/>
      <c r="G689" s="26"/>
      <c r="H689" s="27"/>
      <c r="I689" s="24"/>
      <c r="J689" s="24"/>
      <c r="K689" s="28"/>
      <c r="L689" s="29"/>
      <c r="M689" s="29"/>
      <c r="N689" s="29"/>
      <c r="O689" s="27"/>
      <c r="P689" s="30"/>
      <c r="Q689" s="31"/>
      <c r="R689" s="31"/>
      <c r="S689" s="32"/>
      <c r="T689" s="32"/>
      <c r="U689" s="32"/>
      <c r="V689" s="32"/>
      <c r="W689" s="32"/>
      <c r="X689" s="32"/>
      <c r="Y689" s="32"/>
      <c r="Z689" s="32"/>
      <c r="AA689" s="32"/>
      <c r="AB689" s="32"/>
    </row>
    <row r="690" spans="1:28" ht="15.6" customHeight="1" x14ac:dyDescent="0.25">
      <c r="A690" s="24"/>
      <c r="B690" s="24"/>
      <c r="C690" s="25"/>
      <c r="D690" s="25"/>
      <c r="E690" s="25"/>
      <c r="F690" s="25"/>
      <c r="G690" s="26"/>
      <c r="H690" s="27"/>
      <c r="I690" s="24"/>
      <c r="J690" s="24"/>
      <c r="K690" s="28"/>
      <c r="L690" s="29"/>
      <c r="M690" s="29"/>
      <c r="N690" s="29"/>
      <c r="O690" s="27"/>
      <c r="P690" s="30"/>
      <c r="Q690" s="31"/>
      <c r="R690" s="31"/>
      <c r="S690" s="32"/>
      <c r="T690" s="32"/>
      <c r="U690" s="32"/>
      <c r="V690" s="32"/>
      <c r="W690" s="32"/>
      <c r="X690" s="32"/>
      <c r="Y690" s="32"/>
      <c r="Z690" s="32"/>
      <c r="AA690" s="32"/>
      <c r="AB690" s="32"/>
    </row>
    <row r="691" spans="1:28" ht="15.6" customHeight="1" x14ac:dyDescent="0.25">
      <c r="A691" s="24"/>
      <c r="B691" s="24"/>
      <c r="C691" s="25"/>
      <c r="D691" s="25"/>
      <c r="E691" s="25"/>
      <c r="F691" s="25"/>
      <c r="G691" s="26"/>
      <c r="H691" s="27"/>
      <c r="I691" s="24"/>
      <c r="J691" s="24"/>
      <c r="K691" s="28"/>
      <c r="L691" s="29"/>
      <c r="M691" s="29"/>
      <c r="N691" s="29"/>
      <c r="O691" s="27"/>
      <c r="P691" s="30"/>
      <c r="Q691" s="31"/>
      <c r="R691" s="31"/>
      <c r="S691" s="32"/>
      <c r="T691" s="32"/>
      <c r="U691" s="32"/>
      <c r="V691" s="32"/>
      <c r="W691" s="32"/>
      <c r="X691" s="32"/>
      <c r="Y691" s="32"/>
      <c r="Z691" s="32"/>
      <c r="AA691" s="32"/>
      <c r="AB691" s="32"/>
    </row>
    <row r="692" spans="1:28" ht="15.6" customHeight="1" x14ac:dyDescent="0.25">
      <c r="A692" s="24"/>
      <c r="B692" s="24"/>
      <c r="C692" s="25"/>
      <c r="D692" s="25"/>
      <c r="E692" s="25"/>
      <c r="F692" s="25"/>
      <c r="G692" s="26"/>
      <c r="H692" s="27"/>
      <c r="I692" s="24"/>
      <c r="J692" s="24"/>
      <c r="K692" s="28"/>
      <c r="L692" s="29"/>
      <c r="M692" s="29"/>
      <c r="N692" s="29"/>
      <c r="O692" s="27"/>
      <c r="P692" s="30"/>
      <c r="Q692" s="31"/>
      <c r="R692" s="31"/>
      <c r="S692" s="32"/>
      <c r="T692" s="32"/>
      <c r="U692" s="32"/>
      <c r="V692" s="32"/>
      <c r="W692" s="32"/>
      <c r="X692" s="32"/>
      <c r="Y692" s="32"/>
      <c r="Z692" s="32"/>
      <c r="AA692" s="32"/>
      <c r="AB692" s="32"/>
    </row>
    <row r="693" spans="1:28" ht="15.6" customHeight="1" x14ac:dyDescent="0.25">
      <c r="A693" s="24"/>
      <c r="B693" s="24"/>
      <c r="C693" s="25"/>
      <c r="D693" s="25"/>
      <c r="E693" s="25"/>
      <c r="F693" s="25"/>
      <c r="G693" s="26"/>
      <c r="H693" s="27"/>
      <c r="I693" s="24"/>
      <c r="J693" s="24"/>
      <c r="K693" s="28"/>
      <c r="L693" s="29"/>
      <c r="M693" s="29"/>
      <c r="N693" s="29"/>
      <c r="O693" s="27"/>
      <c r="P693" s="30"/>
      <c r="Q693" s="31"/>
      <c r="R693" s="31"/>
      <c r="S693" s="32"/>
      <c r="T693" s="32"/>
      <c r="U693" s="32"/>
      <c r="V693" s="32"/>
      <c r="W693" s="32"/>
      <c r="X693" s="32"/>
      <c r="Y693" s="32"/>
      <c r="Z693" s="32"/>
      <c r="AA693" s="32"/>
      <c r="AB693" s="32"/>
    </row>
    <row r="694" spans="1:28" ht="15.6" customHeight="1" x14ac:dyDescent="0.25">
      <c r="A694" s="24"/>
      <c r="B694" s="24"/>
      <c r="C694" s="25"/>
      <c r="D694" s="25"/>
      <c r="E694" s="25"/>
      <c r="F694" s="25"/>
      <c r="G694" s="26"/>
      <c r="H694" s="27"/>
      <c r="I694" s="24"/>
      <c r="J694" s="24"/>
      <c r="K694" s="28"/>
      <c r="L694" s="29"/>
      <c r="M694" s="29"/>
      <c r="N694" s="29"/>
      <c r="O694" s="27"/>
      <c r="P694" s="30"/>
      <c r="Q694" s="31"/>
      <c r="R694" s="31"/>
      <c r="S694" s="32"/>
      <c r="T694" s="32"/>
      <c r="U694" s="32"/>
      <c r="V694" s="32"/>
      <c r="W694" s="32"/>
      <c r="X694" s="32"/>
      <c r="Y694" s="32"/>
      <c r="Z694" s="32"/>
      <c r="AA694" s="32"/>
      <c r="AB694" s="32"/>
    </row>
    <row r="695" spans="1:28" ht="15.6" customHeight="1" x14ac:dyDescent="0.25">
      <c r="A695" s="24"/>
      <c r="B695" s="24"/>
      <c r="C695" s="25"/>
      <c r="D695" s="25"/>
      <c r="E695" s="25"/>
      <c r="F695" s="25"/>
      <c r="G695" s="26"/>
      <c r="H695" s="27"/>
      <c r="I695" s="24"/>
      <c r="J695" s="24"/>
      <c r="K695" s="28"/>
      <c r="L695" s="29"/>
      <c r="M695" s="29"/>
      <c r="N695" s="29"/>
      <c r="O695" s="27"/>
      <c r="P695" s="30"/>
      <c r="Q695" s="31"/>
      <c r="R695" s="31"/>
      <c r="S695" s="32"/>
      <c r="T695" s="32"/>
      <c r="U695" s="32"/>
      <c r="V695" s="32"/>
      <c r="W695" s="32"/>
      <c r="X695" s="32"/>
      <c r="Y695" s="32"/>
      <c r="Z695" s="32"/>
      <c r="AA695" s="32"/>
      <c r="AB695" s="32"/>
    </row>
    <row r="696" spans="1:28" ht="15.6" customHeight="1" x14ac:dyDescent="0.25">
      <c r="A696" s="24"/>
      <c r="B696" s="24"/>
      <c r="C696" s="25"/>
      <c r="D696" s="25"/>
      <c r="E696" s="25"/>
      <c r="F696" s="25"/>
      <c r="G696" s="26"/>
      <c r="H696" s="27"/>
      <c r="I696" s="24"/>
      <c r="J696" s="24"/>
      <c r="K696" s="28"/>
      <c r="L696" s="29"/>
      <c r="M696" s="29"/>
      <c r="N696" s="29"/>
      <c r="O696" s="27"/>
      <c r="P696" s="30"/>
      <c r="Q696" s="31"/>
      <c r="R696" s="31"/>
      <c r="S696" s="32"/>
      <c r="T696" s="32"/>
      <c r="U696" s="32"/>
      <c r="V696" s="32"/>
      <c r="W696" s="32"/>
      <c r="X696" s="32"/>
      <c r="Y696" s="32"/>
      <c r="Z696" s="32"/>
      <c r="AA696" s="32"/>
      <c r="AB696" s="32"/>
    </row>
    <row r="697" spans="1:28" ht="15.6" customHeight="1" x14ac:dyDescent="0.25">
      <c r="A697" s="24"/>
      <c r="B697" s="24"/>
      <c r="C697" s="25"/>
      <c r="D697" s="25"/>
      <c r="E697" s="25"/>
      <c r="F697" s="25"/>
      <c r="G697" s="26"/>
      <c r="H697" s="27"/>
      <c r="I697" s="24"/>
      <c r="J697" s="24"/>
      <c r="K697" s="28"/>
      <c r="L697" s="29"/>
      <c r="M697" s="29"/>
      <c r="N697" s="29"/>
      <c r="O697" s="27"/>
      <c r="P697" s="30"/>
      <c r="Q697" s="31"/>
      <c r="R697" s="31"/>
      <c r="S697" s="32"/>
      <c r="T697" s="32"/>
      <c r="U697" s="32"/>
      <c r="V697" s="32"/>
      <c r="W697" s="32"/>
      <c r="X697" s="32"/>
      <c r="Y697" s="32"/>
      <c r="Z697" s="32"/>
      <c r="AA697" s="32"/>
      <c r="AB697" s="32"/>
    </row>
    <row r="698" spans="1:28" ht="15.6" customHeight="1" x14ac:dyDescent="0.25">
      <c r="A698" s="24"/>
      <c r="B698" s="24"/>
      <c r="C698" s="25"/>
      <c r="D698" s="25"/>
      <c r="E698" s="25"/>
      <c r="F698" s="25"/>
      <c r="G698" s="26"/>
      <c r="H698" s="27"/>
      <c r="I698" s="24"/>
      <c r="J698" s="24"/>
      <c r="K698" s="28"/>
      <c r="L698" s="29"/>
      <c r="M698" s="29"/>
      <c r="N698" s="29"/>
      <c r="O698" s="27"/>
      <c r="P698" s="30"/>
      <c r="Q698" s="31"/>
      <c r="R698" s="31"/>
      <c r="S698" s="32"/>
      <c r="T698" s="32"/>
      <c r="U698" s="32"/>
      <c r="V698" s="32"/>
      <c r="W698" s="32"/>
      <c r="X698" s="32"/>
      <c r="Y698" s="32"/>
      <c r="Z698" s="32"/>
      <c r="AA698" s="32"/>
      <c r="AB698" s="32"/>
    </row>
    <row r="699" spans="1:28" ht="15.6" customHeight="1" x14ac:dyDescent="0.25">
      <c r="A699" s="24"/>
      <c r="B699" s="24"/>
      <c r="C699" s="25"/>
      <c r="D699" s="25"/>
      <c r="E699" s="25"/>
      <c r="F699" s="25"/>
      <c r="G699" s="26"/>
      <c r="H699" s="27"/>
      <c r="I699" s="24"/>
      <c r="J699" s="24"/>
      <c r="K699" s="28"/>
      <c r="L699" s="29"/>
      <c r="M699" s="29"/>
      <c r="N699" s="29"/>
      <c r="O699" s="27"/>
      <c r="P699" s="30"/>
      <c r="Q699" s="31"/>
      <c r="R699" s="31"/>
      <c r="S699" s="32"/>
      <c r="T699" s="32"/>
      <c r="U699" s="32"/>
      <c r="V699" s="32"/>
      <c r="W699" s="32"/>
      <c r="X699" s="32"/>
      <c r="Y699" s="32"/>
      <c r="Z699" s="32"/>
      <c r="AA699" s="32"/>
      <c r="AB699" s="32"/>
    </row>
    <row r="700" spans="1:28" ht="15.6" customHeight="1" x14ac:dyDescent="0.25">
      <c r="A700" s="24"/>
      <c r="B700" s="24"/>
      <c r="C700" s="25"/>
      <c r="D700" s="25"/>
      <c r="E700" s="25"/>
      <c r="F700" s="25"/>
      <c r="G700" s="26"/>
      <c r="H700" s="27"/>
      <c r="I700" s="24"/>
      <c r="J700" s="24"/>
      <c r="K700" s="28"/>
      <c r="L700" s="29"/>
      <c r="M700" s="29"/>
      <c r="N700" s="29"/>
      <c r="O700" s="27"/>
      <c r="P700" s="30"/>
      <c r="Q700" s="31"/>
      <c r="R700" s="31"/>
      <c r="S700" s="32"/>
      <c r="T700" s="32"/>
      <c r="U700" s="32"/>
      <c r="V700" s="32"/>
      <c r="W700" s="32"/>
      <c r="X700" s="32"/>
      <c r="Y700" s="32"/>
      <c r="Z700" s="32"/>
      <c r="AA700" s="32"/>
      <c r="AB700" s="32"/>
    </row>
    <row r="701" spans="1:28" ht="15.6" customHeight="1" x14ac:dyDescent="0.25">
      <c r="A701" s="24"/>
      <c r="B701" s="24"/>
      <c r="C701" s="25"/>
      <c r="D701" s="25"/>
      <c r="E701" s="25"/>
      <c r="F701" s="25"/>
      <c r="G701" s="26"/>
      <c r="H701" s="27"/>
      <c r="I701" s="24"/>
      <c r="J701" s="24"/>
      <c r="K701" s="28"/>
      <c r="L701" s="29"/>
      <c r="M701" s="29"/>
      <c r="N701" s="29"/>
      <c r="O701" s="27"/>
      <c r="P701" s="30"/>
      <c r="Q701" s="31"/>
      <c r="R701" s="31"/>
      <c r="S701" s="32"/>
      <c r="T701" s="32"/>
      <c r="U701" s="32"/>
      <c r="V701" s="32"/>
      <c r="W701" s="32"/>
      <c r="X701" s="32"/>
      <c r="Y701" s="32"/>
      <c r="Z701" s="32"/>
      <c r="AA701" s="32"/>
      <c r="AB701" s="32"/>
    </row>
    <row r="702" spans="1:28" ht="15.6" customHeight="1" x14ac:dyDescent="0.25">
      <c r="A702" s="24"/>
      <c r="B702" s="24"/>
      <c r="C702" s="25"/>
      <c r="D702" s="25"/>
      <c r="E702" s="25"/>
      <c r="F702" s="25"/>
      <c r="G702" s="26"/>
      <c r="H702" s="27"/>
      <c r="I702" s="24"/>
      <c r="J702" s="24"/>
      <c r="K702" s="28"/>
      <c r="L702" s="29"/>
      <c r="M702" s="29"/>
      <c r="N702" s="29"/>
      <c r="O702" s="27"/>
      <c r="P702" s="30"/>
      <c r="Q702" s="31"/>
      <c r="R702" s="31"/>
      <c r="S702" s="32"/>
      <c r="T702" s="32"/>
      <c r="U702" s="32"/>
      <c r="V702" s="32"/>
      <c r="W702" s="32"/>
      <c r="X702" s="32"/>
      <c r="Y702" s="32"/>
      <c r="Z702" s="32"/>
      <c r="AA702" s="32"/>
      <c r="AB702" s="32"/>
    </row>
    <row r="703" spans="1:28" ht="15.6" customHeight="1" x14ac:dyDescent="0.25">
      <c r="A703" s="24"/>
      <c r="B703" s="24"/>
      <c r="C703" s="25"/>
      <c r="D703" s="25"/>
      <c r="E703" s="25"/>
      <c r="F703" s="25"/>
      <c r="G703" s="26"/>
      <c r="H703" s="27"/>
      <c r="I703" s="24"/>
      <c r="J703" s="24"/>
      <c r="K703" s="28"/>
      <c r="L703" s="29"/>
      <c r="M703" s="29"/>
      <c r="N703" s="29"/>
      <c r="O703" s="27"/>
      <c r="P703" s="30"/>
      <c r="Q703" s="31"/>
      <c r="R703" s="31"/>
      <c r="S703" s="32"/>
      <c r="T703" s="32"/>
      <c r="U703" s="32"/>
      <c r="V703" s="32"/>
      <c r="W703" s="32"/>
      <c r="X703" s="32"/>
      <c r="Y703" s="32"/>
      <c r="Z703" s="32"/>
      <c r="AA703" s="32"/>
      <c r="AB703" s="32"/>
    </row>
    <row r="704" spans="1:28" ht="15.6" customHeight="1" x14ac:dyDescent="0.25">
      <c r="A704" s="24"/>
      <c r="B704" s="24"/>
      <c r="C704" s="25"/>
      <c r="D704" s="25"/>
      <c r="E704" s="25"/>
      <c r="F704" s="25"/>
      <c r="G704" s="26"/>
      <c r="H704" s="27"/>
      <c r="I704" s="24"/>
      <c r="J704" s="24"/>
      <c r="K704" s="28"/>
      <c r="L704" s="29"/>
      <c r="M704" s="29"/>
      <c r="N704" s="29"/>
      <c r="O704" s="27"/>
      <c r="P704" s="30"/>
      <c r="Q704" s="31"/>
      <c r="R704" s="31"/>
      <c r="S704" s="32"/>
      <c r="T704" s="32"/>
      <c r="U704" s="32"/>
      <c r="V704" s="32"/>
      <c r="W704" s="32"/>
      <c r="X704" s="32"/>
      <c r="Y704" s="32"/>
      <c r="Z704" s="32"/>
      <c r="AA704" s="32"/>
      <c r="AB704" s="32"/>
    </row>
    <row r="705" spans="1:28" ht="15.6" customHeight="1" x14ac:dyDescent="0.25">
      <c r="A705" s="24"/>
      <c r="B705" s="24"/>
      <c r="C705" s="25"/>
      <c r="D705" s="25"/>
      <c r="E705" s="25"/>
      <c r="F705" s="25"/>
      <c r="G705" s="26"/>
      <c r="H705" s="27"/>
      <c r="I705" s="24"/>
      <c r="J705" s="24"/>
      <c r="K705" s="28"/>
      <c r="L705" s="29"/>
      <c r="M705" s="29"/>
      <c r="N705" s="29"/>
      <c r="O705" s="27"/>
      <c r="P705" s="30"/>
      <c r="Q705" s="31"/>
      <c r="R705" s="31"/>
      <c r="S705" s="32"/>
      <c r="T705" s="32"/>
      <c r="U705" s="32"/>
      <c r="V705" s="32"/>
      <c r="W705" s="32"/>
      <c r="X705" s="32"/>
      <c r="Y705" s="32"/>
      <c r="Z705" s="32"/>
      <c r="AA705" s="32"/>
      <c r="AB705" s="32"/>
    </row>
    <row r="706" spans="1:28" ht="15.6" customHeight="1" x14ac:dyDescent="0.25">
      <c r="A706" s="24"/>
      <c r="B706" s="24"/>
      <c r="C706" s="25"/>
      <c r="D706" s="25"/>
      <c r="E706" s="25"/>
      <c r="F706" s="25"/>
      <c r="G706" s="26"/>
      <c r="H706" s="27"/>
      <c r="I706" s="24"/>
      <c r="J706" s="24"/>
      <c r="K706" s="28"/>
      <c r="L706" s="29"/>
      <c r="M706" s="29"/>
      <c r="N706" s="29"/>
      <c r="O706" s="27"/>
      <c r="P706" s="30"/>
      <c r="Q706" s="31"/>
      <c r="R706" s="31"/>
      <c r="S706" s="32"/>
      <c r="T706" s="32"/>
      <c r="U706" s="32"/>
      <c r="V706" s="32"/>
      <c r="W706" s="32"/>
      <c r="X706" s="32"/>
      <c r="Y706" s="32"/>
      <c r="Z706" s="32"/>
      <c r="AA706" s="32"/>
      <c r="AB706" s="32"/>
    </row>
    <row r="707" spans="1:28" ht="15.6" customHeight="1" x14ac:dyDescent="0.25">
      <c r="A707" s="24"/>
      <c r="B707" s="24"/>
      <c r="C707" s="25"/>
      <c r="D707" s="25"/>
      <c r="E707" s="25"/>
      <c r="F707" s="25"/>
      <c r="G707" s="26"/>
      <c r="H707" s="27"/>
      <c r="I707" s="24"/>
      <c r="J707" s="24"/>
      <c r="K707" s="28"/>
      <c r="L707" s="29"/>
      <c r="M707" s="29"/>
      <c r="N707" s="29"/>
      <c r="O707" s="27"/>
      <c r="P707" s="30"/>
      <c r="Q707" s="31"/>
      <c r="R707" s="31"/>
      <c r="S707" s="32"/>
      <c r="T707" s="32"/>
      <c r="U707" s="32"/>
      <c r="V707" s="32"/>
      <c r="W707" s="32"/>
      <c r="X707" s="32"/>
      <c r="Y707" s="32"/>
      <c r="Z707" s="32"/>
      <c r="AA707" s="32"/>
      <c r="AB707" s="32"/>
    </row>
    <row r="708" spans="1:28" ht="15.6" customHeight="1" x14ac:dyDescent="0.25">
      <c r="A708" s="24"/>
      <c r="B708" s="24"/>
      <c r="C708" s="25"/>
      <c r="D708" s="25"/>
      <c r="E708" s="25"/>
      <c r="F708" s="25"/>
      <c r="G708" s="26"/>
      <c r="H708" s="27"/>
      <c r="I708" s="24"/>
      <c r="J708" s="24"/>
      <c r="K708" s="28"/>
      <c r="L708" s="29"/>
      <c r="M708" s="29"/>
      <c r="N708" s="29"/>
      <c r="O708" s="27"/>
      <c r="P708" s="30"/>
      <c r="Q708" s="31"/>
      <c r="R708" s="31"/>
      <c r="S708" s="32"/>
      <c r="T708" s="32"/>
      <c r="U708" s="32"/>
      <c r="V708" s="32"/>
      <c r="W708" s="32"/>
      <c r="X708" s="32"/>
      <c r="Y708" s="32"/>
      <c r="Z708" s="32"/>
      <c r="AA708" s="32"/>
      <c r="AB708" s="32"/>
    </row>
    <row r="709" spans="1:28" ht="15.6" customHeight="1" x14ac:dyDescent="0.25">
      <c r="A709" s="24"/>
      <c r="B709" s="24"/>
      <c r="C709" s="25"/>
      <c r="D709" s="25"/>
      <c r="E709" s="25"/>
      <c r="F709" s="25"/>
      <c r="G709" s="26"/>
      <c r="H709" s="27"/>
      <c r="I709" s="24"/>
      <c r="J709" s="24"/>
      <c r="K709" s="28"/>
      <c r="L709" s="29"/>
      <c r="M709" s="29"/>
      <c r="N709" s="29"/>
      <c r="O709" s="27"/>
      <c r="P709" s="30"/>
      <c r="Q709" s="31"/>
      <c r="R709" s="31"/>
      <c r="S709" s="32"/>
      <c r="T709" s="32"/>
      <c r="U709" s="32"/>
      <c r="V709" s="32"/>
      <c r="W709" s="32"/>
      <c r="X709" s="32"/>
      <c r="Y709" s="32"/>
      <c r="Z709" s="32"/>
      <c r="AA709" s="32"/>
      <c r="AB709" s="32"/>
    </row>
    <row r="710" spans="1:28" ht="15.6" customHeight="1" x14ac:dyDescent="0.25">
      <c r="A710" s="24"/>
      <c r="B710" s="24"/>
      <c r="C710" s="25"/>
      <c r="D710" s="25"/>
      <c r="E710" s="25"/>
      <c r="F710" s="25"/>
      <c r="G710" s="26"/>
      <c r="H710" s="27"/>
      <c r="I710" s="24"/>
      <c r="J710" s="24"/>
      <c r="K710" s="28"/>
      <c r="L710" s="29"/>
      <c r="M710" s="29"/>
      <c r="N710" s="29"/>
      <c r="O710" s="27"/>
      <c r="P710" s="30"/>
      <c r="Q710" s="31"/>
      <c r="R710" s="31"/>
      <c r="S710" s="32"/>
      <c r="T710" s="32"/>
      <c r="U710" s="32"/>
      <c r="V710" s="32"/>
      <c r="W710" s="32"/>
      <c r="X710" s="32"/>
      <c r="Y710" s="32"/>
      <c r="Z710" s="32"/>
      <c r="AA710" s="32"/>
      <c r="AB710" s="32"/>
    </row>
    <row r="711" spans="1:28" ht="15.6" customHeight="1" x14ac:dyDescent="0.25">
      <c r="A711" s="24"/>
      <c r="B711" s="24"/>
      <c r="C711" s="25"/>
      <c r="D711" s="25"/>
      <c r="E711" s="25"/>
      <c r="F711" s="25"/>
      <c r="G711" s="26"/>
      <c r="H711" s="27"/>
      <c r="I711" s="24"/>
      <c r="J711" s="24"/>
      <c r="K711" s="28"/>
      <c r="L711" s="29"/>
      <c r="M711" s="29"/>
      <c r="N711" s="29"/>
      <c r="O711" s="27"/>
      <c r="P711" s="30"/>
      <c r="Q711" s="31"/>
      <c r="R711" s="31"/>
      <c r="S711" s="32"/>
      <c r="T711" s="32"/>
      <c r="U711" s="32"/>
      <c r="V711" s="32"/>
      <c r="W711" s="32"/>
      <c r="X711" s="32"/>
      <c r="Y711" s="32"/>
      <c r="Z711" s="32"/>
      <c r="AA711" s="32"/>
      <c r="AB711" s="32"/>
    </row>
    <row r="712" spans="1:28" ht="15.6" customHeight="1" x14ac:dyDescent="0.25">
      <c r="A712" s="24"/>
      <c r="B712" s="24"/>
      <c r="C712" s="25"/>
      <c r="D712" s="25"/>
      <c r="E712" s="25"/>
      <c r="F712" s="25"/>
      <c r="G712" s="26"/>
      <c r="H712" s="27"/>
      <c r="I712" s="24"/>
      <c r="J712" s="24"/>
      <c r="K712" s="28"/>
      <c r="L712" s="29"/>
      <c r="M712" s="29"/>
      <c r="N712" s="29"/>
      <c r="O712" s="27"/>
      <c r="P712" s="30"/>
      <c r="Q712" s="31"/>
      <c r="R712" s="31"/>
      <c r="S712" s="32"/>
      <c r="T712" s="32"/>
      <c r="U712" s="32"/>
      <c r="V712" s="32"/>
      <c r="W712" s="32"/>
      <c r="X712" s="32"/>
      <c r="Y712" s="32"/>
      <c r="Z712" s="32"/>
      <c r="AA712" s="32"/>
      <c r="AB712" s="32"/>
    </row>
    <row r="713" spans="1:28" ht="15.6" customHeight="1" x14ac:dyDescent="0.25">
      <c r="A713" s="24"/>
      <c r="B713" s="24"/>
      <c r="C713" s="25"/>
      <c r="D713" s="25"/>
      <c r="E713" s="25"/>
      <c r="F713" s="25"/>
      <c r="G713" s="26"/>
      <c r="H713" s="27"/>
      <c r="I713" s="24"/>
      <c r="J713" s="24"/>
      <c r="K713" s="28"/>
      <c r="L713" s="29"/>
      <c r="M713" s="29"/>
      <c r="N713" s="29"/>
      <c r="O713" s="27"/>
      <c r="P713" s="30"/>
      <c r="Q713" s="31"/>
      <c r="R713" s="31"/>
      <c r="S713" s="32"/>
      <c r="T713" s="32"/>
      <c r="U713" s="32"/>
      <c r="V713" s="32"/>
      <c r="W713" s="32"/>
      <c r="X713" s="32"/>
      <c r="Y713" s="32"/>
      <c r="Z713" s="32"/>
      <c r="AA713" s="32"/>
      <c r="AB713" s="32"/>
    </row>
    <row r="714" spans="1:28" ht="15.6" customHeight="1" x14ac:dyDescent="0.25">
      <c r="A714" s="24"/>
      <c r="B714" s="24"/>
      <c r="C714" s="25"/>
      <c r="D714" s="25"/>
      <c r="E714" s="25"/>
      <c r="F714" s="25"/>
      <c r="G714" s="26"/>
      <c r="H714" s="27"/>
      <c r="I714" s="24"/>
      <c r="J714" s="24"/>
      <c r="K714" s="28"/>
      <c r="L714" s="29"/>
      <c r="M714" s="29"/>
      <c r="N714" s="29"/>
      <c r="O714" s="27"/>
      <c r="P714" s="30"/>
      <c r="Q714" s="31"/>
      <c r="R714" s="31"/>
      <c r="S714" s="32"/>
      <c r="T714" s="32"/>
      <c r="U714" s="32"/>
      <c r="V714" s="32"/>
      <c r="W714" s="32"/>
      <c r="X714" s="32"/>
      <c r="Y714" s="32"/>
      <c r="Z714" s="32"/>
      <c r="AA714" s="32"/>
      <c r="AB714" s="32"/>
    </row>
    <row r="715" spans="1:28" ht="15.6" customHeight="1" x14ac:dyDescent="0.25">
      <c r="A715" s="24"/>
      <c r="B715" s="24"/>
      <c r="C715" s="25"/>
      <c r="D715" s="25"/>
      <c r="E715" s="25"/>
      <c r="F715" s="25"/>
      <c r="G715" s="26"/>
      <c r="H715" s="27"/>
      <c r="I715" s="24"/>
      <c r="J715" s="24"/>
      <c r="K715" s="28"/>
      <c r="L715" s="29"/>
      <c r="M715" s="29"/>
      <c r="N715" s="29"/>
      <c r="O715" s="27"/>
      <c r="P715" s="30"/>
      <c r="Q715" s="31"/>
      <c r="R715" s="31"/>
      <c r="S715" s="32"/>
      <c r="T715" s="32"/>
      <c r="U715" s="32"/>
      <c r="V715" s="32"/>
      <c r="W715" s="32"/>
      <c r="X715" s="32"/>
      <c r="Y715" s="32"/>
      <c r="Z715" s="32"/>
      <c r="AA715" s="32"/>
      <c r="AB715" s="32"/>
    </row>
    <row r="716" spans="1:28" ht="15.6" customHeight="1" x14ac:dyDescent="0.25">
      <c r="A716" s="24"/>
      <c r="B716" s="24"/>
      <c r="C716" s="25"/>
      <c r="D716" s="25"/>
      <c r="E716" s="25"/>
      <c r="F716" s="25"/>
      <c r="G716" s="26"/>
      <c r="H716" s="27"/>
      <c r="I716" s="24"/>
      <c r="J716" s="24"/>
      <c r="K716" s="28"/>
      <c r="L716" s="29"/>
      <c r="M716" s="29"/>
      <c r="N716" s="29"/>
      <c r="O716" s="27"/>
      <c r="P716" s="30"/>
      <c r="Q716" s="31"/>
      <c r="R716" s="31"/>
      <c r="S716" s="32"/>
      <c r="T716" s="32"/>
      <c r="U716" s="32"/>
      <c r="V716" s="32"/>
      <c r="W716" s="32"/>
      <c r="X716" s="32"/>
      <c r="Y716" s="32"/>
      <c r="Z716" s="32"/>
      <c r="AA716" s="32"/>
      <c r="AB716" s="32"/>
    </row>
    <row r="717" spans="1:28" ht="15.6" customHeight="1" x14ac:dyDescent="0.25">
      <c r="A717" s="24"/>
      <c r="B717" s="24"/>
      <c r="C717" s="25"/>
      <c r="D717" s="25"/>
      <c r="E717" s="25"/>
      <c r="F717" s="25"/>
      <c r="G717" s="26"/>
      <c r="H717" s="27"/>
      <c r="I717" s="24"/>
      <c r="J717" s="24"/>
      <c r="K717" s="28"/>
      <c r="L717" s="29"/>
      <c r="M717" s="29"/>
      <c r="N717" s="29"/>
      <c r="O717" s="27"/>
      <c r="P717" s="30"/>
      <c r="Q717" s="31"/>
      <c r="R717" s="31"/>
      <c r="S717" s="32"/>
      <c r="T717" s="32"/>
      <c r="U717" s="32"/>
      <c r="V717" s="32"/>
      <c r="W717" s="32"/>
      <c r="X717" s="32"/>
      <c r="Y717" s="32"/>
      <c r="Z717" s="32"/>
      <c r="AA717" s="32"/>
      <c r="AB717" s="32"/>
    </row>
    <row r="718" spans="1:28" ht="15.6" customHeight="1" x14ac:dyDescent="0.25">
      <c r="A718" s="24"/>
      <c r="B718" s="24"/>
      <c r="C718" s="25"/>
      <c r="D718" s="25"/>
      <c r="E718" s="25"/>
      <c r="F718" s="25"/>
      <c r="G718" s="26"/>
      <c r="H718" s="27"/>
      <c r="I718" s="24"/>
      <c r="J718" s="24"/>
      <c r="K718" s="28"/>
      <c r="L718" s="29"/>
      <c r="M718" s="29"/>
      <c r="N718" s="29"/>
      <c r="O718" s="27"/>
      <c r="P718" s="30"/>
      <c r="Q718" s="31"/>
      <c r="R718" s="31"/>
      <c r="S718" s="32"/>
      <c r="T718" s="32"/>
      <c r="U718" s="32"/>
      <c r="V718" s="32"/>
      <c r="W718" s="32"/>
      <c r="X718" s="32"/>
      <c r="Y718" s="32"/>
      <c r="Z718" s="32"/>
      <c r="AA718" s="32"/>
      <c r="AB718" s="32"/>
    </row>
    <row r="719" spans="1:28" ht="15.6" customHeight="1" x14ac:dyDescent="0.25">
      <c r="A719" s="24"/>
      <c r="B719" s="24"/>
      <c r="C719" s="25"/>
      <c r="D719" s="25"/>
      <c r="E719" s="25"/>
      <c r="F719" s="25"/>
      <c r="G719" s="26"/>
      <c r="H719" s="27"/>
      <c r="I719" s="24"/>
      <c r="J719" s="24"/>
      <c r="K719" s="28"/>
      <c r="L719" s="29"/>
      <c r="M719" s="29"/>
      <c r="N719" s="29"/>
      <c r="O719" s="27"/>
      <c r="P719" s="30"/>
      <c r="Q719" s="31"/>
      <c r="R719" s="31"/>
      <c r="S719" s="32"/>
      <c r="T719" s="32"/>
      <c r="U719" s="32"/>
      <c r="V719" s="32"/>
      <c r="W719" s="32"/>
      <c r="X719" s="32"/>
      <c r="Y719" s="32"/>
      <c r="Z719" s="32"/>
      <c r="AA719" s="32"/>
      <c r="AB719" s="32"/>
    </row>
    <row r="720" spans="1:28" ht="15.6" customHeight="1" x14ac:dyDescent="0.25">
      <c r="A720" s="24"/>
      <c r="B720" s="24"/>
      <c r="C720" s="25"/>
      <c r="D720" s="25"/>
      <c r="E720" s="25"/>
      <c r="F720" s="25"/>
      <c r="G720" s="26"/>
      <c r="H720" s="27"/>
      <c r="I720" s="24"/>
      <c r="J720" s="24"/>
      <c r="K720" s="28"/>
      <c r="L720" s="29"/>
      <c r="M720" s="29"/>
      <c r="N720" s="29"/>
      <c r="O720" s="27"/>
      <c r="P720" s="30"/>
      <c r="Q720" s="31"/>
      <c r="R720" s="31"/>
      <c r="S720" s="32"/>
      <c r="T720" s="32"/>
      <c r="U720" s="32"/>
      <c r="V720" s="32"/>
      <c r="W720" s="32"/>
      <c r="X720" s="32"/>
      <c r="Y720" s="32"/>
      <c r="Z720" s="32"/>
      <c r="AA720" s="32"/>
      <c r="AB720" s="32"/>
    </row>
    <row r="721" spans="1:28" ht="15.6" customHeight="1" x14ac:dyDescent="0.25">
      <c r="A721" s="24"/>
      <c r="B721" s="24"/>
      <c r="C721" s="25"/>
      <c r="D721" s="25"/>
      <c r="E721" s="25"/>
      <c r="F721" s="25"/>
      <c r="G721" s="26"/>
      <c r="H721" s="27"/>
      <c r="I721" s="24"/>
      <c r="J721" s="24"/>
      <c r="K721" s="28"/>
      <c r="L721" s="29"/>
      <c r="M721" s="29"/>
      <c r="N721" s="29"/>
      <c r="O721" s="27"/>
      <c r="P721" s="30"/>
      <c r="Q721" s="31"/>
      <c r="R721" s="31"/>
      <c r="S721" s="32"/>
      <c r="T721" s="32"/>
      <c r="U721" s="32"/>
      <c r="V721" s="32"/>
      <c r="W721" s="32"/>
      <c r="X721" s="32"/>
      <c r="Y721" s="32"/>
      <c r="Z721" s="32"/>
      <c r="AA721" s="32"/>
      <c r="AB721" s="32"/>
    </row>
    <row r="722" spans="1:28" ht="15.6" customHeight="1" x14ac:dyDescent="0.25">
      <c r="A722" s="24"/>
      <c r="B722" s="24"/>
      <c r="C722" s="25"/>
      <c r="D722" s="25"/>
      <c r="E722" s="25"/>
      <c r="F722" s="25"/>
      <c r="G722" s="26"/>
      <c r="H722" s="27"/>
      <c r="I722" s="24"/>
      <c r="J722" s="24"/>
      <c r="K722" s="28"/>
      <c r="L722" s="29"/>
      <c r="M722" s="29"/>
      <c r="N722" s="29"/>
      <c r="O722" s="27"/>
      <c r="P722" s="30"/>
      <c r="Q722" s="31"/>
      <c r="R722" s="31"/>
      <c r="S722" s="32"/>
      <c r="T722" s="32"/>
      <c r="U722" s="32"/>
      <c r="V722" s="32"/>
      <c r="W722" s="32"/>
      <c r="X722" s="32"/>
      <c r="Y722" s="32"/>
      <c r="Z722" s="32"/>
      <c r="AA722" s="32"/>
      <c r="AB722" s="32"/>
    </row>
    <row r="723" spans="1:28" ht="15.6" customHeight="1" x14ac:dyDescent="0.25">
      <c r="A723" s="24"/>
      <c r="B723" s="24"/>
      <c r="C723" s="25"/>
      <c r="D723" s="25"/>
      <c r="E723" s="25"/>
      <c r="F723" s="25"/>
      <c r="G723" s="26"/>
      <c r="H723" s="27"/>
      <c r="I723" s="24"/>
      <c r="J723" s="24"/>
      <c r="K723" s="28"/>
      <c r="L723" s="29"/>
      <c r="M723" s="29"/>
      <c r="N723" s="29"/>
      <c r="O723" s="27"/>
      <c r="P723" s="30"/>
      <c r="Q723" s="31"/>
      <c r="R723" s="31"/>
      <c r="S723" s="32"/>
      <c r="T723" s="32"/>
      <c r="U723" s="32"/>
      <c r="V723" s="32"/>
      <c r="W723" s="32"/>
      <c r="X723" s="32"/>
      <c r="Y723" s="32"/>
      <c r="Z723" s="32"/>
      <c r="AA723" s="32"/>
      <c r="AB723" s="32"/>
    </row>
    <row r="724" spans="1:28" ht="15.6" customHeight="1" x14ac:dyDescent="0.25">
      <c r="A724" s="24"/>
      <c r="B724" s="24"/>
      <c r="C724" s="25"/>
      <c r="D724" s="25"/>
      <c r="E724" s="25"/>
      <c r="F724" s="25"/>
      <c r="G724" s="26"/>
      <c r="H724" s="27"/>
      <c r="I724" s="24"/>
      <c r="J724" s="24"/>
      <c r="K724" s="28"/>
      <c r="L724" s="29"/>
      <c r="M724" s="29"/>
      <c r="N724" s="29"/>
      <c r="O724" s="27"/>
      <c r="P724" s="30"/>
      <c r="Q724" s="31"/>
      <c r="R724" s="31"/>
      <c r="S724" s="32"/>
      <c r="T724" s="32"/>
      <c r="U724" s="32"/>
      <c r="V724" s="32"/>
      <c r="W724" s="32"/>
      <c r="X724" s="32"/>
      <c r="Y724" s="32"/>
      <c r="Z724" s="32"/>
      <c r="AA724" s="32"/>
      <c r="AB724" s="32"/>
    </row>
    <row r="725" spans="1:28" ht="15.6" customHeight="1" x14ac:dyDescent="0.25">
      <c r="A725" s="24"/>
      <c r="B725" s="24"/>
      <c r="C725" s="25"/>
      <c r="D725" s="25"/>
      <c r="E725" s="25"/>
      <c r="F725" s="25"/>
      <c r="G725" s="26"/>
      <c r="H725" s="27"/>
      <c r="I725" s="24"/>
      <c r="J725" s="24"/>
      <c r="K725" s="28"/>
      <c r="L725" s="29"/>
      <c r="M725" s="29"/>
      <c r="N725" s="29"/>
      <c r="O725" s="27"/>
      <c r="P725" s="30"/>
      <c r="Q725" s="31"/>
      <c r="R725" s="31"/>
      <c r="S725" s="32"/>
      <c r="T725" s="32"/>
      <c r="U725" s="32"/>
      <c r="V725" s="32"/>
      <c r="W725" s="32"/>
      <c r="X725" s="32"/>
      <c r="Y725" s="32"/>
      <c r="Z725" s="32"/>
      <c r="AA725" s="32"/>
      <c r="AB725" s="32"/>
    </row>
    <row r="726" spans="1:28" ht="15.6" customHeight="1" x14ac:dyDescent="0.25">
      <c r="A726" s="24"/>
      <c r="B726" s="24"/>
      <c r="C726" s="25"/>
      <c r="D726" s="25"/>
      <c r="E726" s="25"/>
      <c r="F726" s="25"/>
      <c r="G726" s="26"/>
      <c r="H726" s="27"/>
      <c r="I726" s="24"/>
      <c r="J726" s="24"/>
      <c r="K726" s="28"/>
      <c r="L726" s="29"/>
      <c r="M726" s="29"/>
      <c r="N726" s="29"/>
      <c r="O726" s="27"/>
      <c r="P726" s="30"/>
      <c r="Q726" s="31"/>
      <c r="R726" s="31"/>
      <c r="S726" s="32"/>
      <c r="T726" s="32"/>
      <c r="U726" s="32"/>
      <c r="V726" s="32"/>
      <c r="W726" s="32"/>
      <c r="X726" s="32"/>
      <c r="Y726" s="32"/>
      <c r="Z726" s="32"/>
      <c r="AA726" s="32"/>
      <c r="AB726" s="32"/>
    </row>
    <row r="727" spans="1:28" ht="15.6" customHeight="1" x14ac:dyDescent="0.25">
      <c r="A727" s="24"/>
      <c r="B727" s="24"/>
      <c r="C727" s="25"/>
      <c r="D727" s="25"/>
      <c r="E727" s="25"/>
      <c r="F727" s="25"/>
      <c r="G727" s="26"/>
      <c r="H727" s="27"/>
      <c r="I727" s="24"/>
      <c r="J727" s="24"/>
      <c r="K727" s="28"/>
      <c r="L727" s="29"/>
      <c r="M727" s="29"/>
      <c r="N727" s="29"/>
      <c r="O727" s="27"/>
      <c r="P727" s="30"/>
      <c r="Q727" s="31"/>
      <c r="R727" s="31"/>
      <c r="S727" s="32"/>
      <c r="T727" s="32"/>
      <c r="U727" s="32"/>
      <c r="V727" s="32"/>
      <c r="W727" s="32"/>
      <c r="X727" s="32"/>
      <c r="Y727" s="32"/>
      <c r="Z727" s="32"/>
      <c r="AA727" s="32"/>
      <c r="AB727" s="32"/>
    </row>
    <row r="728" spans="1:28" ht="15.6" customHeight="1" x14ac:dyDescent="0.25">
      <c r="A728" s="24"/>
      <c r="B728" s="24"/>
      <c r="C728" s="25"/>
      <c r="D728" s="25"/>
      <c r="E728" s="25"/>
      <c r="F728" s="25"/>
      <c r="G728" s="26"/>
      <c r="H728" s="27"/>
      <c r="I728" s="24"/>
      <c r="J728" s="24"/>
      <c r="K728" s="28"/>
      <c r="L728" s="29"/>
      <c r="M728" s="29"/>
      <c r="N728" s="29"/>
      <c r="O728" s="27"/>
      <c r="P728" s="30"/>
      <c r="Q728" s="31"/>
      <c r="R728" s="31"/>
      <c r="S728" s="32"/>
      <c r="T728" s="32"/>
      <c r="U728" s="32"/>
      <c r="V728" s="32"/>
      <c r="W728" s="32"/>
      <c r="X728" s="32"/>
      <c r="Y728" s="32"/>
      <c r="Z728" s="32"/>
      <c r="AA728" s="32"/>
      <c r="AB728" s="32"/>
    </row>
    <row r="729" spans="1:28" ht="15.6" customHeight="1" x14ac:dyDescent="0.25">
      <c r="A729" s="24"/>
      <c r="B729" s="24"/>
      <c r="C729" s="25"/>
      <c r="D729" s="25"/>
      <c r="E729" s="25"/>
      <c r="F729" s="25"/>
      <c r="G729" s="26"/>
      <c r="H729" s="27"/>
      <c r="I729" s="24"/>
      <c r="J729" s="24"/>
      <c r="K729" s="28"/>
      <c r="L729" s="29"/>
      <c r="M729" s="29"/>
      <c r="N729" s="29"/>
      <c r="O729" s="27"/>
      <c r="P729" s="30"/>
      <c r="Q729" s="31"/>
      <c r="R729" s="31"/>
      <c r="S729" s="32"/>
      <c r="T729" s="32"/>
      <c r="U729" s="32"/>
      <c r="V729" s="32"/>
      <c r="W729" s="32"/>
      <c r="X729" s="32"/>
      <c r="Y729" s="32"/>
      <c r="Z729" s="32"/>
      <c r="AA729" s="32"/>
      <c r="AB729" s="32"/>
    </row>
    <row r="730" spans="1:28" ht="15.6" customHeight="1" x14ac:dyDescent="0.25">
      <c r="A730" s="24"/>
      <c r="B730" s="24"/>
      <c r="C730" s="25"/>
      <c r="D730" s="25"/>
      <c r="E730" s="25"/>
      <c r="F730" s="25"/>
      <c r="G730" s="26"/>
      <c r="H730" s="27"/>
      <c r="I730" s="24"/>
      <c r="J730" s="24"/>
      <c r="K730" s="28"/>
      <c r="L730" s="29"/>
      <c r="M730" s="29"/>
      <c r="N730" s="29"/>
      <c r="O730" s="27"/>
      <c r="P730" s="30"/>
      <c r="Q730" s="31"/>
      <c r="R730" s="31"/>
      <c r="S730" s="32"/>
      <c r="T730" s="32"/>
      <c r="U730" s="32"/>
      <c r="V730" s="32"/>
      <c r="W730" s="32"/>
      <c r="X730" s="32"/>
      <c r="Y730" s="32"/>
      <c r="Z730" s="32"/>
      <c r="AA730" s="32"/>
      <c r="AB730" s="32"/>
    </row>
    <row r="731" spans="1:28" ht="15.6" customHeight="1" x14ac:dyDescent="0.25">
      <c r="A731" s="24"/>
      <c r="B731" s="24"/>
      <c r="C731" s="25"/>
      <c r="D731" s="25"/>
      <c r="E731" s="25"/>
      <c r="F731" s="25"/>
      <c r="G731" s="26"/>
      <c r="H731" s="27"/>
      <c r="I731" s="24"/>
      <c r="J731" s="24"/>
      <c r="K731" s="28"/>
      <c r="L731" s="29"/>
      <c r="M731" s="29"/>
      <c r="N731" s="29"/>
      <c r="O731" s="27"/>
      <c r="P731" s="30"/>
      <c r="Q731" s="31"/>
      <c r="R731" s="31"/>
      <c r="S731" s="32"/>
      <c r="T731" s="32"/>
      <c r="U731" s="32"/>
      <c r="V731" s="32"/>
      <c r="W731" s="32"/>
      <c r="X731" s="32"/>
      <c r="Y731" s="32"/>
      <c r="Z731" s="32"/>
      <c r="AA731" s="32"/>
      <c r="AB731" s="32"/>
    </row>
    <row r="732" spans="1:28" ht="15.6" customHeight="1" x14ac:dyDescent="0.25">
      <c r="A732" s="24"/>
      <c r="B732" s="24"/>
      <c r="C732" s="25"/>
      <c r="D732" s="25"/>
      <c r="E732" s="25"/>
      <c r="F732" s="25"/>
      <c r="G732" s="26"/>
      <c r="H732" s="27"/>
      <c r="I732" s="24"/>
      <c r="J732" s="24"/>
      <c r="K732" s="28"/>
      <c r="L732" s="29"/>
      <c r="M732" s="29"/>
      <c r="N732" s="29"/>
      <c r="O732" s="27"/>
      <c r="P732" s="30"/>
      <c r="Q732" s="31"/>
      <c r="R732" s="31"/>
      <c r="S732" s="32"/>
      <c r="T732" s="32"/>
      <c r="U732" s="32"/>
      <c r="V732" s="32"/>
      <c r="W732" s="32"/>
      <c r="X732" s="32"/>
      <c r="Y732" s="32"/>
      <c r="Z732" s="32"/>
      <c r="AA732" s="32"/>
      <c r="AB732" s="32"/>
    </row>
    <row r="733" spans="1:28" ht="15.6" customHeight="1" x14ac:dyDescent="0.25">
      <c r="A733" s="24"/>
      <c r="B733" s="24"/>
      <c r="C733" s="25"/>
      <c r="D733" s="25"/>
      <c r="E733" s="25"/>
      <c r="F733" s="25"/>
      <c r="G733" s="26"/>
      <c r="H733" s="27"/>
      <c r="I733" s="24"/>
      <c r="J733" s="24"/>
      <c r="K733" s="28"/>
      <c r="L733" s="29"/>
      <c r="M733" s="29"/>
      <c r="N733" s="29"/>
      <c r="O733" s="27"/>
      <c r="P733" s="30"/>
      <c r="Q733" s="31"/>
      <c r="R733" s="31"/>
      <c r="S733" s="32"/>
      <c r="T733" s="32"/>
      <c r="U733" s="32"/>
      <c r="V733" s="32"/>
      <c r="W733" s="32"/>
      <c r="X733" s="32"/>
      <c r="Y733" s="32"/>
      <c r="Z733" s="32"/>
      <c r="AA733" s="32"/>
      <c r="AB733" s="32"/>
    </row>
    <row r="734" spans="1:28" ht="15.6" customHeight="1" x14ac:dyDescent="0.25">
      <c r="A734" s="24"/>
      <c r="B734" s="24"/>
      <c r="C734" s="25"/>
      <c r="D734" s="25"/>
      <c r="E734" s="25"/>
      <c r="F734" s="25"/>
      <c r="G734" s="26"/>
      <c r="H734" s="27"/>
      <c r="I734" s="24"/>
      <c r="J734" s="24"/>
      <c r="K734" s="28"/>
      <c r="L734" s="29"/>
      <c r="M734" s="29"/>
      <c r="N734" s="29"/>
      <c r="O734" s="27"/>
      <c r="P734" s="30"/>
      <c r="Q734" s="31"/>
      <c r="R734" s="31"/>
      <c r="S734" s="32"/>
      <c r="T734" s="32"/>
      <c r="U734" s="32"/>
      <c r="V734" s="32"/>
      <c r="W734" s="32"/>
      <c r="X734" s="32"/>
      <c r="Y734" s="32"/>
      <c r="Z734" s="32"/>
      <c r="AA734" s="32"/>
      <c r="AB734" s="32"/>
    </row>
    <row r="735" spans="1:28" ht="15.6" customHeight="1" x14ac:dyDescent="0.25">
      <c r="A735" s="24"/>
      <c r="B735" s="24"/>
      <c r="C735" s="25"/>
      <c r="D735" s="25"/>
      <c r="E735" s="25"/>
      <c r="F735" s="25"/>
      <c r="G735" s="26"/>
      <c r="H735" s="27"/>
      <c r="I735" s="24"/>
      <c r="J735" s="24"/>
      <c r="K735" s="28"/>
      <c r="L735" s="29"/>
      <c r="M735" s="29"/>
      <c r="N735" s="29"/>
      <c r="O735" s="27"/>
      <c r="P735" s="30"/>
      <c r="Q735" s="31"/>
      <c r="R735" s="31"/>
      <c r="S735" s="32"/>
      <c r="T735" s="32"/>
      <c r="U735" s="32"/>
      <c r="V735" s="32"/>
      <c r="W735" s="32"/>
      <c r="X735" s="32"/>
      <c r="Y735" s="32"/>
      <c r="Z735" s="32"/>
      <c r="AA735" s="32"/>
      <c r="AB735" s="32"/>
    </row>
    <row r="736" spans="1:28" ht="15.6" customHeight="1" x14ac:dyDescent="0.25">
      <c r="A736" s="24"/>
      <c r="B736" s="24"/>
      <c r="C736" s="25"/>
      <c r="D736" s="25"/>
      <c r="E736" s="25"/>
      <c r="F736" s="25"/>
      <c r="G736" s="26"/>
      <c r="H736" s="27"/>
      <c r="I736" s="24"/>
      <c r="J736" s="24"/>
      <c r="K736" s="28"/>
      <c r="L736" s="29"/>
      <c r="M736" s="29"/>
      <c r="N736" s="29"/>
      <c r="O736" s="27"/>
      <c r="P736" s="30"/>
      <c r="Q736" s="31"/>
      <c r="R736" s="31"/>
      <c r="S736" s="32"/>
      <c r="T736" s="32"/>
      <c r="U736" s="32"/>
      <c r="V736" s="32"/>
      <c r="W736" s="32"/>
      <c r="X736" s="32"/>
      <c r="Y736" s="32"/>
      <c r="Z736" s="32"/>
      <c r="AA736" s="32"/>
      <c r="AB736" s="32"/>
    </row>
    <row r="737" spans="1:28" ht="15.6" customHeight="1" x14ac:dyDescent="0.25">
      <c r="A737" s="24"/>
      <c r="B737" s="24"/>
      <c r="C737" s="25"/>
      <c r="D737" s="25"/>
      <c r="E737" s="25"/>
      <c r="F737" s="25"/>
      <c r="G737" s="26"/>
      <c r="H737" s="27"/>
      <c r="I737" s="24"/>
      <c r="J737" s="24"/>
      <c r="K737" s="28"/>
      <c r="L737" s="29"/>
      <c r="M737" s="29"/>
      <c r="N737" s="29"/>
      <c r="O737" s="27"/>
      <c r="P737" s="30"/>
      <c r="Q737" s="31"/>
      <c r="R737" s="31"/>
      <c r="S737" s="32"/>
      <c r="T737" s="32"/>
      <c r="U737" s="32"/>
      <c r="V737" s="32"/>
      <c r="W737" s="32"/>
      <c r="X737" s="32"/>
      <c r="Y737" s="32"/>
      <c r="Z737" s="32"/>
      <c r="AA737" s="32"/>
      <c r="AB737" s="32"/>
    </row>
    <row r="738" spans="1:28" ht="15.6" customHeight="1" x14ac:dyDescent="0.25">
      <c r="A738" s="24"/>
      <c r="B738" s="24"/>
      <c r="C738" s="25"/>
      <c r="D738" s="25"/>
      <c r="E738" s="25"/>
      <c r="F738" s="25"/>
      <c r="G738" s="26"/>
      <c r="H738" s="27"/>
      <c r="I738" s="24"/>
      <c r="J738" s="24"/>
      <c r="K738" s="28"/>
      <c r="L738" s="29"/>
      <c r="M738" s="29"/>
      <c r="N738" s="29"/>
      <c r="O738" s="27"/>
      <c r="P738" s="30"/>
      <c r="Q738" s="31"/>
      <c r="R738" s="31"/>
      <c r="S738" s="32"/>
      <c r="T738" s="32"/>
      <c r="U738" s="32"/>
      <c r="V738" s="32"/>
      <c r="W738" s="32"/>
      <c r="X738" s="32"/>
      <c r="Y738" s="32"/>
      <c r="Z738" s="32"/>
      <c r="AA738" s="32"/>
      <c r="AB738" s="32"/>
    </row>
    <row r="739" spans="1:28" ht="15.6" customHeight="1" x14ac:dyDescent="0.25">
      <c r="A739" s="24"/>
      <c r="B739" s="24"/>
      <c r="C739" s="25"/>
      <c r="D739" s="25"/>
      <c r="E739" s="25"/>
      <c r="F739" s="25"/>
      <c r="G739" s="26"/>
      <c r="H739" s="27"/>
      <c r="I739" s="24"/>
      <c r="J739" s="24"/>
      <c r="K739" s="28"/>
      <c r="L739" s="29"/>
      <c r="M739" s="29"/>
      <c r="N739" s="29"/>
      <c r="O739" s="27"/>
      <c r="P739" s="30"/>
      <c r="Q739" s="31"/>
      <c r="R739" s="31"/>
      <c r="S739" s="32"/>
      <c r="T739" s="32"/>
      <c r="U739" s="32"/>
      <c r="V739" s="32"/>
      <c r="W739" s="32"/>
      <c r="X739" s="32"/>
      <c r="Y739" s="32"/>
      <c r="Z739" s="32"/>
      <c r="AA739" s="32"/>
      <c r="AB739" s="32"/>
    </row>
    <row r="740" spans="1:28" ht="15.6" customHeight="1" x14ac:dyDescent="0.25">
      <c r="A740" s="24"/>
      <c r="B740" s="24"/>
      <c r="C740" s="25"/>
      <c r="D740" s="25"/>
      <c r="E740" s="25"/>
      <c r="F740" s="25"/>
      <c r="G740" s="26"/>
      <c r="H740" s="27"/>
      <c r="I740" s="24"/>
      <c r="J740" s="24"/>
      <c r="K740" s="28"/>
      <c r="L740" s="29"/>
      <c r="M740" s="29"/>
      <c r="N740" s="29"/>
      <c r="O740" s="27"/>
      <c r="P740" s="30"/>
      <c r="Q740" s="31"/>
      <c r="R740" s="31"/>
      <c r="S740" s="32"/>
      <c r="T740" s="32"/>
      <c r="U740" s="32"/>
      <c r="V740" s="32"/>
      <c r="W740" s="32"/>
      <c r="X740" s="32"/>
      <c r="Y740" s="32"/>
      <c r="Z740" s="32"/>
      <c r="AA740" s="32"/>
      <c r="AB740" s="32"/>
    </row>
    <row r="741" spans="1:28" ht="15.6" customHeight="1" x14ac:dyDescent="0.25">
      <c r="A741" s="24"/>
      <c r="B741" s="24"/>
      <c r="C741" s="25"/>
      <c r="D741" s="25"/>
      <c r="E741" s="25"/>
      <c r="F741" s="25"/>
      <c r="G741" s="26"/>
      <c r="H741" s="27"/>
      <c r="I741" s="24"/>
      <c r="J741" s="24"/>
      <c r="K741" s="28"/>
      <c r="L741" s="29"/>
      <c r="M741" s="29"/>
      <c r="N741" s="29"/>
      <c r="O741" s="27"/>
      <c r="P741" s="30"/>
      <c r="Q741" s="31"/>
      <c r="R741" s="31"/>
      <c r="S741" s="32"/>
      <c r="T741" s="32"/>
      <c r="U741" s="32"/>
      <c r="V741" s="32"/>
      <c r="W741" s="32"/>
      <c r="X741" s="32"/>
      <c r="Y741" s="32"/>
      <c r="Z741" s="32"/>
      <c r="AA741" s="32"/>
      <c r="AB741" s="32"/>
    </row>
    <row r="742" spans="1:28" ht="15.6" customHeight="1" x14ac:dyDescent="0.25">
      <c r="A742" s="24"/>
      <c r="B742" s="24"/>
      <c r="C742" s="25"/>
      <c r="D742" s="25"/>
      <c r="E742" s="25"/>
      <c r="F742" s="25"/>
      <c r="G742" s="26"/>
      <c r="H742" s="27"/>
      <c r="I742" s="24"/>
      <c r="J742" s="24"/>
      <c r="K742" s="28"/>
      <c r="L742" s="29"/>
      <c r="M742" s="29"/>
      <c r="N742" s="29"/>
      <c r="O742" s="27"/>
      <c r="P742" s="30"/>
      <c r="Q742" s="31"/>
      <c r="R742" s="31"/>
      <c r="S742" s="32"/>
      <c r="T742" s="32"/>
      <c r="U742" s="32"/>
      <c r="V742" s="32"/>
      <c r="W742" s="32"/>
      <c r="X742" s="32"/>
      <c r="Y742" s="32"/>
      <c r="Z742" s="32"/>
      <c r="AA742" s="32"/>
      <c r="AB742" s="32"/>
    </row>
    <row r="743" spans="1:28" ht="15.6" customHeight="1" x14ac:dyDescent="0.25">
      <c r="A743" s="24"/>
      <c r="B743" s="24"/>
      <c r="C743" s="25"/>
      <c r="D743" s="25"/>
      <c r="E743" s="25"/>
      <c r="F743" s="25"/>
      <c r="G743" s="26"/>
      <c r="H743" s="27"/>
      <c r="I743" s="24"/>
      <c r="J743" s="24"/>
      <c r="K743" s="28"/>
      <c r="L743" s="29"/>
      <c r="M743" s="29"/>
      <c r="N743" s="29"/>
      <c r="O743" s="27"/>
      <c r="P743" s="30"/>
      <c r="Q743" s="31"/>
      <c r="R743" s="31"/>
      <c r="S743" s="32"/>
      <c r="T743" s="32"/>
      <c r="U743" s="32"/>
      <c r="V743" s="32"/>
      <c r="W743" s="32"/>
      <c r="X743" s="32"/>
      <c r="Y743" s="32"/>
      <c r="Z743" s="32"/>
      <c r="AA743" s="32"/>
      <c r="AB743" s="32"/>
    </row>
    <row r="744" spans="1:28" ht="15.6" customHeight="1" x14ac:dyDescent="0.25">
      <c r="A744" s="24"/>
      <c r="B744" s="24"/>
      <c r="C744" s="25"/>
      <c r="D744" s="25"/>
      <c r="E744" s="25"/>
      <c r="F744" s="25"/>
      <c r="G744" s="26"/>
      <c r="H744" s="27"/>
      <c r="I744" s="24"/>
      <c r="J744" s="24"/>
      <c r="K744" s="28"/>
      <c r="L744" s="29"/>
      <c r="M744" s="29"/>
      <c r="N744" s="29"/>
      <c r="O744" s="27"/>
      <c r="P744" s="30"/>
      <c r="Q744" s="31"/>
      <c r="R744" s="31"/>
      <c r="S744" s="32"/>
      <c r="T744" s="32"/>
      <c r="U744" s="32"/>
      <c r="V744" s="32"/>
      <c r="W744" s="32"/>
      <c r="X744" s="32"/>
      <c r="Y744" s="32"/>
      <c r="Z744" s="32"/>
      <c r="AA744" s="32"/>
      <c r="AB744" s="32"/>
    </row>
    <row r="745" spans="1:28" ht="15.6" customHeight="1" x14ac:dyDescent="0.25">
      <c r="A745" s="24"/>
      <c r="B745" s="24"/>
      <c r="C745" s="25"/>
      <c r="D745" s="25"/>
      <c r="E745" s="25"/>
      <c r="F745" s="25"/>
      <c r="G745" s="26"/>
      <c r="H745" s="27"/>
      <c r="I745" s="24"/>
      <c r="J745" s="24"/>
      <c r="K745" s="28"/>
      <c r="L745" s="29"/>
      <c r="M745" s="29"/>
      <c r="N745" s="29"/>
      <c r="O745" s="27"/>
      <c r="P745" s="30"/>
      <c r="Q745" s="31"/>
      <c r="R745" s="31"/>
      <c r="S745" s="32"/>
      <c r="T745" s="32"/>
      <c r="U745" s="32"/>
      <c r="V745" s="32"/>
      <c r="W745" s="32"/>
      <c r="X745" s="32"/>
      <c r="Y745" s="32"/>
      <c r="Z745" s="32"/>
      <c r="AA745" s="32"/>
      <c r="AB745" s="32"/>
    </row>
    <row r="746" spans="1:28" ht="15.6" customHeight="1" x14ac:dyDescent="0.25">
      <c r="A746" s="24"/>
      <c r="B746" s="24"/>
      <c r="C746" s="25"/>
      <c r="D746" s="25"/>
      <c r="E746" s="25"/>
      <c r="F746" s="25"/>
      <c r="G746" s="26"/>
      <c r="H746" s="27"/>
      <c r="I746" s="24"/>
      <c r="J746" s="24"/>
      <c r="K746" s="28"/>
      <c r="L746" s="29"/>
      <c r="M746" s="29"/>
      <c r="N746" s="29"/>
      <c r="O746" s="27"/>
      <c r="P746" s="30"/>
      <c r="Q746" s="31"/>
      <c r="R746" s="31"/>
      <c r="S746" s="32"/>
      <c r="T746" s="32"/>
      <c r="U746" s="32"/>
      <c r="V746" s="32"/>
      <c r="W746" s="32"/>
      <c r="X746" s="32"/>
      <c r="Y746" s="32"/>
      <c r="Z746" s="32"/>
      <c r="AA746" s="32"/>
      <c r="AB746" s="32"/>
    </row>
    <row r="747" spans="1:28" ht="15.6" customHeight="1" x14ac:dyDescent="0.25">
      <c r="A747" s="24"/>
      <c r="B747" s="24"/>
      <c r="C747" s="25"/>
      <c r="D747" s="25"/>
      <c r="E747" s="25"/>
      <c r="F747" s="25"/>
      <c r="G747" s="26"/>
      <c r="H747" s="27"/>
      <c r="I747" s="24"/>
      <c r="J747" s="24"/>
      <c r="K747" s="28"/>
      <c r="L747" s="29"/>
      <c r="M747" s="29"/>
      <c r="N747" s="29"/>
      <c r="O747" s="27"/>
      <c r="P747" s="30"/>
      <c r="Q747" s="31"/>
      <c r="R747" s="31"/>
      <c r="S747" s="32"/>
      <c r="T747" s="32"/>
      <c r="U747" s="32"/>
      <c r="V747" s="32"/>
      <c r="W747" s="32"/>
      <c r="X747" s="32"/>
      <c r="Y747" s="32"/>
      <c r="Z747" s="32"/>
      <c r="AA747" s="32"/>
      <c r="AB747" s="32"/>
    </row>
    <row r="748" spans="1:28" ht="15.6" customHeight="1" x14ac:dyDescent="0.25">
      <c r="A748" s="24"/>
      <c r="B748" s="24"/>
      <c r="C748" s="25"/>
      <c r="D748" s="25"/>
      <c r="E748" s="25"/>
      <c r="F748" s="25"/>
      <c r="G748" s="26"/>
      <c r="H748" s="27"/>
      <c r="I748" s="24"/>
      <c r="J748" s="24"/>
      <c r="K748" s="28"/>
      <c r="L748" s="29"/>
      <c r="M748" s="29"/>
      <c r="N748" s="29"/>
      <c r="O748" s="27"/>
      <c r="P748" s="30"/>
      <c r="Q748" s="31"/>
      <c r="R748" s="31"/>
      <c r="S748" s="32"/>
      <c r="T748" s="32"/>
      <c r="U748" s="32"/>
      <c r="V748" s="32"/>
      <c r="W748" s="32"/>
      <c r="X748" s="32"/>
      <c r="Y748" s="32"/>
      <c r="Z748" s="32"/>
      <c r="AA748" s="32"/>
      <c r="AB748" s="32"/>
    </row>
    <row r="749" spans="1:28" ht="15.6" customHeight="1" x14ac:dyDescent="0.25">
      <c r="A749" s="24"/>
      <c r="B749" s="24"/>
      <c r="C749" s="25"/>
      <c r="D749" s="25"/>
      <c r="E749" s="25"/>
      <c r="F749" s="25"/>
      <c r="G749" s="26"/>
      <c r="H749" s="27"/>
      <c r="I749" s="24"/>
      <c r="J749" s="24"/>
      <c r="K749" s="28"/>
      <c r="L749" s="29"/>
      <c r="M749" s="29"/>
      <c r="N749" s="29"/>
      <c r="O749" s="27"/>
      <c r="P749" s="30"/>
      <c r="Q749" s="31"/>
      <c r="R749" s="31"/>
      <c r="S749" s="32"/>
      <c r="T749" s="32"/>
      <c r="U749" s="32"/>
      <c r="V749" s="32"/>
      <c r="W749" s="32"/>
      <c r="X749" s="32"/>
      <c r="Y749" s="32"/>
      <c r="Z749" s="32"/>
      <c r="AA749" s="32"/>
      <c r="AB749" s="32"/>
    </row>
    <row r="750" spans="1:28" ht="15.6" customHeight="1" x14ac:dyDescent="0.25">
      <c r="A750" s="24"/>
      <c r="B750" s="24"/>
      <c r="C750" s="25"/>
      <c r="D750" s="25"/>
      <c r="E750" s="25"/>
      <c r="F750" s="25"/>
      <c r="G750" s="26"/>
      <c r="H750" s="27"/>
      <c r="I750" s="24"/>
      <c r="J750" s="24"/>
      <c r="K750" s="28"/>
      <c r="L750" s="29"/>
      <c r="M750" s="29"/>
      <c r="N750" s="29"/>
      <c r="O750" s="27"/>
      <c r="P750" s="30"/>
      <c r="Q750" s="31"/>
      <c r="R750" s="31"/>
      <c r="S750" s="32"/>
      <c r="T750" s="32"/>
      <c r="U750" s="32"/>
      <c r="V750" s="32"/>
      <c r="W750" s="32"/>
      <c r="X750" s="32"/>
      <c r="Y750" s="32"/>
      <c r="Z750" s="32"/>
      <c r="AA750" s="32"/>
      <c r="AB750" s="32"/>
    </row>
    <row r="751" spans="1:28" ht="15.6" customHeight="1" x14ac:dyDescent="0.25">
      <c r="A751" s="24"/>
      <c r="B751" s="24"/>
      <c r="C751" s="25"/>
      <c r="D751" s="25"/>
      <c r="E751" s="25"/>
      <c r="F751" s="25"/>
      <c r="G751" s="26"/>
      <c r="H751" s="27"/>
      <c r="I751" s="24"/>
      <c r="J751" s="24"/>
      <c r="K751" s="28"/>
      <c r="L751" s="29"/>
      <c r="M751" s="29"/>
      <c r="N751" s="29"/>
      <c r="O751" s="27"/>
      <c r="P751" s="30"/>
      <c r="Q751" s="31"/>
      <c r="R751" s="31"/>
      <c r="S751" s="32"/>
      <c r="T751" s="32"/>
      <c r="U751" s="32"/>
      <c r="V751" s="32"/>
      <c r="W751" s="32"/>
      <c r="X751" s="32"/>
      <c r="Y751" s="32"/>
      <c r="Z751" s="32"/>
      <c r="AA751" s="32"/>
      <c r="AB751" s="32"/>
    </row>
    <row r="752" spans="1:28" ht="15.6" customHeight="1" x14ac:dyDescent="0.25">
      <c r="A752" s="24"/>
      <c r="B752" s="24"/>
      <c r="C752" s="25"/>
      <c r="D752" s="25"/>
      <c r="E752" s="25"/>
      <c r="F752" s="25"/>
      <c r="G752" s="26"/>
      <c r="H752" s="27"/>
      <c r="I752" s="24"/>
      <c r="J752" s="24"/>
      <c r="K752" s="28"/>
      <c r="L752" s="29"/>
      <c r="M752" s="29"/>
      <c r="N752" s="29"/>
      <c r="O752" s="27"/>
      <c r="P752" s="30"/>
      <c r="Q752" s="31"/>
      <c r="R752" s="31"/>
      <c r="S752" s="32"/>
      <c r="T752" s="32"/>
      <c r="U752" s="32"/>
      <c r="V752" s="32"/>
      <c r="W752" s="32"/>
      <c r="X752" s="32"/>
      <c r="Y752" s="32"/>
      <c r="Z752" s="32"/>
      <c r="AA752" s="32"/>
      <c r="AB752" s="32"/>
    </row>
    <row r="753" spans="1:28" ht="15.6" customHeight="1" x14ac:dyDescent="0.25">
      <c r="A753" s="24"/>
      <c r="B753" s="24"/>
      <c r="C753" s="25"/>
      <c r="D753" s="25"/>
      <c r="E753" s="25"/>
      <c r="F753" s="25"/>
      <c r="G753" s="26"/>
      <c r="H753" s="27"/>
      <c r="I753" s="24"/>
      <c r="J753" s="24"/>
      <c r="K753" s="28"/>
      <c r="L753" s="29"/>
      <c r="M753" s="29"/>
      <c r="N753" s="29"/>
      <c r="O753" s="27"/>
      <c r="P753" s="30"/>
      <c r="Q753" s="31"/>
      <c r="R753" s="31"/>
      <c r="S753" s="32"/>
      <c r="T753" s="32"/>
      <c r="U753" s="32"/>
      <c r="V753" s="32"/>
      <c r="W753" s="32"/>
      <c r="X753" s="32"/>
      <c r="Y753" s="32"/>
      <c r="Z753" s="32"/>
      <c r="AA753" s="32"/>
      <c r="AB753" s="32"/>
    </row>
    <row r="754" spans="1:28" ht="15.6" customHeight="1" x14ac:dyDescent="0.25">
      <c r="A754" s="24"/>
      <c r="B754" s="24"/>
      <c r="C754" s="25"/>
      <c r="D754" s="25"/>
      <c r="E754" s="25"/>
      <c r="F754" s="25"/>
      <c r="G754" s="26"/>
      <c r="H754" s="27"/>
      <c r="I754" s="24"/>
      <c r="J754" s="24"/>
      <c r="K754" s="28"/>
      <c r="L754" s="29"/>
      <c r="M754" s="29"/>
      <c r="N754" s="29"/>
      <c r="O754" s="27"/>
      <c r="P754" s="30"/>
      <c r="Q754" s="31"/>
      <c r="R754" s="31"/>
      <c r="S754" s="32"/>
      <c r="T754" s="32"/>
      <c r="U754" s="32"/>
      <c r="V754" s="32"/>
      <c r="W754" s="32"/>
      <c r="X754" s="32"/>
      <c r="Y754" s="32"/>
      <c r="Z754" s="32"/>
      <c r="AA754" s="32"/>
      <c r="AB754" s="32"/>
    </row>
    <row r="755" spans="1:28" ht="15.6" customHeight="1" x14ac:dyDescent="0.25">
      <c r="A755" s="24"/>
      <c r="B755" s="24"/>
      <c r="C755" s="25"/>
      <c r="D755" s="25"/>
      <c r="E755" s="25"/>
      <c r="F755" s="25"/>
      <c r="G755" s="26"/>
      <c r="H755" s="27"/>
      <c r="I755" s="24"/>
      <c r="J755" s="24"/>
      <c r="K755" s="28"/>
      <c r="L755" s="29"/>
      <c r="M755" s="29"/>
      <c r="N755" s="29"/>
      <c r="O755" s="27"/>
      <c r="P755" s="30"/>
      <c r="Q755" s="31"/>
      <c r="R755" s="31"/>
      <c r="S755" s="32"/>
      <c r="T755" s="32"/>
      <c r="U755" s="32"/>
      <c r="V755" s="32"/>
      <c r="W755" s="32"/>
      <c r="X755" s="32"/>
      <c r="Y755" s="32"/>
      <c r="Z755" s="32"/>
      <c r="AA755" s="32"/>
      <c r="AB755" s="32"/>
    </row>
    <row r="756" spans="1:28" ht="15.6" customHeight="1" x14ac:dyDescent="0.25">
      <c r="A756" s="24"/>
      <c r="B756" s="24"/>
      <c r="C756" s="25"/>
      <c r="D756" s="25"/>
      <c r="E756" s="25"/>
      <c r="F756" s="25"/>
      <c r="G756" s="26"/>
      <c r="H756" s="27"/>
      <c r="I756" s="24"/>
      <c r="J756" s="24"/>
      <c r="K756" s="28"/>
      <c r="L756" s="29"/>
      <c r="M756" s="29"/>
      <c r="N756" s="29"/>
      <c r="O756" s="27"/>
      <c r="P756" s="30"/>
      <c r="Q756" s="31"/>
      <c r="R756" s="31"/>
      <c r="S756" s="32"/>
      <c r="T756" s="32"/>
      <c r="U756" s="32"/>
      <c r="V756" s="32"/>
      <c r="W756" s="32"/>
      <c r="X756" s="32"/>
      <c r="Y756" s="32"/>
      <c r="Z756" s="32"/>
      <c r="AA756" s="32"/>
      <c r="AB756" s="32"/>
    </row>
    <row r="757" spans="1:28" ht="15.6" customHeight="1" x14ac:dyDescent="0.25">
      <c r="A757" s="24"/>
      <c r="B757" s="24"/>
      <c r="C757" s="25"/>
      <c r="D757" s="25"/>
      <c r="E757" s="25"/>
      <c r="F757" s="25"/>
      <c r="G757" s="26"/>
      <c r="H757" s="27"/>
      <c r="I757" s="24"/>
      <c r="J757" s="24"/>
      <c r="K757" s="28"/>
      <c r="L757" s="29"/>
      <c r="M757" s="29"/>
      <c r="N757" s="29"/>
      <c r="O757" s="27"/>
      <c r="P757" s="30"/>
      <c r="Q757" s="31"/>
      <c r="R757" s="31"/>
      <c r="S757" s="32"/>
      <c r="T757" s="32"/>
      <c r="U757" s="32"/>
      <c r="V757" s="32"/>
      <c r="W757" s="32"/>
      <c r="X757" s="32"/>
      <c r="Y757" s="32"/>
      <c r="Z757" s="32"/>
      <c r="AA757" s="32"/>
      <c r="AB757" s="32"/>
    </row>
    <row r="758" spans="1:28" ht="15.6" customHeight="1" x14ac:dyDescent="0.25">
      <c r="A758" s="24"/>
      <c r="B758" s="24"/>
      <c r="C758" s="25"/>
      <c r="D758" s="25"/>
      <c r="E758" s="25"/>
      <c r="F758" s="25"/>
      <c r="G758" s="26"/>
      <c r="H758" s="27"/>
      <c r="I758" s="24"/>
      <c r="J758" s="24"/>
      <c r="K758" s="28"/>
      <c r="L758" s="29"/>
      <c r="M758" s="29"/>
      <c r="N758" s="29"/>
      <c r="O758" s="27"/>
      <c r="P758" s="30"/>
      <c r="Q758" s="31"/>
      <c r="R758" s="31"/>
      <c r="S758" s="32"/>
      <c r="T758" s="32"/>
      <c r="U758" s="32"/>
      <c r="V758" s="32"/>
      <c r="W758" s="32"/>
      <c r="X758" s="32"/>
      <c r="Y758" s="32"/>
      <c r="Z758" s="32"/>
      <c r="AA758" s="32"/>
      <c r="AB758" s="32"/>
    </row>
    <row r="759" spans="1:28" ht="15.6" customHeight="1" x14ac:dyDescent="0.25">
      <c r="A759" s="24"/>
      <c r="B759" s="24"/>
      <c r="C759" s="25"/>
      <c r="D759" s="25"/>
      <c r="E759" s="25"/>
      <c r="F759" s="25"/>
      <c r="G759" s="26"/>
      <c r="H759" s="27"/>
      <c r="I759" s="24"/>
      <c r="J759" s="24"/>
      <c r="K759" s="28"/>
      <c r="L759" s="29"/>
      <c r="M759" s="29"/>
      <c r="N759" s="29"/>
      <c r="O759" s="27"/>
      <c r="P759" s="30"/>
      <c r="Q759" s="31"/>
      <c r="R759" s="31"/>
      <c r="S759" s="32"/>
      <c r="T759" s="32"/>
      <c r="U759" s="32"/>
      <c r="V759" s="32"/>
      <c r="W759" s="32"/>
      <c r="X759" s="32"/>
      <c r="Y759" s="32"/>
      <c r="Z759" s="32"/>
      <c r="AA759" s="32"/>
      <c r="AB759" s="32"/>
    </row>
    <row r="760" spans="1:28" ht="15.6" customHeight="1" x14ac:dyDescent="0.25">
      <c r="A760" s="24"/>
      <c r="B760" s="24"/>
      <c r="C760" s="25"/>
      <c r="D760" s="25"/>
      <c r="E760" s="25"/>
      <c r="F760" s="25"/>
      <c r="G760" s="26"/>
      <c r="H760" s="27"/>
      <c r="I760" s="24"/>
      <c r="J760" s="24"/>
      <c r="K760" s="28"/>
      <c r="L760" s="29"/>
      <c r="M760" s="29"/>
      <c r="N760" s="29"/>
      <c r="O760" s="27"/>
      <c r="P760" s="30"/>
      <c r="Q760" s="31"/>
      <c r="R760" s="31"/>
      <c r="S760" s="32"/>
      <c r="T760" s="32"/>
      <c r="U760" s="32"/>
      <c r="V760" s="32"/>
      <c r="W760" s="32"/>
      <c r="X760" s="32"/>
      <c r="Y760" s="32"/>
      <c r="Z760" s="32"/>
      <c r="AA760" s="32"/>
      <c r="AB760" s="32"/>
    </row>
    <row r="761" spans="1:28" ht="15.6" customHeight="1" x14ac:dyDescent="0.25">
      <c r="A761" s="24"/>
      <c r="B761" s="24"/>
      <c r="C761" s="25"/>
      <c r="D761" s="25"/>
      <c r="E761" s="25"/>
      <c r="F761" s="25"/>
      <c r="G761" s="26"/>
      <c r="H761" s="27"/>
      <c r="I761" s="24"/>
      <c r="J761" s="24"/>
      <c r="K761" s="28"/>
      <c r="L761" s="29"/>
      <c r="M761" s="29"/>
      <c r="N761" s="29"/>
      <c r="O761" s="27"/>
      <c r="P761" s="30"/>
      <c r="Q761" s="31"/>
      <c r="R761" s="31"/>
      <c r="S761" s="32"/>
      <c r="T761" s="32"/>
      <c r="U761" s="32"/>
      <c r="V761" s="32"/>
      <c r="W761" s="32"/>
      <c r="X761" s="32"/>
      <c r="Y761" s="32"/>
      <c r="Z761" s="32"/>
      <c r="AA761" s="32"/>
      <c r="AB761" s="32"/>
    </row>
    <row r="762" spans="1:28" ht="15.6" customHeight="1" x14ac:dyDescent="0.25">
      <c r="A762" s="24"/>
      <c r="B762" s="24"/>
      <c r="C762" s="25"/>
      <c r="D762" s="25"/>
      <c r="E762" s="25"/>
      <c r="F762" s="25"/>
      <c r="G762" s="26"/>
      <c r="H762" s="27"/>
      <c r="I762" s="24"/>
      <c r="J762" s="24"/>
      <c r="K762" s="28"/>
      <c r="L762" s="29"/>
      <c r="M762" s="29"/>
      <c r="N762" s="29"/>
      <c r="O762" s="27"/>
      <c r="P762" s="30"/>
      <c r="Q762" s="31"/>
      <c r="R762" s="31"/>
      <c r="S762" s="32"/>
      <c r="T762" s="32"/>
      <c r="U762" s="32"/>
      <c r="V762" s="32"/>
      <c r="W762" s="32"/>
      <c r="X762" s="32"/>
      <c r="Y762" s="32"/>
      <c r="Z762" s="32"/>
      <c r="AA762" s="32"/>
      <c r="AB762" s="32"/>
    </row>
    <row r="763" spans="1:28" ht="15.6" customHeight="1" x14ac:dyDescent="0.25">
      <c r="A763" s="24"/>
      <c r="B763" s="24"/>
      <c r="C763" s="25"/>
      <c r="D763" s="25"/>
      <c r="E763" s="25"/>
      <c r="F763" s="25"/>
      <c r="G763" s="26"/>
      <c r="H763" s="27"/>
      <c r="I763" s="24"/>
      <c r="J763" s="24"/>
      <c r="K763" s="28"/>
      <c r="L763" s="29"/>
      <c r="M763" s="29"/>
      <c r="N763" s="29"/>
      <c r="O763" s="27"/>
      <c r="P763" s="30"/>
      <c r="Q763" s="31"/>
      <c r="R763" s="31"/>
      <c r="S763" s="32"/>
      <c r="T763" s="32"/>
      <c r="U763" s="32"/>
      <c r="V763" s="32"/>
      <c r="W763" s="32"/>
      <c r="X763" s="32"/>
      <c r="Y763" s="32"/>
      <c r="Z763" s="32"/>
      <c r="AA763" s="32"/>
      <c r="AB763" s="32"/>
    </row>
    <row r="764" spans="1:28" ht="15.6" customHeight="1" x14ac:dyDescent="0.25">
      <c r="A764" s="24"/>
      <c r="B764" s="24"/>
      <c r="C764" s="25"/>
      <c r="D764" s="25"/>
      <c r="E764" s="25"/>
      <c r="F764" s="25"/>
      <c r="G764" s="26"/>
      <c r="H764" s="27"/>
      <c r="I764" s="24"/>
      <c r="J764" s="24"/>
      <c r="K764" s="28"/>
      <c r="L764" s="29"/>
      <c r="M764" s="29"/>
      <c r="N764" s="29"/>
      <c r="O764" s="27"/>
      <c r="P764" s="30"/>
      <c r="Q764" s="31"/>
      <c r="R764" s="31"/>
      <c r="S764" s="32"/>
      <c r="T764" s="32"/>
      <c r="U764" s="32"/>
      <c r="V764" s="32"/>
      <c r="W764" s="32"/>
      <c r="X764" s="32"/>
      <c r="Y764" s="32"/>
      <c r="Z764" s="32"/>
      <c r="AA764" s="32"/>
      <c r="AB764" s="32"/>
    </row>
    <row r="765" spans="1:28" ht="15.6" customHeight="1" x14ac:dyDescent="0.25">
      <c r="A765" s="24"/>
      <c r="B765" s="24"/>
      <c r="C765" s="25"/>
      <c r="D765" s="25"/>
      <c r="E765" s="25"/>
      <c r="F765" s="25"/>
      <c r="G765" s="26"/>
      <c r="H765" s="27"/>
      <c r="I765" s="24"/>
      <c r="J765" s="24"/>
      <c r="K765" s="28"/>
      <c r="L765" s="29"/>
      <c r="M765" s="29"/>
      <c r="N765" s="29"/>
      <c r="O765" s="27"/>
      <c r="P765" s="30"/>
      <c r="Q765" s="31"/>
      <c r="R765" s="31"/>
      <c r="S765" s="32"/>
      <c r="T765" s="32"/>
      <c r="U765" s="32"/>
      <c r="V765" s="32"/>
      <c r="W765" s="32"/>
      <c r="X765" s="32"/>
      <c r="Y765" s="32"/>
      <c r="Z765" s="32"/>
      <c r="AA765" s="32"/>
      <c r="AB765" s="32"/>
    </row>
    <row r="766" spans="1:28" ht="15.6" customHeight="1" x14ac:dyDescent="0.25">
      <c r="A766" s="24"/>
      <c r="B766" s="24"/>
      <c r="C766" s="25"/>
      <c r="D766" s="25"/>
      <c r="E766" s="25"/>
      <c r="F766" s="25"/>
      <c r="G766" s="26"/>
      <c r="H766" s="27"/>
      <c r="I766" s="24"/>
      <c r="J766" s="24"/>
      <c r="K766" s="28"/>
      <c r="L766" s="29"/>
      <c r="M766" s="29"/>
      <c r="N766" s="29"/>
      <c r="O766" s="27"/>
      <c r="P766" s="30"/>
      <c r="Q766" s="31"/>
      <c r="R766" s="31"/>
      <c r="S766" s="32"/>
      <c r="T766" s="32"/>
      <c r="U766" s="32"/>
      <c r="V766" s="32"/>
      <c r="W766" s="32"/>
      <c r="X766" s="32"/>
      <c r="Y766" s="32"/>
      <c r="Z766" s="32"/>
      <c r="AA766" s="32"/>
      <c r="AB766" s="32"/>
    </row>
    <row r="767" spans="1:28" ht="15.6" customHeight="1" x14ac:dyDescent="0.25">
      <c r="A767" s="24"/>
      <c r="B767" s="24"/>
      <c r="C767" s="25"/>
      <c r="D767" s="25"/>
      <c r="E767" s="25"/>
      <c r="F767" s="25"/>
      <c r="G767" s="26"/>
      <c r="H767" s="27"/>
      <c r="I767" s="24"/>
      <c r="J767" s="24"/>
      <c r="K767" s="28"/>
      <c r="L767" s="29"/>
      <c r="M767" s="29"/>
      <c r="N767" s="29"/>
      <c r="O767" s="27"/>
      <c r="P767" s="30"/>
      <c r="Q767" s="31"/>
      <c r="R767" s="31"/>
      <c r="S767" s="32"/>
      <c r="T767" s="32"/>
      <c r="U767" s="32"/>
      <c r="V767" s="32"/>
      <c r="W767" s="32"/>
      <c r="X767" s="32"/>
      <c r="Y767" s="32"/>
      <c r="Z767" s="32"/>
      <c r="AA767" s="32"/>
      <c r="AB767" s="32"/>
    </row>
    <row r="768" spans="1:28" ht="15.6" customHeight="1" x14ac:dyDescent="0.25">
      <c r="A768" s="24"/>
      <c r="B768" s="24"/>
      <c r="C768" s="25"/>
      <c r="D768" s="25"/>
      <c r="E768" s="25"/>
      <c r="F768" s="25"/>
      <c r="G768" s="26"/>
      <c r="H768" s="27"/>
      <c r="I768" s="24"/>
      <c r="J768" s="24"/>
      <c r="K768" s="28"/>
      <c r="L768" s="29"/>
      <c r="M768" s="29"/>
      <c r="N768" s="29"/>
      <c r="O768" s="27"/>
      <c r="P768" s="30"/>
      <c r="Q768" s="31"/>
      <c r="R768" s="31"/>
      <c r="S768" s="32"/>
      <c r="T768" s="32"/>
      <c r="U768" s="32"/>
      <c r="V768" s="32"/>
      <c r="W768" s="32"/>
      <c r="X768" s="32"/>
      <c r="Y768" s="32"/>
      <c r="Z768" s="32"/>
      <c r="AA768" s="32"/>
      <c r="AB768" s="32"/>
    </row>
    <row r="769" spans="1:28" ht="15.6" customHeight="1" x14ac:dyDescent="0.25">
      <c r="A769" s="24"/>
      <c r="B769" s="24"/>
      <c r="C769" s="25"/>
      <c r="D769" s="25"/>
      <c r="E769" s="25"/>
      <c r="F769" s="25"/>
      <c r="G769" s="26"/>
      <c r="H769" s="27"/>
      <c r="I769" s="24"/>
      <c r="J769" s="24"/>
      <c r="K769" s="28"/>
      <c r="L769" s="29"/>
      <c r="M769" s="29"/>
      <c r="N769" s="29"/>
      <c r="O769" s="27"/>
      <c r="P769" s="30"/>
      <c r="Q769" s="31"/>
      <c r="R769" s="31"/>
      <c r="S769" s="32"/>
      <c r="T769" s="32"/>
      <c r="U769" s="32"/>
      <c r="V769" s="32"/>
      <c r="W769" s="32"/>
      <c r="X769" s="32"/>
      <c r="Y769" s="32"/>
      <c r="Z769" s="32"/>
      <c r="AA769" s="32"/>
      <c r="AB769" s="32"/>
    </row>
    <row r="770" spans="1:28" ht="15.6" customHeight="1" x14ac:dyDescent="0.25">
      <c r="A770" s="24"/>
      <c r="B770" s="24"/>
      <c r="C770" s="25"/>
      <c r="D770" s="25"/>
      <c r="E770" s="25"/>
      <c r="F770" s="25"/>
      <c r="G770" s="26"/>
      <c r="H770" s="27"/>
      <c r="I770" s="24"/>
      <c r="J770" s="24"/>
      <c r="K770" s="28"/>
      <c r="L770" s="29"/>
      <c r="M770" s="29"/>
      <c r="N770" s="29"/>
      <c r="O770" s="27"/>
      <c r="P770" s="30"/>
      <c r="Q770" s="31"/>
      <c r="R770" s="31"/>
      <c r="S770" s="32"/>
      <c r="T770" s="32"/>
      <c r="U770" s="32"/>
      <c r="V770" s="32"/>
      <c r="W770" s="32"/>
      <c r="X770" s="32"/>
      <c r="Y770" s="32"/>
      <c r="Z770" s="32"/>
      <c r="AA770" s="32"/>
      <c r="AB770" s="32"/>
    </row>
    <row r="771" spans="1:28" ht="15.6" customHeight="1" x14ac:dyDescent="0.25">
      <c r="A771" s="24"/>
      <c r="B771" s="24"/>
      <c r="C771" s="25"/>
      <c r="D771" s="25"/>
      <c r="E771" s="25"/>
      <c r="F771" s="25"/>
      <c r="G771" s="26"/>
      <c r="H771" s="27"/>
      <c r="I771" s="24"/>
      <c r="J771" s="24"/>
      <c r="K771" s="28"/>
      <c r="L771" s="29"/>
      <c r="M771" s="29"/>
      <c r="N771" s="29"/>
      <c r="O771" s="27"/>
      <c r="P771" s="30"/>
      <c r="Q771" s="31"/>
      <c r="R771" s="31"/>
      <c r="S771" s="32"/>
      <c r="T771" s="32"/>
      <c r="U771" s="32"/>
      <c r="V771" s="32"/>
      <c r="W771" s="32"/>
      <c r="X771" s="32"/>
      <c r="Y771" s="32"/>
      <c r="Z771" s="32"/>
      <c r="AA771" s="32"/>
      <c r="AB771" s="32"/>
    </row>
    <row r="772" spans="1:28" ht="15.6" customHeight="1" x14ac:dyDescent="0.25">
      <c r="A772" s="24"/>
      <c r="B772" s="24"/>
      <c r="C772" s="25"/>
      <c r="D772" s="25"/>
      <c r="E772" s="25"/>
      <c r="F772" s="25"/>
      <c r="G772" s="26"/>
      <c r="H772" s="27"/>
      <c r="I772" s="24"/>
      <c r="J772" s="24"/>
      <c r="K772" s="28"/>
      <c r="L772" s="29"/>
      <c r="M772" s="29"/>
      <c r="N772" s="29"/>
      <c r="O772" s="27"/>
      <c r="P772" s="30"/>
      <c r="Q772" s="31"/>
      <c r="R772" s="31"/>
      <c r="S772" s="32"/>
      <c r="T772" s="32"/>
      <c r="U772" s="32"/>
      <c r="V772" s="32"/>
      <c r="W772" s="32"/>
      <c r="X772" s="32"/>
      <c r="Y772" s="32"/>
      <c r="Z772" s="32"/>
      <c r="AA772" s="32"/>
      <c r="AB772" s="32"/>
    </row>
    <row r="773" spans="1:28" ht="15.6" customHeight="1" x14ac:dyDescent="0.25">
      <c r="A773" s="24"/>
      <c r="B773" s="24"/>
      <c r="C773" s="25"/>
      <c r="D773" s="25"/>
      <c r="E773" s="25"/>
      <c r="F773" s="25"/>
      <c r="G773" s="26"/>
      <c r="H773" s="27"/>
      <c r="I773" s="24"/>
      <c r="J773" s="24"/>
      <c r="K773" s="28"/>
      <c r="L773" s="29"/>
      <c r="M773" s="29"/>
      <c r="N773" s="29"/>
      <c r="O773" s="27"/>
      <c r="P773" s="30"/>
      <c r="Q773" s="31"/>
      <c r="R773" s="31"/>
      <c r="S773" s="32"/>
      <c r="T773" s="32"/>
      <c r="U773" s="32"/>
      <c r="V773" s="32"/>
      <c r="W773" s="32"/>
      <c r="X773" s="32"/>
      <c r="Y773" s="32"/>
      <c r="Z773" s="32"/>
      <c r="AA773" s="32"/>
      <c r="AB773" s="32"/>
    </row>
    <row r="774" spans="1:28" ht="15.6" customHeight="1" x14ac:dyDescent="0.25">
      <c r="A774" s="24"/>
      <c r="B774" s="24"/>
      <c r="C774" s="25"/>
      <c r="D774" s="25"/>
      <c r="E774" s="25"/>
      <c r="F774" s="25"/>
      <c r="G774" s="26"/>
      <c r="H774" s="27"/>
      <c r="I774" s="24"/>
      <c r="J774" s="24"/>
      <c r="K774" s="28"/>
      <c r="L774" s="29"/>
      <c r="M774" s="29"/>
      <c r="N774" s="29"/>
      <c r="O774" s="27"/>
      <c r="P774" s="30"/>
      <c r="Q774" s="31"/>
      <c r="R774" s="31"/>
      <c r="S774" s="32"/>
      <c r="T774" s="32"/>
      <c r="U774" s="32"/>
      <c r="V774" s="32"/>
      <c r="W774" s="32"/>
      <c r="X774" s="32"/>
      <c r="Y774" s="32"/>
      <c r="Z774" s="32"/>
      <c r="AA774" s="32"/>
      <c r="AB774" s="32"/>
    </row>
    <row r="775" spans="1:28" ht="15.6" customHeight="1" x14ac:dyDescent="0.25">
      <c r="A775" s="24"/>
      <c r="B775" s="24"/>
      <c r="C775" s="25"/>
      <c r="D775" s="25"/>
      <c r="E775" s="25"/>
      <c r="F775" s="25"/>
      <c r="G775" s="26"/>
      <c r="H775" s="27"/>
      <c r="I775" s="24"/>
      <c r="J775" s="24"/>
      <c r="K775" s="28"/>
      <c r="L775" s="29"/>
      <c r="M775" s="29"/>
      <c r="N775" s="29"/>
      <c r="O775" s="27"/>
      <c r="P775" s="30"/>
      <c r="Q775" s="31"/>
      <c r="R775" s="31"/>
      <c r="S775" s="32"/>
      <c r="T775" s="32"/>
      <c r="U775" s="32"/>
      <c r="V775" s="32"/>
      <c r="W775" s="32"/>
      <c r="X775" s="32"/>
      <c r="Y775" s="32"/>
      <c r="Z775" s="32"/>
      <c r="AA775" s="32"/>
      <c r="AB775" s="32"/>
    </row>
    <row r="776" spans="1:28" ht="15.6" customHeight="1" x14ac:dyDescent="0.25">
      <c r="A776" s="24"/>
      <c r="B776" s="24"/>
      <c r="C776" s="25"/>
      <c r="D776" s="25"/>
      <c r="E776" s="25"/>
      <c r="F776" s="25"/>
      <c r="G776" s="26"/>
      <c r="H776" s="27"/>
      <c r="I776" s="24"/>
      <c r="J776" s="24"/>
      <c r="K776" s="28"/>
      <c r="L776" s="29"/>
      <c r="M776" s="29"/>
      <c r="N776" s="29"/>
      <c r="O776" s="27"/>
      <c r="P776" s="30"/>
      <c r="Q776" s="31"/>
      <c r="R776" s="31"/>
      <c r="S776" s="32"/>
      <c r="T776" s="32"/>
      <c r="U776" s="32"/>
      <c r="V776" s="32"/>
      <c r="W776" s="32"/>
      <c r="X776" s="32"/>
      <c r="Y776" s="32"/>
      <c r="Z776" s="32"/>
      <c r="AA776" s="32"/>
      <c r="AB776" s="32"/>
    </row>
    <row r="777" spans="1:28" ht="15.6" customHeight="1" x14ac:dyDescent="0.25">
      <c r="A777" s="24"/>
      <c r="B777" s="24"/>
      <c r="C777" s="25"/>
      <c r="D777" s="25"/>
      <c r="E777" s="25"/>
      <c r="F777" s="25"/>
      <c r="G777" s="26"/>
      <c r="H777" s="27"/>
      <c r="I777" s="24"/>
      <c r="J777" s="24"/>
      <c r="K777" s="28"/>
      <c r="L777" s="29"/>
      <c r="M777" s="29"/>
      <c r="N777" s="29"/>
      <c r="O777" s="27"/>
      <c r="P777" s="30"/>
      <c r="Q777" s="31"/>
      <c r="R777" s="31"/>
      <c r="S777" s="32"/>
      <c r="T777" s="32"/>
      <c r="U777" s="32"/>
      <c r="V777" s="32"/>
      <c r="W777" s="32"/>
      <c r="X777" s="32"/>
      <c r="Y777" s="32"/>
      <c r="Z777" s="32"/>
      <c r="AA777" s="32"/>
      <c r="AB777" s="32"/>
    </row>
    <row r="778" spans="1:28" ht="15.6" customHeight="1" x14ac:dyDescent="0.25">
      <c r="A778" s="24"/>
      <c r="B778" s="24"/>
      <c r="C778" s="25"/>
      <c r="D778" s="25"/>
      <c r="E778" s="25"/>
      <c r="F778" s="25"/>
      <c r="G778" s="26"/>
      <c r="H778" s="27"/>
      <c r="I778" s="24"/>
      <c r="J778" s="24"/>
      <c r="K778" s="28"/>
      <c r="L778" s="29"/>
      <c r="M778" s="29"/>
      <c r="N778" s="29"/>
      <c r="O778" s="27"/>
      <c r="P778" s="30"/>
      <c r="Q778" s="31"/>
      <c r="R778" s="31"/>
      <c r="S778" s="32"/>
      <c r="T778" s="32"/>
      <c r="U778" s="32"/>
      <c r="V778" s="32"/>
      <c r="W778" s="32"/>
      <c r="X778" s="32"/>
      <c r="Y778" s="32"/>
      <c r="Z778" s="32"/>
      <c r="AA778" s="32"/>
      <c r="AB778" s="32"/>
    </row>
    <row r="779" spans="1:28" ht="15.6" customHeight="1" x14ac:dyDescent="0.25">
      <c r="A779" s="24"/>
      <c r="B779" s="24"/>
      <c r="C779" s="25"/>
      <c r="D779" s="25"/>
      <c r="E779" s="25"/>
      <c r="F779" s="25"/>
      <c r="G779" s="26"/>
      <c r="H779" s="27"/>
      <c r="I779" s="24"/>
      <c r="J779" s="24"/>
      <c r="K779" s="28"/>
      <c r="L779" s="29"/>
      <c r="M779" s="29"/>
      <c r="N779" s="29"/>
      <c r="O779" s="27"/>
      <c r="P779" s="30"/>
      <c r="Q779" s="31"/>
      <c r="R779" s="31"/>
      <c r="S779" s="32"/>
      <c r="T779" s="32"/>
      <c r="U779" s="32"/>
      <c r="V779" s="32"/>
      <c r="W779" s="32"/>
      <c r="X779" s="32"/>
      <c r="Y779" s="32"/>
      <c r="Z779" s="32"/>
      <c r="AA779" s="32"/>
      <c r="AB779" s="32"/>
    </row>
    <row r="780" spans="1:28" ht="15.6" customHeight="1" x14ac:dyDescent="0.25">
      <c r="A780" s="24"/>
      <c r="B780" s="24"/>
      <c r="C780" s="25"/>
      <c r="D780" s="25"/>
      <c r="E780" s="25"/>
      <c r="F780" s="25"/>
      <c r="G780" s="26"/>
      <c r="H780" s="27"/>
      <c r="I780" s="24"/>
      <c r="J780" s="24"/>
      <c r="K780" s="28"/>
      <c r="L780" s="29"/>
      <c r="M780" s="29"/>
      <c r="N780" s="29"/>
      <c r="O780" s="27"/>
      <c r="P780" s="30"/>
      <c r="Q780" s="31"/>
      <c r="R780" s="31"/>
      <c r="S780" s="32"/>
      <c r="T780" s="32"/>
      <c r="U780" s="32"/>
      <c r="V780" s="32"/>
      <c r="W780" s="32"/>
      <c r="X780" s="32"/>
      <c r="Y780" s="32"/>
      <c r="Z780" s="32"/>
      <c r="AA780" s="32"/>
      <c r="AB780" s="32"/>
    </row>
    <row r="781" spans="1:28" ht="15.6" customHeight="1" x14ac:dyDescent="0.25">
      <c r="A781" s="24"/>
      <c r="B781" s="24"/>
      <c r="C781" s="25"/>
      <c r="D781" s="25"/>
      <c r="E781" s="25"/>
      <c r="F781" s="25"/>
      <c r="G781" s="26"/>
      <c r="H781" s="27"/>
      <c r="I781" s="24"/>
      <c r="J781" s="24"/>
      <c r="K781" s="28"/>
      <c r="L781" s="29"/>
      <c r="M781" s="29"/>
      <c r="N781" s="29"/>
      <c r="O781" s="27"/>
      <c r="P781" s="30"/>
      <c r="Q781" s="31"/>
      <c r="R781" s="31"/>
      <c r="S781" s="32"/>
      <c r="T781" s="32"/>
      <c r="U781" s="32"/>
      <c r="V781" s="32"/>
      <c r="W781" s="32"/>
      <c r="X781" s="32"/>
      <c r="Y781" s="32"/>
      <c r="Z781" s="32"/>
      <c r="AA781" s="32"/>
      <c r="AB781" s="32"/>
    </row>
    <row r="782" spans="1:28" ht="15.6" customHeight="1" x14ac:dyDescent="0.25">
      <c r="A782" s="24"/>
      <c r="B782" s="24"/>
      <c r="C782" s="25"/>
      <c r="D782" s="25"/>
      <c r="E782" s="25"/>
      <c r="F782" s="25"/>
      <c r="G782" s="26"/>
      <c r="H782" s="27"/>
      <c r="I782" s="24"/>
      <c r="J782" s="24"/>
      <c r="K782" s="28"/>
      <c r="L782" s="29"/>
      <c r="M782" s="29"/>
      <c r="N782" s="29"/>
      <c r="O782" s="27"/>
      <c r="P782" s="30"/>
      <c r="Q782" s="31"/>
      <c r="R782" s="31"/>
      <c r="S782" s="32"/>
      <c r="T782" s="32"/>
      <c r="U782" s="32"/>
      <c r="V782" s="32"/>
      <c r="W782" s="32"/>
      <c r="X782" s="32"/>
      <c r="Y782" s="32"/>
      <c r="Z782" s="32"/>
      <c r="AA782" s="32"/>
      <c r="AB782" s="32"/>
    </row>
    <row r="783" spans="1:28" ht="15.6" customHeight="1" x14ac:dyDescent="0.25">
      <c r="A783" s="24"/>
      <c r="B783" s="24"/>
      <c r="C783" s="25"/>
      <c r="D783" s="25"/>
      <c r="E783" s="25"/>
      <c r="F783" s="25"/>
      <c r="G783" s="26"/>
      <c r="H783" s="27"/>
      <c r="I783" s="24"/>
      <c r="J783" s="24"/>
      <c r="K783" s="28"/>
      <c r="L783" s="29"/>
      <c r="M783" s="29"/>
      <c r="N783" s="29"/>
      <c r="O783" s="27"/>
      <c r="P783" s="30"/>
      <c r="Q783" s="31"/>
      <c r="R783" s="31"/>
      <c r="S783" s="32"/>
      <c r="T783" s="32"/>
      <c r="U783" s="32"/>
      <c r="V783" s="32"/>
      <c r="W783" s="32"/>
      <c r="X783" s="32"/>
      <c r="Y783" s="32"/>
      <c r="Z783" s="32"/>
      <c r="AA783" s="32"/>
      <c r="AB783" s="32"/>
    </row>
    <row r="784" spans="1:28" ht="15.6" customHeight="1" x14ac:dyDescent="0.25">
      <c r="A784" s="24"/>
      <c r="B784" s="24"/>
      <c r="C784" s="25"/>
      <c r="D784" s="25"/>
      <c r="E784" s="25"/>
      <c r="F784" s="25"/>
      <c r="G784" s="26"/>
      <c r="H784" s="27"/>
      <c r="I784" s="24"/>
      <c r="J784" s="24"/>
      <c r="K784" s="28"/>
      <c r="L784" s="29"/>
      <c r="M784" s="29"/>
      <c r="N784" s="29"/>
      <c r="O784" s="27"/>
      <c r="P784" s="30"/>
      <c r="Q784" s="31"/>
      <c r="R784" s="31"/>
      <c r="S784" s="32"/>
      <c r="T784" s="32"/>
      <c r="U784" s="32"/>
      <c r="V784" s="32"/>
      <c r="W784" s="32"/>
      <c r="X784" s="32"/>
      <c r="Y784" s="32"/>
      <c r="Z784" s="32"/>
      <c r="AA784" s="32"/>
      <c r="AB784" s="32"/>
    </row>
    <row r="785" spans="1:28" ht="15.6" customHeight="1" x14ac:dyDescent="0.25">
      <c r="A785" s="24"/>
      <c r="B785" s="24"/>
      <c r="C785" s="25"/>
      <c r="D785" s="25"/>
      <c r="E785" s="25"/>
      <c r="F785" s="25"/>
      <c r="G785" s="26"/>
      <c r="H785" s="27"/>
      <c r="I785" s="24"/>
      <c r="J785" s="24"/>
      <c r="K785" s="28"/>
      <c r="L785" s="29"/>
      <c r="M785" s="29"/>
      <c r="N785" s="29"/>
      <c r="O785" s="27"/>
      <c r="P785" s="30"/>
      <c r="Q785" s="31"/>
      <c r="R785" s="31"/>
      <c r="S785" s="32"/>
      <c r="T785" s="32"/>
      <c r="U785" s="32"/>
      <c r="V785" s="32"/>
      <c r="W785" s="32"/>
      <c r="X785" s="32"/>
      <c r="Y785" s="32"/>
      <c r="Z785" s="32"/>
      <c r="AA785" s="32"/>
      <c r="AB785" s="32"/>
    </row>
    <row r="786" spans="1:28" ht="15.6" customHeight="1" x14ac:dyDescent="0.25">
      <c r="A786" s="24"/>
      <c r="B786" s="24"/>
      <c r="C786" s="25"/>
      <c r="D786" s="25"/>
      <c r="E786" s="25"/>
      <c r="F786" s="25"/>
      <c r="G786" s="26"/>
      <c r="H786" s="27"/>
      <c r="I786" s="24"/>
      <c r="J786" s="24"/>
      <c r="K786" s="28"/>
      <c r="L786" s="29"/>
      <c r="M786" s="29"/>
      <c r="N786" s="29"/>
      <c r="O786" s="27"/>
      <c r="P786" s="30"/>
      <c r="Q786" s="31"/>
      <c r="R786" s="31"/>
      <c r="S786" s="32"/>
      <c r="T786" s="32"/>
      <c r="U786" s="32"/>
      <c r="V786" s="32"/>
      <c r="W786" s="32"/>
      <c r="X786" s="32"/>
      <c r="Y786" s="32"/>
      <c r="Z786" s="32"/>
      <c r="AA786" s="32"/>
      <c r="AB786" s="32"/>
    </row>
    <row r="787" spans="1:28" ht="15.6" customHeight="1" x14ac:dyDescent="0.25">
      <c r="A787" s="24"/>
      <c r="B787" s="24"/>
      <c r="C787" s="25"/>
      <c r="D787" s="25"/>
      <c r="E787" s="25"/>
      <c r="F787" s="25"/>
      <c r="G787" s="26"/>
      <c r="H787" s="27"/>
      <c r="I787" s="24"/>
      <c r="J787" s="24"/>
      <c r="K787" s="28"/>
      <c r="L787" s="29"/>
      <c r="M787" s="29"/>
      <c r="N787" s="29"/>
      <c r="O787" s="27"/>
      <c r="P787" s="30"/>
      <c r="Q787" s="31"/>
      <c r="R787" s="31"/>
      <c r="S787" s="32"/>
      <c r="T787" s="32"/>
      <c r="U787" s="32"/>
      <c r="V787" s="32"/>
      <c r="W787" s="32"/>
      <c r="X787" s="32"/>
      <c r="Y787" s="32"/>
      <c r="Z787" s="32"/>
      <c r="AA787" s="32"/>
      <c r="AB787" s="32"/>
    </row>
    <row r="788" spans="1:28" ht="15.6" customHeight="1" x14ac:dyDescent="0.25">
      <c r="A788" s="24"/>
      <c r="B788" s="24"/>
      <c r="C788" s="25"/>
      <c r="D788" s="25"/>
      <c r="E788" s="25"/>
      <c r="F788" s="25"/>
      <c r="G788" s="26"/>
      <c r="H788" s="27"/>
      <c r="I788" s="24"/>
      <c r="J788" s="24"/>
      <c r="K788" s="28"/>
      <c r="L788" s="29"/>
      <c r="M788" s="29"/>
      <c r="N788" s="29"/>
      <c r="O788" s="27"/>
      <c r="P788" s="30"/>
      <c r="Q788" s="31"/>
      <c r="R788" s="31"/>
      <c r="S788" s="32"/>
      <c r="T788" s="32"/>
      <c r="U788" s="32"/>
      <c r="V788" s="32"/>
      <c r="W788" s="32"/>
      <c r="X788" s="32"/>
      <c r="Y788" s="32"/>
      <c r="Z788" s="32"/>
      <c r="AA788" s="32"/>
      <c r="AB788" s="32"/>
    </row>
    <row r="789" spans="1:28" ht="15.6" customHeight="1" x14ac:dyDescent="0.25">
      <c r="A789" s="24"/>
      <c r="B789" s="24"/>
      <c r="C789" s="25"/>
      <c r="D789" s="25"/>
      <c r="E789" s="25"/>
      <c r="F789" s="25"/>
      <c r="G789" s="26"/>
      <c r="H789" s="27"/>
      <c r="I789" s="24"/>
      <c r="J789" s="24"/>
      <c r="K789" s="28"/>
      <c r="L789" s="29"/>
      <c r="M789" s="29"/>
      <c r="N789" s="29"/>
      <c r="O789" s="27"/>
      <c r="P789" s="30"/>
      <c r="Q789" s="31"/>
      <c r="R789" s="31"/>
      <c r="S789" s="32"/>
      <c r="T789" s="32"/>
      <c r="U789" s="32"/>
      <c r="V789" s="32"/>
      <c r="W789" s="32"/>
      <c r="X789" s="32"/>
      <c r="Y789" s="32"/>
      <c r="Z789" s="32"/>
      <c r="AA789" s="32"/>
      <c r="AB789" s="32"/>
    </row>
    <row r="790" spans="1:28" ht="15.6" customHeight="1" x14ac:dyDescent="0.25">
      <c r="A790" s="24"/>
      <c r="B790" s="24"/>
      <c r="C790" s="25"/>
      <c r="D790" s="25"/>
      <c r="E790" s="25"/>
      <c r="F790" s="25"/>
      <c r="G790" s="26"/>
      <c r="H790" s="27"/>
      <c r="I790" s="24"/>
      <c r="J790" s="24"/>
      <c r="K790" s="28"/>
      <c r="L790" s="29"/>
      <c r="M790" s="29"/>
      <c r="N790" s="29"/>
      <c r="O790" s="27"/>
      <c r="P790" s="30"/>
      <c r="Q790" s="31"/>
      <c r="R790" s="31"/>
      <c r="S790" s="32"/>
      <c r="T790" s="32"/>
      <c r="U790" s="32"/>
      <c r="V790" s="32"/>
      <c r="W790" s="32"/>
      <c r="X790" s="32"/>
      <c r="Y790" s="32"/>
      <c r="Z790" s="32"/>
      <c r="AA790" s="32"/>
      <c r="AB790" s="32"/>
    </row>
    <row r="791" spans="1:28" ht="15.6" customHeight="1" x14ac:dyDescent="0.25">
      <c r="A791" s="24"/>
      <c r="B791" s="24"/>
      <c r="C791" s="25"/>
      <c r="D791" s="25"/>
      <c r="E791" s="25"/>
      <c r="F791" s="25"/>
      <c r="G791" s="26"/>
      <c r="H791" s="27"/>
      <c r="I791" s="24"/>
      <c r="J791" s="24"/>
      <c r="K791" s="28"/>
      <c r="L791" s="29"/>
      <c r="M791" s="29"/>
      <c r="N791" s="29"/>
      <c r="O791" s="27"/>
      <c r="P791" s="30"/>
      <c r="Q791" s="31"/>
      <c r="R791" s="31"/>
      <c r="S791" s="32"/>
      <c r="T791" s="32"/>
      <c r="U791" s="32"/>
      <c r="V791" s="32"/>
      <c r="W791" s="32"/>
      <c r="X791" s="32"/>
      <c r="Y791" s="32"/>
      <c r="Z791" s="32"/>
      <c r="AA791" s="32"/>
      <c r="AB791" s="32"/>
    </row>
    <row r="792" spans="1:28" ht="15.6" customHeight="1" x14ac:dyDescent="0.25">
      <c r="A792" s="24"/>
      <c r="B792" s="24"/>
      <c r="C792" s="25"/>
      <c r="D792" s="25"/>
      <c r="E792" s="25"/>
      <c r="F792" s="25"/>
      <c r="G792" s="26"/>
      <c r="H792" s="27"/>
      <c r="I792" s="24"/>
      <c r="J792" s="24"/>
      <c r="K792" s="28"/>
      <c r="L792" s="29"/>
      <c r="M792" s="29"/>
      <c r="N792" s="29"/>
      <c r="O792" s="27"/>
      <c r="P792" s="30"/>
      <c r="Q792" s="31"/>
      <c r="R792" s="31"/>
      <c r="S792" s="32"/>
      <c r="T792" s="32"/>
      <c r="U792" s="32"/>
      <c r="V792" s="32"/>
      <c r="W792" s="32"/>
      <c r="X792" s="32"/>
      <c r="Y792" s="32"/>
      <c r="Z792" s="32"/>
      <c r="AA792" s="32"/>
      <c r="AB792" s="32"/>
    </row>
    <row r="793" spans="1:28" ht="15.6" customHeight="1" x14ac:dyDescent="0.25">
      <c r="A793" s="24"/>
      <c r="B793" s="24"/>
      <c r="C793" s="25"/>
      <c r="D793" s="25"/>
      <c r="E793" s="25"/>
      <c r="F793" s="25"/>
      <c r="G793" s="26"/>
      <c r="H793" s="27"/>
      <c r="I793" s="24"/>
      <c r="J793" s="24"/>
      <c r="K793" s="28"/>
      <c r="L793" s="29"/>
      <c r="M793" s="29"/>
      <c r="N793" s="29"/>
      <c r="O793" s="27"/>
      <c r="P793" s="30"/>
      <c r="Q793" s="31"/>
      <c r="R793" s="31"/>
      <c r="S793" s="32"/>
      <c r="T793" s="32"/>
      <c r="U793" s="32"/>
      <c r="V793" s="32"/>
      <c r="W793" s="32"/>
      <c r="X793" s="32"/>
      <c r="Y793" s="32"/>
      <c r="Z793" s="32"/>
      <c r="AA793" s="32"/>
      <c r="AB793" s="32"/>
    </row>
    <row r="794" spans="1:28" ht="15.6" customHeight="1" x14ac:dyDescent="0.25">
      <c r="A794" s="24"/>
      <c r="B794" s="24"/>
      <c r="C794" s="25"/>
      <c r="D794" s="25"/>
      <c r="E794" s="25"/>
      <c r="F794" s="25"/>
      <c r="G794" s="26"/>
      <c r="H794" s="27"/>
      <c r="I794" s="24"/>
      <c r="J794" s="24"/>
      <c r="K794" s="28"/>
      <c r="L794" s="29"/>
      <c r="M794" s="29"/>
      <c r="N794" s="29"/>
      <c r="O794" s="27"/>
      <c r="P794" s="30"/>
      <c r="Q794" s="31"/>
      <c r="R794" s="31"/>
      <c r="S794" s="32"/>
      <c r="T794" s="32"/>
      <c r="U794" s="32"/>
      <c r="V794" s="32"/>
      <c r="W794" s="32"/>
      <c r="X794" s="32"/>
      <c r="Y794" s="32"/>
      <c r="Z794" s="32"/>
      <c r="AA794" s="32"/>
      <c r="AB794" s="32"/>
    </row>
    <row r="795" spans="1:28" ht="15.6" customHeight="1" x14ac:dyDescent="0.25">
      <c r="A795" s="24"/>
      <c r="B795" s="24"/>
      <c r="C795" s="25"/>
      <c r="D795" s="25"/>
      <c r="E795" s="25"/>
      <c r="F795" s="25"/>
      <c r="G795" s="26"/>
      <c r="H795" s="27"/>
      <c r="I795" s="24"/>
      <c r="J795" s="24"/>
      <c r="K795" s="28"/>
      <c r="L795" s="29"/>
      <c r="M795" s="29"/>
      <c r="N795" s="29"/>
      <c r="O795" s="27"/>
      <c r="P795" s="30"/>
      <c r="Q795" s="31"/>
      <c r="R795" s="31"/>
      <c r="S795" s="32"/>
      <c r="T795" s="32"/>
      <c r="U795" s="32"/>
      <c r="V795" s="32"/>
      <c r="W795" s="32"/>
      <c r="X795" s="32"/>
      <c r="Y795" s="32"/>
      <c r="Z795" s="32"/>
      <c r="AA795" s="32"/>
      <c r="AB795" s="32"/>
    </row>
    <row r="796" spans="1:28" ht="15.6" customHeight="1" x14ac:dyDescent="0.25">
      <c r="A796" s="24"/>
      <c r="B796" s="24"/>
      <c r="C796" s="25"/>
      <c r="D796" s="25"/>
      <c r="E796" s="25"/>
      <c r="F796" s="25"/>
      <c r="G796" s="26"/>
      <c r="H796" s="27"/>
      <c r="I796" s="24"/>
      <c r="J796" s="24"/>
      <c r="K796" s="28"/>
      <c r="L796" s="29"/>
      <c r="M796" s="29"/>
      <c r="N796" s="29"/>
      <c r="O796" s="27"/>
      <c r="P796" s="30"/>
      <c r="Q796" s="31"/>
      <c r="R796" s="31"/>
      <c r="S796" s="32"/>
      <c r="T796" s="32"/>
      <c r="U796" s="32"/>
      <c r="V796" s="32"/>
      <c r="W796" s="32"/>
      <c r="X796" s="32"/>
      <c r="Y796" s="32"/>
      <c r="Z796" s="32"/>
      <c r="AA796" s="32"/>
      <c r="AB796" s="32"/>
    </row>
    <row r="797" spans="1:28" ht="15.6" customHeight="1" x14ac:dyDescent="0.25">
      <c r="A797" s="24"/>
      <c r="B797" s="24"/>
      <c r="C797" s="25"/>
      <c r="D797" s="25"/>
      <c r="E797" s="25"/>
      <c r="F797" s="25"/>
      <c r="G797" s="26"/>
      <c r="H797" s="27"/>
      <c r="I797" s="24"/>
      <c r="J797" s="24"/>
      <c r="K797" s="28"/>
      <c r="L797" s="29"/>
      <c r="M797" s="29"/>
      <c r="N797" s="29"/>
      <c r="O797" s="27"/>
      <c r="P797" s="30"/>
      <c r="Q797" s="31"/>
      <c r="R797" s="31"/>
      <c r="S797" s="32"/>
      <c r="T797" s="32"/>
      <c r="U797" s="32"/>
      <c r="V797" s="32"/>
      <c r="W797" s="32"/>
      <c r="X797" s="32"/>
      <c r="Y797" s="32"/>
      <c r="Z797" s="32"/>
      <c r="AA797" s="32"/>
      <c r="AB797" s="32"/>
    </row>
    <row r="798" spans="1:28" ht="15.6" customHeight="1" x14ac:dyDescent="0.25">
      <c r="A798" s="24"/>
      <c r="B798" s="24"/>
      <c r="C798" s="25"/>
      <c r="D798" s="25"/>
      <c r="E798" s="25"/>
      <c r="F798" s="25"/>
      <c r="G798" s="26"/>
      <c r="H798" s="27"/>
      <c r="I798" s="24"/>
      <c r="J798" s="24"/>
      <c r="K798" s="28"/>
      <c r="L798" s="29"/>
      <c r="M798" s="29"/>
      <c r="N798" s="29"/>
      <c r="O798" s="27"/>
      <c r="P798" s="30"/>
      <c r="Q798" s="31"/>
      <c r="R798" s="31"/>
      <c r="S798" s="32"/>
      <c r="T798" s="32"/>
      <c r="U798" s="32"/>
      <c r="V798" s="32"/>
      <c r="W798" s="32"/>
      <c r="X798" s="32"/>
      <c r="Y798" s="32"/>
      <c r="Z798" s="32"/>
      <c r="AA798" s="32"/>
      <c r="AB798" s="32"/>
    </row>
    <row r="799" spans="1:28" ht="15.6" customHeight="1" x14ac:dyDescent="0.25">
      <c r="A799" s="24"/>
      <c r="B799" s="24"/>
      <c r="C799" s="25"/>
      <c r="D799" s="25"/>
      <c r="E799" s="25"/>
      <c r="F799" s="25"/>
      <c r="G799" s="26"/>
      <c r="H799" s="27"/>
      <c r="I799" s="24"/>
      <c r="J799" s="24"/>
      <c r="K799" s="28"/>
      <c r="L799" s="29"/>
      <c r="M799" s="29"/>
      <c r="N799" s="29"/>
      <c r="O799" s="27"/>
      <c r="P799" s="30"/>
      <c r="Q799" s="31"/>
      <c r="R799" s="31"/>
      <c r="S799" s="32"/>
      <c r="T799" s="32"/>
      <c r="U799" s="32"/>
      <c r="V799" s="32"/>
      <c r="W799" s="32"/>
      <c r="X799" s="32"/>
      <c r="Y799" s="32"/>
      <c r="Z799" s="32"/>
      <c r="AA799" s="32"/>
      <c r="AB799" s="32"/>
    </row>
    <row r="800" spans="1:28" ht="15.6" customHeight="1" x14ac:dyDescent="0.25">
      <c r="A800" s="24"/>
      <c r="B800" s="24"/>
      <c r="C800" s="25"/>
      <c r="D800" s="25"/>
      <c r="E800" s="25"/>
      <c r="F800" s="25"/>
      <c r="G800" s="26"/>
      <c r="H800" s="27"/>
      <c r="I800" s="24"/>
      <c r="J800" s="24"/>
      <c r="K800" s="28"/>
      <c r="L800" s="29"/>
      <c r="M800" s="29"/>
      <c r="N800" s="29"/>
      <c r="O800" s="27"/>
      <c r="P800" s="30"/>
      <c r="Q800" s="31"/>
      <c r="R800" s="31"/>
      <c r="S800" s="32"/>
      <c r="T800" s="32"/>
      <c r="U800" s="32"/>
      <c r="V800" s="32"/>
      <c r="W800" s="32"/>
      <c r="X800" s="32"/>
      <c r="Y800" s="32"/>
      <c r="Z800" s="32"/>
      <c r="AA800" s="32"/>
      <c r="AB800" s="32"/>
    </row>
    <row r="801" spans="1:28" ht="15.6" customHeight="1" x14ac:dyDescent="0.25">
      <c r="A801" s="24"/>
      <c r="B801" s="24"/>
      <c r="C801" s="25"/>
      <c r="D801" s="25"/>
      <c r="E801" s="25"/>
      <c r="F801" s="25"/>
      <c r="G801" s="26"/>
      <c r="H801" s="27"/>
      <c r="I801" s="24"/>
      <c r="J801" s="24"/>
      <c r="K801" s="28"/>
      <c r="L801" s="29"/>
      <c r="M801" s="29"/>
      <c r="N801" s="29"/>
      <c r="O801" s="27"/>
      <c r="P801" s="30"/>
      <c r="Q801" s="31"/>
      <c r="R801" s="31"/>
      <c r="S801" s="32"/>
      <c r="T801" s="32"/>
      <c r="U801" s="32"/>
      <c r="V801" s="32"/>
      <c r="W801" s="32"/>
      <c r="X801" s="32"/>
      <c r="Y801" s="32"/>
      <c r="Z801" s="32"/>
      <c r="AA801" s="32"/>
      <c r="AB801" s="32"/>
    </row>
    <row r="802" spans="1:28" ht="15.6" customHeight="1" x14ac:dyDescent="0.25">
      <c r="A802" s="24"/>
      <c r="B802" s="24"/>
      <c r="C802" s="25"/>
      <c r="D802" s="25"/>
      <c r="E802" s="25"/>
      <c r="F802" s="25"/>
      <c r="G802" s="26"/>
      <c r="H802" s="27"/>
      <c r="I802" s="24"/>
      <c r="J802" s="24"/>
      <c r="K802" s="28"/>
      <c r="L802" s="29"/>
      <c r="M802" s="29"/>
      <c r="N802" s="29"/>
      <c r="O802" s="27"/>
      <c r="P802" s="30"/>
      <c r="Q802" s="31"/>
      <c r="R802" s="31"/>
      <c r="S802" s="32"/>
      <c r="T802" s="32"/>
      <c r="U802" s="32"/>
      <c r="V802" s="32"/>
      <c r="W802" s="32"/>
      <c r="X802" s="32"/>
      <c r="Y802" s="32"/>
      <c r="Z802" s="32"/>
      <c r="AA802" s="32"/>
      <c r="AB802" s="32"/>
    </row>
    <row r="803" spans="1:28" ht="15.6" customHeight="1" x14ac:dyDescent="0.25">
      <c r="A803" s="24"/>
      <c r="B803" s="24"/>
      <c r="C803" s="25"/>
      <c r="D803" s="25"/>
      <c r="E803" s="25"/>
      <c r="F803" s="25"/>
      <c r="G803" s="26"/>
      <c r="H803" s="27"/>
      <c r="I803" s="24"/>
      <c r="J803" s="24"/>
      <c r="K803" s="28"/>
      <c r="L803" s="29"/>
      <c r="M803" s="29"/>
      <c r="N803" s="29"/>
      <c r="O803" s="27"/>
      <c r="P803" s="30"/>
      <c r="Q803" s="31"/>
      <c r="R803" s="31"/>
      <c r="S803" s="32"/>
      <c r="T803" s="32"/>
      <c r="U803" s="32"/>
      <c r="V803" s="32"/>
      <c r="W803" s="32"/>
      <c r="X803" s="32"/>
      <c r="Y803" s="32"/>
      <c r="Z803" s="32"/>
      <c r="AA803" s="32"/>
      <c r="AB803" s="32"/>
    </row>
    <row r="804" spans="1:28" ht="15.6" customHeight="1" x14ac:dyDescent="0.25">
      <c r="A804" s="24"/>
      <c r="B804" s="24"/>
      <c r="C804" s="25"/>
      <c r="D804" s="25"/>
      <c r="E804" s="25"/>
      <c r="F804" s="25"/>
      <c r="G804" s="26"/>
      <c r="H804" s="27"/>
      <c r="I804" s="24"/>
      <c r="J804" s="24"/>
      <c r="K804" s="28"/>
      <c r="L804" s="29"/>
      <c r="M804" s="29"/>
      <c r="N804" s="29"/>
      <c r="O804" s="27"/>
      <c r="P804" s="30"/>
      <c r="Q804" s="31"/>
      <c r="R804" s="31"/>
      <c r="S804" s="32"/>
      <c r="T804" s="32"/>
      <c r="U804" s="32"/>
      <c r="V804" s="32"/>
      <c r="W804" s="32"/>
      <c r="X804" s="32"/>
      <c r="Y804" s="32"/>
      <c r="Z804" s="32"/>
      <c r="AA804" s="32"/>
      <c r="AB804" s="32"/>
    </row>
    <row r="805" spans="1:28" ht="15.6" customHeight="1" x14ac:dyDescent="0.25">
      <c r="A805" s="24"/>
      <c r="B805" s="24"/>
      <c r="C805" s="25"/>
      <c r="D805" s="25"/>
      <c r="E805" s="25"/>
      <c r="F805" s="25"/>
      <c r="G805" s="26"/>
      <c r="H805" s="27"/>
      <c r="I805" s="24"/>
      <c r="J805" s="24"/>
      <c r="K805" s="28"/>
      <c r="L805" s="29"/>
      <c r="M805" s="29"/>
      <c r="N805" s="29"/>
      <c r="O805" s="27"/>
      <c r="P805" s="30"/>
      <c r="Q805" s="31"/>
      <c r="R805" s="31"/>
      <c r="S805" s="32"/>
      <c r="T805" s="32"/>
      <c r="U805" s="32"/>
      <c r="V805" s="32"/>
      <c r="W805" s="32"/>
      <c r="X805" s="32"/>
      <c r="Y805" s="32"/>
      <c r="Z805" s="32"/>
      <c r="AA805" s="32"/>
      <c r="AB805" s="32"/>
    </row>
    <row r="806" spans="1:28" ht="15.6" customHeight="1" x14ac:dyDescent="0.25">
      <c r="A806" s="24"/>
      <c r="B806" s="24"/>
      <c r="C806" s="25"/>
      <c r="D806" s="25"/>
      <c r="E806" s="25"/>
      <c r="F806" s="25"/>
      <c r="G806" s="26"/>
      <c r="H806" s="27"/>
      <c r="I806" s="24"/>
      <c r="J806" s="24"/>
      <c r="K806" s="28"/>
      <c r="L806" s="29"/>
      <c r="M806" s="29"/>
      <c r="N806" s="29"/>
      <c r="O806" s="27"/>
      <c r="P806" s="30"/>
      <c r="Q806" s="31"/>
      <c r="R806" s="31"/>
      <c r="S806" s="32"/>
      <c r="T806" s="32"/>
      <c r="U806" s="32"/>
      <c r="V806" s="32"/>
      <c r="W806" s="32"/>
      <c r="X806" s="32"/>
      <c r="Y806" s="32"/>
      <c r="Z806" s="32"/>
      <c r="AA806" s="32"/>
      <c r="AB806" s="32"/>
    </row>
    <row r="807" spans="1:28" ht="15.6" customHeight="1" x14ac:dyDescent="0.25">
      <c r="A807" s="24"/>
      <c r="B807" s="24"/>
      <c r="C807" s="25"/>
      <c r="D807" s="25"/>
      <c r="E807" s="25"/>
      <c r="F807" s="25"/>
      <c r="G807" s="26"/>
      <c r="H807" s="27"/>
      <c r="I807" s="24"/>
      <c r="J807" s="24"/>
      <c r="K807" s="28"/>
      <c r="L807" s="29"/>
      <c r="M807" s="29"/>
      <c r="N807" s="29"/>
      <c r="O807" s="27"/>
      <c r="P807" s="30"/>
      <c r="Q807" s="31"/>
      <c r="R807" s="31"/>
      <c r="S807" s="32"/>
      <c r="T807" s="32"/>
      <c r="U807" s="32"/>
      <c r="V807" s="32"/>
      <c r="W807" s="32"/>
      <c r="X807" s="32"/>
      <c r="Y807" s="32"/>
      <c r="Z807" s="32"/>
      <c r="AA807" s="32"/>
      <c r="AB807" s="32"/>
    </row>
    <row r="808" spans="1:28" ht="15.6" customHeight="1" x14ac:dyDescent="0.25">
      <c r="A808" s="24"/>
      <c r="B808" s="24"/>
      <c r="C808" s="25"/>
      <c r="D808" s="25"/>
      <c r="E808" s="25"/>
      <c r="F808" s="25"/>
      <c r="G808" s="26"/>
      <c r="H808" s="27"/>
      <c r="I808" s="24"/>
      <c r="J808" s="24"/>
      <c r="K808" s="28"/>
      <c r="L808" s="29"/>
      <c r="M808" s="29"/>
      <c r="N808" s="29"/>
      <c r="O808" s="27"/>
      <c r="P808" s="30"/>
      <c r="Q808" s="31"/>
      <c r="R808" s="31"/>
      <c r="S808" s="32"/>
      <c r="T808" s="32"/>
      <c r="U808" s="32"/>
      <c r="V808" s="32"/>
      <c r="W808" s="32"/>
      <c r="X808" s="32"/>
      <c r="Y808" s="32"/>
      <c r="Z808" s="32"/>
      <c r="AA808" s="32"/>
      <c r="AB808" s="32"/>
    </row>
    <row r="809" spans="1:28" ht="15.6" customHeight="1" x14ac:dyDescent="0.25">
      <c r="A809" s="24"/>
      <c r="B809" s="24"/>
      <c r="C809" s="25"/>
      <c r="D809" s="25"/>
      <c r="E809" s="25"/>
      <c r="F809" s="25"/>
      <c r="G809" s="26"/>
      <c r="H809" s="27"/>
      <c r="I809" s="24"/>
      <c r="J809" s="24"/>
      <c r="K809" s="28"/>
      <c r="L809" s="29"/>
      <c r="M809" s="29"/>
      <c r="N809" s="29"/>
      <c r="O809" s="27"/>
      <c r="P809" s="30"/>
      <c r="Q809" s="31"/>
      <c r="R809" s="31"/>
      <c r="S809" s="32"/>
      <c r="T809" s="32"/>
      <c r="U809" s="32"/>
      <c r="V809" s="32"/>
      <c r="W809" s="32"/>
      <c r="X809" s="32"/>
      <c r="Y809" s="32"/>
      <c r="Z809" s="32"/>
      <c r="AA809" s="32"/>
      <c r="AB809" s="32"/>
    </row>
    <row r="810" spans="1:28" ht="15.6" customHeight="1" x14ac:dyDescent="0.25">
      <c r="A810" s="24"/>
      <c r="B810" s="24"/>
      <c r="C810" s="25"/>
      <c r="D810" s="25"/>
      <c r="E810" s="25"/>
      <c r="F810" s="25"/>
      <c r="G810" s="26"/>
      <c r="H810" s="27"/>
      <c r="I810" s="24"/>
      <c r="J810" s="24"/>
      <c r="K810" s="28"/>
      <c r="L810" s="29"/>
      <c r="M810" s="29"/>
      <c r="N810" s="29"/>
      <c r="O810" s="27"/>
      <c r="P810" s="30"/>
      <c r="Q810" s="31"/>
      <c r="R810" s="31"/>
      <c r="S810" s="32"/>
      <c r="T810" s="32"/>
      <c r="U810" s="32"/>
      <c r="V810" s="32"/>
      <c r="W810" s="32"/>
      <c r="X810" s="32"/>
      <c r="Y810" s="32"/>
      <c r="Z810" s="32"/>
      <c r="AA810" s="32"/>
      <c r="AB810" s="32"/>
    </row>
    <row r="811" spans="1:28" ht="15.6" customHeight="1" x14ac:dyDescent="0.25">
      <c r="A811" s="24"/>
      <c r="B811" s="24"/>
      <c r="C811" s="25"/>
      <c r="D811" s="25"/>
      <c r="E811" s="25"/>
      <c r="F811" s="25"/>
      <c r="G811" s="26"/>
      <c r="H811" s="27"/>
      <c r="I811" s="24"/>
      <c r="J811" s="24"/>
      <c r="K811" s="28"/>
      <c r="L811" s="29"/>
      <c r="M811" s="29"/>
      <c r="N811" s="29"/>
      <c r="O811" s="27"/>
      <c r="P811" s="30"/>
      <c r="Q811" s="31"/>
      <c r="R811" s="31"/>
      <c r="S811" s="32"/>
      <c r="T811" s="32"/>
      <c r="U811" s="32"/>
      <c r="V811" s="32"/>
      <c r="W811" s="32"/>
      <c r="X811" s="32"/>
      <c r="Y811" s="32"/>
      <c r="Z811" s="32"/>
      <c r="AA811" s="32"/>
      <c r="AB811" s="32"/>
    </row>
    <row r="812" spans="1:28" ht="15.6" customHeight="1" x14ac:dyDescent="0.25">
      <c r="A812" s="24"/>
      <c r="B812" s="24"/>
      <c r="C812" s="25"/>
      <c r="D812" s="25"/>
      <c r="E812" s="25"/>
      <c r="F812" s="25"/>
      <c r="G812" s="26"/>
      <c r="H812" s="27"/>
      <c r="I812" s="24"/>
      <c r="J812" s="24"/>
      <c r="K812" s="28"/>
      <c r="L812" s="29"/>
      <c r="M812" s="29"/>
      <c r="N812" s="29"/>
      <c r="O812" s="27"/>
      <c r="P812" s="30"/>
      <c r="Q812" s="31"/>
      <c r="R812" s="31"/>
      <c r="S812" s="32"/>
      <c r="T812" s="32"/>
      <c r="U812" s="32"/>
      <c r="V812" s="32"/>
      <c r="W812" s="32"/>
      <c r="X812" s="32"/>
      <c r="Y812" s="32"/>
      <c r="Z812" s="32"/>
      <c r="AA812" s="32"/>
      <c r="AB812" s="32"/>
    </row>
    <row r="813" spans="1:28" ht="15.6" customHeight="1" x14ac:dyDescent="0.25">
      <c r="A813" s="24"/>
      <c r="B813" s="24"/>
      <c r="C813" s="25"/>
      <c r="D813" s="25"/>
      <c r="E813" s="25"/>
      <c r="F813" s="25"/>
      <c r="G813" s="26"/>
      <c r="H813" s="27"/>
      <c r="I813" s="24"/>
      <c r="J813" s="24"/>
      <c r="K813" s="28"/>
      <c r="L813" s="29"/>
      <c r="M813" s="29"/>
      <c r="N813" s="29"/>
      <c r="O813" s="27"/>
      <c r="P813" s="30"/>
      <c r="Q813" s="31"/>
      <c r="R813" s="31"/>
      <c r="S813" s="32"/>
      <c r="T813" s="32"/>
      <c r="U813" s="32"/>
      <c r="V813" s="32"/>
      <c r="W813" s="32"/>
      <c r="X813" s="32"/>
      <c r="Y813" s="32"/>
      <c r="Z813" s="32"/>
      <c r="AA813" s="32"/>
      <c r="AB813" s="32"/>
    </row>
    <row r="814" spans="1:28" ht="15.6" customHeight="1" x14ac:dyDescent="0.25">
      <c r="A814" s="24"/>
      <c r="B814" s="24"/>
      <c r="C814" s="25"/>
      <c r="D814" s="25"/>
      <c r="E814" s="25"/>
      <c r="F814" s="25"/>
      <c r="G814" s="26"/>
      <c r="H814" s="27"/>
      <c r="I814" s="24"/>
      <c r="J814" s="24"/>
      <c r="K814" s="28"/>
      <c r="L814" s="29"/>
      <c r="M814" s="29"/>
      <c r="N814" s="29"/>
      <c r="O814" s="27"/>
      <c r="P814" s="30"/>
      <c r="Q814" s="31"/>
      <c r="R814" s="31"/>
      <c r="S814" s="32"/>
      <c r="T814" s="32"/>
      <c r="U814" s="32"/>
      <c r="V814" s="32"/>
      <c r="W814" s="32"/>
      <c r="X814" s="32"/>
      <c r="Y814" s="32"/>
      <c r="Z814" s="32"/>
      <c r="AA814" s="32"/>
      <c r="AB814" s="32"/>
    </row>
    <row r="815" spans="1:28" ht="15.6" customHeight="1" x14ac:dyDescent="0.25">
      <c r="A815" s="24"/>
      <c r="B815" s="24"/>
      <c r="C815" s="25"/>
      <c r="D815" s="25"/>
      <c r="E815" s="25"/>
      <c r="F815" s="25"/>
      <c r="G815" s="26"/>
      <c r="H815" s="27"/>
      <c r="I815" s="24"/>
      <c r="J815" s="24"/>
      <c r="K815" s="28"/>
      <c r="L815" s="29"/>
      <c r="M815" s="29"/>
      <c r="N815" s="29"/>
      <c r="O815" s="27"/>
      <c r="P815" s="30"/>
      <c r="Q815" s="31"/>
      <c r="R815" s="31"/>
      <c r="S815" s="32"/>
      <c r="T815" s="32"/>
      <c r="U815" s="32"/>
      <c r="V815" s="32"/>
      <c r="W815" s="32"/>
      <c r="X815" s="32"/>
      <c r="Y815" s="32"/>
      <c r="Z815" s="32"/>
      <c r="AA815" s="32"/>
      <c r="AB815" s="32"/>
    </row>
    <row r="816" spans="1:28" ht="15.6" customHeight="1" x14ac:dyDescent="0.25">
      <c r="A816" s="24"/>
      <c r="B816" s="24"/>
      <c r="C816" s="25"/>
      <c r="D816" s="25"/>
      <c r="E816" s="25"/>
      <c r="F816" s="25"/>
      <c r="G816" s="26"/>
      <c r="H816" s="27"/>
      <c r="I816" s="24"/>
      <c r="J816" s="24"/>
      <c r="K816" s="28"/>
      <c r="L816" s="29"/>
      <c r="M816" s="29"/>
      <c r="N816" s="29"/>
      <c r="O816" s="27"/>
      <c r="P816" s="30"/>
      <c r="Q816" s="31"/>
      <c r="R816" s="31"/>
      <c r="S816" s="32"/>
      <c r="T816" s="32"/>
      <c r="U816" s="32"/>
      <c r="V816" s="32"/>
      <c r="W816" s="32"/>
      <c r="X816" s="32"/>
      <c r="Y816" s="32"/>
      <c r="Z816" s="32"/>
      <c r="AA816" s="32"/>
      <c r="AB816" s="32"/>
    </row>
    <row r="817" spans="1:28" ht="15.6" customHeight="1" x14ac:dyDescent="0.25">
      <c r="A817" s="24"/>
      <c r="B817" s="24"/>
      <c r="C817" s="25"/>
      <c r="D817" s="25"/>
      <c r="E817" s="25"/>
      <c r="F817" s="25"/>
      <c r="G817" s="26"/>
      <c r="H817" s="27"/>
      <c r="I817" s="24"/>
      <c r="J817" s="24"/>
      <c r="K817" s="28"/>
      <c r="L817" s="29"/>
      <c r="M817" s="29"/>
      <c r="N817" s="29"/>
      <c r="O817" s="27"/>
      <c r="P817" s="30"/>
      <c r="Q817" s="31"/>
      <c r="R817" s="31"/>
      <c r="S817" s="32"/>
      <c r="T817" s="32"/>
      <c r="U817" s="32"/>
      <c r="V817" s="32"/>
      <c r="W817" s="32"/>
      <c r="X817" s="32"/>
      <c r="Y817" s="32"/>
      <c r="Z817" s="32"/>
      <c r="AA817" s="32"/>
      <c r="AB817" s="32"/>
    </row>
    <row r="818" spans="1:28" ht="15.6" customHeight="1" x14ac:dyDescent="0.25">
      <c r="A818" s="24"/>
      <c r="B818" s="24"/>
      <c r="C818" s="25"/>
      <c r="D818" s="25"/>
      <c r="E818" s="25"/>
      <c r="F818" s="25"/>
      <c r="G818" s="26"/>
      <c r="H818" s="27"/>
      <c r="I818" s="24"/>
      <c r="J818" s="24"/>
      <c r="K818" s="28"/>
      <c r="L818" s="29"/>
      <c r="M818" s="29"/>
      <c r="N818" s="29"/>
      <c r="O818" s="27"/>
      <c r="P818" s="30"/>
      <c r="Q818" s="31"/>
      <c r="R818" s="31"/>
      <c r="S818" s="32"/>
      <c r="T818" s="32"/>
      <c r="U818" s="32"/>
      <c r="V818" s="32"/>
      <c r="W818" s="32"/>
      <c r="X818" s="32"/>
      <c r="Y818" s="32"/>
      <c r="Z818" s="32"/>
      <c r="AA818" s="32"/>
      <c r="AB818" s="32"/>
    </row>
    <row r="819" spans="1:28" ht="15.6" customHeight="1" x14ac:dyDescent="0.25">
      <c r="A819" s="24"/>
      <c r="B819" s="24"/>
      <c r="C819" s="25"/>
      <c r="D819" s="25"/>
      <c r="E819" s="25"/>
      <c r="F819" s="25"/>
      <c r="G819" s="26"/>
      <c r="H819" s="27"/>
      <c r="I819" s="24"/>
      <c r="J819" s="24"/>
      <c r="K819" s="28"/>
      <c r="L819" s="29"/>
      <c r="M819" s="29"/>
      <c r="N819" s="29"/>
      <c r="O819" s="27"/>
      <c r="P819" s="30"/>
      <c r="Q819" s="31"/>
      <c r="R819" s="31"/>
      <c r="S819" s="32"/>
      <c r="T819" s="32"/>
      <c r="U819" s="32"/>
      <c r="V819" s="32"/>
      <c r="W819" s="32"/>
      <c r="X819" s="32"/>
      <c r="Y819" s="32"/>
      <c r="Z819" s="32"/>
      <c r="AA819" s="32"/>
      <c r="AB819" s="32"/>
    </row>
    <row r="820" spans="1:28" ht="15.6" customHeight="1" x14ac:dyDescent="0.25">
      <c r="A820" s="24"/>
      <c r="B820" s="24"/>
      <c r="C820" s="25"/>
      <c r="D820" s="25"/>
      <c r="E820" s="25"/>
      <c r="F820" s="25"/>
      <c r="G820" s="26"/>
      <c r="H820" s="27"/>
      <c r="I820" s="24"/>
      <c r="J820" s="24"/>
      <c r="K820" s="28"/>
      <c r="L820" s="29"/>
      <c r="M820" s="29"/>
      <c r="N820" s="29"/>
      <c r="O820" s="27"/>
      <c r="P820" s="30"/>
      <c r="Q820" s="31"/>
      <c r="R820" s="31"/>
      <c r="S820" s="32"/>
      <c r="T820" s="32"/>
      <c r="U820" s="32"/>
      <c r="V820" s="32"/>
      <c r="W820" s="32"/>
      <c r="X820" s="32"/>
      <c r="Y820" s="32"/>
      <c r="Z820" s="32"/>
      <c r="AA820" s="32"/>
      <c r="AB820" s="32"/>
    </row>
    <row r="821" spans="1:28" ht="15.6" customHeight="1" x14ac:dyDescent="0.25">
      <c r="A821" s="24"/>
      <c r="B821" s="24"/>
      <c r="C821" s="25"/>
      <c r="D821" s="25"/>
      <c r="E821" s="25"/>
      <c r="F821" s="25"/>
      <c r="G821" s="26"/>
      <c r="H821" s="27"/>
      <c r="I821" s="24"/>
      <c r="J821" s="24"/>
      <c r="K821" s="28"/>
      <c r="L821" s="29"/>
      <c r="M821" s="29"/>
      <c r="N821" s="29"/>
      <c r="O821" s="27"/>
      <c r="P821" s="30"/>
      <c r="Q821" s="31"/>
      <c r="R821" s="31"/>
      <c r="S821" s="32"/>
      <c r="T821" s="32"/>
      <c r="U821" s="32"/>
      <c r="V821" s="32"/>
      <c r="W821" s="32"/>
      <c r="X821" s="32"/>
      <c r="Y821" s="32"/>
      <c r="Z821" s="32"/>
      <c r="AA821" s="32"/>
      <c r="AB821" s="32"/>
    </row>
    <row r="822" spans="1:28" ht="15.6" customHeight="1" x14ac:dyDescent="0.25">
      <c r="A822" s="24"/>
      <c r="B822" s="24"/>
      <c r="C822" s="25"/>
      <c r="D822" s="25"/>
      <c r="E822" s="25"/>
      <c r="F822" s="25"/>
      <c r="G822" s="26"/>
      <c r="H822" s="27"/>
      <c r="I822" s="24"/>
      <c r="J822" s="24"/>
      <c r="K822" s="28"/>
      <c r="L822" s="29"/>
      <c r="M822" s="29"/>
      <c r="N822" s="29"/>
      <c r="O822" s="27"/>
      <c r="P822" s="30"/>
      <c r="Q822" s="31"/>
      <c r="R822" s="31"/>
      <c r="S822" s="32"/>
      <c r="T822" s="32"/>
      <c r="U822" s="32"/>
      <c r="V822" s="32"/>
      <c r="W822" s="32"/>
      <c r="X822" s="32"/>
      <c r="Y822" s="32"/>
      <c r="Z822" s="32"/>
      <c r="AA822" s="32"/>
      <c r="AB822" s="32"/>
    </row>
    <row r="823" spans="1:28" ht="15.6" customHeight="1" x14ac:dyDescent="0.25">
      <c r="A823" s="24"/>
      <c r="B823" s="24"/>
      <c r="C823" s="25"/>
      <c r="D823" s="25"/>
      <c r="E823" s="25"/>
      <c r="F823" s="25"/>
      <c r="G823" s="26"/>
      <c r="H823" s="27"/>
      <c r="I823" s="24"/>
      <c r="J823" s="24"/>
      <c r="K823" s="28"/>
      <c r="L823" s="29"/>
      <c r="M823" s="29"/>
      <c r="N823" s="29"/>
      <c r="O823" s="27"/>
      <c r="P823" s="30"/>
      <c r="Q823" s="31"/>
      <c r="R823" s="31"/>
      <c r="S823" s="32"/>
      <c r="T823" s="32"/>
      <c r="U823" s="32"/>
      <c r="V823" s="32"/>
      <c r="W823" s="32"/>
      <c r="X823" s="32"/>
      <c r="Y823" s="32"/>
      <c r="Z823" s="32"/>
      <c r="AA823" s="32"/>
      <c r="AB823" s="32"/>
    </row>
    <row r="824" spans="1:28" ht="15.6" customHeight="1" x14ac:dyDescent="0.25">
      <c r="A824" s="24"/>
      <c r="B824" s="24"/>
      <c r="C824" s="25"/>
      <c r="D824" s="25"/>
      <c r="E824" s="25"/>
      <c r="F824" s="25"/>
      <c r="G824" s="26"/>
      <c r="H824" s="27"/>
      <c r="I824" s="24"/>
      <c r="J824" s="24"/>
      <c r="K824" s="28"/>
      <c r="L824" s="29"/>
      <c r="M824" s="29"/>
      <c r="N824" s="29"/>
      <c r="O824" s="27"/>
      <c r="P824" s="30"/>
      <c r="Q824" s="31"/>
      <c r="R824" s="31"/>
      <c r="S824" s="32"/>
      <c r="T824" s="32"/>
      <c r="U824" s="32"/>
      <c r="V824" s="32"/>
      <c r="W824" s="32"/>
      <c r="X824" s="32"/>
      <c r="Y824" s="32"/>
      <c r="Z824" s="32"/>
      <c r="AA824" s="32"/>
      <c r="AB824" s="32"/>
    </row>
    <row r="825" spans="1:28" ht="15.6" customHeight="1" x14ac:dyDescent="0.25">
      <c r="A825" s="24"/>
      <c r="B825" s="24"/>
      <c r="C825" s="25"/>
      <c r="D825" s="25"/>
      <c r="E825" s="25"/>
      <c r="F825" s="25"/>
      <c r="G825" s="26"/>
      <c r="H825" s="27"/>
      <c r="I825" s="24"/>
      <c r="J825" s="24"/>
      <c r="K825" s="28"/>
      <c r="L825" s="29"/>
      <c r="M825" s="29"/>
      <c r="N825" s="29"/>
      <c r="O825" s="27"/>
      <c r="P825" s="30"/>
      <c r="Q825" s="31"/>
      <c r="R825" s="31"/>
      <c r="S825" s="32"/>
      <c r="T825" s="32"/>
      <c r="U825" s="32"/>
      <c r="V825" s="32"/>
      <c r="W825" s="32"/>
      <c r="X825" s="32"/>
      <c r="Y825" s="32"/>
      <c r="Z825" s="32"/>
      <c r="AA825" s="32"/>
      <c r="AB825" s="32"/>
    </row>
    <row r="826" spans="1:28" ht="15.6" customHeight="1" x14ac:dyDescent="0.25">
      <c r="A826" s="24"/>
      <c r="B826" s="24"/>
      <c r="C826" s="25"/>
      <c r="D826" s="25"/>
      <c r="E826" s="25"/>
      <c r="F826" s="25"/>
      <c r="G826" s="26"/>
      <c r="H826" s="27"/>
      <c r="I826" s="24"/>
      <c r="J826" s="24"/>
      <c r="K826" s="28"/>
      <c r="L826" s="29"/>
      <c r="M826" s="29"/>
      <c r="N826" s="29"/>
      <c r="O826" s="27"/>
      <c r="P826" s="30"/>
      <c r="Q826" s="31"/>
      <c r="R826" s="31"/>
      <c r="S826" s="32"/>
      <c r="T826" s="32"/>
      <c r="U826" s="32"/>
      <c r="V826" s="32"/>
      <c r="W826" s="32"/>
      <c r="X826" s="32"/>
      <c r="Y826" s="32"/>
      <c r="Z826" s="32"/>
      <c r="AA826" s="32"/>
      <c r="AB826" s="32"/>
    </row>
    <row r="827" spans="1:28" ht="15.6" customHeight="1" x14ac:dyDescent="0.25">
      <c r="A827" s="24"/>
      <c r="B827" s="24"/>
      <c r="C827" s="25"/>
      <c r="D827" s="25"/>
      <c r="E827" s="25"/>
      <c r="F827" s="25"/>
      <c r="G827" s="26"/>
      <c r="H827" s="27"/>
      <c r="I827" s="24"/>
      <c r="J827" s="24"/>
      <c r="K827" s="28"/>
      <c r="L827" s="29"/>
      <c r="M827" s="29"/>
      <c r="N827" s="29"/>
      <c r="O827" s="27"/>
      <c r="P827" s="30"/>
      <c r="Q827" s="31"/>
      <c r="R827" s="31"/>
      <c r="S827" s="32"/>
      <c r="T827" s="32"/>
      <c r="U827" s="32"/>
      <c r="V827" s="32"/>
      <c r="W827" s="32"/>
      <c r="X827" s="32"/>
      <c r="Y827" s="32"/>
      <c r="Z827" s="32"/>
      <c r="AA827" s="32"/>
      <c r="AB827" s="32"/>
    </row>
    <row r="828" spans="1:28" ht="15.6" customHeight="1" x14ac:dyDescent="0.25">
      <c r="A828" s="24"/>
      <c r="B828" s="24"/>
      <c r="C828" s="25"/>
      <c r="D828" s="25"/>
      <c r="E828" s="25"/>
      <c r="F828" s="25"/>
      <c r="G828" s="26"/>
      <c r="H828" s="27"/>
      <c r="I828" s="24"/>
      <c r="J828" s="24"/>
      <c r="K828" s="28"/>
      <c r="L828" s="29"/>
      <c r="M828" s="29"/>
      <c r="N828" s="29"/>
      <c r="O828" s="27"/>
      <c r="P828" s="30"/>
      <c r="Q828" s="31"/>
      <c r="R828" s="31"/>
      <c r="S828" s="32"/>
      <c r="T828" s="32"/>
      <c r="U828" s="32"/>
      <c r="V828" s="32"/>
      <c r="W828" s="32"/>
      <c r="X828" s="32"/>
      <c r="Y828" s="32"/>
      <c r="Z828" s="32"/>
      <c r="AA828" s="32"/>
      <c r="AB828" s="32"/>
    </row>
    <row r="829" spans="1:28" ht="15.6" customHeight="1" x14ac:dyDescent="0.25">
      <c r="A829" s="24"/>
      <c r="B829" s="24"/>
      <c r="C829" s="25"/>
      <c r="D829" s="25"/>
      <c r="E829" s="25"/>
      <c r="F829" s="25"/>
      <c r="G829" s="26"/>
      <c r="H829" s="27"/>
      <c r="I829" s="24"/>
      <c r="J829" s="24"/>
      <c r="K829" s="28"/>
      <c r="L829" s="29"/>
      <c r="M829" s="29"/>
      <c r="N829" s="29"/>
      <c r="O829" s="27"/>
      <c r="P829" s="30"/>
      <c r="Q829" s="31"/>
      <c r="R829" s="31"/>
      <c r="S829" s="32"/>
      <c r="T829" s="32"/>
      <c r="U829" s="32"/>
      <c r="V829" s="32"/>
      <c r="W829" s="32"/>
      <c r="X829" s="32"/>
      <c r="Y829" s="32"/>
      <c r="Z829" s="32"/>
      <c r="AA829" s="32"/>
      <c r="AB829" s="32"/>
    </row>
    <row r="830" spans="1:28" ht="15.6" customHeight="1" x14ac:dyDescent="0.25">
      <c r="A830" s="24"/>
      <c r="B830" s="24"/>
      <c r="C830" s="25"/>
      <c r="D830" s="25"/>
      <c r="E830" s="25"/>
      <c r="F830" s="25"/>
      <c r="G830" s="26"/>
      <c r="H830" s="27"/>
      <c r="I830" s="24"/>
      <c r="J830" s="24"/>
      <c r="K830" s="28"/>
      <c r="L830" s="29"/>
      <c r="M830" s="29"/>
      <c r="N830" s="29"/>
      <c r="O830" s="27"/>
      <c r="P830" s="30"/>
      <c r="Q830" s="31"/>
      <c r="R830" s="31"/>
      <c r="S830" s="32"/>
      <c r="T830" s="32"/>
      <c r="U830" s="32"/>
      <c r="V830" s="32"/>
      <c r="W830" s="32"/>
      <c r="X830" s="32"/>
      <c r="Y830" s="32"/>
      <c r="Z830" s="32"/>
      <c r="AA830" s="32"/>
      <c r="AB830" s="32"/>
    </row>
    <row r="831" spans="1:28" ht="15.6" customHeight="1" x14ac:dyDescent="0.25">
      <c r="A831" s="24"/>
      <c r="B831" s="24"/>
      <c r="C831" s="25"/>
      <c r="D831" s="25"/>
      <c r="E831" s="25"/>
      <c r="F831" s="25"/>
      <c r="G831" s="26"/>
      <c r="H831" s="27"/>
      <c r="I831" s="24"/>
      <c r="J831" s="24"/>
      <c r="K831" s="28"/>
      <c r="L831" s="29"/>
      <c r="M831" s="29"/>
      <c r="N831" s="29"/>
      <c r="O831" s="27"/>
      <c r="P831" s="30"/>
      <c r="Q831" s="31"/>
      <c r="R831" s="31"/>
      <c r="S831" s="32"/>
      <c r="T831" s="32"/>
      <c r="U831" s="32"/>
      <c r="V831" s="32"/>
      <c r="W831" s="32"/>
      <c r="X831" s="32"/>
      <c r="Y831" s="32"/>
      <c r="Z831" s="32"/>
      <c r="AA831" s="32"/>
      <c r="AB831" s="32"/>
    </row>
    <row r="832" spans="1:28" ht="15.6" customHeight="1" x14ac:dyDescent="0.25">
      <c r="A832" s="24"/>
      <c r="B832" s="24"/>
      <c r="C832" s="25"/>
      <c r="D832" s="25"/>
      <c r="E832" s="25"/>
      <c r="F832" s="25"/>
      <c r="G832" s="26"/>
      <c r="H832" s="27"/>
      <c r="I832" s="24"/>
      <c r="J832" s="24"/>
      <c r="K832" s="28"/>
      <c r="L832" s="29"/>
      <c r="M832" s="29"/>
      <c r="N832" s="29"/>
      <c r="O832" s="27"/>
      <c r="P832" s="30"/>
      <c r="Q832" s="31"/>
      <c r="R832" s="31"/>
      <c r="S832" s="32"/>
      <c r="T832" s="32"/>
      <c r="U832" s="32"/>
      <c r="V832" s="32"/>
      <c r="W832" s="32"/>
      <c r="X832" s="32"/>
      <c r="Y832" s="32"/>
      <c r="Z832" s="32"/>
      <c r="AA832" s="32"/>
      <c r="AB832" s="32"/>
    </row>
    <row r="833" spans="1:28" ht="15.6" customHeight="1" x14ac:dyDescent="0.25">
      <c r="A833" s="24"/>
      <c r="B833" s="24"/>
      <c r="C833" s="25"/>
      <c r="D833" s="25"/>
      <c r="E833" s="25"/>
      <c r="F833" s="25"/>
      <c r="G833" s="26"/>
      <c r="H833" s="27"/>
      <c r="I833" s="24"/>
      <c r="J833" s="24"/>
      <c r="K833" s="28"/>
      <c r="L833" s="29"/>
      <c r="M833" s="29"/>
      <c r="N833" s="29"/>
      <c r="O833" s="27"/>
      <c r="P833" s="30"/>
      <c r="Q833" s="31"/>
      <c r="R833" s="31"/>
      <c r="S833" s="32"/>
      <c r="T833" s="32"/>
      <c r="U833" s="32"/>
      <c r="V833" s="32"/>
      <c r="W833" s="32"/>
      <c r="X833" s="32"/>
      <c r="Y833" s="32"/>
      <c r="Z833" s="32"/>
      <c r="AA833" s="32"/>
      <c r="AB833" s="32"/>
    </row>
    <row r="834" spans="1:28" ht="15.6" customHeight="1" x14ac:dyDescent="0.25">
      <c r="A834" s="24"/>
      <c r="B834" s="24"/>
      <c r="C834" s="25"/>
      <c r="D834" s="25"/>
      <c r="E834" s="25"/>
      <c r="F834" s="25"/>
      <c r="G834" s="26"/>
      <c r="H834" s="27"/>
      <c r="I834" s="24"/>
      <c r="J834" s="24"/>
      <c r="K834" s="28"/>
      <c r="L834" s="29"/>
      <c r="M834" s="29"/>
      <c r="N834" s="29"/>
      <c r="O834" s="27"/>
      <c r="P834" s="30"/>
      <c r="Q834" s="31"/>
      <c r="R834" s="31"/>
      <c r="S834" s="32"/>
      <c r="T834" s="32"/>
      <c r="U834" s="32"/>
      <c r="V834" s="32"/>
      <c r="W834" s="32"/>
      <c r="X834" s="32"/>
      <c r="Y834" s="32"/>
      <c r="Z834" s="32"/>
      <c r="AA834" s="32"/>
      <c r="AB834" s="32"/>
    </row>
    <row r="835" spans="1:28" ht="15.6" customHeight="1" x14ac:dyDescent="0.25">
      <c r="A835" s="24"/>
      <c r="B835" s="24"/>
      <c r="C835" s="25"/>
      <c r="D835" s="25"/>
      <c r="E835" s="25"/>
      <c r="F835" s="25"/>
      <c r="G835" s="26"/>
      <c r="H835" s="27"/>
      <c r="I835" s="24"/>
      <c r="J835" s="24"/>
      <c r="K835" s="28"/>
      <c r="L835" s="29"/>
      <c r="M835" s="29"/>
      <c r="N835" s="29"/>
      <c r="O835" s="27"/>
      <c r="P835" s="30"/>
      <c r="Q835" s="31"/>
      <c r="R835" s="31"/>
      <c r="S835" s="32"/>
      <c r="T835" s="32"/>
      <c r="U835" s="32"/>
      <c r="V835" s="32"/>
      <c r="W835" s="32"/>
      <c r="X835" s="32"/>
      <c r="Y835" s="32"/>
      <c r="Z835" s="32"/>
      <c r="AA835" s="32"/>
      <c r="AB835" s="32"/>
    </row>
    <row r="836" spans="1:28" ht="15.6" customHeight="1" x14ac:dyDescent="0.25">
      <c r="A836" s="24"/>
      <c r="B836" s="24"/>
      <c r="C836" s="25"/>
      <c r="D836" s="25"/>
      <c r="E836" s="25"/>
      <c r="F836" s="25"/>
      <c r="G836" s="26"/>
      <c r="H836" s="27"/>
      <c r="I836" s="24"/>
      <c r="J836" s="24"/>
      <c r="K836" s="28"/>
      <c r="L836" s="29"/>
      <c r="M836" s="29"/>
      <c r="N836" s="29"/>
      <c r="O836" s="27"/>
      <c r="P836" s="30"/>
      <c r="Q836" s="31"/>
      <c r="R836" s="31"/>
      <c r="S836" s="32"/>
      <c r="T836" s="32"/>
      <c r="U836" s="32"/>
      <c r="V836" s="32"/>
      <c r="W836" s="32"/>
      <c r="X836" s="32"/>
      <c r="Y836" s="32"/>
      <c r="Z836" s="32"/>
      <c r="AA836" s="32"/>
      <c r="AB836" s="32"/>
    </row>
    <row r="837" spans="1:28" ht="15.6" customHeight="1" x14ac:dyDescent="0.25">
      <c r="A837" s="24"/>
      <c r="B837" s="24"/>
      <c r="C837" s="25"/>
      <c r="D837" s="25"/>
      <c r="E837" s="25"/>
      <c r="F837" s="25"/>
      <c r="G837" s="26"/>
      <c r="H837" s="27"/>
      <c r="I837" s="24"/>
      <c r="J837" s="24"/>
      <c r="K837" s="28"/>
      <c r="L837" s="29"/>
      <c r="M837" s="29"/>
      <c r="N837" s="29"/>
      <c r="O837" s="27"/>
      <c r="P837" s="30"/>
      <c r="Q837" s="31"/>
      <c r="R837" s="31"/>
      <c r="S837" s="32"/>
      <c r="T837" s="32"/>
      <c r="U837" s="32"/>
      <c r="V837" s="32"/>
      <c r="W837" s="32"/>
      <c r="X837" s="32"/>
      <c r="Y837" s="32"/>
      <c r="Z837" s="32"/>
      <c r="AA837" s="32"/>
      <c r="AB837" s="32"/>
    </row>
    <row r="838" spans="1:28" ht="15.6" customHeight="1" x14ac:dyDescent="0.25">
      <c r="A838" s="24"/>
      <c r="B838" s="24"/>
      <c r="C838" s="25"/>
      <c r="D838" s="25"/>
      <c r="E838" s="25"/>
      <c r="F838" s="25"/>
      <c r="G838" s="26"/>
      <c r="H838" s="27"/>
      <c r="I838" s="24"/>
      <c r="J838" s="24"/>
      <c r="K838" s="28"/>
      <c r="L838" s="29"/>
      <c r="M838" s="29"/>
      <c r="N838" s="29"/>
      <c r="O838" s="27"/>
      <c r="P838" s="30"/>
      <c r="Q838" s="31"/>
      <c r="R838" s="31"/>
      <c r="S838" s="32"/>
      <c r="T838" s="32"/>
      <c r="U838" s="32"/>
      <c r="V838" s="32"/>
      <c r="W838" s="32"/>
      <c r="X838" s="32"/>
      <c r="Y838" s="32"/>
      <c r="Z838" s="32"/>
      <c r="AA838" s="32"/>
      <c r="AB838" s="32"/>
    </row>
    <row r="839" spans="1:28" ht="15.6" customHeight="1" x14ac:dyDescent="0.25">
      <c r="A839" s="24"/>
      <c r="B839" s="24"/>
      <c r="C839" s="25"/>
      <c r="D839" s="25"/>
      <c r="E839" s="25"/>
      <c r="F839" s="25"/>
      <c r="G839" s="26"/>
      <c r="H839" s="27"/>
      <c r="I839" s="24"/>
      <c r="J839" s="24"/>
      <c r="K839" s="28"/>
      <c r="L839" s="29"/>
      <c r="M839" s="29"/>
      <c r="N839" s="29"/>
      <c r="O839" s="27"/>
      <c r="P839" s="30"/>
      <c r="Q839" s="31"/>
      <c r="R839" s="31"/>
      <c r="S839" s="32"/>
      <c r="T839" s="32"/>
      <c r="U839" s="32"/>
      <c r="V839" s="32"/>
      <c r="W839" s="32"/>
      <c r="X839" s="32"/>
      <c r="Y839" s="32"/>
      <c r="Z839" s="32"/>
      <c r="AA839" s="32"/>
      <c r="AB839" s="32"/>
    </row>
    <row r="840" spans="1:28" ht="15.6" customHeight="1" x14ac:dyDescent="0.25">
      <c r="A840" s="24"/>
      <c r="B840" s="24"/>
      <c r="C840" s="25"/>
      <c r="D840" s="25"/>
      <c r="E840" s="25"/>
      <c r="F840" s="25"/>
      <c r="G840" s="26"/>
      <c r="H840" s="27"/>
      <c r="I840" s="24"/>
      <c r="J840" s="24"/>
      <c r="K840" s="28"/>
      <c r="L840" s="29"/>
      <c r="M840" s="29"/>
      <c r="N840" s="29"/>
      <c r="O840" s="27"/>
      <c r="P840" s="30"/>
      <c r="Q840" s="31"/>
      <c r="R840" s="31"/>
      <c r="S840" s="32"/>
      <c r="T840" s="32"/>
      <c r="U840" s="32"/>
      <c r="V840" s="32"/>
      <c r="W840" s="32"/>
      <c r="X840" s="32"/>
      <c r="Y840" s="32"/>
      <c r="Z840" s="32"/>
      <c r="AA840" s="32"/>
      <c r="AB840" s="32"/>
    </row>
    <row r="841" spans="1:28" ht="15.6" customHeight="1" x14ac:dyDescent="0.25">
      <c r="A841" s="24"/>
      <c r="B841" s="24"/>
      <c r="C841" s="25"/>
      <c r="D841" s="25"/>
      <c r="E841" s="25"/>
      <c r="F841" s="25"/>
      <c r="G841" s="26"/>
      <c r="H841" s="27"/>
      <c r="I841" s="24"/>
      <c r="J841" s="24"/>
      <c r="K841" s="28"/>
      <c r="L841" s="29"/>
      <c r="M841" s="29"/>
      <c r="N841" s="29"/>
      <c r="O841" s="27"/>
      <c r="P841" s="30"/>
      <c r="Q841" s="31"/>
      <c r="R841" s="31"/>
      <c r="S841" s="32"/>
      <c r="T841" s="32"/>
      <c r="U841" s="32"/>
      <c r="V841" s="32"/>
      <c r="W841" s="32"/>
      <c r="X841" s="32"/>
      <c r="Y841" s="32"/>
      <c r="Z841" s="32"/>
      <c r="AA841" s="32"/>
      <c r="AB841" s="32"/>
    </row>
    <row r="842" spans="1:28" ht="15.6" customHeight="1" x14ac:dyDescent="0.25">
      <c r="A842" s="24"/>
      <c r="B842" s="24"/>
      <c r="C842" s="25"/>
      <c r="D842" s="25"/>
      <c r="E842" s="25"/>
      <c r="F842" s="25"/>
      <c r="G842" s="26"/>
      <c r="H842" s="27"/>
      <c r="I842" s="24"/>
      <c r="J842" s="24"/>
      <c r="K842" s="28"/>
      <c r="L842" s="29"/>
      <c r="M842" s="29"/>
      <c r="N842" s="29"/>
      <c r="O842" s="27"/>
      <c r="P842" s="30"/>
      <c r="Q842" s="31"/>
      <c r="R842" s="31"/>
      <c r="S842" s="32"/>
      <c r="T842" s="32"/>
      <c r="U842" s="32"/>
      <c r="V842" s="32"/>
      <c r="W842" s="32"/>
      <c r="X842" s="32"/>
      <c r="Y842" s="32"/>
      <c r="Z842" s="32"/>
      <c r="AA842" s="32"/>
      <c r="AB842" s="32"/>
    </row>
    <row r="843" spans="1:28" ht="15.6" customHeight="1" x14ac:dyDescent="0.25">
      <c r="A843" s="24"/>
      <c r="B843" s="24"/>
      <c r="C843" s="25"/>
      <c r="D843" s="25"/>
      <c r="E843" s="25"/>
      <c r="F843" s="25"/>
      <c r="G843" s="26"/>
      <c r="H843" s="27"/>
      <c r="I843" s="24"/>
      <c r="J843" s="24"/>
      <c r="K843" s="28"/>
      <c r="L843" s="29"/>
      <c r="M843" s="29"/>
      <c r="N843" s="29"/>
      <c r="O843" s="27"/>
      <c r="P843" s="30"/>
      <c r="Q843" s="31"/>
      <c r="R843" s="31"/>
      <c r="S843" s="32"/>
      <c r="T843" s="32"/>
      <c r="U843" s="32"/>
      <c r="V843" s="32"/>
      <c r="W843" s="32"/>
      <c r="X843" s="32"/>
      <c r="Y843" s="32"/>
      <c r="Z843" s="32"/>
      <c r="AA843" s="32"/>
      <c r="AB843" s="32"/>
    </row>
    <row r="844" spans="1:28" ht="15.6" customHeight="1" x14ac:dyDescent="0.25">
      <c r="A844" s="24"/>
      <c r="B844" s="24"/>
      <c r="C844" s="25"/>
      <c r="D844" s="25"/>
      <c r="E844" s="25"/>
      <c r="F844" s="25"/>
      <c r="G844" s="26"/>
      <c r="H844" s="27"/>
      <c r="I844" s="24"/>
      <c r="J844" s="24"/>
      <c r="K844" s="28"/>
      <c r="L844" s="29"/>
      <c r="M844" s="29"/>
      <c r="N844" s="29"/>
      <c r="O844" s="27"/>
      <c r="P844" s="30"/>
      <c r="Q844" s="31"/>
      <c r="R844" s="31"/>
      <c r="S844" s="32"/>
      <c r="T844" s="32"/>
      <c r="U844" s="32"/>
      <c r="V844" s="32"/>
      <c r="W844" s="32"/>
      <c r="X844" s="32"/>
      <c r="Y844" s="32"/>
      <c r="Z844" s="32"/>
      <c r="AA844" s="32"/>
      <c r="AB844" s="32"/>
    </row>
    <row r="845" spans="1:28" ht="15.6" customHeight="1" x14ac:dyDescent="0.25">
      <c r="A845" s="24"/>
      <c r="B845" s="24"/>
      <c r="C845" s="25"/>
      <c r="D845" s="25"/>
      <c r="E845" s="25"/>
      <c r="F845" s="25"/>
      <c r="G845" s="26"/>
      <c r="H845" s="27"/>
      <c r="I845" s="24"/>
      <c r="J845" s="24"/>
      <c r="K845" s="28"/>
      <c r="L845" s="29"/>
      <c r="M845" s="29"/>
      <c r="N845" s="29"/>
      <c r="O845" s="27"/>
      <c r="P845" s="30"/>
      <c r="Q845" s="31"/>
      <c r="R845" s="31"/>
      <c r="S845" s="32"/>
      <c r="T845" s="32"/>
      <c r="U845" s="32"/>
      <c r="V845" s="32"/>
      <c r="W845" s="32"/>
      <c r="X845" s="32"/>
      <c r="Y845" s="32"/>
      <c r="Z845" s="32"/>
      <c r="AA845" s="32"/>
      <c r="AB845" s="32"/>
    </row>
    <row r="846" spans="1:28" ht="15.6" customHeight="1" x14ac:dyDescent="0.25">
      <c r="A846" s="24"/>
      <c r="B846" s="24"/>
      <c r="C846" s="25"/>
      <c r="D846" s="25"/>
      <c r="E846" s="25"/>
      <c r="F846" s="25"/>
      <c r="G846" s="26"/>
      <c r="H846" s="27"/>
      <c r="I846" s="24"/>
      <c r="J846" s="24"/>
      <c r="K846" s="28"/>
      <c r="L846" s="29"/>
      <c r="M846" s="29"/>
      <c r="N846" s="29"/>
      <c r="O846" s="27"/>
      <c r="P846" s="30"/>
      <c r="Q846" s="31"/>
      <c r="R846" s="31"/>
      <c r="S846" s="32"/>
      <c r="T846" s="32"/>
      <c r="U846" s="32"/>
      <c r="V846" s="32"/>
      <c r="W846" s="32"/>
      <c r="X846" s="32"/>
      <c r="Y846" s="32"/>
      <c r="Z846" s="32"/>
      <c r="AA846" s="32"/>
      <c r="AB846" s="32"/>
    </row>
    <row r="847" spans="1:28" ht="15.6" customHeight="1" x14ac:dyDescent="0.25">
      <c r="A847" s="24"/>
      <c r="B847" s="24"/>
      <c r="C847" s="25"/>
      <c r="D847" s="25"/>
      <c r="E847" s="25"/>
      <c r="F847" s="25"/>
      <c r="G847" s="26"/>
      <c r="H847" s="27"/>
      <c r="I847" s="24"/>
      <c r="J847" s="24"/>
      <c r="K847" s="28"/>
      <c r="L847" s="29"/>
      <c r="M847" s="29"/>
      <c r="N847" s="29"/>
      <c r="O847" s="27"/>
      <c r="P847" s="30"/>
      <c r="Q847" s="31"/>
      <c r="R847" s="31"/>
      <c r="S847" s="32"/>
      <c r="T847" s="32"/>
      <c r="U847" s="32"/>
      <c r="V847" s="32"/>
      <c r="W847" s="32"/>
      <c r="X847" s="32"/>
      <c r="Y847" s="32"/>
      <c r="Z847" s="32"/>
      <c r="AA847" s="32"/>
      <c r="AB847" s="32"/>
    </row>
    <row r="848" spans="1:28" ht="15.6" customHeight="1" x14ac:dyDescent="0.25">
      <c r="A848" s="24"/>
      <c r="B848" s="24"/>
      <c r="C848" s="25"/>
      <c r="D848" s="25"/>
      <c r="E848" s="25"/>
      <c r="F848" s="25"/>
      <c r="G848" s="26"/>
      <c r="H848" s="27"/>
      <c r="I848" s="24"/>
      <c r="J848" s="24"/>
      <c r="K848" s="28"/>
      <c r="L848" s="29"/>
      <c r="M848" s="29"/>
      <c r="N848" s="29"/>
      <c r="O848" s="27"/>
      <c r="P848" s="30"/>
      <c r="Q848" s="31"/>
      <c r="R848" s="31"/>
      <c r="S848" s="32"/>
      <c r="T848" s="32"/>
      <c r="U848" s="32"/>
      <c r="V848" s="32"/>
      <c r="W848" s="32"/>
      <c r="X848" s="32"/>
      <c r="Y848" s="32"/>
      <c r="Z848" s="32"/>
      <c r="AA848" s="32"/>
      <c r="AB848" s="32"/>
    </row>
    <row r="849" spans="1:28" ht="15.6" customHeight="1" x14ac:dyDescent="0.25">
      <c r="A849" s="24"/>
      <c r="B849" s="24"/>
      <c r="C849" s="25"/>
      <c r="D849" s="25"/>
      <c r="E849" s="25"/>
      <c r="F849" s="25"/>
      <c r="G849" s="26"/>
      <c r="H849" s="27"/>
      <c r="I849" s="24"/>
      <c r="J849" s="24"/>
      <c r="K849" s="28"/>
      <c r="L849" s="29"/>
      <c r="M849" s="29"/>
      <c r="N849" s="29"/>
      <c r="O849" s="27"/>
      <c r="P849" s="30"/>
      <c r="Q849" s="31"/>
      <c r="R849" s="31"/>
      <c r="S849" s="32"/>
      <c r="T849" s="32"/>
      <c r="U849" s="32"/>
      <c r="V849" s="32"/>
      <c r="W849" s="32"/>
      <c r="X849" s="32"/>
      <c r="Y849" s="32"/>
      <c r="Z849" s="32"/>
      <c r="AA849" s="32"/>
      <c r="AB849" s="32"/>
    </row>
    <row r="850" spans="1:28" ht="15.6" customHeight="1" x14ac:dyDescent="0.25">
      <c r="A850" s="24"/>
      <c r="B850" s="24"/>
      <c r="C850" s="25"/>
      <c r="D850" s="25"/>
      <c r="E850" s="25"/>
      <c r="F850" s="25"/>
      <c r="G850" s="26"/>
      <c r="H850" s="27"/>
      <c r="I850" s="24"/>
      <c r="J850" s="24"/>
      <c r="K850" s="28"/>
      <c r="L850" s="29"/>
      <c r="M850" s="29"/>
      <c r="N850" s="29"/>
      <c r="O850" s="27"/>
      <c r="P850" s="30"/>
      <c r="Q850" s="31"/>
      <c r="R850" s="31"/>
      <c r="S850" s="32"/>
      <c r="T850" s="32"/>
      <c r="U850" s="32"/>
      <c r="V850" s="32"/>
      <c r="W850" s="32"/>
      <c r="X850" s="32"/>
      <c r="Y850" s="32"/>
      <c r="Z850" s="32"/>
      <c r="AA850" s="32"/>
      <c r="AB850" s="32"/>
    </row>
    <row r="851" spans="1:28" ht="15.6" customHeight="1" x14ac:dyDescent="0.25">
      <c r="A851" s="24"/>
      <c r="B851" s="24"/>
      <c r="C851" s="25"/>
      <c r="D851" s="25"/>
      <c r="E851" s="25"/>
      <c r="F851" s="25"/>
      <c r="G851" s="26"/>
      <c r="H851" s="27"/>
      <c r="I851" s="24"/>
      <c r="J851" s="24"/>
      <c r="K851" s="28"/>
      <c r="L851" s="29"/>
      <c r="M851" s="29"/>
      <c r="N851" s="29"/>
      <c r="O851" s="27"/>
      <c r="P851" s="30"/>
      <c r="Q851" s="31"/>
      <c r="R851" s="31"/>
      <c r="S851" s="32"/>
      <c r="T851" s="32"/>
      <c r="U851" s="32"/>
      <c r="V851" s="32"/>
      <c r="W851" s="32"/>
      <c r="X851" s="32"/>
      <c r="Y851" s="32"/>
      <c r="Z851" s="32"/>
      <c r="AA851" s="32"/>
      <c r="AB851" s="32"/>
    </row>
    <row r="852" spans="1:28" ht="15.6" customHeight="1" x14ac:dyDescent="0.25">
      <c r="A852" s="24"/>
      <c r="B852" s="24"/>
      <c r="C852" s="25"/>
      <c r="D852" s="25"/>
      <c r="E852" s="25"/>
      <c r="F852" s="25"/>
      <c r="G852" s="26"/>
      <c r="H852" s="27"/>
      <c r="I852" s="24"/>
      <c r="J852" s="24"/>
      <c r="K852" s="28"/>
      <c r="L852" s="29"/>
      <c r="M852" s="29"/>
      <c r="N852" s="29"/>
      <c r="O852" s="27"/>
      <c r="P852" s="30"/>
      <c r="Q852" s="31"/>
      <c r="R852" s="31"/>
      <c r="S852" s="32"/>
      <c r="T852" s="32"/>
      <c r="U852" s="32"/>
      <c r="V852" s="32"/>
      <c r="W852" s="32"/>
      <c r="X852" s="32"/>
      <c r="Y852" s="32"/>
      <c r="Z852" s="32"/>
      <c r="AA852" s="32"/>
      <c r="AB852" s="32"/>
    </row>
    <row r="853" spans="1:28" ht="15.6" customHeight="1" x14ac:dyDescent="0.25">
      <c r="A853" s="24"/>
      <c r="B853" s="24"/>
      <c r="C853" s="25"/>
      <c r="D853" s="25"/>
      <c r="E853" s="25"/>
      <c r="F853" s="25"/>
      <c r="G853" s="26"/>
      <c r="H853" s="27"/>
      <c r="I853" s="24"/>
      <c r="J853" s="24"/>
      <c r="K853" s="28"/>
      <c r="L853" s="29"/>
      <c r="M853" s="29"/>
      <c r="N853" s="29"/>
      <c r="O853" s="27"/>
      <c r="P853" s="30"/>
      <c r="Q853" s="31"/>
      <c r="R853" s="31"/>
      <c r="S853" s="32"/>
      <c r="T853" s="32"/>
      <c r="U853" s="32"/>
      <c r="V853" s="32"/>
      <c r="W853" s="32"/>
      <c r="X853" s="32"/>
      <c r="Y853" s="32"/>
      <c r="Z853" s="32"/>
      <c r="AA853" s="32"/>
      <c r="AB853" s="32"/>
    </row>
    <row r="854" spans="1:28" ht="15.6" customHeight="1" x14ac:dyDescent="0.25">
      <c r="A854" s="24"/>
      <c r="B854" s="24"/>
      <c r="C854" s="25"/>
      <c r="D854" s="25"/>
      <c r="E854" s="25"/>
      <c r="F854" s="25"/>
      <c r="G854" s="26"/>
      <c r="H854" s="27"/>
      <c r="I854" s="24"/>
      <c r="J854" s="24"/>
      <c r="K854" s="28"/>
      <c r="L854" s="29"/>
      <c r="M854" s="29"/>
      <c r="N854" s="29"/>
      <c r="O854" s="27"/>
      <c r="P854" s="30"/>
      <c r="Q854" s="31"/>
      <c r="R854" s="31"/>
      <c r="S854" s="32"/>
      <c r="T854" s="32"/>
      <c r="U854" s="32"/>
      <c r="V854" s="32"/>
      <c r="W854" s="32"/>
      <c r="X854" s="32"/>
      <c r="Y854" s="32"/>
      <c r="Z854" s="32"/>
      <c r="AA854" s="32"/>
      <c r="AB854" s="32"/>
    </row>
    <row r="855" spans="1:28" ht="15.6" customHeight="1" x14ac:dyDescent="0.25">
      <c r="A855" s="24"/>
      <c r="B855" s="24"/>
      <c r="C855" s="25"/>
      <c r="D855" s="25"/>
      <c r="E855" s="25"/>
      <c r="F855" s="25"/>
      <c r="G855" s="26"/>
      <c r="H855" s="27"/>
      <c r="I855" s="24"/>
      <c r="J855" s="24"/>
      <c r="K855" s="28"/>
      <c r="L855" s="29"/>
      <c r="M855" s="29"/>
      <c r="N855" s="29"/>
      <c r="O855" s="27"/>
      <c r="P855" s="30"/>
      <c r="Q855" s="31"/>
      <c r="R855" s="31"/>
      <c r="S855" s="32"/>
      <c r="T855" s="32"/>
      <c r="U855" s="32"/>
      <c r="V855" s="32"/>
      <c r="W855" s="32"/>
      <c r="X855" s="32"/>
      <c r="Y855" s="32"/>
      <c r="Z855" s="32"/>
      <c r="AA855" s="32"/>
      <c r="AB855" s="32"/>
    </row>
    <row r="856" spans="1:28" ht="15.6" customHeight="1" x14ac:dyDescent="0.25">
      <c r="A856" s="24"/>
      <c r="B856" s="24"/>
      <c r="C856" s="25"/>
      <c r="D856" s="25"/>
      <c r="E856" s="25"/>
      <c r="F856" s="25"/>
      <c r="G856" s="26"/>
      <c r="H856" s="27"/>
      <c r="I856" s="24"/>
      <c r="J856" s="24"/>
      <c r="K856" s="28"/>
      <c r="L856" s="29"/>
      <c r="M856" s="29"/>
      <c r="N856" s="29"/>
      <c r="O856" s="27"/>
      <c r="P856" s="30"/>
      <c r="Q856" s="31"/>
      <c r="R856" s="31"/>
      <c r="S856" s="32"/>
      <c r="T856" s="32"/>
      <c r="U856" s="32"/>
      <c r="V856" s="32"/>
      <c r="W856" s="32"/>
      <c r="X856" s="32"/>
      <c r="Y856" s="32"/>
      <c r="Z856" s="32"/>
      <c r="AA856" s="32"/>
      <c r="AB856" s="32"/>
    </row>
    <row r="857" spans="1:28" ht="15.6" customHeight="1" x14ac:dyDescent="0.25">
      <c r="A857" s="24"/>
      <c r="B857" s="24"/>
      <c r="C857" s="25"/>
      <c r="D857" s="25"/>
      <c r="E857" s="25"/>
      <c r="F857" s="25"/>
      <c r="G857" s="26"/>
      <c r="H857" s="27"/>
      <c r="I857" s="24"/>
      <c r="J857" s="24"/>
      <c r="K857" s="28"/>
      <c r="L857" s="29"/>
      <c r="M857" s="29"/>
      <c r="N857" s="29"/>
      <c r="O857" s="27"/>
      <c r="P857" s="30"/>
      <c r="Q857" s="31"/>
      <c r="R857" s="31"/>
      <c r="S857" s="32"/>
      <c r="T857" s="32"/>
      <c r="U857" s="32"/>
      <c r="V857" s="32"/>
      <c r="W857" s="32"/>
      <c r="X857" s="32"/>
      <c r="Y857" s="32"/>
      <c r="Z857" s="32"/>
      <c r="AA857" s="32"/>
      <c r="AB857" s="32"/>
    </row>
    <row r="858" spans="1:28" ht="15.6" customHeight="1" x14ac:dyDescent="0.25">
      <c r="A858" s="24"/>
      <c r="B858" s="24"/>
      <c r="C858" s="25"/>
      <c r="D858" s="25"/>
      <c r="E858" s="25"/>
      <c r="F858" s="25"/>
      <c r="G858" s="26"/>
      <c r="H858" s="27"/>
      <c r="I858" s="24"/>
      <c r="J858" s="24"/>
      <c r="K858" s="28"/>
      <c r="L858" s="29"/>
      <c r="M858" s="29"/>
      <c r="N858" s="29"/>
      <c r="O858" s="27"/>
      <c r="P858" s="30"/>
      <c r="Q858" s="31"/>
      <c r="R858" s="31"/>
      <c r="S858" s="32"/>
      <c r="T858" s="32"/>
      <c r="U858" s="32"/>
      <c r="V858" s="32"/>
      <c r="W858" s="32"/>
      <c r="X858" s="32"/>
      <c r="Y858" s="32"/>
      <c r="Z858" s="32"/>
      <c r="AA858" s="32"/>
      <c r="AB858" s="32"/>
    </row>
    <row r="859" spans="1:28" ht="15.6" customHeight="1" x14ac:dyDescent="0.25">
      <c r="A859" s="24"/>
      <c r="B859" s="24"/>
      <c r="C859" s="25"/>
      <c r="D859" s="25"/>
      <c r="E859" s="25"/>
      <c r="F859" s="25"/>
      <c r="G859" s="26"/>
      <c r="H859" s="27"/>
      <c r="I859" s="24"/>
      <c r="J859" s="24"/>
      <c r="K859" s="28"/>
      <c r="L859" s="29"/>
      <c r="M859" s="29"/>
      <c r="N859" s="29"/>
      <c r="O859" s="27"/>
      <c r="P859" s="30"/>
      <c r="Q859" s="31"/>
      <c r="R859" s="31"/>
      <c r="S859" s="32"/>
      <c r="T859" s="32"/>
      <c r="U859" s="32"/>
      <c r="V859" s="32"/>
      <c r="W859" s="32"/>
      <c r="X859" s="32"/>
      <c r="Y859" s="32"/>
      <c r="Z859" s="32"/>
      <c r="AA859" s="32"/>
      <c r="AB859" s="32"/>
    </row>
    <row r="860" spans="1:28" ht="15.6" customHeight="1" x14ac:dyDescent="0.25">
      <c r="A860" s="24"/>
      <c r="B860" s="24"/>
      <c r="C860" s="25"/>
      <c r="D860" s="25"/>
      <c r="E860" s="25"/>
      <c r="F860" s="25"/>
      <c r="G860" s="26"/>
      <c r="H860" s="27"/>
      <c r="I860" s="24"/>
      <c r="J860" s="24"/>
      <c r="K860" s="28"/>
      <c r="L860" s="29"/>
      <c r="M860" s="29"/>
      <c r="N860" s="29"/>
      <c r="O860" s="27"/>
      <c r="P860" s="30"/>
      <c r="Q860" s="31"/>
      <c r="R860" s="31"/>
      <c r="S860" s="32"/>
      <c r="T860" s="32"/>
      <c r="U860" s="32"/>
      <c r="V860" s="32"/>
      <c r="W860" s="32"/>
      <c r="X860" s="32"/>
      <c r="Y860" s="32"/>
      <c r="Z860" s="32"/>
      <c r="AA860" s="32"/>
      <c r="AB860" s="32"/>
    </row>
    <row r="861" spans="1:28" ht="15.6" customHeight="1" x14ac:dyDescent="0.25">
      <c r="A861" s="24"/>
      <c r="B861" s="24"/>
      <c r="C861" s="25"/>
      <c r="D861" s="25"/>
      <c r="E861" s="25"/>
      <c r="F861" s="25"/>
      <c r="G861" s="26"/>
      <c r="H861" s="27"/>
      <c r="I861" s="24"/>
      <c r="J861" s="24"/>
      <c r="K861" s="28"/>
      <c r="L861" s="29"/>
      <c r="M861" s="29"/>
      <c r="N861" s="29"/>
      <c r="O861" s="27"/>
      <c r="P861" s="30"/>
      <c r="Q861" s="31"/>
      <c r="R861" s="31"/>
      <c r="S861" s="32"/>
      <c r="T861" s="32"/>
      <c r="U861" s="32"/>
      <c r="V861" s="32"/>
      <c r="W861" s="32"/>
      <c r="X861" s="32"/>
      <c r="Y861" s="32"/>
      <c r="Z861" s="32"/>
      <c r="AA861" s="32"/>
      <c r="AB861" s="32"/>
    </row>
    <row r="862" spans="1:28" ht="15.6" customHeight="1" x14ac:dyDescent="0.25">
      <c r="A862" s="24"/>
      <c r="B862" s="24"/>
      <c r="C862" s="25"/>
      <c r="D862" s="25"/>
      <c r="E862" s="25"/>
      <c r="F862" s="25"/>
      <c r="G862" s="26"/>
      <c r="H862" s="27"/>
      <c r="I862" s="24"/>
      <c r="J862" s="24"/>
      <c r="K862" s="28"/>
      <c r="L862" s="29"/>
      <c r="M862" s="29"/>
      <c r="N862" s="29"/>
      <c r="O862" s="27"/>
      <c r="P862" s="30"/>
      <c r="Q862" s="31"/>
      <c r="R862" s="31"/>
      <c r="S862" s="32"/>
      <c r="T862" s="32"/>
      <c r="U862" s="32"/>
      <c r="V862" s="32"/>
      <c r="W862" s="32"/>
      <c r="X862" s="32"/>
      <c r="Y862" s="32"/>
      <c r="Z862" s="32"/>
      <c r="AA862" s="32"/>
      <c r="AB862" s="32"/>
    </row>
    <row r="863" spans="1:28" ht="15.6" customHeight="1" x14ac:dyDescent="0.25">
      <c r="A863" s="24"/>
      <c r="B863" s="24"/>
      <c r="C863" s="25"/>
      <c r="D863" s="25"/>
      <c r="E863" s="25"/>
      <c r="F863" s="25"/>
      <c r="G863" s="26"/>
      <c r="H863" s="27"/>
      <c r="I863" s="24"/>
      <c r="J863" s="24"/>
      <c r="K863" s="28"/>
      <c r="L863" s="29"/>
      <c r="M863" s="29"/>
      <c r="N863" s="29"/>
      <c r="O863" s="27"/>
      <c r="P863" s="30"/>
      <c r="Q863" s="31"/>
      <c r="R863" s="31"/>
      <c r="S863" s="32"/>
      <c r="T863" s="32"/>
      <c r="U863" s="32"/>
      <c r="V863" s="32"/>
      <c r="W863" s="32"/>
      <c r="X863" s="32"/>
      <c r="Y863" s="32"/>
      <c r="Z863" s="32"/>
      <c r="AA863" s="32"/>
      <c r="AB863" s="32"/>
    </row>
    <row r="864" spans="1:28" ht="15.6" customHeight="1" x14ac:dyDescent="0.25">
      <c r="A864" s="24"/>
      <c r="B864" s="24"/>
      <c r="C864" s="25"/>
      <c r="D864" s="25"/>
      <c r="E864" s="25"/>
      <c r="F864" s="25"/>
      <c r="G864" s="26"/>
      <c r="H864" s="27"/>
      <c r="I864" s="24"/>
      <c r="J864" s="24"/>
      <c r="K864" s="28"/>
      <c r="L864" s="29"/>
      <c r="M864" s="29"/>
      <c r="N864" s="29"/>
      <c r="O864" s="27"/>
      <c r="P864" s="30"/>
      <c r="Q864" s="31"/>
      <c r="R864" s="31"/>
      <c r="S864" s="32"/>
      <c r="T864" s="32"/>
      <c r="U864" s="32"/>
      <c r="V864" s="32"/>
      <c r="W864" s="32"/>
      <c r="X864" s="32"/>
      <c r="Y864" s="32"/>
      <c r="Z864" s="32"/>
      <c r="AA864" s="32"/>
      <c r="AB864" s="32"/>
    </row>
    <row r="865" spans="1:28" ht="15.6" customHeight="1" x14ac:dyDescent="0.25">
      <c r="A865" s="24"/>
      <c r="B865" s="24"/>
      <c r="C865" s="25"/>
      <c r="D865" s="25"/>
      <c r="E865" s="25"/>
      <c r="F865" s="25"/>
      <c r="G865" s="26"/>
      <c r="H865" s="27"/>
      <c r="I865" s="24"/>
      <c r="J865" s="24"/>
      <c r="K865" s="28"/>
      <c r="L865" s="29"/>
      <c r="M865" s="29"/>
      <c r="N865" s="29"/>
      <c r="O865" s="27"/>
      <c r="P865" s="30"/>
      <c r="Q865" s="31"/>
      <c r="R865" s="31"/>
      <c r="S865" s="32"/>
      <c r="T865" s="32"/>
      <c r="U865" s="32"/>
      <c r="V865" s="32"/>
      <c r="W865" s="32"/>
      <c r="X865" s="32"/>
      <c r="Y865" s="32"/>
      <c r="Z865" s="32"/>
      <c r="AA865" s="32"/>
      <c r="AB865" s="32"/>
    </row>
    <row r="866" spans="1:28" ht="15.6" customHeight="1" x14ac:dyDescent="0.25">
      <c r="A866" s="24"/>
      <c r="B866" s="24"/>
      <c r="C866" s="25"/>
      <c r="D866" s="25"/>
      <c r="E866" s="25"/>
      <c r="F866" s="25"/>
      <c r="G866" s="26"/>
      <c r="H866" s="27"/>
      <c r="I866" s="24"/>
      <c r="J866" s="24"/>
      <c r="K866" s="28"/>
      <c r="L866" s="29"/>
      <c r="M866" s="29"/>
      <c r="N866" s="29"/>
      <c r="O866" s="27"/>
      <c r="P866" s="30"/>
      <c r="Q866" s="31"/>
      <c r="R866" s="31"/>
      <c r="S866" s="32"/>
      <c r="T866" s="32"/>
      <c r="U866" s="32"/>
      <c r="V866" s="32"/>
      <c r="W866" s="32"/>
      <c r="X866" s="32"/>
      <c r="Y866" s="32"/>
      <c r="Z866" s="32"/>
      <c r="AA866" s="32"/>
      <c r="AB866" s="32"/>
    </row>
    <row r="867" spans="1:28" ht="15.6" customHeight="1" x14ac:dyDescent="0.25">
      <c r="A867" s="24"/>
      <c r="B867" s="24"/>
      <c r="C867" s="25"/>
      <c r="D867" s="25"/>
      <c r="E867" s="25"/>
      <c r="F867" s="25"/>
      <c r="G867" s="26"/>
      <c r="H867" s="27"/>
      <c r="I867" s="24"/>
      <c r="J867" s="24"/>
      <c r="K867" s="28"/>
      <c r="L867" s="29"/>
      <c r="M867" s="29"/>
      <c r="N867" s="29"/>
      <c r="O867" s="27"/>
      <c r="P867" s="30"/>
      <c r="Q867" s="31"/>
      <c r="R867" s="31"/>
      <c r="S867" s="32"/>
      <c r="T867" s="32"/>
      <c r="U867" s="32"/>
      <c r="V867" s="32"/>
      <c r="W867" s="32"/>
      <c r="X867" s="32"/>
      <c r="Y867" s="32"/>
      <c r="Z867" s="32"/>
      <c r="AA867" s="32"/>
      <c r="AB867" s="32"/>
    </row>
    <row r="868" spans="1:28" ht="15.6" customHeight="1" x14ac:dyDescent="0.25">
      <c r="A868" s="24"/>
      <c r="B868" s="24"/>
      <c r="C868" s="25"/>
      <c r="D868" s="25"/>
      <c r="E868" s="25"/>
      <c r="F868" s="25"/>
      <c r="G868" s="26"/>
      <c r="H868" s="27"/>
      <c r="I868" s="24"/>
      <c r="J868" s="24"/>
      <c r="K868" s="28"/>
      <c r="L868" s="29"/>
      <c r="M868" s="29"/>
      <c r="N868" s="29"/>
      <c r="O868" s="27"/>
      <c r="P868" s="30"/>
      <c r="Q868" s="31"/>
      <c r="R868" s="31"/>
      <c r="S868" s="32"/>
      <c r="T868" s="32"/>
      <c r="U868" s="32"/>
      <c r="V868" s="32"/>
      <c r="W868" s="32"/>
      <c r="X868" s="32"/>
      <c r="Y868" s="32"/>
      <c r="Z868" s="32"/>
      <c r="AA868" s="32"/>
      <c r="AB868" s="32"/>
    </row>
    <row r="869" spans="1:28" ht="15.6" customHeight="1" x14ac:dyDescent="0.25">
      <c r="A869" s="24"/>
      <c r="B869" s="24"/>
      <c r="C869" s="25"/>
      <c r="D869" s="25"/>
      <c r="E869" s="25"/>
      <c r="F869" s="25"/>
      <c r="G869" s="26"/>
      <c r="H869" s="27"/>
      <c r="I869" s="24"/>
      <c r="J869" s="24"/>
      <c r="K869" s="28"/>
      <c r="L869" s="29"/>
      <c r="M869" s="29"/>
      <c r="N869" s="29"/>
      <c r="O869" s="27"/>
      <c r="P869" s="30"/>
      <c r="Q869" s="31"/>
      <c r="R869" s="31"/>
      <c r="S869" s="32"/>
      <c r="T869" s="32"/>
      <c r="U869" s="32"/>
      <c r="V869" s="32"/>
      <c r="W869" s="32"/>
      <c r="X869" s="32"/>
      <c r="Y869" s="32"/>
      <c r="Z869" s="32"/>
      <c r="AA869" s="32"/>
      <c r="AB869" s="32"/>
    </row>
    <row r="870" spans="1:28" ht="15.6" customHeight="1" x14ac:dyDescent="0.25">
      <c r="A870" s="24"/>
      <c r="B870" s="24"/>
      <c r="C870" s="25"/>
      <c r="D870" s="25"/>
      <c r="E870" s="25"/>
      <c r="F870" s="25"/>
      <c r="G870" s="26"/>
      <c r="H870" s="27"/>
      <c r="I870" s="24"/>
      <c r="J870" s="24"/>
      <c r="K870" s="28"/>
      <c r="L870" s="29"/>
      <c r="M870" s="29"/>
      <c r="N870" s="29"/>
      <c r="O870" s="27"/>
      <c r="P870" s="30"/>
      <c r="Q870" s="31"/>
      <c r="R870" s="31"/>
      <c r="S870" s="32"/>
      <c r="T870" s="32"/>
      <c r="U870" s="32"/>
      <c r="V870" s="32"/>
      <c r="W870" s="32"/>
      <c r="X870" s="32"/>
      <c r="Y870" s="32"/>
      <c r="Z870" s="32"/>
      <c r="AA870" s="32"/>
      <c r="AB870" s="32"/>
    </row>
    <row r="871" spans="1:28" ht="15.6" customHeight="1" x14ac:dyDescent="0.25">
      <c r="A871" s="24"/>
      <c r="B871" s="24"/>
      <c r="C871" s="25"/>
      <c r="D871" s="25"/>
      <c r="E871" s="25"/>
      <c r="F871" s="25"/>
      <c r="G871" s="26"/>
      <c r="H871" s="27"/>
      <c r="I871" s="24"/>
      <c r="J871" s="24"/>
      <c r="K871" s="28"/>
      <c r="L871" s="29"/>
      <c r="M871" s="29"/>
      <c r="N871" s="29"/>
      <c r="O871" s="27"/>
      <c r="P871" s="30"/>
      <c r="Q871" s="31"/>
      <c r="R871" s="31"/>
      <c r="S871" s="32"/>
      <c r="T871" s="32"/>
      <c r="U871" s="32"/>
      <c r="V871" s="32"/>
      <c r="W871" s="32"/>
      <c r="X871" s="32"/>
      <c r="Y871" s="32"/>
      <c r="Z871" s="32"/>
      <c r="AA871" s="32"/>
      <c r="AB871" s="32"/>
    </row>
    <row r="872" spans="1:28" ht="15.6" customHeight="1" x14ac:dyDescent="0.25">
      <c r="A872" s="24"/>
      <c r="B872" s="24"/>
      <c r="C872" s="25"/>
      <c r="D872" s="25"/>
      <c r="E872" s="25"/>
      <c r="F872" s="25"/>
      <c r="G872" s="26"/>
      <c r="H872" s="27"/>
      <c r="I872" s="24"/>
      <c r="J872" s="24"/>
      <c r="K872" s="28"/>
      <c r="L872" s="29"/>
      <c r="M872" s="29"/>
      <c r="N872" s="29"/>
      <c r="O872" s="27"/>
      <c r="P872" s="30"/>
      <c r="Q872" s="31"/>
      <c r="R872" s="31"/>
      <c r="S872" s="32"/>
      <c r="T872" s="32"/>
      <c r="U872" s="32"/>
      <c r="V872" s="32"/>
      <c r="W872" s="32"/>
      <c r="X872" s="32"/>
      <c r="Y872" s="32"/>
      <c r="Z872" s="32"/>
      <c r="AA872" s="32"/>
      <c r="AB872" s="32"/>
    </row>
    <row r="873" spans="1:28" ht="15.6" customHeight="1" x14ac:dyDescent="0.25">
      <c r="A873" s="24"/>
      <c r="B873" s="24"/>
      <c r="C873" s="25"/>
      <c r="D873" s="25"/>
      <c r="E873" s="25"/>
      <c r="F873" s="25"/>
      <c r="G873" s="26"/>
      <c r="H873" s="27"/>
      <c r="I873" s="24"/>
      <c r="J873" s="24"/>
      <c r="K873" s="28"/>
      <c r="L873" s="29"/>
      <c r="M873" s="29"/>
      <c r="N873" s="29"/>
      <c r="O873" s="27"/>
      <c r="P873" s="30"/>
      <c r="Q873" s="31"/>
      <c r="R873" s="31"/>
      <c r="S873" s="32"/>
      <c r="T873" s="32"/>
      <c r="U873" s="32"/>
      <c r="V873" s="32"/>
      <c r="W873" s="32"/>
      <c r="X873" s="32"/>
      <c r="Y873" s="32"/>
      <c r="Z873" s="32"/>
      <c r="AA873" s="32"/>
      <c r="AB873" s="32"/>
    </row>
    <row r="874" spans="1:28" ht="15.6" customHeight="1" x14ac:dyDescent="0.25">
      <c r="A874" s="24"/>
      <c r="B874" s="24"/>
      <c r="C874" s="25"/>
      <c r="D874" s="25"/>
      <c r="E874" s="25"/>
      <c r="F874" s="25"/>
      <c r="G874" s="26"/>
      <c r="H874" s="27"/>
      <c r="I874" s="24"/>
      <c r="J874" s="24"/>
      <c r="K874" s="28"/>
      <c r="L874" s="29"/>
      <c r="M874" s="29"/>
      <c r="N874" s="29"/>
      <c r="O874" s="27"/>
      <c r="P874" s="30"/>
      <c r="Q874" s="31"/>
      <c r="R874" s="31"/>
      <c r="S874" s="32"/>
      <c r="T874" s="32"/>
      <c r="U874" s="32"/>
      <c r="V874" s="32"/>
      <c r="W874" s="32"/>
      <c r="X874" s="32"/>
      <c r="Y874" s="32"/>
      <c r="Z874" s="32"/>
      <c r="AA874" s="32"/>
      <c r="AB874" s="32"/>
    </row>
    <row r="875" spans="1:28" ht="15.6" customHeight="1" x14ac:dyDescent="0.25">
      <c r="A875" s="24"/>
      <c r="B875" s="24"/>
      <c r="C875" s="25"/>
      <c r="D875" s="25"/>
      <c r="E875" s="25"/>
      <c r="F875" s="25"/>
      <c r="G875" s="26"/>
      <c r="H875" s="27"/>
      <c r="I875" s="24"/>
      <c r="J875" s="24"/>
      <c r="K875" s="28"/>
      <c r="L875" s="29"/>
      <c r="M875" s="29"/>
      <c r="N875" s="29"/>
      <c r="O875" s="27"/>
      <c r="P875" s="30"/>
      <c r="Q875" s="31"/>
      <c r="R875" s="31"/>
      <c r="S875" s="32"/>
      <c r="T875" s="32"/>
      <c r="U875" s="32"/>
      <c r="V875" s="32"/>
      <c r="W875" s="32"/>
      <c r="X875" s="32"/>
      <c r="Y875" s="32"/>
      <c r="Z875" s="32"/>
      <c r="AA875" s="32"/>
      <c r="AB875" s="32"/>
    </row>
    <row r="876" spans="1:28" ht="15.6" customHeight="1" x14ac:dyDescent="0.25">
      <c r="A876" s="24"/>
      <c r="B876" s="24"/>
      <c r="C876" s="25"/>
      <c r="D876" s="25"/>
      <c r="E876" s="25"/>
      <c r="F876" s="25"/>
      <c r="G876" s="26"/>
      <c r="H876" s="27"/>
      <c r="I876" s="24"/>
      <c r="J876" s="24"/>
      <c r="K876" s="28"/>
      <c r="L876" s="29"/>
      <c r="M876" s="29"/>
      <c r="N876" s="29"/>
      <c r="O876" s="27"/>
      <c r="P876" s="30"/>
      <c r="Q876" s="31"/>
      <c r="R876" s="31"/>
      <c r="S876" s="32"/>
      <c r="T876" s="32"/>
      <c r="U876" s="32"/>
      <c r="V876" s="32"/>
      <c r="W876" s="32"/>
      <c r="X876" s="32"/>
      <c r="Y876" s="32"/>
      <c r="Z876" s="32"/>
      <c r="AA876" s="32"/>
      <c r="AB876" s="32"/>
    </row>
    <row r="877" spans="1:28" ht="15.6" customHeight="1" x14ac:dyDescent="0.25">
      <c r="A877" s="24"/>
      <c r="B877" s="24"/>
      <c r="C877" s="25"/>
      <c r="D877" s="25"/>
      <c r="E877" s="25"/>
      <c r="F877" s="25"/>
      <c r="G877" s="26"/>
      <c r="H877" s="27"/>
      <c r="I877" s="24"/>
      <c r="J877" s="24"/>
      <c r="K877" s="28"/>
      <c r="L877" s="29"/>
      <c r="M877" s="29"/>
      <c r="N877" s="29"/>
      <c r="O877" s="27"/>
      <c r="P877" s="30"/>
      <c r="Q877" s="31"/>
      <c r="R877" s="31"/>
      <c r="S877" s="32"/>
      <c r="T877" s="32"/>
      <c r="U877" s="32"/>
      <c r="V877" s="32"/>
      <c r="W877" s="32"/>
      <c r="X877" s="32"/>
      <c r="Y877" s="32"/>
      <c r="Z877" s="32"/>
      <c r="AA877" s="32"/>
      <c r="AB877" s="32"/>
    </row>
    <row r="878" spans="1:28" ht="15.6" customHeight="1" x14ac:dyDescent="0.25">
      <c r="A878" s="24"/>
      <c r="B878" s="24"/>
      <c r="C878" s="25"/>
      <c r="D878" s="25"/>
      <c r="E878" s="25"/>
      <c r="F878" s="25"/>
      <c r="G878" s="26"/>
      <c r="H878" s="27"/>
      <c r="I878" s="24"/>
      <c r="J878" s="24"/>
      <c r="K878" s="28"/>
      <c r="L878" s="29"/>
      <c r="M878" s="29"/>
      <c r="N878" s="29"/>
      <c r="O878" s="27"/>
      <c r="P878" s="30"/>
      <c r="Q878" s="31"/>
      <c r="R878" s="31"/>
      <c r="S878" s="32"/>
      <c r="T878" s="32"/>
      <c r="U878" s="32"/>
      <c r="V878" s="32"/>
      <c r="W878" s="32"/>
      <c r="X878" s="32"/>
      <c r="Y878" s="32"/>
      <c r="Z878" s="32"/>
      <c r="AA878" s="32"/>
      <c r="AB878" s="32"/>
    </row>
    <row r="879" spans="1:28" ht="15.6" customHeight="1" x14ac:dyDescent="0.25">
      <c r="A879" s="24"/>
      <c r="B879" s="24"/>
      <c r="C879" s="25"/>
      <c r="D879" s="25"/>
      <c r="E879" s="25"/>
      <c r="F879" s="25"/>
      <c r="G879" s="26"/>
      <c r="H879" s="27"/>
      <c r="I879" s="24"/>
      <c r="J879" s="24"/>
      <c r="K879" s="28"/>
      <c r="L879" s="29"/>
      <c r="M879" s="29"/>
      <c r="N879" s="29"/>
      <c r="O879" s="27"/>
      <c r="P879" s="30"/>
      <c r="Q879" s="31"/>
      <c r="R879" s="31"/>
      <c r="S879" s="32"/>
      <c r="T879" s="32"/>
      <c r="U879" s="32"/>
      <c r="V879" s="32"/>
      <c r="W879" s="32"/>
      <c r="X879" s="32"/>
      <c r="Y879" s="32"/>
      <c r="Z879" s="32"/>
      <c r="AA879" s="32"/>
      <c r="AB879" s="32"/>
    </row>
    <row r="880" spans="1:28" ht="15.6" customHeight="1" x14ac:dyDescent="0.25">
      <c r="A880" s="24"/>
      <c r="B880" s="24"/>
      <c r="C880" s="25"/>
      <c r="D880" s="25"/>
      <c r="E880" s="25"/>
      <c r="F880" s="25"/>
      <c r="G880" s="26"/>
      <c r="H880" s="27"/>
      <c r="I880" s="24"/>
      <c r="J880" s="24"/>
      <c r="K880" s="28"/>
      <c r="L880" s="29"/>
      <c r="M880" s="29"/>
      <c r="N880" s="29"/>
      <c r="O880" s="27"/>
      <c r="P880" s="30"/>
      <c r="Q880" s="31"/>
      <c r="R880" s="31"/>
      <c r="S880" s="32"/>
      <c r="T880" s="32"/>
      <c r="U880" s="32"/>
      <c r="V880" s="32"/>
      <c r="W880" s="32"/>
      <c r="X880" s="32"/>
      <c r="Y880" s="32"/>
      <c r="Z880" s="32"/>
      <c r="AA880" s="32"/>
      <c r="AB880" s="32"/>
    </row>
    <row r="881" spans="1:28" ht="15.6" customHeight="1" x14ac:dyDescent="0.25">
      <c r="A881" s="24"/>
      <c r="B881" s="24"/>
      <c r="C881" s="25"/>
      <c r="D881" s="25"/>
      <c r="E881" s="25"/>
      <c r="F881" s="25"/>
      <c r="G881" s="26"/>
      <c r="H881" s="27"/>
      <c r="I881" s="24"/>
      <c r="J881" s="24"/>
      <c r="K881" s="28"/>
      <c r="L881" s="29"/>
      <c r="M881" s="29"/>
      <c r="N881" s="29"/>
      <c r="O881" s="27"/>
      <c r="P881" s="30"/>
      <c r="Q881" s="31"/>
      <c r="R881" s="31"/>
      <c r="S881" s="32"/>
      <c r="T881" s="32"/>
      <c r="U881" s="32"/>
      <c r="V881" s="32"/>
      <c r="W881" s="32"/>
      <c r="X881" s="32"/>
      <c r="Y881" s="32"/>
      <c r="Z881" s="32"/>
      <c r="AA881" s="32"/>
      <c r="AB881" s="32"/>
    </row>
    <row r="882" spans="1:28" ht="15.6" customHeight="1" x14ac:dyDescent="0.25">
      <c r="A882" s="24"/>
      <c r="B882" s="24"/>
      <c r="C882" s="25"/>
      <c r="D882" s="25"/>
      <c r="E882" s="25"/>
      <c r="F882" s="25"/>
      <c r="G882" s="26"/>
      <c r="H882" s="27"/>
      <c r="I882" s="24"/>
      <c r="J882" s="24"/>
      <c r="K882" s="28"/>
      <c r="L882" s="29"/>
      <c r="M882" s="29"/>
      <c r="N882" s="29"/>
      <c r="O882" s="27"/>
      <c r="P882" s="30"/>
      <c r="Q882" s="31"/>
      <c r="R882" s="31"/>
      <c r="S882" s="32"/>
      <c r="T882" s="32"/>
      <c r="U882" s="32"/>
      <c r="V882" s="32"/>
      <c r="W882" s="32"/>
      <c r="X882" s="32"/>
      <c r="Y882" s="32"/>
      <c r="Z882" s="32"/>
      <c r="AA882" s="32"/>
      <c r="AB882" s="32"/>
    </row>
    <row r="883" spans="1:28" ht="15.6" customHeight="1" x14ac:dyDescent="0.25">
      <c r="A883" s="24"/>
      <c r="B883" s="24"/>
      <c r="C883" s="25"/>
      <c r="D883" s="25"/>
      <c r="E883" s="25"/>
      <c r="F883" s="25"/>
      <c r="G883" s="26"/>
      <c r="H883" s="27"/>
      <c r="I883" s="24"/>
      <c r="J883" s="24"/>
      <c r="K883" s="28"/>
      <c r="L883" s="29"/>
      <c r="M883" s="29"/>
      <c r="N883" s="29"/>
      <c r="O883" s="27"/>
      <c r="P883" s="30"/>
      <c r="Q883" s="31"/>
      <c r="R883" s="31"/>
      <c r="S883" s="32"/>
      <c r="T883" s="32"/>
      <c r="U883" s="32"/>
      <c r="V883" s="32"/>
      <c r="W883" s="32"/>
      <c r="X883" s="32"/>
      <c r="Y883" s="32"/>
      <c r="Z883" s="32"/>
      <c r="AA883" s="32"/>
      <c r="AB883" s="32"/>
    </row>
    <row r="884" spans="1:28" ht="15.6" customHeight="1" x14ac:dyDescent="0.25">
      <c r="A884" s="24"/>
      <c r="B884" s="24"/>
      <c r="C884" s="25"/>
      <c r="D884" s="25"/>
      <c r="E884" s="25"/>
      <c r="F884" s="25"/>
      <c r="G884" s="26"/>
      <c r="H884" s="27"/>
      <c r="I884" s="24"/>
      <c r="J884" s="24"/>
      <c r="K884" s="28"/>
      <c r="L884" s="29"/>
      <c r="M884" s="29"/>
      <c r="N884" s="29"/>
      <c r="O884" s="27"/>
      <c r="P884" s="30"/>
      <c r="Q884" s="31"/>
      <c r="R884" s="31"/>
      <c r="S884" s="32"/>
      <c r="T884" s="32"/>
      <c r="U884" s="32"/>
      <c r="V884" s="32"/>
      <c r="W884" s="32"/>
      <c r="X884" s="32"/>
      <c r="Y884" s="32"/>
      <c r="Z884" s="32"/>
      <c r="AA884" s="32"/>
      <c r="AB884" s="32"/>
    </row>
    <row r="885" spans="1:28" ht="15.6" customHeight="1" x14ac:dyDescent="0.25">
      <c r="A885" s="24"/>
      <c r="B885" s="24"/>
      <c r="C885" s="25"/>
      <c r="D885" s="25"/>
      <c r="E885" s="25"/>
      <c r="F885" s="25"/>
      <c r="G885" s="26"/>
      <c r="H885" s="27"/>
      <c r="I885" s="24"/>
      <c r="J885" s="24"/>
      <c r="K885" s="28"/>
      <c r="L885" s="29"/>
      <c r="M885" s="29"/>
      <c r="N885" s="29"/>
      <c r="O885" s="27"/>
      <c r="P885" s="30"/>
      <c r="Q885" s="31"/>
      <c r="R885" s="31"/>
      <c r="S885" s="32"/>
      <c r="T885" s="32"/>
      <c r="U885" s="32"/>
      <c r="V885" s="32"/>
      <c r="W885" s="32"/>
      <c r="X885" s="32"/>
      <c r="Y885" s="32"/>
      <c r="Z885" s="32"/>
      <c r="AA885" s="32"/>
      <c r="AB885" s="32"/>
    </row>
    <row r="886" spans="1:28" ht="15.6" customHeight="1" x14ac:dyDescent="0.25">
      <c r="A886" s="24"/>
      <c r="B886" s="24"/>
      <c r="C886" s="25"/>
      <c r="D886" s="25"/>
      <c r="E886" s="25"/>
      <c r="F886" s="25"/>
      <c r="G886" s="26"/>
      <c r="H886" s="27"/>
      <c r="I886" s="24"/>
      <c r="J886" s="24"/>
      <c r="K886" s="28"/>
      <c r="L886" s="29"/>
      <c r="M886" s="29"/>
      <c r="N886" s="29"/>
      <c r="O886" s="27"/>
      <c r="P886" s="30"/>
      <c r="Q886" s="31"/>
      <c r="R886" s="31"/>
      <c r="S886" s="32"/>
      <c r="T886" s="32"/>
      <c r="U886" s="32"/>
      <c r="V886" s="32"/>
      <c r="W886" s="32"/>
      <c r="X886" s="32"/>
      <c r="Y886" s="32"/>
      <c r="Z886" s="32"/>
      <c r="AA886" s="32"/>
      <c r="AB886" s="32"/>
    </row>
    <row r="887" spans="1:28" ht="15.6" customHeight="1" x14ac:dyDescent="0.25">
      <c r="A887" s="24"/>
      <c r="B887" s="24"/>
      <c r="C887" s="25"/>
      <c r="D887" s="25"/>
      <c r="E887" s="25"/>
      <c r="F887" s="25"/>
      <c r="G887" s="26"/>
      <c r="H887" s="27"/>
      <c r="I887" s="24"/>
      <c r="J887" s="24"/>
      <c r="K887" s="28"/>
      <c r="L887" s="29"/>
      <c r="M887" s="29"/>
      <c r="N887" s="29"/>
      <c r="O887" s="27"/>
      <c r="P887" s="30"/>
      <c r="Q887" s="31"/>
      <c r="R887" s="31"/>
      <c r="S887" s="32"/>
      <c r="T887" s="32"/>
      <c r="U887" s="32"/>
      <c r="V887" s="32"/>
      <c r="W887" s="32"/>
      <c r="X887" s="32"/>
      <c r="Y887" s="32"/>
      <c r="Z887" s="32"/>
      <c r="AA887" s="32"/>
      <c r="AB887" s="32"/>
    </row>
    <row r="888" spans="1:28" ht="15.6" customHeight="1" x14ac:dyDescent="0.25">
      <c r="A888" s="24"/>
      <c r="B888" s="24"/>
      <c r="C888" s="25"/>
      <c r="D888" s="25"/>
      <c r="E888" s="25"/>
      <c r="F888" s="25"/>
      <c r="G888" s="26"/>
      <c r="H888" s="27"/>
      <c r="I888" s="24"/>
      <c r="J888" s="24"/>
      <c r="K888" s="28"/>
      <c r="L888" s="29"/>
      <c r="M888" s="29"/>
      <c r="N888" s="29"/>
      <c r="O888" s="27"/>
      <c r="P888" s="30"/>
      <c r="Q888" s="31"/>
      <c r="R888" s="31"/>
      <c r="S888" s="32"/>
      <c r="T888" s="32"/>
      <c r="U888" s="32"/>
      <c r="V888" s="32"/>
      <c r="W888" s="32"/>
      <c r="X888" s="32"/>
      <c r="Y888" s="32"/>
      <c r="Z888" s="32"/>
      <c r="AA888" s="32"/>
      <c r="AB888" s="32"/>
    </row>
    <row r="889" spans="1:28" ht="15.6" customHeight="1" x14ac:dyDescent="0.25">
      <c r="A889" s="24"/>
      <c r="B889" s="24"/>
      <c r="C889" s="25"/>
      <c r="D889" s="25"/>
      <c r="E889" s="25"/>
      <c r="F889" s="25"/>
      <c r="G889" s="26"/>
      <c r="H889" s="27"/>
      <c r="I889" s="24"/>
      <c r="J889" s="24"/>
      <c r="K889" s="28"/>
      <c r="L889" s="29"/>
      <c r="M889" s="29"/>
      <c r="N889" s="29"/>
      <c r="O889" s="27"/>
      <c r="P889" s="30"/>
      <c r="Q889" s="31"/>
      <c r="R889" s="31"/>
      <c r="S889" s="32"/>
      <c r="T889" s="32"/>
      <c r="U889" s="32"/>
      <c r="V889" s="32"/>
      <c r="W889" s="32"/>
      <c r="X889" s="32"/>
      <c r="Y889" s="32"/>
      <c r="Z889" s="32"/>
      <c r="AA889" s="32"/>
      <c r="AB889" s="32"/>
    </row>
    <row r="890" spans="1:28" ht="15.6" customHeight="1" x14ac:dyDescent="0.25">
      <c r="A890" s="24"/>
      <c r="B890" s="24"/>
      <c r="C890" s="25"/>
      <c r="D890" s="25"/>
      <c r="E890" s="25"/>
      <c r="F890" s="25"/>
      <c r="G890" s="26"/>
      <c r="H890" s="27"/>
      <c r="I890" s="24"/>
      <c r="J890" s="24"/>
      <c r="K890" s="28"/>
      <c r="L890" s="29"/>
      <c r="M890" s="29"/>
      <c r="N890" s="29"/>
      <c r="O890" s="27"/>
      <c r="P890" s="30"/>
      <c r="Q890" s="31"/>
      <c r="R890" s="31"/>
      <c r="S890" s="32"/>
      <c r="T890" s="32"/>
      <c r="U890" s="32"/>
      <c r="V890" s="32"/>
      <c r="W890" s="32"/>
      <c r="X890" s="32"/>
      <c r="Y890" s="32"/>
      <c r="Z890" s="32"/>
      <c r="AA890" s="32"/>
      <c r="AB890" s="32"/>
    </row>
    <row r="891" spans="1:28" ht="15.6" customHeight="1" x14ac:dyDescent="0.25">
      <c r="A891" s="24"/>
      <c r="B891" s="24"/>
      <c r="C891" s="25"/>
      <c r="D891" s="25"/>
      <c r="E891" s="25"/>
      <c r="F891" s="25"/>
      <c r="G891" s="26"/>
      <c r="H891" s="27"/>
      <c r="I891" s="24"/>
      <c r="J891" s="24"/>
      <c r="K891" s="28"/>
      <c r="L891" s="29"/>
      <c r="M891" s="29"/>
      <c r="N891" s="29"/>
      <c r="O891" s="27"/>
      <c r="P891" s="30"/>
      <c r="Q891" s="31"/>
      <c r="R891" s="31"/>
      <c r="S891" s="32"/>
      <c r="T891" s="32"/>
      <c r="U891" s="32"/>
      <c r="V891" s="32"/>
      <c r="W891" s="32"/>
      <c r="X891" s="32"/>
      <c r="Y891" s="32"/>
      <c r="Z891" s="32"/>
      <c r="AA891" s="32"/>
      <c r="AB891" s="32"/>
    </row>
    <row r="892" spans="1:28" ht="15.6" customHeight="1" x14ac:dyDescent="0.25">
      <c r="A892" s="24"/>
      <c r="B892" s="24"/>
      <c r="C892" s="25"/>
      <c r="D892" s="25"/>
      <c r="E892" s="25"/>
      <c r="F892" s="25"/>
      <c r="G892" s="26"/>
      <c r="H892" s="27"/>
      <c r="I892" s="24"/>
      <c r="J892" s="24"/>
      <c r="K892" s="28"/>
      <c r="L892" s="29"/>
      <c r="M892" s="29"/>
      <c r="N892" s="29"/>
      <c r="O892" s="27"/>
      <c r="P892" s="30"/>
      <c r="Q892" s="31"/>
      <c r="R892" s="31"/>
      <c r="S892" s="32"/>
      <c r="T892" s="32"/>
      <c r="U892" s="32"/>
      <c r="V892" s="32"/>
      <c r="W892" s="32"/>
      <c r="X892" s="32"/>
      <c r="Y892" s="32"/>
      <c r="Z892" s="32"/>
      <c r="AA892" s="32"/>
      <c r="AB892" s="32"/>
    </row>
    <row r="893" spans="1:28" ht="15.6" customHeight="1" x14ac:dyDescent="0.25">
      <c r="A893" s="24"/>
      <c r="B893" s="24"/>
      <c r="C893" s="25"/>
      <c r="D893" s="25"/>
      <c r="E893" s="25"/>
      <c r="F893" s="25"/>
      <c r="G893" s="26"/>
      <c r="H893" s="27"/>
      <c r="I893" s="24"/>
      <c r="J893" s="24"/>
      <c r="K893" s="28"/>
      <c r="L893" s="29"/>
      <c r="M893" s="29"/>
      <c r="N893" s="29"/>
      <c r="O893" s="27"/>
      <c r="P893" s="30"/>
      <c r="Q893" s="31"/>
      <c r="R893" s="31"/>
      <c r="S893" s="32"/>
      <c r="T893" s="32"/>
      <c r="U893" s="32"/>
      <c r="V893" s="32"/>
      <c r="W893" s="32"/>
      <c r="X893" s="32"/>
      <c r="Y893" s="32"/>
      <c r="Z893" s="32"/>
      <c r="AA893" s="32"/>
      <c r="AB893" s="32"/>
    </row>
    <row r="894" spans="1:28" ht="15.6" customHeight="1" x14ac:dyDescent="0.25">
      <c r="A894" s="24"/>
      <c r="B894" s="24"/>
      <c r="C894" s="25"/>
      <c r="D894" s="25"/>
      <c r="E894" s="25"/>
      <c r="F894" s="25"/>
      <c r="G894" s="26"/>
      <c r="H894" s="27"/>
      <c r="I894" s="24"/>
      <c r="J894" s="24"/>
      <c r="K894" s="28"/>
      <c r="L894" s="29"/>
      <c r="M894" s="29"/>
      <c r="N894" s="29"/>
      <c r="O894" s="27"/>
      <c r="P894" s="30"/>
      <c r="Q894" s="31"/>
      <c r="R894" s="31"/>
      <c r="S894" s="32"/>
      <c r="T894" s="32"/>
      <c r="U894" s="32"/>
      <c r="V894" s="32"/>
      <c r="W894" s="32"/>
      <c r="X894" s="32"/>
      <c r="Y894" s="32"/>
      <c r="Z894" s="32"/>
      <c r="AA894" s="32"/>
      <c r="AB894" s="32"/>
    </row>
    <row r="895" spans="1:28" ht="15.6" customHeight="1" x14ac:dyDescent="0.25">
      <c r="A895" s="24"/>
      <c r="B895" s="24"/>
      <c r="C895" s="25"/>
      <c r="D895" s="25"/>
      <c r="E895" s="25"/>
      <c r="F895" s="25"/>
      <c r="G895" s="26"/>
      <c r="H895" s="27"/>
      <c r="I895" s="24"/>
      <c r="J895" s="24"/>
      <c r="K895" s="28"/>
      <c r="L895" s="29"/>
      <c r="M895" s="29"/>
      <c r="N895" s="29"/>
      <c r="O895" s="27"/>
      <c r="P895" s="30"/>
      <c r="Q895" s="31"/>
      <c r="R895" s="31"/>
      <c r="S895" s="32"/>
      <c r="T895" s="32"/>
      <c r="U895" s="32"/>
      <c r="V895" s="32"/>
      <c r="W895" s="32"/>
      <c r="X895" s="32"/>
      <c r="Y895" s="32"/>
      <c r="Z895" s="32"/>
      <c r="AA895" s="32"/>
      <c r="AB895" s="32"/>
    </row>
    <row r="896" spans="1:28" ht="15.6" customHeight="1" x14ac:dyDescent="0.25">
      <c r="A896" s="24"/>
      <c r="B896" s="24"/>
      <c r="C896" s="25"/>
      <c r="D896" s="25"/>
      <c r="E896" s="25"/>
      <c r="F896" s="25"/>
      <c r="G896" s="26"/>
      <c r="H896" s="27"/>
      <c r="I896" s="24"/>
      <c r="J896" s="24"/>
      <c r="K896" s="28"/>
      <c r="L896" s="29"/>
      <c r="M896" s="29"/>
      <c r="N896" s="29"/>
      <c r="O896" s="27"/>
      <c r="P896" s="30"/>
      <c r="Q896" s="31"/>
      <c r="R896" s="31"/>
      <c r="S896" s="32"/>
      <c r="T896" s="32"/>
      <c r="U896" s="32"/>
      <c r="V896" s="32"/>
      <c r="W896" s="32"/>
      <c r="X896" s="32"/>
      <c r="Y896" s="32"/>
      <c r="Z896" s="32"/>
      <c r="AA896" s="32"/>
      <c r="AB896" s="32"/>
    </row>
    <row r="897" spans="1:28" ht="15.6" customHeight="1" x14ac:dyDescent="0.25">
      <c r="A897" s="24"/>
      <c r="B897" s="24"/>
      <c r="C897" s="25"/>
      <c r="D897" s="25"/>
      <c r="E897" s="25"/>
      <c r="F897" s="25"/>
      <c r="G897" s="26"/>
      <c r="H897" s="27"/>
      <c r="I897" s="24"/>
      <c r="J897" s="24"/>
      <c r="K897" s="28"/>
      <c r="L897" s="29"/>
      <c r="M897" s="29"/>
      <c r="N897" s="29"/>
      <c r="O897" s="27"/>
      <c r="P897" s="30"/>
      <c r="Q897" s="31"/>
      <c r="R897" s="31"/>
      <c r="S897" s="32"/>
      <c r="T897" s="32"/>
      <c r="U897" s="32"/>
      <c r="V897" s="32"/>
      <c r="W897" s="32"/>
      <c r="X897" s="32"/>
      <c r="Y897" s="32"/>
      <c r="Z897" s="32"/>
      <c r="AA897" s="32"/>
      <c r="AB897" s="32"/>
    </row>
    <row r="898" spans="1:28" ht="15.6" customHeight="1" x14ac:dyDescent="0.25">
      <c r="A898" s="24"/>
      <c r="B898" s="24"/>
      <c r="C898" s="25"/>
      <c r="D898" s="25"/>
      <c r="E898" s="25"/>
      <c r="F898" s="25"/>
      <c r="G898" s="26"/>
      <c r="H898" s="27"/>
      <c r="I898" s="24"/>
      <c r="J898" s="24"/>
      <c r="K898" s="28"/>
      <c r="L898" s="29"/>
      <c r="M898" s="29"/>
      <c r="N898" s="29"/>
      <c r="O898" s="27"/>
      <c r="P898" s="30"/>
      <c r="Q898" s="31"/>
      <c r="R898" s="31"/>
      <c r="S898" s="32"/>
      <c r="T898" s="32"/>
      <c r="U898" s="32"/>
      <c r="V898" s="32"/>
      <c r="W898" s="32"/>
      <c r="X898" s="32"/>
      <c r="Y898" s="32"/>
      <c r="Z898" s="32"/>
      <c r="AA898" s="32"/>
      <c r="AB898" s="32"/>
    </row>
    <row r="899" spans="1:28" ht="15.6" customHeight="1" x14ac:dyDescent="0.25">
      <c r="A899" s="24"/>
      <c r="B899" s="24"/>
      <c r="C899" s="25"/>
      <c r="D899" s="25"/>
      <c r="E899" s="25"/>
      <c r="F899" s="25"/>
      <c r="G899" s="26"/>
      <c r="H899" s="27"/>
      <c r="I899" s="24"/>
      <c r="J899" s="24"/>
      <c r="K899" s="28"/>
      <c r="L899" s="29"/>
      <c r="M899" s="29"/>
      <c r="N899" s="29"/>
      <c r="O899" s="27"/>
      <c r="P899" s="30"/>
      <c r="Q899" s="31"/>
      <c r="R899" s="31"/>
      <c r="S899" s="32"/>
      <c r="T899" s="32"/>
      <c r="U899" s="32"/>
      <c r="V899" s="32"/>
      <c r="W899" s="32"/>
      <c r="X899" s="32"/>
      <c r="Y899" s="32"/>
      <c r="Z899" s="32"/>
      <c r="AA899" s="32"/>
      <c r="AB899" s="32"/>
    </row>
    <row r="900" spans="1:28" ht="15.6" customHeight="1" x14ac:dyDescent="0.25">
      <c r="A900" s="24"/>
      <c r="B900" s="24"/>
      <c r="C900" s="25"/>
      <c r="D900" s="25"/>
      <c r="E900" s="25"/>
      <c r="F900" s="25"/>
      <c r="G900" s="26"/>
      <c r="H900" s="27"/>
      <c r="I900" s="24"/>
      <c r="J900" s="24"/>
      <c r="K900" s="28"/>
      <c r="L900" s="29"/>
      <c r="M900" s="29"/>
      <c r="N900" s="29"/>
      <c r="O900" s="27"/>
      <c r="P900" s="30"/>
      <c r="Q900" s="31"/>
      <c r="R900" s="31"/>
      <c r="S900" s="32"/>
      <c r="T900" s="32"/>
      <c r="U900" s="32"/>
      <c r="V900" s="32"/>
      <c r="W900" s="32"/>
      <c r="X900" s="32"/>
      <c r="Y900" s="32"/>
      <c r="Z900" s="32"/>
      <c r="AA900" s="32"/>
      <c r="AB900" s="32"/>
    </row>
    <row r="901" spans="1:28" ht="15.6" customHeight="1" x14ac:dyDescent="0.25">
      <c r="A901" s="24"/>
      <c r="B901" s="24"/>
      <c r="C901" s="25"/>
      <c r="D901" s="25"/>
      <c r="E901" s="25"/>
      <c r="F901" s="25"/>
      <c r="G901" s="26"/>
      <c r="H901" s="27"/>
      <c r="I901" s="24"/>
      <c r="J901" s="24"/>
      <c r="K901" s="28"/>
      <c r="L901" s="29"/>
      <c r="M901" s="29"/>
      <c r="N901" s="29"/>
      <c r="O901" s="27"/>
      <c r="P901" s="30"/>
      <c r="Q901" s="31"/>
      <c r="R901" s="31"/>
      <c r="S901" s="32"/>
      <c r="T901" s="32"/>
      <c r="U901" s="32"/>
      <c r="V901" s="32"/>
      <c r="W901" s="32"/>
      <c r="X901" s="32"/>
      <c r="Y901" s="32"/>
      <c r="Z901" s="32"/>
      <c r="AA901" s="32"/>
      <c r="AB901" s="32"/>
    </row>
    <row r="902" spans="1:28" ht="15.6" customHeight="1" x14ac:dyDescent="0.25">
      <c r="A902" s="24"/>
      <c r="B902" s="24"/>
      <c r="C902" s="25"/>
      <c r="D902" s="25"/>
      <c r="E902" s="25"/>
      <c r="F902" s="25"/>
      <c r="G902" s="26"/>
      <c r="H902" s="27"/>
      <c r="I902" s="24"/>
      <c r="J902" s="24"/>
      <c r="K902" s="28"/>
      <c r="L902" s="29"/>
      <c r="M902" s="29"/>
      <c r="N902" s="29"/>
      <c r="O902" s="27"/>
      <c r="P902" s="30"/>
      <c r="Q902" s="31"/>
      <c r="R902" s="31"/>
      <c r="S902" s="32"/>
      <c r="T902" s="32"/>
      <c r="U902" s="32"/>
      <c r="V902" s="32"/>
      <c r="W902" s="32"/>
      <c r="X902" s="32"/>
      <c r="Y902" s="32"/>
      <c r="Z902" s="32"/>
      <c r="AA902" s="32"/>
      <c r="AB902" s="32"/>
    </row>
    <row r="903" spans="1:28" ht="15.6" customHeight="1" x14ac:dyDescent="0.25">
      <c r="A903" s="24"/>
      <c r="B903" s="24"/>
      <c r="C903" s="25"/>
      <c r="D903" s="25"/>
      <c r="E903" s="25"/>
      <c r="F903" s="25"/>
      <c r="G903" s="26"/>
      <c r="H903" s="27"/>
      <c r="I903" s="24"/>
      <c r="J903" s="24"/>
      <c r="K903" s="28"/>
      <c r="L903" s="29"/>
      <c r="M903" s="29"/>
      <c r="N903" s="29"/>
      <c r="O903" s="27"/>
      <c r="P903" s="30"/>
      <c r="Q903" s="31"/>
      <c r="R903" s="31"/>
      <c r="S903" s="32"/>
      <c r="T903" s="32"/>
      <c r="U903" s="32"/>
      <c r="V903" s="32"/>
      <c r="W903" s="32"/>
      <c r="X903" s="32"/>
      <c r="Y903" s="32"/>
      <c r="Z903" s="32"/>
      <c r="AA903" s="32"/>
      <c r="AB903" s="32"/>
    </row>
    <row r="904" spans="1:28" ht="15.6" customHeight="1" x14ac:dyDescent="0.25">
      <c r="A904" s="24"/>
      <c r="B904" s="24"/>
      <c r="C904" s="25"/>
      <c r="D904" s="25"/>
      <c r="E904" s="25"/>
      <c r="F904" s="25"/>
      <c r="G904" s="26"/>
      <c r="H904" s="27"/>
      <c r="I904" s="24"/>
      <c r="J904" s="24"/>
      <c r="K904" s="28"/>
      <c r="L904" s="29"/>
      <c r="M904" s="29"/>
      <c r="N904" s="29"/>
      <c r="O904" s="27"/>
      <c r="P904" s="30"/>
      <c r="Q904" s="31"/>
      <c r="R904" s="31"/>
      <c r="S904" s="32"/>
      <c r="T904" s="32"/>
      <c r="U904" s="32"/>
      <c r="V904" s="32"/>
      <c r="W904" s="32"/>
      <c r="X904" s="32"/>
      <c r="Y904" s="32"/>
      <c r="Z904" s="32"/>
      <c r="AA904" s="32"/>
      <c r="AB904" s="32"/>
    </row>
    <row r="905" spans="1:28" ht="15.6" customHeight="1" x14ac:dyDescent="0.25">
      <c r="A905" s="24"/>
      <c r="B905" s="24"/>
      <c r="C905" s="25"/>
      <c r="D905" s="25"/>
      <c r="E905" s="25"/>
      <c r="F905" s="25"/>
      <c r="G905" s="26"/>
      <c r="H905" s="27"/>
      <c r="I905" s="24"/>
      <c r="J905" s="24"/>
      <c r="K905" s="28"/>
      <c r="L905" s="29"/>
      <c r="M905" s="29"/>
      <c r="N905" s="29"/>
      <c r="O905" s="27"/>
      <c r="P905" s="30"/>
      <c r="Q905" s="31"/>
      <c r="R905" s="31"/>
      <c r="S905" s="32"/>
      <c r="T905" s="32"/>
      <c r="U905" s="32"/>
      <c r="V905" s="32"/>
      <c r="W905" s="32"/>
      <c r="X905" s="32"/>
      <c r="Y905" s="32"/>
      <c r="Z905" s="32"/>
      <c r="AA905" s="32"/>
      <c r="AB905" s="32"/>
    </row>
    <row r="906" spans="1:28" ht="15.6" customHeight="1" x14ac:dyDescent="0.25">
      <c r="A906" s="24"/>
      <c r="B906" s="24"/>
      <c r="C906" s="25"/>
      <c r="D906" s="25"/>
      <c r="E906" s="25"/>
      <c r="F906" s="25"/>
      <c r="G906" s="26"/>
      <c r="H906" s="27"/>
      <c r="I906" s="24"/>
      <c r="J906" s="24"/>
      <c r="K906" s="28"/>
      <c r="L906" s="29"/>
      <c r="M906" s="29"/>
      <c r="N906" s="29"/>
      <c r="O906" s="27"/>
      <c r="P906" s="30"/>
      <c r="Q906" s="31"/>
      <c r="R906" s="31"/>
      <c r="S906" s="32"/>
      <c r="T906" s="32"/>
      <c r="U906" s="32"/>
      <c r="V906" s="32"/>
      <c r="W906" s="32"/>
      <c r="X906" s="32"/>
      <c r="Y906" s="32"/>
      <c r="Z906" s="32"/>
      <c r="AA906" s="32"/>
      <c r="AB906" s="32"/>
    </row>
    <row r="907" spans="1:28" ht="15.6" customHeight="1" x14ac:dyDescent="0.25">
      <c r="A907" s="24"/>
      <c r="B907" s="24"/>
      <c r="C907" s="25"/>
      <c r="D907" s="25"/>
      <c r="E907" s="25"/>
      <c r="F907" s="25"/>
      <c r="G907" s="26"/>
      <c r="H907" s="27"/>
      <c r="I907" s="24"/>
      <c r="J907" s="24"/>
      <c r="K907" s="28"/>
      <c r="L907" s="29"/>
      <c r="M907" s="29"/>
      <c r="N907" s="29"/>
      <c r="O907" s="27"/>
      <c r="P907" s="30"/>
      <c r="Q907" s="31"/>
      <c r="R907" s="31"/>
      <c r="S907" s="32"/>
      <c r="T907" s="32"/>
      <c r="U907" s="32"/>
      <c r="V907" s="32"/>
      <c r="W907" s="32"/>
      <c r="X907" s="32"/>
      <c r="Y907" s="32"/>
      <c r="Z907" s="32"/>
      <c r="AA907" s="32"/>
      <c r="AB907" s="32"/>
    </row>
    <row r="908" spans="1:28" ht="15.6" customHeight="1" x14ac:dyDescent="0.25">
      <c r="A908" s="24"/>
      <c r="B908" s="24"/>
      <c r="C908" s="25"/>
      <c r="D908" s="25"/>
      <c r="E908" s="25"/>
      <c r="F908" s="25"/>
      <c r="G908" s="26"/>
      <c r="H908" s="27"/>
      <c r="I908" s="24"/>
      <c r="J908" s="24"/>
      <c r="K908" s="28"/>
      <c r="L908" s="29"/>
      <c r="M908" s="29"/>
      <c r="N908" s="29"/>
      <c r="O908" s="27"/>
      <c r="P908" s="30"/>
      <c r="Q908" s="31"/>
      <c r="R908" s="31"/>
      <c r="S908" s="32"/>
      <c r="T908" s="32"/>
      <c r="U908" s="32"/>
      <c r="V908" s="32"/>
      <c r="W908" s="32"/>
      <c r="X908" s="32"/>
      <c r="Y908" s="32"/>
      <c r="Z908" s="32"/>
      <c r="AA908" s="32"/>
      <c r="AB908" s="32"/>
    </row>
    <row r="909" spans="1:28" ht="15.6" customHeight="1" x14ac:dyDescent="0.25">
      <c r="A909" s="24"/>
      <c r="B909" s="24"/>
      <c r="C909" s="25"/>
      <c r="D909" s="25"/>
      <c r="E909" s="25"/>
      <c r="F909" s="25"/>
      <c r="G909" s="26"/>
      <c r="H909" s="27"/>
      <c r="I909" s="24"/>
      <c r="J909" s="24"/>
      <c r="K909" s="28"/>
      <c r="L909" s="29"/>
      <c r="M909" s="29"/>
      <c r="N909" s="29"/>
      <c r="O909" s="27"/>
      <c r="P909" s="30"/>
      <c r="Q909" s="31"/>
      <c r="R909" s="31"/>
      <c r="S909" s="32"/>
      <c r="T909" s="32"/>
      <c r="U909" s="32"/>
      <c r="V909" s="32"/>
      <c r="W909" s="32"/>
      <c r="X909" s="32"/>
      <c r="Y909" s="32"/>
      <c r="Z909" s="32"/>
      <c r="AA909" s="32"/>
      <c r="AB909" s="32"/>
    </row>
    <row r="910" spans="1:28" ht="15.6" customHeight="1" x14ac:dyDescent="0.25">
      <c r="A910" s="24"/>
      <c r="B910" s="24"/>
      <c r="C910" s="25"/>
      <c r="D910" s="25"/>
      <c r="E910" s="25"/>
      <c r="F910" s="25"/>
      <c r="G910" s="26"/>
      <c r="H910" s="27"/>
      <c r="I910" s="24"/>
      <c r="J910" s="24"/>
      <c r="K910" s="28"/>
      <c r="L910" s="29"/>
      <c r="M910" s="29"/>
      <c r="N910" s="29"/>
      <c r="O910" s="27"/>
      <c r="P910" s="30"/>
      <c r="Q910" s="31"/>
      <c r="R910" s="31"/>
      <c r="S910" s="32"/>
      <c r="T910" s="32"/>
      <c r="U910" s="32"/>
      <c r="V910" s="32"/>
      <c r="W910" s="32"/>
      <c r="X910" s="32"/>
      <c r="Y910" s="32"/>
      <c r="Z910" s="32"/>
      <c r="AA910" s="32"/>
      <c r="AB910" s="32"/>
    </row>
    <row r="911" spans="1:28" ht="15.6" customHeight="1" x14ac:dyDescent="0.25">
      <c r="A911" s="24"/>
      <c r="B911" s="24"/>
      <c r="C911" s="25"/>
      <c r="D911" s="25"/>
      <c r="E911" s="25"/>
      <c r="F911" s="25"/>
      <c r="G911" s="26"/>
      <c r="H911" s="27"/>
      <c r="I911" s="24"/>
      <c r="J911" s="24"/>
      <c r="K911" s="28"/>
      <c r="L911" s="29"/>
      <c r="M911" s="29"/>
      <c r="N911" s="29"/>
      <c r="O911" s="27"/>
      <c r="P911" s="30"/>
      <c r="Q911" s="31"/>
      <c r="R911" s="31"/>
      <c r="S911" s="32"/>
      <c r="T911" s="32"/>
      <c r="U911" s="32"/>
      <c r="V911" s="32"/>
      <c r="W911" s="32"/>
      <c r="X911" s="32"/>
      <c r="Y911" s="32"/>
      <c r="Z911" s="32"/>
      <c r="AA911" s="32"/>
      <c r="AB911" s="32"/>
    </row>
    <row r="912" spans="1:28" ht="15.6" customHeight="1" x14ac:dyDescent="0.25">
      <c r="A912" s="24"/>
      <c r="B912" s="24"/>
      <c r="C912" s="25"/>
      <c r="D912" s="25"/>
      <c r="E912" s="25"/>
      <c r="F912" s="25"/>
      <c r="G912" s="26"/>
      <c r="H912" s="27"/>
      <c r="I912" s="24"/>
      <c r="J912" s="24"/>
      <c r="K912" s="28"/>
      <c r="L912" s="29"/>
      <c r="M912" s="29"/>
      <c r="N912" s="29"/>
      <c r="O912" s="27"/>
      <c r="P912" s="30"/>
      <c r="Q912" s="31"/>
      <c r="R912" s="31"/>
      <c r="S912" s="32"/>
      <c r="T912" s="32"/>
      <c r="U912" s="32"/>
      <c r="V912" s="32"/>
      <c r="W912" s="32"/>
      <c r="X912" s="32"/>
      <c r="Y912" s="32"/>
      <c r="Z912" s="32"/>
      <c r="AA912" s="32"/>
      <c r="AB912" s="32"/>
    </row>
    <row r="913" spans="1:28" ht="15.6" customHeight="1" x14ac:dyDescent="0.25">
      <c r="A913" s="24"/>
      <c r="B913" s="24"/>
      <c r="C913" s="25"/>
      <c r="D913" s="25"/>
      <c r="E913" s="25"/>
      <c r="F913" s="25"/>
      <c r="G913" s="26"/>
      <c r="H913" s="27"/>
      <c r="I913" s="24"/>
      <c r="J913" s="24"/>
      <c r="K913" s="28"/>
      <c r="L913" s="29"/>
      <c r="M913" s="29"/>
      <c r="N913" s="29"/>
      <c r="O913" s="27"/>
      <c r="P913" s="30"/>
      <c r="Q913" s="31"/>
      <c r="R913" s="31"/>
      <c r="S913" s="32"/>
      <c r="T913" s="32"/>
      <c r="U913" s="32"/>
      <c r="V913" s="32"/>
      <c r="W913" s="32"/>
      <c r="X913" s="32"/>
      <c r="Y913" s="32"/>
      <c r="Z913" s="32"/>
      <c r="AA913" s="32"/>
      <c r="AB913" s="32"/>
    </row>
    <row r="914" spans="1:28" ht="15.6" customHeight="1" x14ac:dyDescent="0.25">
      <c r="A914" s="24"/>
      <c r="B914" s="24"/>
      <c r="C914" s="25"/>
      <c r="D914" s="25"/>
      <c r="E914" s="25"/>
      <c r="F914" s="25"/>
      <c r="G914" s="26"/>
      <c r="H914" s="27"/>
      <c r="I914" s="24"/>
      <c r="J914" s="24"/>
      <c r="K914" s="28"/>
      <c r="L914" s="29"/>
      <c r="M914" s="29"/>
      <c r="N914" s="29"/>
      <c r="O914" s="27"/>
      <c r="P914" s="30"/>
      <c r="Q914" s="31"/>
      <c r="R914" s="31"/>
      <c r="S914" s="32"/>
      <c r="T914" s="32"/>
      <c r="U914" s="32"/>
      <c r="V914" s="32"/>
      <c r="W914" s="32"/>
      <c r="X914" s="32"/>
      <c r="Y914" s="32"/>
      <c r="Z914" s="32"/>
      <c r="AA914" s="32"/>
      <c r="AB914" s="32"/>
    </row>
    <row r="915" spans="1:28" ht="15.6" customHeight="1" x14ac:dyDescent="0.25">
      <c r="A915" s="24"/>
      <c r="B915" s="24"/>
      <c r="C915" s="25"/>
      <c r="D915" s="25"/>
      <c r="E915" s="25"/>
      <c r="F915" s="25"/>
      <c r="G915" s="26"/>
      <c r="H915" s="27"/>
      <c r="I915" s="24"/>
      <c r="J915" s="24"/>
      <c r="K915" s="28"/>
      <c r="L915" s="29"/>
      <c r="M915" s="29"/>
      <c r="N915" s="29"/>
      <c r="O915" s="27"/>
      <c r="P915" s="30"/>
      <c r="Q915" s="31"/>
      <c r="R915" s="31"/>
      <c r="S915" s="32"/>
      <c r="T915" s="32"/>
      <c r="U915" s="32"/>
      <c r="V915" s="32"/>
      <c r="W915" s="32"/>
      <c r="X915" s="32"/>
      <c r="Y915" s="32"/>
      <c r="Z915" s="32"/>
      <c r="AA915" s="32"/>
      <c r="AB915" s="32"/>
    </row>
    <row r="916" spans="1:28" ht="15.6" customHeight="1" x14ac:dyDescent="0.25">
      <c r="A916" s="24"/>
      <c r="B916" s="24"/>
      <c r="C916" s="25"/>
      <c r="D916" s="25"/>
      <c r="E916" s="25"/>
      <c r="F916" s="25"/>
      <c r="G916" s="26"/>
      <c r="H916" s="27"/>
      <c r="I916" s="24"/>
      <c r="J916" s="24"/>
      <c r="K916" s="28"/>
      <c r="L916" s="29"/>
      <c r="M916" s="29"/>
      <c r="N916" s="29"/>
      <c r="O916" s="27"/>
      <c r="P916" s="30"/>
      <c r="Q916" s="31"/>
      <c r="R916" s="31"/>
      <c r="S916" s="32"/>
      <c r="T916" s="32"/>
      <c r="U916" s="32"/>
      <c r="V916" s="32"/>
      <c r="W916" s="32"/>
      <c r="X916" s="32"/>
      <c r="Y916" s="32"/>
      <c r="Z916" s="32"/>
      <c r="AA916" s="32"/>
      <c r="AB916" s="32"/>
    </row>
    <row r="917" spans="1:28" ht="15.6" customHeight="1" x14ac:dyDescent="0.25">
      <c r="A917" s="24"/>
      <c r="B917" s="24"/>
      <c r="C917" s="25"/>
      <c r="D917" s="25"/>
      <c r="E917" s="25"/>
      <c r="F917" s="25"/>
      <c r="G917" s="26"/>
      <c r="H917" s="27"/>
      <c r="I917" s="24"/>
      <c r="J917" s="24"/>
      <c r="K917" s="28"/>
      <c r="L917" s="29"/>
      <c r="M917" s="29"/>
      <c r="N917" s="29"/>
      <c r="O917" s="27"/>
      <c r="P917" s="30"/>
      <c r="Q917" s="31"/>
      <c r="R917" s="31"/>
      <c r="S917" s="32"/>
      <c r="T917" s="32"/>
      <c r="U917" s="32"/>
      <c r="V917" s="32"/>
      <c r="W917" s="32"/>
      <c r="X917" s="32"/>
      <c r="Y917" s="32"/>
      <c r="Z917" s="32"/>
      <c r="AA917" s="32"/>
      <c r="AB917" s="32"/>
    </row>
    <row r="918" spans="1:28" ht="15.6" customHeight="1" x14ac:dyDescent="0.25">
      <c r="A918" s="24"/>
      <c r="B918" s="24"/>
      <c r="C918" s="25"/>
      <c r="D918" s="25"/>
      <c r="E918" s="25"/>
      <c r="F918" s="25"/>
      <c r="G918" s="26"/>
      <c r="H918" s="27"/>
      <c r="I918" s="24"/>
      <c r="J918" s="24"/>
      <c r="K918" s="28"/>
      <c r="L918" s="29"/>
      <c r="M918" s="29"/>
      <c r="N918" s="29"/>
      <c r="O918" s="27"/>
      <c r="P918" s="30"/>
      <c r="Q918" s="31"/>
      <c r="R918" s="31"/>
      <c r="S918" s="32"/>
      <c r="T918" s="32"/>
      <c r="U918" s="32"/>
      <c r="V918" s="32"/>
      <c r="W918" s="32"/>
      <c r="X918" s="32"/>
      <c r="Y918" s="32"/>
      <c r="Z918" s="32"/>
      <c r="AA918" s="32"/>
      <c r="AB918" s="32"/>
    </row>
    <row r="919" spans="1:28" ht="15.6" customHeight="1" x14ac:dyDescent="0.25">
      <c r="A919" s="24"/>
      <c r="B919" s="24"/>
      <c r="C919" s="25"/>
      <c r="D919" s="25"/>
      <c r="E919" s="25"/>
      <c r="F919" s="25"/>
      <c r="G919" s="26"/>
      <c r="H919" s="27"/>
      <c r="I919" s="24"/>
      <c r="J919" s="24"/>
      <c r="K919" s="28"/>
      <c r="L919" s="29"/>
      <c r="M919" s="29"/>
      <c r="N919" s="29"/>
      <c r="O919" s="27"/>
      <c r="P919" s="30"/>
      <c r="Q919" s="31"/>
      <c r="R919" s="31"/>
      <c r="S919" s="32"/>
      <c r="T919" s="32"/>
      <c r="U919" s="32"/>
      <c r="V919" s="32"/>
      <c r="W919" s="32"/>
      <c r="X919" s="32"/>
      <c r="Y919" s="32"/>
      <c r="Z919" s="32"/>
      <c r="AA919" s="32"/>
      <c r="AB919" s="32"/>
    </row>
    <row r="920" spans="1:28" ht="15.6" customHeight="1" x14ac:dyDescent="0.25">
      <c r="A920" s="24"/>
      <c r="B920" s="24"/>
      <c r="C920" s="25"/>
      <c r="D920" s="25"/>
      <c r="E920" s="25"/>
      <c r="F920" s="25"/>
      <c r="G920" s="26"/>
      <c r="H920" s="27"/>
      <c r="I920" s="24"/>
      <c r="J920" s="24"/>
      <c r="K920" s="28"/>
      <c r="L920" s="29"/>
      <c r="M920" s="29"/>
      <c r="N920" s="29"/>
      <c r="O920" s="27"/>
      <c r="P920" s="30"/>
      <c r="Q920" s="31"/>
      <c r="R920" s="31"/>
      <c r="S920" s="32"/>
      <c r="T920" s="32"/>
      <c r="U920" s="32"/>
      <c r="V920" s="32"/>
      <c r="W920" s="32"/>
      <c r="X920" s="32"/>
      <c r="Y920" s="32"/>
      <c r="Z920" s="32"/>
      <c r="AA920" s="32"/>
      <c r="AB920" s="32"/>
    </row>
    <row r="921" spans="1:28" ht="15.6" customHeight="1" x14ac:dyDescent="0.25">
      <c r="A921" s="24"/>
      <c r="B921" s="24"/>
      <c r="C921" s="25"/>
      <c r="D921" s="25"/>
      <c r="E921" s="25"/>
      <c r="F921" s="25"/>
      <c r="G921" s="26"/>
      <c r="H921" s="27"/>
      <c r="I921" s="24"/>
      <c r="J921" s="24"/>
      <c r="K921" s="28"/>
      <c r="L921" s="29"/>
      <c r="M921" s="29"/>
      <c r="N921" s="29"/>
      <c r="O921" s="27"/>
      <c r="P921" s="30"/>
      <c r="Q921" s="31"/>
      <c r="R921" s="31"/>
      <c r="S921" s="32"/>
      <c r="T921" s="32"/>
      <c r="U921" s="32"/>
      <c r="V921" s="32"/>
      <c r="W921" s="32"/>
      <c r="X921" s="32"/>
      <c r="Y921" s="32"/>
      <c r="Z921" s="32"/>
      <c r="AA921" s="32"/>
      <c r="AB921" s="32"/>
    </row>
    <row r="922" spans="1:28" ht="15.6" customHeight="1" x14ac:dyDescent="0.25">
      <c r="A922" s="24"/>
      <c r="B922" s="24"/>
      <c r="C922" s="25"/>
      <c r="D922" s="25"/>
      <c r="E922" s="25"/>
      <c r="F922" s="25"/>
      <c r="G922" s="26"/>
      <c r="H922" s="27"/>
      <c r="I922" s="24"/>
      <c r="J922" s="24"/>
      <c r="K922" s="28"/>
      <c r="L922" s="29"/>
      <c r="M922" s="29"/>
      <c r="N922" s="29"/>
      <c r="O922" s="27"/>
      <c r="P922" s="30"/>
      <c r="Q922" s="31"/>
      <c r="R922" s="31"/>
      <c r="S922" s="32"/>
      <c r="T922" s="32"/>
      <c r="U922" s="32"/>
      <c r="V922" s="32"/>
      <c r="W922" s="32"/>
      <c r="X922" s="32"/>
      <c r="Y922" s="32"/>
      <c r="Z922" s="32"/>
      <c r="AA922" s="32"/>
      <c r="AB922" s="32"/>
    </row>
    <row r="923" spans="1:28" ht="15.6" customHeight="1" x14ac:dyDescent="0.25">
      <c r="A923" s="24"/>
      <c r="B923" s="24"/>
      <c r="C923" s="25"/>
      <c r="D923" s="25"/>
      <c r="E923" s="25"/>
      <c r="F923" s="25"/>
      <c r="G923" s="26"/>
      <c r="H923" s="27"/>
      <c r="I923" s="24"/>
      <c r="J923" s="24"/>
      <c r="K923" s="28"/>
      <c r="L923" s="29"/>
      <c r="M923" s="29"/>
      <c r="N923" s="29"/>
      <c r="O923" s="27"/>
      <c r="P923" s="30"/>
      <c r="Q923" s="31"/>
      <c r="R923" s="31"/>
      <c r="S923" s="32"/>
      <c r="T923" s="32"/>
      <c r="U923" s="32"/>
      <c r="V923" s="32"/>
      <c r="W923" s="32"/>
      <c r="X923" s="32"/>
      <c r="Y923" s="32"/>
      <c r="Z923" s="32"/>
      <c r="AA923" s="32"/>
      <c r="AB923" s="32"/>
    </row>
    <row r="924" spans="1:28" ht="15.6" customHeight="1" x14ac:dyDescent="0.25">
      <c r="A924" s="24"/>
      <c r="B924" s="24"/>
      <c r="C924" s="25"/>
      <c r="D924" s="25"/>
      <c r="E924" s="25"/>
      <c r="F924" s="25"/>
      <c r="G924" s="26"/>
      <c r="H924" s="27"/>
      <c r="I924" s="24"/>
      <c r="J924" s="24"/>
      <c r="K924" s="28"/>
      <c r="L924" s="29"/>
      <c r="M924" s="29"/>
      <c r="N924" s="29"/>
      <c r="O924" s="27"/>
      <c r="P924" s="30"/>
      <c r="Q924" s="31"/>
      <c r="R924" s="31"/>
      <c r="S924" s="32"/>
      <c r="T924" s="32"/>
      <c r="U924" s="32"/>
      <c r="V924" s="32"/>
      <c r="W924" s="32"/>
      <c r="X924" s="32"/>
      <c r="Y924" s="32"/>
      <c r="Z924" s="32"/>
      <c r="AA924" s="32"/>
      <c r="AB924" s="32"/>
    </row>
    <row r="925" spans="1:28" ht="15.6" customHeight="1" x14ac:dyDescent="0.25">
      <c r="A925" s="24"/>
      <c r="B925" s="24"/>
      <c r="C925" s="25"/>
      <c r="D925" s="25"/>
      <c r="E925" s="25"/>
      <c r="F925" s="25"/>
      <c r="G925" s="26"/>
      <c r="H925" s="27"/>
      <c r="I925" s="24"/>
      <c r="J925" s="24"/>
      <c r="K925" s="28"/>
      <c r="L925" s="29"/>
      <c r="M925" s="29"/>
      <c r="N925" s="29"/>
      <c r="O925" s="27"/>
      <c r="P925" s="30"/>
      <c r="Q925" s="31"/>
      <c r="R925" s="31"/>
      <c r="S925" s="32"/>
      <c r="T925" s="32"/>
      <c r="U925" s="32"/>
      <c r="V925" s="32"/>
      <c r="W925" s="32"/>
      <c r="X925" s="32"/>
      <c r="Y925" s="32"/>
      <c r="Z925" s="32"/>
      <c r="AA925" s="32"/>
      <c r="AB925" s="32"/>
    </row>
    <row r="926" spans="1:28" ht="15.6" customHeight="1" x14ac:dyDescent="0.25">
      <c r="A926" s="24"/>
      <c r="B926" s="24"/>
      <c r="C926" s="25"/>
      <c r="D926" s="25"/>
      <c r="E926" s="25"/>
      <c r="F926" s="25"/>
      <c r="G926" s="26"/>
      <c r="H926" s="27"/>
      <c r="I926" s="24"/>
      <c r="J926" s="24"/>
      <c r="K926" s="28"/>
      <c r="L926" s="29"/>
      <c r="M926" s="29"/>
      <c r="N926" s="29"/>
      <c r="O926" s="27"/>
      <c r="P926" s="30"/>
      <c r="Q926" s="31"/>
      <c r="R926" s="31"/>
      <c r="S926" s="32"/>
      <c r="T926" s="32"/>
      <c r="U926" s="32"/>
      <c r="V926" s="32"/>
      <c r="W926" s="32"/>
      <c r="X926" s="32"/>
      <c r="Y926" s="32"/>
      <c r="Z926" s="32"/>
      <c r="AA926" s="32"/>
      <c r="AB926" s="32"/>
    </row>
    <row r="927" spans="1:28" ht="15.6" customHeight="1" x14ac:dyDescent="0.25">
      <c r="A927" s="24"/>
      <c r="B927" s="24"/>
      <c r="C927" s="25"/>
      <c r="D927" s="25"/>
      <c r="E927" s="25"/>
      <c r="F927" s="25"/>
      <c r="G927" s="26"/>
      <c r="H927" s="27"/>
      <c r="I927" s="24"/>
      <c r="J927" s="24"/>
      <c r="K927" s="28"/>
      <c r="L927" s="29"/>
      <c r="M927" s="29"/>
      <c r="N927" s="29"/>
      <c r="O927" s="27"/>
      <c r="P927" s="30"/>
      <c r="Q927" s="31"/>
      <c r="R927" s="31"/>
      <c r="S927" s="32"/>
      <c r="T927" s="32"/>
      <c r="U927" s="32"/>
      <c r="V927" s="32"/>
      <c r="W927" s="32"/>
      <c r="X927" s="32"/>
      <c r="Y927" s="32"/>
      <c r="Z927" s="32"/>
      <c r="AA927" s="32"/>
      <c r="AB927" s="32"/>
    </row>
    <row r="928" spans="1:28" ht="15.6" customHeight="1" x14ac:dyDescent="0.25">
      <c r="A928" s="24"/>
      <c r="B928" s="24"/>
      <c r="C928" s="25"/>
      <c r="D928" s="25"/>
      <c r="E928" s="25"/>
      <c r="F928" s="25"/>
      <c r="G928" s="26"/>
      <c r="H928" s="27"/>
      <c r="I928" s="24"/>
      <c r="J928" s="24"/>
      <c r="K928" s="28"/>
      <c r="L928" s="29"/>
      <c r="M928" s="29"/>
      <c r="N928" s="29"/>
      <c r="O928" s="27"/>
      <c r="P928" s="30"/>
      <c r="Q928" s="31"/>
      <c r="R928" s="31"/>
      <c r="S928" s="32"/>
      <c r="T928" s="32"/>
      <c r="U928" s="32"/>
      <c r="V928" s="32"/>
      <c r="W928" s="32"/>
      <c r="X928" s="32"/>
      <c r="Y928" s="32"/>
      <c r="Z928" s="32"/>
      <c r="AA928" s="32"/>
      <c r="AB928" s="32"/>
    </row>
    <row r="929" spans="1:28" ht="15.6" customHeight="1" x14ac:dyDescent="0.25">
      <c r="A929" s="24"/>
      <c r="B929" s="24"/>
      <c r="C929" s="25"/>
      <c r="D929" s="25"/>
      <c r="E929" s="25"/>
      <c r="F929" s="25"/>
      <c r="G929" s="26"/>
      <c r="H929" s="27"/>
      <c r="I929" s="24"/>
      <c r="J929" s="24"/>
      <c r="K929" s="28"/>
      <c r="L929" s="29"/>
      <c r="M929" s="29"/>
      <c r="N929" s="29"/>
      <c r="O929" s="27"/>
      <c r="P929" s="30"/>
      <c r="Q929" s="31"/>
      <c r="R929" s="31"/>
      <c r="S929" s="32"/>
      <c r="T929" s="32"/>
      <c r="U929" s="32"/>
      <c r="V929" s="32"/>
      <c r="W929" s="32"/>
      <c r="X929" s="32"/>
      <c r="Y929" s="32"/>
      <c r="Z929" s="32"/>
      <c r="AA929" s="32"/>
      <c r="AB929" s="32"/>
    </row>
    <row r="930" spans="1:28" ht="15.6" customHeight="1" x14ac:dyDescent="0.25">
      <c r="A930" s="24"/>
      <c r="B930" s="24"/>
      <c r="C930" s="25"/>
      <c r="D930" s="25"/>
      <c r="E930" s="25"/>
      <c r="F930" s="25"/>
      <c r="G930" s="26"/>
      <c r="H930" s="27"/>
      <c r="I930" s="24"/>
      <c r="J930" s="24"/>
      <c r="K930" s="28"/>
      <c r="L930" s="29"/>
      <c r="M930" s="29"/>
      <c r="N930" s="29"/>
      <c r="O930" s="27"/>
      <c r="P930" s="30"/>
      <c r="Q930" s="31"/>
      <c r="R930" s="31"/>
      <c r="S930" s="32"/>
      <c r="T930" s="32"/>
      <c r="U930" s="32"/>
      <c r="V930" s="32"/>
      <c r="W930" s="32"/>
      <c r="X930" s="32"/>
      <c r="Y930" s="32"/>
      <c r="Z930" s="32"/>
      <c r="AA930" s="32"/>
      <c r="AB930" s="32"/>
    </row>
    <row r="931" spans="1:28" ht="15.6" customHeight="1" x14ac:dyDescent="0.25">
      <c r="A931" s="24"/>
      <c r="B931" s="24"/>
      <c r="C931" s="25"/>
      <c r="D931" s="25"/>
      <c r="E931" s="25"/>
      <c r="F931" s="25"/>
      <c r="G931" s="26"/>
      <c r="H931" s="27"/>
      <c r="I931" s="24"/>
      <c r="J931" s="24"/>
      <c r="K931" s="28"/>
      <c r="L931" s="29"/>
      <c r="M931" s="29"/>
      <c r="N931" s="29"/>
      <c r="O931" s="27"/>
      <c r="P931" s="30"/>
      <c r="Q931" s="31"/>
      <c r="R931" s="31"/>
      <c r="S931" s="32"/>
      <c r="T931" s="32"/>
      <c r="U931" s="32"/>
      <c r="V931" s="32"/>
      <c r="W931" s="32"/>
      <c r="X931" s="32"/>
      <c r="Y931" s="32"/>
      <c r="Z931" s="32"/>
      <c r="AA931" s="32"/>
      <c r="AB931" s="32"/>
    </row>
    <row r="932" spans="1:28" ht="15.6" customHeight="1" x14ac:dyDescent="0.25">
      <c r="A932" s="24"/>
      <c r="B932" s="24"/>
      <c r="C932" s="25"/>
      <c r="D932" s="25"/>
      <c r="E932" s="25"/>
      <c r="F932" s="25"/>
      <c r="G932" s="26"/>
      <c r="H932" s="27"/>
      <c r="I932" s="24"/>
      <c r="J932" s="24"/>
      <c r="K932" s="28"/>
      <c r="L932" s="29"/>
      <c r="M932" s="29"/>
      <c r="N932" s="29"/>
      <c r="O932" s="27"/>
      <c r="P932" s="30"/>
      <c r="Q932" s="31"/>
      <c r="R932" s="31"/>
      <c r="S932" s="32"/>
      <c r="T932" s="32"/>
      <c r="U932" s="32"/>
      <c r="V932" s="32"/>
      <c r="W932" s="32"/>
      <c r="X932" s="32"/>
      <c r="Y932" s="32"/>
      <c r="Z932" s="32"/>
      <c r="AA932" s="32"/>
      <c r="AB932" s="32"/>
    </row>
    <row r="933" spans="1:28" ht="15.6" customHeight="1" x14ac:dyDescent="0.25">
      <c r="A933" s="24"/>
      <c r="B933" s="24"/>
      <c r="C933" s="25"/>
      <c r="D933" s="25"/>
      <c r="E933" s="25"/>
      <c r="F933" s="25"/>
      <c r="G933" s="26"/>
      <c r="H933" s="27"/>
      <c r="I933" s="24"/>
      <c r="J933" s="24"/>
      <c r="K933" s="28"/>
      <c r="L933" s="29"/>
      <c r="M933" s="29"/>
      <c r="N933" s="29"/>
      <c r="O933" s="27"/>
      <c r="P933" s="30"/>
      <c r="Q933" s="31"/>
      <c r="R933" s="31"/>
      <c r="S933" s="32"/>
      <c r="T933" s="32"/>
      <c r="U933" s="32"/>
      <c r="V933" s="32"/>
      <c r="W933" s="32"/>
      <c r="X933" s="32"/>
      <c r="Y933" s="32"/>
      <c r="Z933" s="32"/>
      <c r="AA933" s="32"/>
      <c r="AB933" s="32"/>
    </row>
    <row r="934" spans="1:28" ht="15.6" customHeight="1" x14ac:dyDescent="0.25">
      <c r="A934" s="24"/>
      <c r="B934" s="24"/>
      <c r="C934" s="25"/>
      <c r="D934" s="25"/>
      <c r="E934" s="25"/>
      <c r="F934" s="25"/>
      <c r="G934" s="26"/>
      <c r="H934" s="27"/>
      <c r="I934" s="24"/>
      <c r="J934" s="24"/>
      <c r="K934" s="28"/>
      <c r="L934" s="29"/>
      <c r="M934" s="29"/>
      <c r="N934" s="29"/>
      <c r="O934" s="27"/>
      <c r="P934" s="30"/>
      <c r="Q934" s="31"/>
      <c r="R934" s="31"/>
      <c r="S934" s="32"/>
      <c r="T934" s="32"/>
      <c r="U934" s="32"/>
      <c r="V934" s="32"/>
      <c r="W934" s="32"/>
      <c r="X934" s="32"/>
      <c r="Y934" s="32"/>
      <c r="Z934" s="32"/>
      <c r="AA934" s="32"/>
      <c r="AB934" s="32"/>
    </row>
    <row r="935" spans="1:28" ht="15.6" customHeight="1" x14ac:dyDescent="0.25">
      <c r="A935" s="24"/>
      <c r="B935" s="24"/>
      <c r="C935" s="25"/>
      <c r="D935" s="25"/>
      <c r="E935" s="25"/>
      <c r="F935" s="25"/>
      <c r="G935" s="26"/>
      <c r="H935" s="27"/>
      <c r="I935" s="24"/>
      <c r="J935" s="24"/>
      <c r="K935" s="28"/>
      <c r="L935" s="29"/>
      <c r="M935" s="29"/>
      <c r="N935" s="29"/>
      <c r="O935" s="27"/>
      <c r="P935" s="30"/>
      <c r="Q935" s="31"/>
      <c r="R935" s="31"/>
      <c r="S935" s="32"/>
      <c r="T935" s="32"/>
      <c r="U935" s="32"/>
      <c r="V935" s="32"/>
      <c r="W935" s="32"/>
      <c r="X935" s="32"/>
      <c r="Y935" s="32"/>
      <c r="Z935" s="32"/>
      <c r="AA935" s="32"/>
      <c r="AB935" s="32"/>
    </row>
    <row r="936" spans="1:28" ht="15.6" customHeight="1" x14ac:dyDescent="0.25">
      <c r="A936" s="24"/>
      <c r="B936" s="24"/>
      <c r="C936" s="25"/>
      <c r="D936" s="25"/>
      <c r="E936" s="25"/>
      <c r="F936" s="25"/>
      <c r="G936" s="26"/>
      <c r="H936" s="27"/>
      <c r="I936" s="24"/>
      <c r="J936" s="24"/>
      <c r="K936" s="28"/>
      <c r="L936" s="29"/>
      <c r="M936" s="29"/>
      <c r="N936" s="29"/>
      <c r="O936" s="27"/>
      <c r="P936" s="30"/>
      <c r="Q936" s="31"/>
      <c r="R936" s="31"/>
      <c r="S936" s="32"/>
      <c r="T936" s="32"/>
      <c r="U936" s="32"/>
      <c r="V936" s="32"/>
      <c r="W936" s="32"/>
      <c r="X936" s="32"/>
      <c r="Y936" s="32"/>
      <c r="Z936" s="32"/>
      <c r="AA936" s="32"/>
      <c r="AB936" s="32"/>
    </row>
    <row r="937" spans="1:28" ht="15.6" customHeight="1" x14ac:dyDescent="0.25">
      <c r="A937" s="24"/>
      <c r="B937" s="24"/>
      <c r="C937" s="25"/>
      <c r="D937" s="25"/>
      <c r="E937" s="25"/>
      <c r="F937" s="25"/>
      <c r="G937" s="26"/>
      <c r="H937" s="27"/>
      <c r="I937" s="24"/>
      <c r="J937" s="24"/>
      <c r="K937" s="28"/>
      <c r="L937" s="29"/>
      <c r="M937" s="29"/>
      <c r="N937" s="29"/>
      <c r="O937" s="27"/>
      <c r="P937" s="30"/>
      <c r="Q937" s="31"/>
      <c r="R937" s="31"/>
      <c r="S937" s="32"/>
      <c r="T937" s="32"/>
      <c r="U937" s="32"/>
      <c r="V937" s="32"/>
      <c r="W937" s="32"/>
      <c r="X937" s="32"/>
      <c r="Y937" s="32"/>
      <c r="Z937" s="32"/>
      <c r="AA937" s="32"/>
      <c r="AB937" s="32"/>
    </row>
    <row r="938" spans="1:28" ht="15.6" customHeight="1" x14ac:dyDescent="0.25">
      <c r="A938" s="24"/>
      <c r="B938" s="24"/>
      <c r="C938" s="25"/>
      <c r="D938" s="25"/>
      <c r="E938" s="25"/>
      <c r="F938" s="25"/>
      <c r="G938" s="26"/>
      <c r="H938" s="27"/>
      <c r="I938" s="24"/>
      <c r="J938" s="24"/>
      <c r="K938" s="28"/>
      <c r="L938" s="29"/>
      <c r="M938" s="29"/>
      <c r="N938" s="29"/>
      <c r="O938" s="27"/>
      <c r="P938" s="30"/>
      <c r="Q938" s="31"/>
      <c r="R938" s="31"/>
      <c r="S938" s="32"/>
      <c r="T938" s="32"/>
      <c r="U938" s="32"/>
      <c r="V938" s="32"/>
      <c r="W938" s="32"/>
      <c r="X938" s="32"/>
      <c r="Y938" s="32"/>
      <c r="Z938" s="32"/>
      <c r="AA938" s="32"/>
      <c r="AB938" s="32"/>
    </row>
    <row r="939" spans="1:28" ht="15.6" customHeight="1" x14ac:dyDescent="0.25">
      <c r="A939" s="24"/>
      <c r="B939" s="24"/>
      <c r="C939" s="25"/>
      <c r="D939" s="25"/>
      <c r="E939" s="25"/>
      <c r="F939" s="25"/>
      <c r="G939" s="26"/>
      <c r="H939" s="27"/>
      <c r="I939" s="24"/>
      <c r="J939" s="24"/>
      <c r="K939" s="28"/>
      <c r="L939" s="29"/>
      <c r="M939" s="29"/>
      <c r="N939" s="29"/>
      <c r="O939" s="27"/>
      <c r="P939" s="30"/>
      <c r="Q939" s="31"/>
      <c r="R939" s="31"/>
      <c r="S939" s="32"/>
      <c r="T939" s="32"/>
      <c r="U939" s="32"/>
      <c r="V939" s="32"/>
      <c r="W939" s="32"/>
      <c r="X939" s="32"/>
      <c r="Y939" s="32"/>
      <c r="Z939" s="32"/>
      <c r="AA939" s="32"/>
      <c r="AB939" s="32"/>
    </row>
    <row r="940" spans="1:28" ht="15.6" customHeight="1" x14ac:dyDescent="0.25">
      <c r="A940" s="24"/>
      <c r="B940" s="24"/>
      <c r="C940" s="25"/>
      <c r="D940" s="25"/>
      <c r="E940" s="25"/>
      <c r="F940" s="25"/>
      <c r="G940" s="26"/>
      <c r="H940" s="27"/>
      <c r="I940" s="24"/>
      <c r="J940" s="24"/>
      <c r="K940" s="28"/>
      <c r="L940" s="29"/>
      <c r="M940" s="29"/>
      <c r="N940" s="29"/>
      <c r="O940" s="27"/>
      <c r="P940" s="30"/>
      <c r="Q940" s="31"/>
      <c r="R940" s="31"/>
      <c r="S940" s="32"/>
      <c r="T940" s="32"/>
      <c r="U940" s="32"/>
      <c r="V940" s="32"/>
      <c r="W940" s="32"/>
      <c r="X940" s="32"/>
      <c r="Y940" s="32"/>
      <c r="Z940" s="32"/>
      <c r="AA940" s="32"/>
      <c r="AB940" s="32"/>
    </row>
    <row r="941" spans="1:28" ht="15.6" customHeight="1" x14ac:dyDescent="0.25">
      <c r="A941" s="24"/>
      <c r="B941" s="24"/>
      <c r="C941" s="25"/>
      <c r="D941" s="25"/>
      <c r="E941" s="25"/>
      <c r="F941" s="25"/>
      <c r="G941" s="26"/>
      <c r="H941" s="27"/>
      <c r="I941" s="24"/>
      <c r="J941" s="24"/>
      <c r="K941" s="28"/>
      <c r="L941" s="29"/>
      <c r="M941" s="29"/>
      <c r="N941" s="29"/>
      <c r="O941" s="27"/>
      <c r="P941" s="30"/>
      <c r="Q941" s="31"/>
      <c r="R941" s="31"/>
      <c r="S941" s="32"/>
      <c r="T941" s="32"/>
      <c r="U941" s="32"/>
      <c r="V941" s="32"/>
      <c r="W941" s="32"/>
      <c r="X941" s="32"/>
      <c r="Y941" s="32"/>
      <c r="Z941" s="32"/>
      <c r="AA941" s="32"/>
      <c r="AB941" s="32"/>
    </row>
    <row r="942" spans="1:28" ht="15.6" customHeight="1" x14ac:dyDescent="0.25">
      <c r="A942" s="24"/>
      <c r="B942" s="24"/>
      <c r="C942" s="25"/>
      <c r="D942" s="25"/>
      <c r="E942" s="25"/>
      <c r="F942" s="25"/>
      <c r="G942" s="26"/>
      <c r="H942" s="27"/>
      <c r="I942" s="24"/>
      <c r="J942" s="24"/>
      <c r="K942" s="28"/>
      <c r="L942" s="29"/>
      <c r="M942" s="29"/>
      <c r="N942" s="29"/>
      <c r="O942" s="27"/>
      <c r="P942" s="30"/>
      <c r="Q942" s="31"/>
      <c r="R942" s="31"/>
      <c r="S942" s="32"/>
      <c r="T942" s="32"/>
      <c r="U942" s="32"/>
      <c r="V942" s="32"/>
      <c r="W942" s="32"/>
      <c r="X942" s="32"/>
      <c r="Y942" s="32"/>
      <c r="Z942" s="32"/>
      <c r="AA942" s="32"/>
      <c r="AB942" s="32"/>
    </row>
    <row r="943" spans="1:28" ht="15.6" customHeight="1" x14ac:dyDescent="0.25">
      <c r="A943" s="24"/>
      <c r="B943" s="24"/>
      <c r="C943" s="25"/>
      <c r="D943" s="25"/>
      <c r="E943" s="25"/>
      <c r="F943" s="25"/>
      <c r="G943" s="26"/>
      <c r="H943" s="27"/>
      <c r="I943" s="24"/>
      <c r="J943" s="24"/>
      <c r="K943" s="28"/>
      <c r="L943" s="29"/>
      <c r="M943" s="29"/>
      <c r="N943" s="29"/>
      <c r="O943" s="27"/>
      <c r="P943" s="30"/>
      <c r="Q943" s="31"/>
      <c r="R943" s="31"/>
      <c r="S943" s="32"/>
      <c r="T943" s="32"/>
      <c r="U943" s="32"/>
      <c r="V943" s="32"/>
      <c r="W943" s="32"/>
      <c r="X943" s="32"/>
      <c r="Y943" s="32"/>
      <c r="Z943" s="32"/>
      <c r="AA943" s="32"/>
      <c r="AB943" s="32"/>
    </row>
    <row r="944" spans="1:28" ht="15.6" customHeight="1" x14ac:dyDescent="0.25">
      <c r="A944" s="24"/>
      <c r="B944" s="24"/>
      <c r="C944" s="25"/>
      <c r="D944" s="25"/>
      <c r="E944" s="25"/>
      <c r="F944" s="25"/>
      <c r="G944" s="26"/>
      <c r="H944" s="27"/>
      <c r="I944" s="24"/>
      <c r="J944" s="24"/>
      <c r="K944" s="28"/>
      <c r="L944" s="29"/>
      <c r="M944" s="29"/>
      <c r="N944" s="29"/>
      <c r="O944" s="27"/>
      <c r="P944" s="30"/>
      <c r="Q944" s="31"/>
      <c r="R944" s="31"/>
      <c r="S944" s="32"/>
      <c r="T944" s="32"/>
      <c r="U944" s="32"/>
      <c r="V944" s="32"/>
      <c r="W944" s="32"/>
      <c r="X944" s="32"/>
      <c r="Y944" s="32"/>
      <c r="Z944" s="32"/>
      <c r="AA944" s="32"/>
      <c r="AB944" s="32"/>
    </row>
    <row r="945" spans="1:28" ht="15.6" customHeight="1" x14ac:dyDescent="0.25">
      <c r="A945" s="24"/>
      <c r="B945" s="24"/>
      <c r="C945" s="25"/>
      <c r="D945" s="25"/>
      <c r="E945" s="25"/>
      <c r="F945" s="25"/>
      <c r="G945" s="26"/>
      <c r="H945" s="27"/>
      <c r="I945" s="24"/>
      <c r="J945" s="24"/>
      <c r="K945" s="28"/>
      <c r="L945" s="29"/>
      <c r="M945" s="29"/>
      <c r="N945" s="29"/>
      <c r="O945" s="27"/>
      <c r="P945" s="30"/>
      <c r="Q945" s="31"/>
      <c r="R945" s="31"/>
      <c r="S945" s="32"/>
      <c r="T945" s="32"/>
      <c r="U945" s="32"/>
      <c r="V945" s="32"/>
      <c r="W945" s="32"/>
      <c r="X945" s="32"/>
      <c r="Y945" s="32"/>
      <c r="Z945" s="32"/>
      <c r="AA945" s="32"/>
      <c r="AB945" s="32"/>
    </row>
    <row r="946" spans="1:28" ht="15.6" customHeight="1" x14ac:dyDescent="0.25">
      <c r="A946" s="24"/>
      <c r="B946" s="24"/>
      <c r="C946" s="25"/>
      <c r="D946" s="25"/>
      <c r="E946" s="25"/>
      <c r="F946" s="25"/>
      <c r="G946" s="26"/>
      <c r="H946" s="27"/>
      <c r="I946" s="24"/>
      <c r="J946" s="24"/>
      <c r="K946" s="28"/>
      <c r="L946" s="29"/>
      <c r="M946" s="29"/>
      <c r="N946" s="29"/>
      <c r="O946" s="27"/>
      <c r="P946" s="30"/>
      <c r="Q946" s="31"/>
      <c r="R946" s="31"/>
      <c r="S946" s="32"/>
      <c r="T946" s="32"/>
      <c r="U946" s="32"/>
      <c r="V946" s="32"/>
      <c r="W946" s="32"/>
      <c r="X946" s="32"/>
      <c r="Y946" s="32"/>
      <c r="Z946" s="32"/>
      <c r="AA946" s="32"/>
      <c r="AB946" s="32"/>
    </row>
    <row r="947" spans="1:28" ht="15.6" customHeight="1" x14ac:dyDescent="0.25">
      <c r="A947" s="24"/>
      <c r="B947" s="24"/>
      <c r="C947" s="25"/>
      <c r="D947" s="25"/>
      <c r="E947" s="25"/>
      <c r="F947" s="25"/>
      <c r="G947" s="26"/>
      <c r="H947" s="27"/>
      <c r="I947" s="24"/>
      <c r="J947" s="24"/>
      <c r="K947" s="28"/>
      <c r="L947" s="29"/>
      <c r="M947" s="29"/>
      <c r="N947" s="29"/>
      <c r="O947" s="27"/>
      <c r="P947" s="30"/>
      <c r="Q947" s="31"/>
      <c r="R947" s="31"/>
      <c r="S947" s="32"/>
      <c r="T947" s="32"/>
      <c r="U947" s="32"/>
      <c r="V947" s="32"/>
      <c r="W947" s="32"/>
      <c r="X947" s="32"/>
      <c r="Y947" s="32"/>
      <c r="Z947" s="32"/>
      <c r="AA947" s="32"/>
      <c r="AB947" s="32"/>
    </row>
    <row r="948" spans="1:28" ht="15.6" customHeight="1" x14ac:dyDescent="0.25">
      <c r="A948" s="24"/>
      <c r="B948" s="24"/>
      <c r="C948" s="25"/>
      <c r="D948" s="25"/>
      <c r="E948" s="25"/>
      <c r="F948" s="25"/>
      <c r="G948" s="26"/>
      <c r="H948" s="27"/>
      <c r="I948" s="24"/>
      <c r="J948" s="24"/>
      <c r="K948" s="28"/>
      <c r="L948" s="29"/>
      <c r="M948" s="29"/>
      <c r="N948" s="29"/>
      <c r="O948" s="27"/>
      <c r="P948" s="30"/>
      <c r="Q948" s="31"/>
      <c r="R948" s="31"/>
      <c r="S948" s="32"/>
      <c r="T948" s="32"/>
      <c r="U948" s="32"/>
      <c r="V948" s="32"/>
      <c r="W948" s="32"/>
      <c r="X948" s="32"/>
      <c r="Y948" s="32"/>
      <c r="Z948" s="32"/>
      <c r="AA948" s="32"/>
      <c r="AB948" s="32"/>
    </row>
    <row r="949" spans="1:28" ht="15.6" customHeight="1" x14ac:dyDescent="0.25">
      <c r="A949" s="24"/>
      <c r="B949" s="24"/>
      <c r="C949" s="25"/>
      <c r="D949" s="25"/>
      <c r="E949" s="25"/>
      <c r="F949" s="25"/>
      <c r="G949" s="26"/>
      <c r="H949" s="27"/>
      <c r="I949" s="24"/>
      <c r="J949" s="24"/>
      <c r="K949" s="28"/>
      <c r="L949" s="29"/>
      <c r="M949" s="29"/>
      <c r="N949" s="29"/>
      <c r="O949" s="27"/>
      <c r="P949" s="30"/>
      <c r="Q949" s="31"/>
      <c r="R949" s="31"/>
      <c r="S949" s="32"/>
      <c r="T949" s="32"/>
      <c r="U949" s="32"/>
      <c r="V949" s="32"/>
      <c r="W949" s="32"/>
      <c r="X949" s="32"/>
      <c r="Y949" s="32"/>
      <c r="Z949" s="32"/>
      <c r="AA949" s="32"/>
      <c r="AB949" s="32"/>
    </row>
    <row r="950" spans="1:28" ht="15.6" customHeight="1" x14ac:dyDescent="0.25">
      <c r="A950" s="24"/>
      <c r="B950" s="24"/>
      <c r="C950" s="25"/>
      <c r="D950" s="25"/>
      <c r="E950" s="25"/>
      <c r="F950" s="25"/>
      <c r="G950" s="26"/>
      <c r="H950" s="27"/>
      <c r="I950" s="24"/>
      <c r="J950" s="24"/>
      <c r="K950" s="28"/>
      <c r="L950" s="29"/>
      <c r="M950" s="29"/>
      <c r="N950" s="29"/>
      <c r="O950" s="27"/>
      <c r="P950" s="30"/>
      <c r="Q950" s="31"/>
      <c r="R950" s="31"/>
      <c r="S950" s="32"/>
      <c r="T950" s="32"/>
      <c r="U950" s="32"/>
      <c r="V950" s="32"/>
      <c r="W950" s="32"/>
      <c r="X950" s="32"/>
      <c r="Y950" s="32"/>
      <c r="Z950" s="32"/>
      <c r="AA950" s="32"/>
      <c r="AB950" s="32"/>
    </row>
    <row r="951" spans="1:28" ht="15.6" customHeight="1" x14ac:dyDescent="0.25">
      <c r="A951" s="24"/>
      <c r="B951" s="24"/>
      <c r="C951" s="25"/>
      <c r="D951" s="25"/>
      <c r="E951" s="25"/>
      <c r="F951" s="25"/>
      <c r="G951" s="26"/>
      <c r="H951" s="27"/>
      <c r="I951" s="24"/>
      <c r="J951" s="24"/>
      <c r="K951" s="28"/>
      <c r="L951" s="29"/>
      <c r="M951" s="29"/>
      <c r="N951" s="29"/>
      <c r="O951" s="27"/>
      <c r="P951" s="30"/>
      <c r="Q951" s="31"/>
      <c r="R951" s="31"/>
      <c r="S951" s="32"/>
      <c r="T951" s="32"/>
      <c r="U951" s="32"/>
      <c r="V951" s="32"/>
      <c r="W951" s="32"/>
      <c r="X951" s="32"/>
      <c r="Y951" s="32"/>
      <c r="Z951" s="32"/>
      <c r="AA951" s="32"/>
      <c r="AB951" s="32"/>
    </row>
    <row r="952" spans="1:28" ht="15.6" customHeight="1" x14ac:dyDescent="0.25">
      <c r="A952" s="24"/>
      <c r="B952" s="24"/>
      <c r="C952" s="25"/>
      <c r="D952" s="25"/>
      <c r="E952" s="25"/>
      <c r="F952" s="25"/>
      <c r="G952" s="26"/>
      <c r="H952" s="27"/>
      <c r="I952" s="24"/>
      <c r="J952" s="24"/>
      <c r="K952" s="28"/>
      <c r="L952" s="29"/>
      <c r="M952" s="29"/>
      <c r="N952" s="29"/>
      <c r="O952" s="27"/>
      <c r="P952" s="30"/>
      <c r="Q952" s="31"/>
      <c r="R952" s="31"/>
      <c r="S952" s="32"/>
      <c r="T952" s="32"/>
      <c r="U952" s="32"/>
      <c r="V952" s="32"/>
      <c r="W952" s="32"/>
      <c r="X952" s="32"/>
      <c r="Y952" s="32"/>
      <c r="Z952" s="32"/>
      <c r="AA952" s="32"/>
      <c r="AB952" s="32"/>
    </row>
    <row r="953" spans="1:28" ht="15.6" customHeight="1" x14ac:dyDescent="0.25">
      <c r="A953" s="24"/>
      <c r="B953" s="24"/>
      <c r="C953" s="25"/>
      <c r="D953" s="25"/>
      <c r="E953" s="25"/>
      <c r="F953" s="25"/>
      <c r="G953" s="26"/>
      <c r="H953" s="27"/>
      <c r="I953" s="24"/>
      <c r="J953" s="24"/>
      <c r="K953" s="28"/>
      <c r="L953" s="29"/>
      <c r="M953" s="29"/>
      <c r="N953" s="29"/>
      <c r="O953" s="27"/>
      <c r="P953" s="30"/>
      <c r="Q953" s="31"/>
      <c r="R953" s="31"/>
      <c r="S953" s="32"/>
      <c r="T953" s="32"/>
      <c r="U953" s="32"/>
      <c r="V953" s="32"/>
      <c r="W953" s="32"/>
      <c r="X953" s="32"/>
      <c r="Y953" s="32"/>
      <c r="Z953" s="32"/>
      <c r="AA953" s="32"/>
      <c r="AB953" s="32"/>
    </row>
    <row r="954" spans="1:28" ht="15.6" customHeight="1" x14ac:dyDescent="0.25">
      <c r="A954" s="24"/>
      <c r="B954" s="24"/>
      <c r="C954" s="25"/>
      <c r="D954" s="25"/>
      <c r="E954" s="25"/>
      <c r="F954" s="25"/>
      <c r="G954" s="26"/>
      <c r="H954" s="27"/>
      <c r="I954" s="24"/>
      <c r="J954" s="24"/>
      <c r="K954" s="28"/>
      <c r="L954" s="29"/>
      <c r="M954" s="29"/>
      <c r="N954" s="29"/>
      <c r="O954" s="27"/>
      <c r="P954" s="30"/>
      <c r="Q954" s="31"/>
      <c r="R954" s="31"/>
      <c r="S954" s="32"/>
      <c r="T954" s="32"/>
      <c r="U954" s="32"/>
      <c r="V954" s="32"/>
      <c r="W954" s="32"/>
      <c r="X954" s="32"/>
      <c r="Y954" s="32"/>
      <c r="Z954" s="32"/>
      <c r="AA954" s="32"/>
      <c r="AB954" s="32"/>
    </row>
    <row r="955" spans="1:28" ht="15.6" customHeight="1" x14ac:dyDescent="0.25">
      <c r="A955" s="24"/>
      <c r="B955" s="24"/>
      <c r="C955" s="25"/>
      <c r="D955" s="25"/>
      <c r="E955" s="25"/>
      <c r="F955" s="25"/>
      <c r="G955" s="26"/>
      <c r="H955" s="27"/>
      <c r="I955" s="24"/>
      <c r="J955" s="24"/>
      <c r="K955" s="28"/>
      <c r="L955" s="29"/>
      <c r="M955" s="29"/>
      <c r="N955" s="29"/>
      <c r="O955" s="27"/>
      <c r="P955" s="30"/>
      <c r="Q955" s="31"/>
      <c r="R955" s="31"/>
      <c r="S955" s="32"/>
      <c r="T955" s="32"/>
      <c r="U955" s="32"/>
      <c r="V955" s="32"/>
      <c r="W955" s="32"/>
      <c r="X955" s="32"/>
      <c r="Y955" s="32"/>
      <c r="Z955" s="32"/>
      <c r="AA955" s="32"/>
      <c r="AB955" s="32"/>
    </row>
    <row r="956" spans="1:28" ht="15.6" customHeight="1" x14ac:dyDescent="0.25">
      <c r="A956" s="24"/>
      <c r="B956" s="24"/>
      <c r="C956" s="25"/>
      <c r="D956" s="25"/>
      <c r="E956" s="25"/>
      <c r="F956" s="25"/>
      <c r="G956" s="26"/>
      <c r="H956" s="27"/>
      <c r="I956" s="24"/>
      <c r="J956" s="24"/>
      <c r="K956" s="28"/>
      <c r="L956" s="29"/>
      <c r="M956" s="29"/>
      <c r="N956" s="29"/>
      <c r="O956" s="27"/>
      <c r="P956" s="30"/>
      <c r="Q956" s="31"/>
      <c r="R956" s="31"/>
      <c r="S956" s="32"/>
      <c r="T956" s="32"/>
      <c r="U956" s="32"/>
      <c r="V956" s="32"/>
      <c r="W956" s="32"/>
      <c r="X956" s="32"/>
      <c r="Y956" s="32"/>
      <c r="Z956" s="32"/>
      <c r="AA956" s="32"/>
      <c r="AB956" s="32"/>
    </row>
    <row r="957" spans="1:28" ht="15.6" customHeight="1" x14ac:dyDescent="0.25">
      <c r="A957" s="24"/>
      <c r="B957" s="24"/>
      <c r="C957" s="25"/>
      <c r="D957" s="25"/>
      <c r="E957" s="25"/>
      <c r="F957" s="25"/>
      <c r="G957" s="26"/>
      <c r="H957" s="27"/>
      <c r="I957" s="24"/>
      <c r="J957" s="24"/>
      <c r="K957" s="28"/>
      <c r="L957" s="29"/>
      <c r="M957" s="29"/>
      <c r="N957" s="29"/>
      <c r="O957" s="27"/>
      <c r="P957" s="30"/>
      <c r="Q957" s="31"/>
      <c r="R957" s="31"/>
      <c r="S957" s="32"/>
      <c r="T957" s="32"/>
      <c r="U957" s="32"/>
      <c r="V957" s="32"/>
      <c r="W957" s="32"/>
      <c r="X957" s="32"/>
      <c r="Y957" s="32"/>
      <c r="Z957" s="32"/>
      <c r="AA957" s="32"/>
      <c r="AB957" s="32"/>
    </row>
    <row r="958" spans="1:28" ht="15.6" customHeight="1" x14ac:dyDescent="0.25">
      <c r="A958" s="24"/>
      <c r="B958" s="24"/>
      <c r="C958" s="25"/>
      <c r="D958" s="25"/>
      <c r="E958" s="25"/>
      <c r="F958" s="25"/>
      <c r="G958" s="26"/>
      <c r="H958" s="27"/>
      <c r="I958" s="24"/>
      <c r="J958" s="24"/>
      <c r="K958" s="28"/>
      <c r="L958" s="29"/>
      <c r="M958" s="29"/>
      <c r="N958" s="29"/>
      <c r="O958" s="27"/>
      <c r="P958" s="30"/>
      <c r="Q958" s="31"/>
      <c r="R958" s="31"/>
      <c r="S958" s="32"/>
      <c r="T958" s="32"/>
      <c r="U958" s="32"/>
      <c r="V958" s="32"/>
      <c r="W958" s="32"/>
      <c r="X958" s="32"/>
      <c r="Y958" s="32"/>
      <c r="Z958" s="32"/>
      <c r="AA958" s="32"/>
      <c r="AB958" s="32"/>
    </row>
    <row r="959" spans="1:28" ht="15.6" customHeight="1" x14ac:dyDescent="0.25">
      <c r="A959" s="24"/>
      <c r="B959" s="24"/>
      <c r="C959" s="25"/>
      <c r="D959" s="25"/>
      <c r="E959" s="25"/>
      <c r="F959" s="25"/>
      <c r="G959" s="26"/>
      <c r="H959" s="27"/>
      <c r="I959" s="24"/>
      <c r="J959" s="24"/>
      <c r="K959" s="28"/>
      <c r="L959" s="29"/>
      <c r="M959" s="29"/>
      <c r="N959" s="29"/>
      <c r="O959" s="27"/>
      <c r="P959" s="30"/>
      <c r="Q959" s="31"/>
      <c r="R959" s="31"/>
      <c r="S959" s="32"/>
      <c r="T959" s="32"/>
      <c r="U959" s="32"/>
      <c r="V959" s="32"/>
      <c r="W959" s="32"/>
      <c r="X959" s="32"/>
      <c r="Y959" s="32"/>
      <c r="Z959" s="32"/>
      <c r="AA959" s="32"/>
      <c r="AB959" s="32"/>
    </row>
    <row r="960" spans="1:28" ht="15.6" customHeight="1" x14ac:dyDescent="0.25">
      <c r="A960" s="24"/>
      <c r="B960" s="24"/>
      <c r="C960" s="25"/>
      <c r="D960" s="25"/>
      <c r="E960" s="25"/>
      <c r="F960" s="25"/>
      <c r="G960" s="26"/>
      <c r="H960" s="27"/>
      <c r="I960" s="24"/>
      <c r="J960" s="24"/>
      <c r="K960" s="28"/>
      <c r="L960" s="29"/>
      <c r="M960" s="29"/>
      <c r="N960" s="29"/>
      <c r="O960" s="27"/>
      <c r="P960" s="30"/>
      <c r="Q960" s="31"/>
      <c r="R960" s="31"/>
      <c r="S960" s="32"/>
      <c r="T960" s="32"/>
      <c r="U960" s="32"/>
      <c r="V960" s="32"/>
      <c r="W960" s="32"/>
      <c r="X960" s="32"/>
      <c r="Y960" s="32"/>
      <c r="Z960" s="32"/>
      <c r="AA960" s="32"/>
      <c r="AB960" s="32"/>
    </row>
    <row r="961" spans="1:28" ht="15.6" customHeight="1" x14ac:dyDescent="0.25">
      <c r="A961" s="24"/>
      <c r="B961" s="24"/>
      <c r="C961" s="25"/>
      <c r="D961" s="25"/>
      <c r="E961" s="25"/>
      <c r="F961" s="25"/>
      <c r="G961" s="26"/>
      <c r="H961" s="27"/>
      <c r="I961" s="24"/>
      <c r="J961" s="24"/>
      <c r="K961" s="28"/>
      <c r="L961" s="29"/>
      <c r="M961" s="29"/>
      <c r="N961" s="29"/>
      <c r="O961" s="27"/>
      <c r="P961" s="30"/>
      <c r="Q961" s="31"/>
      <c r="R961" s="31"/>
      <c r="S961" s="32"/>
      <c r="T961" s="32"/>
      <c r="U961" s="32"/>
      <c r="V961" s="32"/>
      <c r="W961" s="32"/>
      <c r="X961" s="32"/>
      <c r="Y961" s="32"/>
      <c r="Z961" s="32"/>
      <c r="AA961" s="32"/>
      <c r="AB961" s="32"/>
    </row>
    <row r="962" spans="1:28" ht="15.6" customHeight="1" x14ac:dyDescent="0.25">
      <c r="A962" s="24"/>
      <c r="B962" s="24"/>
      <c r="C962" s="25"/>
      <c r="D962" s="25"/>
      <c r="E962" s="25"/>
      <c r="F962" s="25"/>
      <c r="G962" s="26"/>
      <c r="H962" s="27"/>
      <c r="I962" s="24"/>
      <c r="J962" s="24"/>
      <c r="K962" s="28"/>
      <c r="L962" s="29"/>
      <c r="M962" s="29"/>
      <c r="N962" s="29"/>
      <c r="O962" s="27"/>
      <c r="P962" s="30"/>
      <c r="Q962" s="31"/>
      <c r="R962" s="31"/>
      <c r="S962" s="32"/>
      <c r="T962" s="32"/>
      <c r="U962" s="32"/>
      <c r="V962" s="32"/>
      <c r="W962" s="32"/>
      <c r="X962" s="32"/>
      <c r="Y962" s="32"/>
      <c r="Z962" s="32"/>
      <c r="AA962" s="32"/>
      <c r="AB962" s="32"/>
    </row>
    <row r="963" spans="1:28" ht="15.6" customHeight="1" x14ac:dyDescent="0.25">
      <c r="A963" s="24"/>
      <c r="B963" s="24"/>
      <c r="C963" s="25"/>
      <c r="D963" s="25"/>
      <c r="E963" s="25"/>
      <c r="F963" s="25"/>
      <c r="G963" s="26"/>
      <c r="H963" s="27"/>
      <c r="I963" s="24"/>
      <c r="J963" s="24"/>
      <c r="K963" s="28"/>
      <c r="L963" s="29"/>
      <c r="M963" s="29"/>
      <c r="N963" s="29"/>
      <c r="O963" s="27"/>
      <c r="P963" s="30"/>
      <c r="Q963" s="31"/>
      <c r="R963" s="31"/>
      <c r="S963" s="32"/>
      <c r="T963" s="32"/>
      <c r="U963" s="32"/>
      <c r="V963" s="32"/>
      <c r="W963" s="32"/>
      <c r="X963" s="32"/>
      <c r="Y963" s="32"/>
      <c r="Z963" s="32"/>
      <c r="AA963" s="32"/>
      <c r="AB963" s="32"/>
    </row>
    <row r="964" spans="1:28" ht="15.6" customHeight="1" x14ac:dyDescent="0.25">
      <c r="A964" s="24"/>
      <c r="B964" s="24"/>
      <c r="C964" s="25"/>
      <c r="D964" s="25"/>
      <c r="E964" s="25"/>
      <c r="F964" s="25"/>
      <c r="G964" s="26"/>
      <c r="H964" s="27"/>
      <c r="I964" s="24"/>
      <c r="J964" s="24"/>
      <c r="K964" s="28"/>
      <c r="L964" s="29"/>
      <c r="M964" s="29"/>
      <c r="N964" s="29"/>
      <c r="O964" s="27"/>
      <c r="P964" s="30"/>
      <c r="Q964" s="31"/>
      <c r="R964" s="31"/>
      <c r="S964" s="32"/>
      <c r="T964" s="32"/>
      <c r="U964" s="32"/>
      <c r="V964" s="32"/>
      <c r="W964" s="32"/>
      <c r="X964" s="32"/>
      <c r="Y964" s="32"/>
      <c r="Z964" s="32"/>
      <c r="AA964" s="32"/>
      <c r="AB964" s="32"/>
    </row>
    <row r="965" spans="1:28" ht="15.6" customHeight="1" x14ac:dyDescent="0.25">
      <c r="A965" s="24"/>
      <c r="B965" s="24"/>
      <c r="C965" s="25"/>
      <c r="D965" s="25"/>
      <c r="E965" s="25"/>
      <c r="F965" s="25"/>
      <c r="G965" s="26"/>
      <c r="H965" s="27"/>
      <c r="I965" s="24"/>
      <c r="J965" s="24"/>
      <c r="K965" s="28"/>
      <c r="L965" s="29"/>
      <c r="M965" s="29"/>
      <c r="N965" s="29"/>
      <c r="O965" s="27"/>
      <c r="P965" s="30"/>
      <c r="Q965" s="31"/>
      <c r="R965" s="31"/>
      <c r="S965" s="32"/>
      <c r="T965" s="32"/>
      <c r="U965" s="32"/>
      <c r="V965" s="32"/>
      <c r="W965" s="32"/>
      <c r="X965" s="32"/>
      <c r="Y965" s="32"/>
      <c r="Z965" s="32"/>
      <c r="AA965" s="32"/>
      <c r="AB965" s="32"/>
    </row>
    <row r="966" spans="1:28" ht="15.6" customHeight="1" x14ac:dyDescent="0.25">
      <c r="A966" s="24"/>
      <c r="B966" s="24"/>
      <c r="C966" s="25"/>
      <c r="D966" s="25"/>
      <c r="E966" s="25"/>
      <c r="F966" s="25"/>
      <c r="G966" s="26"/>
      <c r="H966" s="27"/>
      <c r="I966" s="24"/>
      <c r="J966" s="24"/>
      <c r="K966" s="28"/>
      <c r="L966" s="29"/>
      <c r="M966" s="29"/>
      <c r="N966" s="29"/>
      <c r="O966" s="27"/>
      <c r="P966" s="30"/>
      <c r="Q966" s="31"/>
      <c r="R966" s="31"/>
      <c r="S966" s="32"/>
      <c r="T966" s="32"/>
      <c r="U966" s="32"/>
      <c r="V966" s="32"/>
      <c r="W966" s="32"/>
      <c r="X966" s="32"/>
      <c r="Y966" s="32"/>
      <c r="Z966" s="32"/>
      <c r="AA966" s="32"/>
      <c r="AB966" s="32"/>
    </row>
    <row r="967" spans="1:28" ht="15.6" customHeight="1" x14ac:dyDescent="0.25">
      <c r="A967" s="24"/>
      <c r="B967" s="24"/>
      <c r="C967" s="25"/>
      <c r="D967" s="25"/>
      <c r="E967" s="25"/>
      <c r="F967" s="25"/>
      <c r="G967" s="26"/>
      <c r="H967" s="27"/>
      <c r="I967" s="24"/>
      <c r="J967" s="24"/>
      <c r="K967" s="28"/>
      <c r="L967" s="29"/>
      <c r="M967" s="29"/>
      <c r="N967" s="29"/>
      <c r="O967" s="27"/>
      <c r="P967" s="30"/>
      <c r="Q967" s="31"/>
      <c r="R967" s="31"/>
      <c r="S967" s="32"/>
      <c r="T967" s="32"/>
      <c r="U967" s="32"/>
      <c r="V967" s="32"/>
      <c r="W967" s="32"/>
      <c r="X967" s="32"/>
      <c r="Y967" s="32"/>
      <c r="Z967" s="32"/>
      <c r="AA967" s="32"/>
      <c r="AB967" s="32"/>
    </row>
    <row r="968" spans="1:28" ht="15.6" customHeight="1" x14ac:dyDescent="0.25">
      <c r="A968" s="24"/>
      <c r="B968" s="24"/>
      <c r="C968" s="25"/>
      <c r="D968" s="25"/>
      <c r="E968" s="25"/>
      <c r="F968" s="25"/>
      <c r="G968" s="26"/>
      <c r="H968" s="27"/>
      <c r="I968" s="24"/>
      <c r="J968" s="24"/>
      <c r="K968" s="28"/>
      <c r="L968" s="29"/>
      <c r="M968" s="29"/>
      <c r="N968" s="29"/>
      <c r="O968" s="27"/>
      <c r="P968" s="30"/>
      <c r="Q968" s="31"/>
      <c r="R968" s="31"/>
      <c r="S968" s="32"/>
      <c r="T968" s="32"/>
      <c r="U968" s="32"/>
      <c r="V968" s="32"/>
      <c r="W968" s="32"/>
      <c r="X968" s="32"/>
      <c r="Y968" s="32"/>
      <c r="Z968" s="32"/>
      <c r="AA968" s="32"/>
      <c r="AB968" s="32"/>
    </row>
    <row r="969" spans="1:28" ht="15.6" customHeight="1" x14ac:dyDescent="0.25">
      <c r="A969" s="24"/>
      <c r="B969" s="24"/>
      <c r="C969" s="25"/>
      <c r="D969" s="25"/>
      <c r="E969" s="25"/>
      <c r="F969" s="25"/>
      <c r="G969" s="26"/>
      <c r="H969" s="27"/>
      <c r="I969" s="24"/>
      <c r="J969" s="24"/>
      <c r="K969" s="28"/>
      <c r="L969" s="29"/>
      <c r="M969" s="29"/>
      <c r="N969" s="29"/>
      <c r="O969" s="27"/>
      <c r="P969" s="30"/>
      <c r="Q969" s="31"/>
      <c r="R969" s="31"/>
      <c r="S969" s="32"/>
      <c r="T969" s="32"/>
      <c r="U969" s="32"/>
      <c r="V969" s="32"/>
      <c r="W969" s="32"/>
      <c r="X969" s="32"/>
      <c r="Y969" s="32"/>
      <c r="Z969" s="32"/>
      <c r="AA969" s="32"/>
      <c r="AB969" s="32"/>
    </row>
    <row r="970" spans="1:28" ht="15.6" customHeight="1" x14ac:dyDescent="0.25">
      <c r="A970" s="24"/>
      <c r="B970" s="24"/>
      <c r="C970" s="25"/>
      <c r="D970" s="25"/>
      <c r="E970" s="25"/>
      <c r="F970" s="25"/>
      <c r="G970" s="26"/>
      <c r="H970" s="27"/>
      <c r="I970" s="24"/>
      <c r="J970" s="24"/>
      <c r="K970" s="28"/>
      <c r="L970" s="29"/>
      <c r="M970" s="29"/>
      <c r="N970" s="29"/>
      <c r="O970" s="27"/>
      <c r="P970" s="30"/>
      <c r="Q970" s="31"/>
      <c r="R970" s="31"/>
      <c r="S970" s="32"/>
      <c r="T970" s="32"/>
      <c r="U970" s="32"/>
      <c r="V970" s="32"/>
      <c r="W970" s="32"/>
      <c r="X970" s="32"/>
      <c r="Y970" s="32"/>
      <c r="Z970" s="32"/>
      <c r="AA970" s="32"/>
      <c r="AB970" s="32"/>
    </row>
    <row r="971" spans="1:28" ht="15.6" customHeight="1" x14ac:dyDescent="0.25">
      <c r="A971" s="24"/>
      <c r="B971" s="24"/>
      <c r="C971" s="25"/>
      <c r="D971" s="25"/>
      <c r="E971" s="25"/>
      <c r="F971" s="25"/>
      <c r="G971" s="26"/>
      <c r="H971" s="27"/>
      <c r="I971" s="24"/>
      <c r="J971" s="24"/>
      <c r="K971" s="28"/>
      <c r="L971" s="29"/>
      <c r="M971" s="29"/>
      <c r="N971" s="29"/>
      <c r="O971" s="27"/>
      <c r="P971" s="30"/>
      <c r="Q971" s="31"/>
      <c r="R971" s="31"/>
      <c r="S971" s="32"/>
      <c r="T971" s="32"/>
      <c r="U971" s="32"/>
      <c r="V971" s="32"/>
      <c r="W971" s="32"/>
      <c r="X971" s="32"/>
      <c r="Y971" s="32"/>
      <c r="Z971" s="32"/>
      <c r="AA971" s="32"/>
      <c r="AB971" s="32"/>
    </row>
    <row r="972" spans="1:28" ht="15.6" customHeight="1" x14ac:dyDescent="0.25">
      <c r="A972" s="24"/>
      <c r="B972" s="24"/>
      <c r="C972" s="25"/>
      <c r="D972" s="25"/>
      <c r="E972" s="25"/>
      <c r="F972" s="25"/>
      <c r="G972" s="26"/>
      <c r="H972" s="27"/>
      <c r="I972" s="24"/>
      <c r="J972" s="24"/>
      <c r="K972" s="28"/>
      <c r="L972" s="29"/>
      <c r="M972" s="29"/>
      <c r="N972" s="29"/>
      <c r="O972" s="27"/>
      <c r="P972" s="30"/>
      <c r="Q972" s="31"/>
      <c r="R972" s="31"/>
      <c r="S972" s="32"/>
      <c r="T972" s="32"/>
      <c r="U972" s="32"/>
      <c r="V972" s="32"/>
      <c r="W972" s="32"/>
      <c r="X972" s="32"/>
      <c r="Y972" s="32"/>
      <c r="Z972" s="32"/>
      <c r="AA972" s="32"/>
      <c r="AB972" s="32"/>
    </row>
    <row r="973" spans="1:28" ht="15.6" customHeight="1" x14ac:dyDescent="0.25">
      <c r="A973" s="24"/>
      <c r="B973" s="24"/>
      <c r="C973" s="25"/>
      <c r="D973" s="25"/>
      <c r="E973" s="25"/>
      <c r="F973" s="25"/>
      <c r="G973" s="26"/>
      <c r="H973" s="27"/>
      <c r="I973" s="24"/>
      <c r="J973" s="24"/>
      <c r="K973" s="28"/>
      <c r="L973" s="29"/>
      <c r="M973" s="29"/>
      <c r="N973" s="29"/>
      <c r="O973" s="27"/>
      <c r="P973" s="30"/>
      <c r="Q973" s="31"/>
      <c r="R973" s="31"/>
      <c r="S973" s="32"/>
      <c r="T973" s="32"/>
      <c r="U973" s="32"/>
      <c r="V973" s="32"/>
      <c r="W973" s="32"/>
      <c r="X973" s="32"/>
      <c r="Y973" s="32"/>
      <c r="Z973" s="32"/>
      <c r="AA973" s="32"/>
      <c r="AB973" s="32"/>
    </row>
    <row r="974" spans="1:28" ht="15.6" customHeight="1" x14ac:dyDescent="0.25">
      <c r="A974" s="24"/>
      <c r="B974" s="24"/>
      <c r="C974" s="25"/>
      <c r="D974" s="25"/>
      <c r="E974" s="25"/>
      <c r="F974" s="25"/>
      <c r="G974" s="26"/>
      <c r="H974" s="27"/>
      <c r="I974" s="24"/>
      <c r="J974" s="24"/>
      <c r="K974" s="28"/>
      <c r="L974" s="29"/>
      <c r="M974" s="29"/>
      <c r="N974" s="29"/>
      <c r="O974" s="27"/>
      <c r="P974" s="30"/>
      <c r="Q974" s="31"/>
      <c r="R974" s="31"/>
      <c r="S974" s="32"/>
      <c r="T974" s="32"/>
      <c r="U974" s="32"/>
      <c r="V974" s="32"/>
      <c r="W974" s="32"/>
      <c r="X974" s="32"/>
      <c r="Y974" s="32"/>
      <c r="Z974" s="32"/>
      <c r="AA974" s="32"/>
      <c r="AB974" s="32"/>
    </row>
    <row r="975" spans="1:28" ht="15.6" customHeight="1" x14ac:dyDescent="0.25">
      <c r="A975" s="24"/>
      <c r="B975" s="24"/>
      <c r="C975" s="25"/>
      <c r="D975" s="25"/>
      <c r="E975" s="25"/>
      <c r="F975" s="25"/>
      <c r="G975" s="26"/>
      <c r="H975" s="27"/>
      <c r="I975" s="24"/>
      <c r="J975" s="24"/>
      <c r="K975" s="28"/>
      <c r="L975" s="29"/>
      <c r="M975" s="29"/>
      <c r="N975" s="29"/>
      <c r="O975" s="27"/>
      <c r="P975" s="30"/>
      <c r="Q975" s="31"/>
      <c r="R975" s="31"/>
      <c r="S975" s="32"/>
      <c r="T975" s="32"/>
      <c r="U975" s="32"/>
      <c r="V975" s="32"/>
      <c r="W975" s="32"/>
      <c r="X975" s="32"/>
      <c r="Y975" s="32"/>
      <c r="Z975" s="32"/>
      <c r="AA975" s="32"/>
      <c r="AB975" s="32"/>
    </row>
    <row r="976" spans="1:28" ht="15.6" customHeight="1" x14ac:dyDescent="0.25">
      <c r="A976" s="24"/>
      <c r="B976" s="24"/>
      <c r="C976" s="25"/>
      <c r="D976" s="25"/>
      <c r="E976" s="25"/>
      <c r="F976" s="25"/>
      <c r="G976" s="26"/>
      <c r="H976" s="27"/>
      <c r="I976" s="24"/>
      <c r="J976" s="24"/>
      <c r="K976" s="28"/>
      <c r="L976" s="29"/>
      <c r="M976" s="29"/>
      <c r="N976" s="29"/>
      <c r="O976" s="27"/>
      <c r="P976" s="30"/>
      <c r="Q976" s="31"/>
      <c r="R976" s="31"/>
      <c r="S976" s="32"/>
      <c r="T976" s="32"/>
      <c r="U976" s="32"/>
      <c r="V976" s="32"/>
      <c r="W976" s="32"/>
      <c r="X976" s="32"/>
      <c r="Y976" s="32"/>
      <c r="Z976" s="32"/>
      <c r="AA976" s="32"/>
      <c r="AB976" s="32"/>
    </row>
    <row r="977" spans="1:28" ht="15.6" customHeight="1" x14ac:dyDescent="0.25">
      <c r="A977" s="24"/>
      <c r="B977" s="24"/>
      <c r="C977" s="25"/>
      <c r="D977" s="25"/>
      <c r="E977" s="25"/>
      <c r="F977" s="25"/>
      <c r="G977" s="26"/>
      <c r="H977" s="27"/>
      <c r="I977" s="24"/>
      <c r="J977" s="24"/>
      <c r="K977" s="28"/>
      <c r="L977" s="29"/>
      <c r="M977" s="29"/>
      <c r="N977" s="29"/>
      <c r="O977" s="27"/>
      <c r="P977" s="30"/>
      <c r="Q977" s="31"/>
      <c r="R977" s="31"/>
      <c r="S977" s="32"/>
      <c r="T977" s="32"/>
      <c r="U977" s="32"/>
      <c r="V977" s="32"/>
      <c r="W977" s="32"/>
      <c r="X977" s="32"/>
      <c r="Y977" s="32"/>
      <c r="Z977" s="32"/>
      <c r="AA977" s="32"/>
      <c r="AB977" s="32"/>
    </row>
    <row r="978" spans="1:28" ht="15.6" customHeight="1" x14ac:dyDescent="0.25">
      <c r="A978" s="24"/>
      <c r="B978" s="24"/>
      <c r="C978" s="25"/>
      <c r="D978" s="25"/>
      <c r="E978" s="25"/>
      <c r="F978" s="25"/>
      <c r="G978" s="26"/>
      <c r="H978" s="27"/>
      <c r="I978" s="24"/>
      <c r="J978" s="24"/>
      <c r="K978" s="28"/>
      <c r="L978" s="29"/>
      <c r="M978" s="29"/>
      <c r="N978" s="29"/>
      <c r="O978" s="27"/>
      <c r="P978" s="30"/>
      <c r="Q978" s="31"/>
      <c r="R978" s="31"/>
      <c r="S978" s="32"/>
      <c r="T978" s="32"/>
      <c r="U978" s="32"/>
      <c r="V978" s="32"/>
      <c r="W978" s="32"/>
      <c r="X978" s="32"/>
      <c r="Y978" s="32"/>
      <c r="Z978" s="32"/>
      <c r="AA978" s="32"/>
      <c r="AB978" s="32"/>
    </row>
    <row r="979" spans="1:28" ht="15.6" customHeight="1" x14ac:dyDescent="0.25">
      <c r="A979" s="24"/>
      <c r="B979" s="24"/>
      <c r="C979" s="25"/>
      <c r="D979" s="25"/>
      <c r="E979" s="25"/>
      <c r="F979" s="25"/>
      <c r="G979" s="26"/>
      <c r="H979" s="27"/>
      <c r="I979" s="24"/>
      <c r="J979" s="24"/>
      <c r="K979" s="28"/>
      <c r="L979" s="29"/>
      <c r="M979" s="29"/>
      <c r="N979" s="29"/>
      <c r="O979" s="27"/>
      <c r="P979" s="30"/>
      <c r="Q979" s="31"/>
      <c r="R979" s="31"/>
      <c r="S979" s="32"/>
      <c r="T979" s="32"/>
      <c r="U979" s="32"/>
      <c r="V979" s="32"/>
      <c r="W979" s="32"/>
      <c r="X979" s="32"/>
      <c r="Y979" s="32"/>
      <c r="Z979" s="32"/>
      <c r="AA979" s="32"/>
      <c r="AB979" s="32"/>
    </row>
    <row r="980" spans="1:28" ht="15.6" customHeight="1" x14ac:dyDescent="0.25">
      <c r="A980" s="24"/>
      <c r="B980" s="24"/>
      <c r="C980" s="25"/>
      <c r="D980" s="25"/>
      <c r="E980" s="25"/>
      <c r="F980" s="25"/>
      <c r="G980" s="26"/>
      <c r="H980" s="27"/>
      <c r="I980" s="24"/>
      <c r="J980" s="24"/>
      <c r="K980" s="28"/>
      <c r="L980" s="29"/>
      <c r="M980" s="29"/>
      <c r="N980" s="29"/>
      <c r="O980" s="27"/>
      <c r="P980" s="30"/>
      <c r="Q980" s="31"/>
      <c r="R980" s="31"/>
      <c r="S980" s="32"/>
      <c r="T980" s="32"/>
      <c r="U980" s="32"/>
      <c r="V980" s="32"/>
      <c r="W980" s="32"/>
      <c r="X980" s="32"/>
      <c r="Y980" s="32"/>
      <c r="Z980" s="32"/>
      <c r="AA980" s="32"/>
      <c r="AB980" s="32"/>
    </row>
    <row r="981" spans="1:28" ht="15.6" customHeight="1" x14ac:dyDescent="0.25">
      <c r="A981" s="24"/>
      <c r="B981" s="24"/>
      <c r="C981" s="25"/>
      <c r="D981" s="25"/>
      <c r="E981" s="25"/>
      <c r="F981" s="25"/>
      <c r="G981" s="26"/>
      <c r="H981" s="27"/>
      <c r="I981" s="24"/>
      <c r="J981" s="24"/>
      <c r="K981" s="28"/>
      <c r="L981" s="29"/>
      <c r="M981" s="29"/>
      <c r="N981" s="29"/>
      <c r="O981" s="27"/>
      <c r="P981" s="30"/>
      <c r="Q981" s="31"/>
      <c r="R981" s="31"/>
      <c r="S981" s="32"/>
      <c r="T981" s="32"/>
      <c r="U981" s="32"/>
      <c r="V981" s="32"/>
      <c r="W981" s="32"/>
      <c r="X981" s="32"/>
      <c r="Y981" s="32"/>
      <c r="Z981" s="32"/>
      <c r="AA981" s="32"/>
      <c r="AB981" s="32"/>
    </row>
    <row r="982" spans="1:28" ht="15.6" customHeight="1" x14ac:dyDescent="0.25">
      <c r="A982" s="24"/>
      <c r="B982" s="24"/>
      <c r="C982" s="25"/>
      <c r="D982" s="25"/>
      <c r="E982" s="25"/>
      <c r="F982" s="25"/>
      <c r="G982" s="26"/>
      <c r="H982" s="27"/>
      <c r="I982" s="24"/>
      <c r="J982" s="24"/>
      <c r="K982" s="28"/>
      <c r="L982" s="29"/>
      <c r="M982" s="29"/>
      <c r="N982" s="29"/>
      <c r="O982" s="27"/>
      <c r="P982" s="30"/>
      <c r="Q982" s="31"/>
      <c r="R982" s="31"/>
      <c r="S982" s="32"/>
      <c r="T982" s="32"/>
      <c r="U982" s="32"/>
      <c r="V982" s="32"/>
      <c r="W982" s="32"/>
      <c r="X982" s="32"/>
      <c r="Y982" s="32"/>
      <c r="Z982" s="32"/>
      <c r="AA982" s="32"/>
      <c r="AB982" s="32"/>
    </row>
    <row r="983" spans="1:28" ht="15.6" customHeight="1" x14ac:dyDescent="0.25">
      <c r="A983" s="24"/>
      <c r="B983" s="24"/>
      <c r="C983" s="25"/>
      <c r="D983" s="25"/>
      <c r="E983" s="25"/>
      <c r="F983" s="25"/>
      <c r="G983" s="26"/>
      <c r="H983" s="27"/>
      <c r="I983" s="24"/>
      <c r="J983" s="24"/>
      <c r="K983" s="28"/>
      <c r="L983" s="29"/>
      <c r="M983" s="29"/>
      <c r="N983" s="29"/>
      <c r="O983" s="27"/>
      <c r="P983" s="30"/>
      <c r="Q983" s="31"/>
      <c r="R983" s="31"/>
      <c r="S983" s="32"/>
      <c r="T983" s="32"/>
      <c r="U983" s="32"/>
      <c r="V983" s="32"/>
      <c r="W983" s="32"/>
      <c r="X983" s="32"/>
      <c r="Y983" s="32"/>
      <c r="Z983" s="32"/>
      <c r="AA983" s="32"/>
      <c r="AB983" s="32"/>
    </row>
    <row r="984" spans="1:28" ht="15.6" customHeight="1" x14ac:dyDescent="0.25">
      <c r="A984" s="24"/>
      <c r="B984" s="24"/>
      <c r="C984" s="25"/>
      <c r="D984" s="25"/>
      <c r="E984" s="25"/>
      <c r="F984" s="25"/>
      <c r="G984" s="26"/>
      <c r="H984" s="27"/>
      <c r="I984" s="24"/>
      <c r="J984" s="24"/>
      <c r="K984" s="28"/>
      <c r="L984" s="29"/>
      <c r="M984" s="29"/>
      <c r="N984" s="29"/>
      <c r="O984" s="27"/>
      <c r="P984" s="30"/>
      <c r="Q984" s="31"/>
      <c r="R984" s="31"/>
      <c r="S984" s="32"/>
      <c r="T984" s="32"/>
      <c r="U984" s="32"/>
      <c r="V984" s="32"/>
      <c r="W984" s="32"/>
      <c r="X984" s="32"/>
      <c r="Y984" s="32"/>
      <c r="Z984" s="32"/>
      <c r="AA984" s="32"/>
      <c r="AB984" s="32"/>
    </row>
    <row r="985" spans="1:28" ht="15.6" customHeight="1" x14ac:dyDescent="0.25">
      <c r="A985" s="24"/>
      <c r="B985" s="24"/>
      <c r="C985" s="25"/>
      <c r="D985" s="25"/>
      <c r="E985" s="25"/>
      <c r="F985" s="25"/>
      <c r="G985" s="26"/>
      <c r="H985" s="27"/>
      <c r="I985" s="24"/>
      <c r="J985" s="24"/>
      <c r="K985" s="28"/>
      <c r="L985" s="29"/>
      <c r="M985" s="29"/>
      <c r="N985" s="29"/>
      <c r="O985" s="27"/>
      <c r="P985" s="30"/>
      <c r="Q985" s="31"/>
      <c r="R985" s="31"/>
      <c r="S985" s="32"/>
      <c r="T985" s="32"/>
      <c r="U985" s="32"/>
      <c r="V985" s="32"/>
      <c r="W985" s="32"/>
      <c r="X985" s="32"/>
      <c r="Y985" s="32"/>
      <c r="Z985" s="32"/>
      <c r="AA985" s="32"/>
      <c r="AB985" s="32"/>
    </row>
    <row r="986" spans="1:28" ht="15.6" customHeight="1" x14ac:dyDescent="0.25">
      <c r="A986" s="24"/>
      <c r="B986" s="24"/>
      <c r="C986" s="25"/>
      <c r="D986" s="25"/>
      <c r="E986" s="25"/>
      <c r="F986" s="25"/>
      <c r="G986" s="26"/>
      <c r="H986" s="27"/>
      <c r="I986" s="24"/>
      <c r="J986" s="24"/>
      <c r="K986" s="28"/>
      <c r="L986" s="29"/>
      <c r="M986" s="29"/>
      <c r="N986" s="29"/>
      <c r="O986" s="27"/>
      <c r="P986" s="30"/>
      <c r="Q986" s="31"/>
      <c r="R986" s="31"/>
      <c r="S986" s="32"/>
      <c r="T986" s="32"/>
      <c r="U986" s="32"/>
      <c r="V986" s="32"/>
      <c r="W986" s="32"/>
      <c r="X986" s="32"/>
      <c r="Y986" s="32"/>
      <c r="Z986" s="32"/>
      <c r="AA986" s="32"/>
      <c r="AB986" s="32"/>
    </row>
    <row r="987" spans="1:28" ht="15.6" customHeight="1" x14ac:dyDescent="0.25">
      <c r="A987" s="24"/>
      <c r="B987" s="24"/>
      <c r="C987" s="25"/>
      <c r="D987" s="25"/>
      <c r="E987" s="25"/>
      <c r="F987" s="25"/>
      <c r="G987" s="26"/>
      <c r="H987" s="27"/>
      <c r="I987" s="24"/>
      <c r="J987" s="24"/>
      <c r="K987" s="28"/>
      <c r="L987" s="29"/>
      <c r="M987" s="29"/>
      <c r="N987" s="29"/>
      <c r="O987" s="27"/>
      <c r="P987" s="30"/>
      <c r="Q987" s="31"/>
      <c r="R987" s="31"/>
      <c r="S987" s="32"/>
      <c r="T987" s="32"/>
      <c r="U987" s="32"/>
      <c r="V987" s="32"/>
      <c r="W987" s="32"/>
      <c r="X987" s="32"/>
      <c r="Y987" s="32"/>
      <c r="Z987" s="32"/>
      <c r="AA987" s="32"/>
      <c r="AB987" s="32"/>
    </row>
    <row r="988" spans="1:28" ht="15.6" customHeight="1" x14ac:dyDescent="0.25">
      <c r="A988" s="24"/>
      <c r="B988" s="24"/>
      <c r="C988" s="25"/>
      <c r="D988" s="25"/>
      <c r="E988" s="25"/>
      <c r="F988" s="25"/>
      <c r="G988" s="26"/>
      <c r="H988" s="27"/>
      <c r="I988" s="24"/>
      <c r="J988" s="24"/>
      <c r="K988" s="28"/>
      <c r="L988" s="29"/>
      <c r="M988" s="29"/>
      <c r="N988" s="29"/>
      <c r="O988" s="27"/>
      <c r="P988" s="30"/>
      <c r="Q988" s="31"/>
      <c r="R988" s="31"/>
      <c r="S988" s="32"/>
      <c r="T988" s="32"/>
      <c r="U988" s="32"/>
      <c r="V988" s="32"/>
      <c r="W988" s="32"/>
      <c r="X988" s="32"/>
      <c r="Y988" s="32"/>
      <c r="Z988" s="32"/>
      <c r="AA988" s="32"/>
      <c r="AB988" s="32"/>
    </row>
    <row r="989" spans="1:28" ht="15.6" customHeight="1" x14ac:dyDescent="0.25">
      <c r="A989" s="24"/>
      <c r="B989" s="24"/>
      <c r="C989" s="25"/>
      <c r="D989" s="25"/>
      <c r="E989" s="25"/>
      <c r="F989" s="25"/>
      <c r="G989" s="26"/>
      <c r="H989" s="27"/>
      <c r="I989" s="24"/>
      <c r="J989" s="24"/>
      <c r="K989" s="28"/>
      <c r="L989" s="29"/>
      <c r="M989" s="29"/>
      <c r="N989" s="29"/>
      <c r="O989" s="27"/>
      <c r="P989" s="30"/>
      <c r="Q989" s="31"/>
      <c r="R989" s="31"/>
      <c r="S989" s="32"/>
      <c r="T989" s="32"/>
      <c r="U989" s="32"/>
      <c r="V989" s="32"/>
      <c r="W989" s="32"/>
      <c r="X989" s="32"/>
      <c r="Y989" s="32"/>
      <c r="Z989" s="32"/>
      <c r="AA989" s="32"/>
      <c r="AB989" s="32"/>
    </row>
    <row r="990" spans="1:28" ht="15.6" customHeight="1" x14ac:dyDescent="0.25">
      <c r="A990" s="24"/>
      <c r="B990" s="24"/>
      <c r="C990" s="25"/>
      <c r="D990" s="25"/>
      <c r="E990" s="25"/>
      <c r="F990" s="25"/>
      <c r="G990" s="26"/>
      <c r="H990" s="27"/>
      <c r="I990" s="24"/>
      <c r="J990" s="24"/>
      <c r="K990" s="28"/>
      <c r="L990" s="29"/>
      <c r="M990" s="29"/>
      <c r="N990" s="29"/>
      <c r="O990" s="27"/>
      <c r="P990" s="30"/>
      <c r="Q990" s="31"/>
      <c r="R990" s="31"/>
      <c r="S990" s="32"/>
      <c r="T990" s="32"/>
      <c r="U990" s="32"/>
      <c r="V990" s="32"/>
      <c r="W990" s="32"/>
      <c r="X990" s="32"/>
      <c r="Y990" s="32"/>
      <c r="Z990" s="32"/>
      <c r="AA990" s="32"/>
      <c r="AB990" s="32"/>
    </row>
    <row r="991" spans="1:28" ht="15.6" customHeight="1" x14ac:dyDescent="0.25">
      <c r="A991" s="24"/>
      <c r="B991" s="24"/>
      <c r="C991" s="25"/>
      <c r="D991" s="25"/>
      <c r="E991" s="25"/>
      <c r="F991" s="25"/>
      <c r="G991" s="26"/>
      <c r="H991" s="27"/>
      <c r="I991" s="24"/>
      <c r="J991" s="24"/>
      <c r="K991" s="28"/>
      <c r="L991" s="29"/>
      <c r="M991" s="29"/>
      <c r="N991" s="29"/>
      <c r="O991" s="27"/>
      <c r="P991" s="30"/>
      <c r="Q991" s="31"/>
      <c r="R991" s="31"/>
      <c r="S991" s="32"/>
      <c r="T991" s="32"/>
      <c r="U991" s="32"/>
      <c r="V991" s="32"/>
      <c r="W991" s="32"/>
      <c r="X991" s="32"/>
      <c r="Y991" s="32"/>
      <c r="Z991" s="32"/>
      <c r="AA991" s="32"/>
      <c r="AB991" s="32"/>
    </row>
    <row r="992" spans="1:28" ht="15.6" customHeight="1" x14ac:dyDescent="0.25">
      <c r="A992" s="24"/>
      <c r="B992" s="24"/>
      <c r="C992" s="25"/>
      <c r="D992" s="25"/>
      <c r="E992" s="25"/>
      <c r="F992" s="25"/>
      <c r="G992" s="26"/>
      <c r="H992" s="27"/>
      <c r="I992" s="24"/>
      <c r="J992" s="24"/>
      <c r="K992" s="28"/>
      <c r="L992" s="29"/>
      <c r="M992" s="29"/>
      <c r="N992" s="29"/>
      <c r="O992" s="27"/>
      <c r="P992" s="30"/>
      <c r="Q992" s="31"/>
      <c r="R992" s="31"/>
      <c r="S992" s="32"/>
      <c r="T992" s="32"/>
      <c r="U992" s="32"/>
      <c r="V992" s="32"/>
      <c r="W992" s="32"/>
      <c r="X992" s="32"/>
      <c r="Y992" s="32"/>
      <c r="Z992" s="32"/>
      <c r="AA992" s="32"/>
      <c r="AB992" s="32"/>
    </row>
    <row r="993" spans="1:28" ht="15.6" customHeight="1" x14ac:dyDescent="0.25">
      <c r="A993" s="24"/>
      <c r="B993" s="24"/>
      <c r="C993" s="25"/>
      <c r="D993" s="25"/>
      <c r="E993" s="25"/>
      <c r="F993" s="25"/>
      <c r="G993" s="26"/>
      <c r="H993" s="27"/>
      <c r="I993" s="24"/>
      <c r="J993" s="24"/>
      <c r="K993" s="28"/>
      <c r="L993" s="29"/>
      <c r="M993" s="29"/>
      <c r="N993" s="29"/>
      <c r="O993" s="27"/>
      <c r="P993" s="30"/>
      <c r="Q993" s="31"/>
      <c r="R993" s="31"/>
      <c r="S993" s="32"/>
      <c r="T993" s="32"/>
      <c r="U993" s="32"/>
      <c r="V993" s="32"/>
      <c r="W993" s="32"/>
      <c r="X993" s="32"/>
      <c r="Y993" s="32"/>
      <c r="Z993" s="32"/>
      <c r="AA993" s="32"/>
      <c r="AB993" s="32"/>
    </row>
    <row r="994" spans="1:28" ht="15.6" customHeight="1" x14ac:dyDescent="0.25">
      <c r="A994" s="24"/>
      <c r="B994" s="24"/>
      <c r="C994" s="25"/>
      <c r="D994" s="25"/>
      <c r="E994" s="25"/>
      <c r="F994" s="25"/>
      <c r="G994" s="26"/>
      <c r="H994" s="27"/>
      <c r="I994" s="24"/>
      <c r="J994" s="24"/>
      <c r="K994" s="28"/>
      <c r="L994" s="29"/>
      <c r="M994" s="29"/>
      <c r="N994" s="29"/>
      <c r="O994" s="27"/>
      <c r="P994" s="30"/>
      <c r="Q994" s="31"/>
      <c r="R994" s="31"/>
      <c r="S994" s="32"/>
      <c r="T994" s="32"/>
      <c r="U994" s="32"/>
      <c r="V994" s="32"/>
      <c r="W994" s="32"/>
      <c r="X994" s="32"/>
      <c r="Y994" s="32"/>
      <c r="Z994" s="32"/>
      <c r="AA994" s="32"/>
      <c r="AB994" s="32"/>
    </row>
    <row r="995" spans="1:28" ht="15.6" customHeight="1" x14ac:dyDescent="0.25">
      <c r="A995" s="24"/>
      <c r="B995" s="24"/>
      <c r="C995" s="25"/>
      <c r="D995" s="25"/>
      <c r="E995" s="25"/>
      <c r="F995" s="25"/>
      <c r="G995" s="26"/>
      <c r="H995" s="27"/>
      <c r="I995" s="24"/>
      <c r="J995" s="24"/>
      <c r="K995" s="28"/>
      <c r="L995" s="29"/>
      <c r="M995" s="29"/>
      <c r="N995" s="29"/>
      <c r="O995" s="27"/>
      <c r="P995" s="30"/>
      <c r="Q995" s="31"/>
      <c r="R995" s="31"/>
      <c r="S995" s="32"/>
      <c r="T995" s="32"/>
      <c r="U995" s="32"/>
      <c r="V995" s="32"/>
      <c r="W995" s="32"/>
      <c r="X995" s="32"/>
      <c r="Y995" s="32"/>
      <c r="Z995" s="32"/>
      <c r="AA995" s="32"/>
      <c r="AB995" s="32"/>
    </row>
    <row r="996" spans="1:28" ht="15.6" customHeight="1" x14ac:dyDescent="0.25">
      <c r="A996" s="24"/>
      <c r="B996" s="24"/>
      <c r="C996" s="25"/>
      <c r="D996" s="25"/>
      <c r="E996" s="25"/>
      <c r="F996" s="25"/>
      <c r="G996" s="26"/>
      <c r="H996" s="27"/>
      <c r="I996" s="24"/>
      <c r="J996" s="24"/>
      <c r="K996" s="28"/>
      <c r="L996" s="29"/>
      <c r="M996" s="29"/>
      <c r="N996" s="29"/>
      <c r="O996" s="27"/>
      <c r="P996" s="30"/>
      <c r="Q996" s="31"/>
      <c r="R996" s="31"/>
      <c r="S996" s="32"/>
      <c r="T996" s="32"/>
      <c r="U996" s="32"/>
      <c r="V996" s="32"/>
      <c r="W996" s="32"/>
      <c r="X996" s="32"/>
      <c r="Y996" s="32"/>
      <c r="Z996" s="32"/>
      <c r="AA996" s="32"/>
      <c r="AB996" s="32"/>
    </row>
    <row r="997" spans="1:28" ht="15.6" customHeight="1" x14ac:dyDescent="0.25">
      <c r="A997" s="24"/>
      <c r="B997" s="24"/>
      <c r="C997" s="25"/>
      <c r="D997" s="25"/>
      <c r="E997" s="25"/>
      <c r="F997" s="25"/>
      <c r="G997" s="26"/>
      <c r="H997" s="27"/>
      <c r="I997" s="24"/>
      <c r="J997" s="24"/>
      <c r="K997" s="28"/>
      <c r="L997" s="29"/>
      <c r="M997" s="29"/>
      <c r="N997" s="29"/>
      <c r="O997" s="27"/>
      <c r="P997" s="30"/>
      <c r="Q997" s="31"/>
      <c r="R997" s="31"/>
      <c r="S997" s="32"/>
      <c r="T997" s="32"/>
      <c r="U997" s="32"/>
      <c r="V997" s="32"/>
      <c r="W997" s="32"/>
      <c r="X997" s="32"/>
      <c r="Y997" s="32"/>
      <c r="Z997" s="32"/>
      <c r="AA997" s="32"/>
      <c r="AB997" s="32"/>
    </row>
    <row r="998" spans="1:28" ht="15.6" customHeight="1" x14ac:dyDescent="0.25">
      <c r="A998" s="24"/>
      <c r="B998" s="24"/>
      <c r="C998" s="25"/>
      <c r="D998" s="25"/>
      <c r="E998" s="25"/>
      <c r="F998" s="25"/>
      <c r="G998" s="26"/>
      <c r="H998" s="27"/>
      <c r="I998" s="24"/>
      <c r="J998" s="24"/>
      <c r="K998" s="28"/>
      <c r="L998" s="29"/>
      <c r="M998" s="29"/>
      <c r="N998" s="29"/>
      <c r="O998" s="27"/>
      <c r="P998" s="30"/>
      <c r="Q998" s="31"/>
      <c r="R998" s="31"/>
      <c r="S998" s="32"/>
      <c r="T998" s="32"/>
      <c r="U998" s="32"/>
      <c r="V998" s="32"/>
      <c r="W998" s="32"/>
      <c r="X998" s="32"/>
      <c r="Y998" s="32"/>
      <c r="Z998" s="32"/>
      <c r="AA998" s="32"/>
      <c r="AB998" s="32"/>
    </row>
    <row r="999" spans="1:28" ht="15.6" customHeight="1" x14ac:dyDescent="0.25">
      <c r="A999" s="24"/>
      <c r="B999" s="24"/>
      <c r="C999" s="25"/>
      <c r="D999" s="25"/>
      <c r="E999" s="25"/>
      <c r="F999" s="25"/>
      <c r="G999" s="26"/>
      <c r="H999" s="27"/>
      <c r="I999" s="24"/>
      <c r="J999" s="24"/>
      <c r="K999" s="28"/>
      <c r="L999" s="29"/>
      <c r="M999" s="29"/>
      <c r="N999" s="29"/>
      <c r="O999" s="27"/>
      <c r="P999" s="30"/>
      <c r="Q999" s="31"/>
      <c r="R999" s="31"/>
      <c r="S999" s="32"/>
      <c r="T999" s="32"/>
      <c r="U999" s="32"/>
      <c r="V999" s="32"/>
      <c r="W999" s="32"/>
      <c r="X999" s="32"/>
      <c r="Y999" s="32"/>
      <c r="Z999" s="32"/>
      <c r="AA999" s="32"/>
      <c r="AB999" s="32"/>
    </row>
    <row r="1000" spans="1:28" ht="15.6" customHeight="1" x14ac:dyDescent="0.25">
      <c r="A1000" s="34"/>
      <c r="B1000" s="34"/>
      <c r="C1000" s="35"/>
      <c r="D1000" s="35"/>
      <c r="E1000" s="35"/>
      <c r="F1000" s="35"/>
      <c r="G1000" s="36"/>
      <c r="H1000" s="37"/>
      <c r="I1000" s="34"/>
      <c r="J1000" s="34"/>
      <c r="K1000" s="38"/>
      <c r="L1000" s="39"/>
      <c r="M1000" s="39"/>
      <c r="N1000" s="39"/>
      <c r="O1000" s="37"/>
      <c r="P1000" s="40"/>
      <c r="Q1000" s="41"/>
      <c r="R1000" s="41"/>
      <c r="S1000" s="42"/>
      <c r="T1000" s="42"/>
      <c r="U1000" s="42"/>
      <c r="V1000" s="42"/>
      <c r="W1000" s="42"/>
      <c r="X1000" s="42"/>
      <c r="Y1000" s="42"/>
      <c r="Z1000" s="42"/>
      <c r="AA1000" s="42"/>
      <c r="AB1000" s="42"/>
    </row>
    <row r="1001" spans="1:28" ht="15.6" customHeight="1" x14ac:dyDescent="0.25">
      <c r="A1001" s="24"/>
      <c r="B1001" s="24"/>
      <c r="C1001" s="25"/>
      <c r="D1001" s="25"/>
      <c r="E1001" s="25"/>
      <c r="F1001" s="25"/>
      <c r="G1001" s="26"/>
      <c r="H1001" s="27"/>
      <c r="I1001" s="24"/>
      <c r="J1001" s="24"/>
      <c r="K1001" s="28"/>
      <c r="L1001" s="29"/>
      <c r="M1001" s="29"/>
      <c r="N1001" s="29"/>
      <c r="O1001" s="27"/>
      <c r="P1001" s="30"/>
      <c r="Q1001" s="31"/>
      <c r="R1001" s="31"/>
      <c r="S1001" s="32"/>
      <c r="T1001" s="32"/>
      <c r="U1001" s="32"/>
      <c r="V1001" s="32"/>
      <c r="W1001" s="32"/>
      <c r="X1001" s="32"/>
      <c r="Y1001" s="32"/>
      <c r="Z1001" s="32"/>
      <c r="AA1001" s="32"/>
      <c r="AB1001" s="32"/>
    </row>
    <row r="1002" spans="1:28" ht="15.6" customHeight="1" x14ac:dyDescent="0.25">
      <c r="A1002" s="34"/>
      <c r="B1002" s="34"/>
      <c r="C1002" s="35"/>
      <c r="D1002" s="35"/>
      <c r="E1002" s="35"/>
      <c r="F1002" s="35"/>
      <c r="G1002" s="36"/>
      <c r="H1002" s="37"/>
      <c r="I1002" s="34"/>
      <c r="J1002" s="34"/>
      <c r="K1002" s="38"/>
      <c r="L1002" s="39"/>
      <c r="M1002" s="39"/>
      <c r="N1002" s="39"/>
      <c r="O1002" s="37"/>
      <c r="P1002" s="40"/>
      <c r="Q1002" s="41"/>
      <c r="R1002" s="41"/>
      <c r="S1002" s="42"/>
      <c r="T1002" s="42"/>
      <c r="U1002" s="42"/>
      <c r="V1002" s="42"/>
      <c r="W1002" s="42"/>
      <c r="X1002" s="42"/>
      <c r="Y1002" s="42"/>
      <c r="Z1002" s="42"/>
      <c r="AA1002" s="42"/>
      <c r="AB1002" s="42"/>
    </row>
  </sheetData>
  <mergeCells count="1">
    <mergeCell ref="A1:AB1"/>
  </mergeCells>
  <conditionalFormatting sqref="U4:U1002">
    <cfRule type="cellIs" dxfId="4" priority="1" stopIfTrue="1" operator="between">
      <formula>0</formula>
      <formula>0.004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F673-8B73-4203-94C4-19E73A26B3A0}">
  <dimension ref="A1:AB1002"/>
  <sheetViews>
    <sheetView workbookViewId="0">
      <selection activeCell="B3" sqref="B3:C629"/>
    </sheetView>
  </sheetViews>
  <sheetFormatPr baseColWidth="10" defaultRowHeight="21.75" x14ac:dyDescent="0.6"/>
  <cols>
    <col min="1" max="1" width="13.85546875" bestFit="1" customWidth="1"/>
    <col min="2" max="2" width="19" style="43" customWidth="1"/>
    <col min="3" max="3" width="40.42578125" style="44" bestFit="1" customWidth="1"/>
    <col min="4" max="4" width="25.85546875" style="45" bestFit="1" customWidth="1"/>
    <col min="5" max="5" width="20" style="46" customWidth="1"/>
    <col min="6" max="6" width="17.42578125" style="46" customWidth="1"/>
    <col min="7" max="7" width="20.140625" style="46" customWidth="1"/>
    <col min="8" max="8" width="42" style="46" customWidth="1"/>
    <col min="9" max="9" width="17.140625" style="47" customWidth="1"/>
    <col min="10" max="10" width="17.42578125" style="48" customWidth="1"/>
    <col min="11" max="11" width="27" style="48" customWidth="1"/>
    <col min="12" max="12" width="30.140625" style="48" customWidth="1"/>
    <col min="13" max="13" width="25.5703125" style="46" customWidth="1"/>
    <col min="14" max="14" width="19.140625" style="46" customWidth="1"/>
    <col min="15" max="15" width="18.85546875" style="46" customWidth="1"/>
    <col min="16" max="16" width="44.28515625" style="45" customWidth="1"/>
    <col min="17" max="17" width="15.28515625" style="46" bestFit="1" customWidth="1"/>
    <col min="18" max="18" width="13.140625" style="46" bestFit="1" customWidth="1"/>
    <col min="19" max="20" width="12.42578125" style="46" bestFit="1" customWidth="1"/>
    <col min="21" max="21" width="13" style="49" bestFit="1" customWidth="1"/>
    <col min="22" max="24" width="10.42578125" style="46" bestFit="1" customWidth="1"/>
    <col min="25" max="25" width="9" style="46" bestFit="1" customWidth="1"/>
    <col min="26" max="27" width="9.85546875" style="46" bestFit="1" customWidth="1"/>
    <col min="28" max="28" width="11.5703125" style="46" bestFit="1" customWidth="1"/>
  </cols>
  <sheetData>
    <row r="1" spans="1:28" ht="24" customHeight="1" x14ac:dyDescent="0.6">
      <c r="A1" s="85" t="s">
        <v>1714</v>
      </c>
      <c r="B1" s="86"/>
      <c r="C1" s="87"/>
      <c r="D1" s="88"/>
      <c r="E1" s="89"/>
      <c r="F1" s="89"/>
      <c r="G1" s="89"/>
      <c r="H1" s="89"/>
      <c r="I1" s="90"/>
      <c r="J1" s="91"/>
      <c r="K1" s="91"/>
      <c r="L1" s="91"/>
      <c r="M1" s="89"/>
      <c r="N1" s="89"/>
      <c r="O1" s="89"/>
      <c r="P1" s="88"/>
      <c r="Q1" s="89"/>
      <c r="R1" s="89"/>
      <c r="S1" s="89"/>
      <c r="T1" s="89"/>
      <c r="U1" s="92"/>
      <c r="V1" s="89"/>
      <c r="W1" s="89"/>
      <c r="X1" s="89"/>
      <c r="Y1" s="89"/>
      <c r="Z1" s="89"/>
      <c r="AA1" s="89"/>
      <c r="AB1" s="89"/>
    </row>
    <row r="2" spans="1:28" s="23" customFormat="1" ht="15" customHeight="1" x14ac:dyDescent="0.25">
      <c r="A2" s="52" t="s">
        <v>72</v>
      </c>
      <c r="B2" s="52" t="s">
        <v>73</v>
      </c>
      <c r="C2" s="53" t="s">
        <v>74</v>
      </c>
      <c r="D2" s="52" t="s">
        <v>75</v>
      </c>
      <c r="E2" s="52" t="s">
        <v>76</v>
      </c>
      <c r="F2" s="52" t="s">
        <v>77</v>
      </c>
      <c r="G2" s="52" t="s">
        <v>78</v>
      </c>
      <c r="H2" s="52" t="s">
        <v>79</v>
      </c>
      <c r="I2" s="52" t="s">
        <v>80</v>
      </c>
      <c r="J2" s="52" t="s">
        <v>81</v>
      </c>
      <c r="K2" s="52" t="s">
        <v>82</v>
      </c>
      <c r="L2" s="52" t="s">
        <v>83</v>
      </c>
      <c r="M2" s="52" t="s">
        <v>84</v>
      </c>
      <c r="N2" s="52" t="s">
        <v>85</v>
      </c>
      <c r="O2" s="52" t="s">
        <v>86</v>
      </c>
      <c r="P2" s="52" t="s">
        <v>87</v>
      </c>
      <c r="Q2" s="54" t="s">
        <v>88</v>
      </c>
      <c r="R2" s="54" t="s">
        <v>17</v>
      </c>
      <c r="S2" s="53" t="s">
        <v>89</v>
      </c>
      <c r="T2" s="53" t="s">
        <v>90</v>
      </c>
      <c r="U2" s="53" t="s">
        <v>91</v>
      </c>
      <c r="V2" s="53" t="s">
        <v>92</v>
      </c>
      <c r="W2" s="53" t="s">
        <v>93</v>
      </c>
      <c r="X2" s="53" t="s">
        <v>94</v>
      </c>
      <c r="Y2" s="53" t="s">
        <v>95</v>
      </c>
      <c r="Z2" s="53" t="s">
        <v>96</v>
      </c>
      <c r="AA2" s="53" t="s">
        <v>97</v>
      </c>
      <c r="AB2" s="53" t="s">
        <v>98</v>
      </c>
    </row>
    <row r="3" spans="1:28" s="33" customFormat="1" ht="15.6" customHeight="1" x14ac:dyDescent="0.25">
      <c r="A3" s="24" t="s">
        <v>996</v>
      </c>
      <c r="B3" s="50">
        <v>3005</v>
      </c>
      <c r="C3" s="25" t="s">
        <v>997</v>
      </c>
      <c r="D3" s="25" t="s">
        <v>101</v>
      </c>
      <c r="E3" s="25" t="s">
        <v>102</v>
      </c>
      <c r="F3" s="25" t="s">
        <v>155</v>
      </c>
      <c r="G3" s="26" t="s">
        <v>139</v>
      </c>
      <c r="H3" s="27" t="s">
        <v>156</v>
      </c>
      <c r="I3" s="24" t="s">
        <v>998</v>
      </c>
      <c r="J3" s="24" t="s">
        <v>107</v>
      </c>
      <c r="K3" s="28" t="s">
        <v>108</v>
      </c>
      <c r="L3" s="29">
        <v>0.02</v>
      </c>
      <c r="M3" s="29">
        <v>7.4999999999999997E-3</v>
      </c>
      <c r="N3" s="29">
        <v>0.02</v>
      </c>
      <c r="O3" s="27" t="s">
        <v>109</v>
      </c>
      <c r="P3" s="30" t="s">
        <v>101</v>
      </c>
      <c r="Q3" s="31">
        <v>30359266.300000001</v>
      </c>
      <c r="R3" s="31">
        <v>452.66</v>
      </c>
      <c r="S3" s="32">
        <v>3.8092000000000001E-2</v>
      </c>
      <c r="T3" s="32" t="s">
        <v>139</v>
      </c>
      <c r="U3" s="32">
        <v>1.5706999999999999E-2</v>
      </c>
      <c r="V3" s="32">
        <v>7.8019000000000005E-2</v>
      </c>
      <c r="W3" s="32">
        <v>6.3806000000000002E-2</v>
      </c>
      <c r="X3" s="32">
        <v>3.5195999999999998E-2</v>
      </c>
      <c r="Y3" s="32">
        <v>-6.5851999999999994E-2</v>
      </c>
      <c r="Z3" s="32">
        <v>0.38402700000000001</v>
      </c>
      <c r="AA3" s="32">
        <v>0.60398300000000005</v>
      </c>
      <c r="AB3" s="32">
        <v>0.54861400000000005</v>
      </c>
    </row>
    <row r="4" spans="1:28" ht="15.6" customHeight="1" x14ac:dyDescent="0.25">
      <c r="A4" s="24" t="s">
        <v>999</v>
      </c>
      <c r="B4" s="50">
        <v>3006</v>
      </c>
      <c r="C4" s="25" t="s">
        <v>1000</v>
      </c>
      <c r="D4" s="25" t="s">
        <v>101</v>
      </c>
      <c r="E4" s="25" t="s">
        <v>102</v>
      </c>
      <c r="F4" s="25" t="s">
        <v>113</v>
      </c>
      <c r="G4" s="26" t="s">
        <v>114</v>
      </c>
      <c r="H4" s="27" t="s">
        <v>327</v>
      </c>
      <c r="I4" s="24" t="s">
        <v>998</v>
      </c>
      <c r="J4" s="24" t="s">
        <v>107</v>
      </c>
      <c r="K4" s="28" t="s">
        <v>108</v>
      </c>
      <c r="L4" s="29">
        <v>5.0000000000000001E-3</v>
      </c>
      <c r="M4" s="29">
        <v>2.5000000000000001E-3</v>
      </c>
      <c r="N4" s="29">
        <v>9.300000000000001E-3</v>
      </c>
      <c r="O4" s="27" t="s">
        <v>109</v>
      </c>
      <c r="P4" s="30" t="s">
        <v>101</v>
      </c>
      <c r="Q4" s="31">
        <v>116379482.02</v>
      </c>
      <c r="R4" s="31">
        <v>274.48</v>
      </c>
      <c r="S4" s="32">
        <v>-7.9869999999999993E-3</v>
      </c>
      <c r="T4" s="32" t="s">
        <v>139</v>
      </c>
      <c r="U4" s="32">
        <v>1.204E-3</v>
      </c>
      <c r="V4" s="32">
        <v>4.2810000000000001E-3</v>
      </c>
      <c r="W4" s="32">
        <v>1.642E-3</v>
      </c>
      <c r="X4" s="32">
        <v>-6.6230000000000004E-3</v>
      </c>
      <c r="Y4" s="32">
        <v>-1.0812E-2</v>
      </c>
      <c r="Z4" s="32">
        <v>7.0973999999999995E-2</v>
      </c>
      <c r="AA4" s="32">
        <v>0.16010099999999999</v>
      </c>
      <c r="AB4" s="32">
        <v>9.1893000000000002E-2</v>
      </c>
    </row>
    <row r="5" spans="1:28" ht="15.6" customHeight="1" x14ac:dyDescent="0.25">
      <c r="A5" s="24" t="s">
        <v>99</v>
      </c>
      <c r="B5" s="50">
        <v>3013</v>
      </c>
      <c r="C5" s="25" t="s">
        <v>100</v>
      </c>
      <c r="D5" s="25" t="s">
        <v>101</v>
      </c>
      <c r="E5" s="25" t="s">
        <v>102</v>
      </c>
      <c r="F5" s="25" t="s">
        <v>103</v>
      </c>
      <c r="G5" s="26" t="s">
        <v>104</v>
      </c>
      <c r="H5" s="27" t="s">
        <v>105</v>
      </c>
      <c r="I5" s="24" t="s">
        <v>106</v>
      </c>
      <c r="J5" s="24" t="s">
        <v>107</v>
      </c>
      <c r="K5" s="28" t="s">
        <v>108</v>
      </c>
      <c r="L5" s="29">
        <v>1.2500000000000001E-2</v>
      </c>
      <c r="M5" s="29">
        <v>5.0000000000000001E-3</v>
      </c>
      <c r="N5" s="29">
        <v>1.95E-2</v>
      </c>
      <c r="O5" s="27" t="s">
        <v>109</v>
      </c>
      <c r="P5" s="30" t="s">
        <v>101</v>
      </c>
      <c r="Q5" s="31">
        <v>167931363.55000001</v>
      </c>
      <c r="R5" s="31">
        <v>123478.94</v>
      </c>
      <c r="S5" s="32">
        <v>1.0174000000000001E-2</v>
      </c>
      <c r="T5" s="32" t="s">
        <v>139</v>
      </c>
      <c r="U5" s="32">
        <v>3.19E-4</v>
      </c>
      <c r="V5" s="32">
        <v>1.243E-3</v>
      </c>
      <c r="W5" s="32">
        <v>3.9020000000000001E-3</v>
      </c>
      <c r="X5" s="32">
        <v>7.8009999999999998E-3</v>
      </c>
      <c r="Y5" s="32">
        <v>1.4992E-2</v>
      </c>
      <c r="Z5" s="32">
        <v>3.3321000000000003E-2</v>
      </c>
      <c r="AA5" s="32">
        <v>5.7218999999999999E-2</v>
      </c>
      <c r="AB5" s="32">
        <v>8.3756999999999998E-2</v>
      </c>
    </row>
    <row r="6" spans="1:28" ht="15.6" customHeight="1" x14ac:dyDescent="0.25">
      <c r="A6" s="24" t="s">
        <v>1001</v>
      </c>
      <c r="B6" s="50">
        <v>3021</v>
      </c>
      <c r="C6" s="25" t="s">
        <v>1002</v>
      </c>
      <c r="D6" s="25" t="s">
        <v>112</v>
      </c>
      <c r="E6" s="25" t="s">
        <v>102</v>
      </c>
      <c r="F6" s="25" t="s">
        <v>138</v>
      </c>
      <c r="G6" s="26" t="s">
        <v>139</v>
      </c>
      <c r="H6" s="27" t="s">
        <v>1003</v>
      </c>
      <c r="I6" s="24" t="s">
        <v>998</v>
      </c>
      <c r="J6" s="24" t="s">
        <v>107</v>
      </c>
      <c r="K6" s="28" t="s">
        <v>108</v>
      </c>
      <c r="L6" s="29">
        <v>3.0000000000000001E-3</v>
      </c>
      <c r="M6" s="29">
        <v>2.5000000000000001E-3</v>
      </c>
      <c r="N6" s="29">
        <v>0.02</v>
      </c>
      <c r="O6" s="27" t="s">
        <v>116</v>
      </c>
      <c r="P6" s="30" t="s">
        <v>112</v>
      </c>
      <c r="Q6" s="31">
        <v>1315536196.1500001</v>
      </c>
      <c r="R6" s="31">
        <v>4162.18</v>
      </c>
      <c r="S6" s="32">
        <v>-3.0692000000000001E-2</v>
      </c>
      <c r="T6" s="32" t="s">
        <v>139</v>
      </c>
      <c r="U6" s="32">
        <v>5.1320000000000003E-3</v>
      </c>
      <c r="V6" s="32">
        <v>3.6443000000000003E-2</v>
      </c>
      <c r="W6" s="32">
        <v>1.9765000000000001E-2</v>
      </c>
      <c r="X6" s="32">
        <v>-3.4151000000000001E-2</v>
      </c>
      <c r="Y6" s="32">
        <v>-9.3386999999999998E-2</v>
      </c>
      <c r="Z6" s="32">
        <v>0.13595699999999999</v>
      </c>
      <c r="AA6" s="32">
        <v>0.276445</v>
      </c>
      <c r="AB6" s="32">
        <v>0.18987799999999999</v>
      </c>
    </row>
    <row r="7" spans="1:28" ht="15.6" customHeight="1" x14ac:dyDescent="0.25">
      <c r="A7" s="24" t="s">
        <v>110</v>
      </c>
      <c r="B7" s="50">
        <v>3028</v>
      </c>
      <c r="C7" s="25" t="s">
        <v>111</v>
      </c>
      <c r="D7" s="25" t="s">
        <v>112</v>
      </c>
      <c r="E7" s="25" t="s">
        <v>102</v>
      </c>
      <c r="F7" s="25" t="s">
        <v>113</v>
      </c>
      <c r="G7" s="26" t="s">
        <v>114</v>
      </c>
      <c r="H7" s="27" t="s">
        <v>115</v>
      </c>
      <c r="I7" s="24" t="s">
        <v>106</v>
      </c>
      <c r="J7" s="24" t="s">
        <v>107</v>
      </c>
      <c r="K7" s="28" t="s">
        <v>108</v>
      </c>
      <c r="L7" s="29">
        <v>5.0000000000000001E-3</v>
      </c>
      <c r="M7" s="29">
        <v>0</v>
      </c>
      <c r="N7" s="29">
        <v>0.02</v>
      </c>
      <c r="O7" s="27" t="s">
        <v>116</v>
      </c>
      <c r="P7" s="30" t="s">
        <v>112</v>
      </c>
      <c r="Q7" s="31">
        <v>1784393161.8299999</v>
      </c>
      <c r="R7" s="31">
        <v>3476.45</v>
      </c>
      <c r="S7" s="32">
        <v>-3.3399999999999999E-4</v>
      </c>
      <c r="T7" s="32" t="s">
        <v>139</v>
      </c>
      <c r="U7" s="32">
        <v>1.4E-3</v>
      </c>
      <c r="V7" s="32">
        <v>7.4269999999999996E-3</v>
      </c>
      <c r="W7" s="32">
        <v>5.8739999999999999E-3</v>
      </c>
      <c r="X7" s="32">
        <v>-2.2390000000000001E-3</v>
      </c>
      <c r="Y7" s="32">
        <v>-6.5100000000000002E-3</v>
      </c>
      <c r="Z7" s="32">
        <v>8.4067000000000003E-2</v>
      </c>
      <c r="AA7" s="32">
        <v>0.17057700000000001</v>
      </c>
      <c r="AB7" s="32">
        <v>0.104599</v>
      </c>
    </row>
    <row r="8" spans="1:28" ht="15.6" customHeight="1" x14ac:dyDescent="0.25">
      <c r="A8" s="24" t="s">
        <v>117</v>
      </c>
      <c r="B8" s="50">
        <v>3029</v>
      </c>
      <c r="C8" s="25" t="s">
        <v>118</v>
      </c>
      <c r="D8" s="25" t="s">
        <v>112</v>
      </c>
      <c r="E8" s="25" t="s">
        <v>102</v>
      </c>
      <c r="F8" s="25" t="s">
        <v>113</v>
      </c>
      <c r="G8" s="26" t="s">
        <v>119</v>
      </c>
      <c r="H8" s="27" t="s">
        <v>120</v>
      </c>
      <c r="I8" s="24" t="s">
        <v>106</v>
      </c>
      <c r="J8" s="24" t="s">
        <v>121</v>
      </c>
      <c r="K8" s="28" t="s">
        <v>108</v>
      </c>
      <c r="L8" s="29">
        <v>0.03</v>
      </c>
      <c r="M8" s="29">
        <v>1.4999999999999999E-2</v>
      </c>
      <c r="N8" s="29">
        <v>0.02</v>
      </c>
      <c r="O8" s="27" t="s">
        <v>116</v>
      </c>
      <c r="P8" s="30" t="s">
        <v>112</v>
      </c>
      <c r="Q8" s="31">
        <v>8170618188.3500004</v>
      </c>
      <c r="R8" s="31">
        <v>3298.83</v>
      </c>
      <c r="S8" s="32">
        <v>-5.1060000000000003E-3</v>
      </c>
      <c r="T8" s="32" t="s">
        <v>139</v>
      </c>
      <c r="U8" s="32">
        <v>7.5199999999999996E-4</v>
      </c>
      <c r="V8" s="32">
        <v>2.4130000000000002E-3</v>
      </c>
      <c r="W8" s="32">
        <v>5.4650000000000002E-3</v>
      </c>
      <c r="X8" s="32">
        <v>5.3639999999999998E-3</v>
      </c>
      <c r="Y8" s="32">
        <v>-3.2720000000000002E-3</v>
      </c>
      <c r="Z8" s="32">
        <v>5.3740999999999997E-2</v>
      </c>
      <c r="AA8" s="32">
        <v>0.106029</v>
      </c>
      <c r="AB8" s="32">
        <v>0.119188</v>
      </c>
    </row>
    <row r="9" spans="1:28" ht="15.6" customHeight="1" x14ac:dyDescent="0.25">
      <c r="A9" s="24" t="s">
        <v>122</v>
      </c>
      <c r="B9" s="50">
        <v>3030</v>
      </c>
      <c r="C9" s="25" t="s">
        <v>123</v>
      </c>
      <c r="D9" s="25" t="s">
        <v>112</v>
      </c>
      <c r="E9" s="25" t="s">
        <v>102</v>
      </c>
      <c r="F9" s="25" t="s">
        <v>103</v>
      </c>
      <c r="G9" s="26" t="s">
        <v>104</v>
      </c>
      <c r="H9" s="27" t="s">
        <v>124</v>
      </c>
      <c r="I9" s="24" t="s">
        <v>106</v>
      </c>
      <c r="J9" s="24" t="s">
        <v>107</v>
      </c>
      <c r="K9" s="28" t="s">
        <v>108</v>
      </c>
      <c r="L9" s="29">
        <v>0</v>
      </c>
      <c r="M9" s="29">
        <v>0</v>
      </c>
      <c r="N9" s="29">
        <v>0.02</v>
      </c>
      <c r="O9" s="27" t="s">
        <v>116</v>
      </c>
      <c r="P9" s="30" t="s">
        <v>112</v>
      </c>
      <c r="Q9" s="31">
        <v>5225453430.0299997</v>
      </c>
      <c r="R9" s="31">
        <v>2278.5700000000002</v>
      </c>
      <c r="S9" s="32">
        <v>1.8110000000000001E-2</v>
      </c>
      <c r="T9" s="32" t="s">
        <v>139</v>
      </c>
      <c r="U9" s="32">
        <v>6.2399999999999999E-4</v>
      </c>
      <c r="V9" s="32">
        <v>2.4199999999999998E-3</v>
      </c>
      <c r="W9" s="32">
        <v>7.4229999999999999E-3</v>
      </c>
      <c r="X9" s="32">
        <v>1.4293999999999999E-2</v>
      </c>
      <c r="Y9" s="32">
        <v>2.6637000000000001E-2</v>
      </c>
      <c r="Z9" s="32">
        <v>5.7375000000000002E-2</v>
      </c>
      <c r="AA9" s="32">
        <v>9.4450999999999993E-2</v>
      </c>
      <c r="AB9" s="32">
        <v>0.13813500000000001</v>
      </c>
    </row>
    <row r="10" spans="1:28" ht="15.6" customHeight="1" x14ac:dyDescent="0.25">
      <c r="A10" s="24" t="s">
        <v>1004</v>
      </c>
      <c r="B10" s="50">
        <v>3036</v>
      </c>
      <c r="C10" s="25" t="s">
        <v>1005</v>
      </c>
      <c r="D10" s="25" t="s">
        <v>101</v>
      </c>
      <c r="E10" s="25" t="s">
        <v>102</v>
      </c>
      <c r="F10" s="25" t="s">
        <v>138</v>
      </c>
      <c r="G10" s="26" t="s">
        <v>139</v>
      </c>
      <c r="H10" s="27" t="s">
        <v>1006</v>
      </c>
      <c r="I10" s="24" t="s">
        <v>998</v>
      </c>
      <c r="J10" s="24" t="s">
        <v>107</v>
      </c>
      <c r="K10" s="28" t="s">
        <v>108</v>
      </c>
      <c r="L10" s="29">
        <v>1.2500000000000001E-2</v>
      </c>
      <c r="M10" s="29">
        <v>5.0000000000000001E-3</v>
      </c>
      <c r="N10" s="29">
        <v>1.95E-2</v>
      </c>
      <c r="O10" s="27" t="s">
        <v>109</v>
      </c>
      <c r="P10" s="30" t="s">
        <v>101</v>
      </c>
      <c r="Q10" s="31">
        <v>273523344.81</v>
      </c>
      <c r="R10" s="31">
        <v>165.82</v>
      </c>
      <c r="S10" s="32">
        <v>-1.3798E-2</v>
      </c>
      <c r="T10" s="32" t="s">
        <v>139</v>
      </c>
      <c r="U10" s="32">
        <v>4.8479999999999999E-3</v>
      </c>
      <c r="V10" s="32">
        <v>2.3390999999999999E-2</v>
      </c>
      <c r="W10" s="32">
        <v>1.83E-2</v>
      </c>
      <c r="X10" s="32">
        <v>-9.5569999999999995E-3</v>
      </c>
      <c r="Y10" s="32">
        <v>-4.4264999999999999E-2</v>
      </c>
      <c r="Z10" s="32">
        <v>0.14319200000000001</v>
      </c>
      <c r="AA10" s="32">
        <v>0.27172299999999999</v>
      </c>
      <c r="AB10" s="32">
        <v>0.27888299999999999</v>
      </c>
    </row>
    <row r="11" spans="1:28" ht="15.6" customHeight="1" x14ac:dyDescent="0.25">
      <c r="A11" s="24" t="s">
        <v>125</v>
      </c>
      <c r="B11" s="50">
        <v>3037</v>
      </c>
      <c r="C11" s="25" t="s">
        <v>126</v>
      </c>
      <c r="D11" s="25" t="s">
        <v>127</v>
      </c>
      <c r="E11" s="25" t="s">
        <v>102</v>
      </c>
      <c r="F11" s="25" t="s">
        <v>128</v>
      </c>
      <c r="G11" s="26" t="s">
        <v>129</v>
      </c>
      <c r="H11" s="27" t="s">
        <v>130</v>
      </c>
      <c r="I11" s="24" t="s">
        <v>106</v>
      </c>
      <c r="J11" s="24" t="s">
        <v>121</v>
      </c>
      <c r="K11" s="28" t="s">
        <v>108</v>
      </c>
      <c r="L11" s="29">
        <v>0</v>
      </c>
      <c r="M11" s="29">
        <v>0</v>
      </c>
      <c r="N11" s="29">
        <v>0.02</v>
      </c>
      <c r="O11" s="27" t="s">
        <v>131</v>
      </c>
      <c r="P11" s="30" t="s">
        <v>131</v>
      </c>
      <c r="Q11" s="31">
        <v>137051292.81</v>
      </c>
      <c r="R11" s="31">
        <v>403092.03</v>
      </c>
      <c r="S11" s="32">
        <v>1.5963000000000001E-2</v>
      </c>
      <c r="T11" s="32" t="s">
        <v>139</v>
      </c>
      <c r="U11" s="32">
        <v>6.0800000000000003E-4</v>
      </c>
      <c r="V11" s="32">
        <v>1.9139999999999999E-3</v>
      </c>
      <c r="W11" s="32">
        <v>6.3689999999999997E-3</v>
      </c>
      <c r="X11" s="32">
        <v>1.2233000000000001E-2</v>
      </c>
      <c r="Y11" s="32">
        <v>2.1940999999999999E-2</v>
      </c>
      <c r="Z11" s="32">
        <v>5.1635E-2</v>
      </c>
      <c r="AA11" s="32">
        <v>8.9465000000000003E-2</v>
      </c>
      <c r="AB11" s="32">
        <v>0.13216900000000001</v>
      </c>
    </row>
    <row r="12" spans="1:28" ht="15.6" customHeight="1" x14ac:dyDescent="0.25">
      <c r="A12" s="24" t="s">
        <v>1007</v>
      </c>
      <c r="B12" s="50">
        <v>3039</v>
      </c>
      <c r="C12" s="25" t="s">
        <v>1008</v>
      </c>
      <c r="D12" s="25" t="s">
        <v>112</v>
      </c>
      <c r="E12" s="25" t="s">
        <v>102</v>
      </c>
      <c r="F12" s="25" t="s">
        <v>113</v>
      </c>
      <c r="G12" s="26" t="s">
        <v>114</v>
      </c>
      <c r="H12" s="27" t="s">
        <v>139</v>
      </c>
      <c r="I12" s="24" t="s">
        <v>998</v>
      </c>
      <c r="J12" s="24" t="s">
        <v>121</v>
      </c>
      <c r="K12" s="28" t="s">
        <v>108</v>
      </c>
      <c r="L12" s="29">
        <v>5.0000000000000001E-3</v>
      </c>
      <c r="M12" s="29">
        <v>0</v>
      </c>
      <c r="N12" s="29">
        <v>0.02</v>
      </c>
      <c r="O12" s="27" t="s">
        <v>548</v>
      </c>
      <c r="P12" s="30" t="s">
        <v>112</v>
      </c>
      <c r="Q12" s="31">
        <v>3436766162.8499999</v>
      </c>
      <c r="R12" s="31">
        <v>3733.53</v>
      </c>
      <c r="S12" s="32">
        <v>-5.7730000000000004E-3</v>
      </c>
      <c r="T12" s="32" t="s">
        <v>139</v>
      </c>
      <c r="U12" s="32">
        <v>1.792E-3</v>
      </c>
      <c r="V12" s="32">
        <v>7.5779999999999997E-3</v>
      </c>
      <c r="W12" s="32">
        <v>5.4559999999999999E-3</v>
      </c>
      <c r="X12" s="32">
        <v>-4.7499999999999999E-3</v>
      </c>
      <c r="Y12" s="32">
        <v>-1.6039000000000001E-2</v>
      </c>
      <c r="Z12" s="32">
        <v>8.3696999999999994E-2</v>
      </c>
      <c r="AA12" s="32">
        <v>0.18471699999999999</v>
      </c>
      <c r="AB12" s="32">
        <v>7.6848E-2</v>
      </c>
    </row>
    <row r="13" spans="1:28" ht="15.6" customHeight="1" x14ac:dyDescent="0.25">
      <c r="A13" s="24" t="s">
        <v>1009</v>
      </c>
      <c r="B13" s="50">
        <v>3040</v>
      </c>
      <c r="C13" s="25" t="s">
        <v>1010</v>
      </c>
      <c r="D13" s="25" t="s">
        <v>261</v>
      </c>
      <c r="E13" s="25" t="s">
        <v>102</v>
      </c>
      <c r="F13" s="25" t="s">
        <v>138</v>
      </c>
      <c r="G13" s="26" t="s">
        <v>139</v>
      </c>
      <c r="H13" s="27" t="s">
        <v>139</v>
      </c>
      <c r="I13" s="24" t="s">
        <v>998</v>
      </c>
      <c r="J13" s="24" t="s">
        <v>107</v>
      </c>
      <c r="K13" s="28" t="s">
        <v>108</v>
      </c>
      <c r="L13" s="29">
        <v>0.02</v>
      </c>
      <c r="M13" s="29">
        <v>5.0000000000000001E-3</v>
      </c>
      <c r="N13" s="29">
        <v>0.02</v>
      </c>
      <c r="O13" s="27" t="s">
        <v>262</v>
      </c>
      <c r="P13" s="30" t="s">
        <v>261</v>
      </c>
      <c r="Q13" s="31">
        <v>307008232.51999998</v>
      </c>
      <c r="R13" s="31">
        <v>5231.91</v>
      </c>
      <c r="S13" s="32">
        <v>-3.5340000000000003E-2</v>
      </c>
      <c r="T13" s="32" t="s">
        <v>139</v>
      </c>
      <c r="U13" s="32">
        <v>4.0720000000000001E-3</v>
      </c>
      <c r="V13" s="32">
        <v>3.2381E-2</v>
      </c>
      <c r="W13" s="32">
        <v>2.4039999999999999E-2</v>
      </c>
      <c r="X13" s="32">
        <v>-3.4236000000000003E-2</v>
      </c>
      <c r="Y13" s="32">
        <v>-9.6242999999999995E-2</v>
      </c>
      <c r="Z13" s="32">
        <v>0.153974</v>
      </c>
      <c r="AA13" s="32">
        <v>0.35652099999999998</v>
      </c>
      <c r="AB13" s="32">
        <v>0.347298</v>
      </c>
    </row>
    <row r="14" spans="1:28" ht="15.6" customHeight="1" x14ac:dyDescent="0.25">
      <c r="A14" s="24" t="s">
        <v>132</v>
      </c>
      <c r="B14" s="50">
        <v>3041</v>
      </c>
      <c r="C14" s="25" t="s">
        <v>133</v>
      </c>
      <c r="D14" s="25" t="s">
        <v>101</v>
      </c>
      <c r="E14" s="25" t="s">
        <v>102</v>
      </c>
      <c r="F14" s="25" t="s">
        <v>128</v>
      </c>
      <c r="G14" s="26" t="s">
        <v>134</v>
      </c>
      <c r="H14" s="27" t="s">
        <v>130</v>
      </c>
      <c r="I14" s="24" t="s">
        <v>106</v>
      </c>
      <c r="J14" s="24" t="s">
        <v>107</v>
      </c>
      <c r="K14" s="28" t="s">
        <v>108</v>
      </c>
      <c r="L14" s="29">
        <v>0</v>
      </c>
      <c r="M14" s="29">
        <v>0</v>
      </c>
      <c r="N14" s="29">
        <v>6.7000000000000002E-3</v>
      </c>
      <c r="O14" s="27" t="s">
        <v>109</v>
      </c>
      <c r="P14" s="30" t="s">
        <v>101</v>
      </c>
      <c r="Q14" s="31">
        <v>31219914.239999998</v>
      </c>
      <c r="R14" s="31">
        <v>196.45</v>
      </c>
      <c r="S14" s="32">
        <v>2.0944000000000001E-2</v>
      </c>
      <c r="T14" s="32" t="s">
        <v>139</v>
      </c>
      <c r="U14" s="32">
        <v>5.0900000000000001E-4</v>
      </c>
      <c r="V14" s="32">
        <v>4.6020000000000002E-3</v>
      </c>
      <c r="W14" s="32">
        <v>1.0389000000000001E-2</v>
      </c>
      <c r="X14" s="32">
        <v>1.8350999999999999E-2</v>
      </c>
      <c r="Y14" s="32">
        <v>3.1829000000000003E-2</v>
      </c>
      <c r="Z14" s="32">
        <v>6.3444E-2</v>
      </c>
      <c r="AA14" s="32">
        <v>9.4002000000000002E-2</v>
      </c>
      <c r="AB14" s="32">
        <v>0.115813</v>
      </c>
    </row>
    <row r="15" spans="1:28" ht="15.6" customHeight="1" x14ac:dyDescent="0.25">
      <c r="A15" s="24" t="s">
        <v>135</v>
      </c>
      <c r="B15" s="50">
        <v>3047</v>
      </c>
      <c r="C15" s="25" t="s">
        <v>136</v>
      </c>
      <c r="D15" s="25" t="s">
        <v>137</v>
      </c>
      <c r="E15" s="25" t="s">
        <v>102</v>
      </c>
      <c r="F15" s="25" t="s">
        <v>138</v>
      </c>
      <c r="G15" s="26" t="s">
        <v>139</v>
      </c>
      <c r="H15" s="27" t="s">
        <v>140</v>
      </c>
      <c r="I15" s="24" t="s">
        <v>106</v>
      </c>
      <c r="J15" s="24" t="s">
        <v>107</v>
      </c>
      <c r="K15" s="28" t="s">
        <v>108</v>
      </c>
      <c r="L15" s="29">
        <v>2E-3</v>
      </c>
      <c r="M15" s="29">
        <v>2E-3</v>
      </c>
      <c r="N15" s="29">
        <v>1.4999999999999999E-2</v>
      </c>
      <c r="O15" s="27" t="s">
        <v>141</v>
      </c>
      <c r="P15" s="30" t="s">
        <v>142</v>
      </c>
      <c r="Q15" s="31">
        <v>1747649347.445729</v>
      </c>
      <c r="R15" s="31">
        <v>9733.01</v>
      </c>
      <c r="S15" s="32">
        <v>-4.679E-3</v>
      </c>
      <c r="T15" s="32" t="s">
        <v>139</v>
      </c>
      <c r="U15" s="32">
        <v>7.162E-3</v>
      </c>
      <c r="V15" s="32">
        <v>4.0146000000000001E-2</v>
      </c>
      <c r="W15" s="32">
        <v>2.5526E-2</v>
      </c>
      <c r="X15" s="32">
        <v>-4.0810000000000004E-3</v>
      </c>
      <c r="Y15" s="32">
        <v>-8.1425999999999998E-2</v>
      </c>
      <c r="Z15" s="32">
        <v>0.192714</v>
      </c>
      <c r="AA15" s="32">
        <v>0.33673900000000001</v>
      </c>
      <c r="AB15" s="32">
        <v>0.26524199999999998</v>
      </c>
    </row>
    <row r="16" spans="1:28" ht="15.6" customHeight="1" x14ac:dyDescent="0.25">
      <c r="A16" s="24" t="s">
        <v>143</v>
      </c>
      <c r="B16" s="50">
        <v>3048</v>
      </c>
      <c r="C16" s="25" t="s">
        <v>144</v>
      </c>
      <c r="D16" s="25" t="s">
        <v>145</v>
      </c>
      <c r="E16" s="25" t="s">
        <v>102</v>
      </c>
      <c r="F16" s="25" t="s">
        <v>103</v>
      </c>
      <c r="G16" s="26" t="s">
        <v>146</v>
      </c>
      <c r="H16" s="27" t="s">
        <v>147</v>
      </c>
      <c r="I16" s="24" t="s">
        <v>106</v>
      </c>
      <c r="J16" s="24" t="s">
        <v>107</v>
      </c>
      <c r="K16" s="28" t="s">
        <v>108</v>
      </c>
      <c r="L16" s="29">
        <v>0</v>
      </c>
      <c r="M16" s="29">
        <v>0</v>
      </c>
      <c r="N16" s="29">
        <v>1.4999999999999999E-2</v>
      </c>
      <c r="O16" s="27" t="s">
        <v>148</v>
      </c>
      <c r="P16" s="30" t="s">
        <v>145</v>
      </c>
      <c r="Q16" s="31">
        <v>4835191880.4799995</v>
      </c>
      <c r="R16" s="31">
        <v>2796.73</v>
      </c>
      <c r="S16" s="32">
        <v>1.8763999999999999E-2</v>
      </c>
      <c r="T16" s="32" t="s">
        <v>139</v>
      </c>
      <c r="U16" s="32">
        <v>5.8299999999999997E-4</v>
      </c>
      <c r="V16" s="32">
        <v>2.1250000000000002E-3</v>
      </c>
      <c r="W16" s="32">
        <v>8.267E-3</v>
      </c>
      <c r="X16" s="32">
        <v>1.4944000000000001E-2</v>
      </c>
      <c r="Y16" s="32">
        <v>2.6998000000000001E-2</v>
      </c>
      <c r="Z16" s="32">
        <v>5.8681999999999998E-2</v>
      </c>
      <c r="AA16" s="32">
        <v>9.6395999999999996E-2</v>
      </c>
      <c r="AB16" s="32">
        <v>0.14462</v>
      </c>
    </row>
    <row r="17" spans="1:28" ht="15.6" customHeight="1" x14ac:dyDescent="0.25">
      <c r="A17" s="24" t="s">
        <v>149</v>
      </c>
      <c r="B17" s="50">
        <v>3049</v>
      </c>
      <c r="C17" s="25" t="s">
        <v>150</v>
      </c>
      <c r="D17" s="25" t="s">
        <v>145</v>
      </c>
      <c r="E17" s="25" t="s">
        <v>102</v>
      </c>
      <c r="F17" s="25" t="s">
        <v>113</v>
      </c>
      <c r="G17" s="26" t="s">
        <v>151</v>
      </c>
      <c r="H17" s="27" t="s">
        <v>152</v>
      </c>
      <c r="I17" s="24" t="s">
        <v>106</v>
      </c>
      <c r="J17" s="24" t="s">
        <v>107</v>
      </c>
      <c r="K17" s="28" t="s">
        <v>108</v>
      </c>
      <c r="L17" s="29">
        <v>0.02</v>
      </c>
      <c r="M17" s="29">
        <v>0.02</v>
      </c>
      <c r="N17" s="29">
        <v>0.02</v>
      </c>
      <c r="O17" s="27" t="s">
        <v>148</v>
      </c>
      <c r="P17" s="30" t="s">
        <v>145</v>
      </c>
      <c r="Q17" s="31">
        <v>126626917.44</v>
      </c>
      <c r="R17" s="31">
        <v>4940.95</v>
      </c>
      <c r="S17" s="32">
        <v>-8.3900000000000001E-4</v>
      </c>
      <c r="T17" s="32" t="s">
        <v>139</v>
      </c>
      <c r="U17" s="32">
        <v>1.4779999999999999E-3</v>
      </c>
      <c r="V17" s="32">
        <v>5.6600000000000001E-3</v>
      </c>
      <c r="W17" s="32">
        <v>3.9719999999999998E-3</v>
      </c>
      <c r="X17" s="32">
        <v>-9.5E-4</v>
      </c>
      <c r="Y17" s="32">
        <v>2.6359999999999999E-3</v>
      </c>
      <c r="Z17" s="32">
        <v>8.4947999999999996E-2</v>
      </c>
      <c r="AA17" s="32">
        <v>0.17746500000000001</v>
      </c>
      <c r="AB17" s="32">
        <v>9.146E-2</v>
      </c>
    </row>
    <row r="18" spans="1:28" ht="15.6" customHeight="1" x14ac:dyDescent="0.25">
      <c r="A18" s="24" t="s">
        <v>153</v>
      </c>
      <c r="B18" s="50">
        <v>3050</v>
      </c>
      <c r="C18" s="25" t="s">
        <v>154</v>
      </c>
      <c r="D18" s="25" t="s">
        <v>145</v>
      </c>
      <c r="E18" s="25" t="s">
        <v>102</v>
      </c>
      <c r="F18" s="25" t="s">
        <v>155</v>
      </c>
      <c r="G18" s="26" t="s">
        <v>139</v>
      </c>
      <c r="H18" s="27" t="s">
        <v>156</v>
      </c>
      <c r="I18" s="24" t="s">
        <v>106</v>
      </c>
      <c r="J18" s="24" t="s">
        <v>107</v>
      </c>
      <c r="K18" s="28" t="s">
        <v>108</v>
      </c>
      <c r="L18" s="29">
        <v>0.02</v>
      </c>
      <c r="M18" s="29">
        <v>0.01</v>
      </c>
      <c r="N18" s="29">
        <v>0.02</v>
      </c>
      <c r="O18" s="27" t="s">
        <v>148</v>
      </c>
      <c r="P18" s="30" t="s">
        <v>145</v>
      </c>
      <c r="Q18" s="31">
        <v>624744287.58000004</v>
      </c>
      <c r="R18" s="31">
        <v>7984.15</v>
      </c>
      <c r="S18" s="32">
        <v>1.6712000000000001E-2</v>
      </c>
      <c r="T18" s="32" t="s">
        <v>139</v>
      </c>
      <c r="U18" s="32">
        <v>1.3181E-2</v>
      </c>
      <c r="V18" s="32">
        <v>7.3126999999999998E-2</v>
      </c>
      <c r="W18" s="32">
        <v>5.4537000000000002E-2</v>
      </c>
      <c r="X18" s="32">
        <v>1.9261E-2</v>
      </c>
      <c r="Y18" s="32">
        <v>-9.0260000000000007E-2</v>
      </c>
      <c r="Z18" s="32">
        <v>0.29807499999999998</v>
      </c>
      <c r="AA18" s="32">
        <v>0.52404200000000001</v>
      </c>
      <c r="AB18" s="32">
        <v>0.51183199999999995</v>
      </c>
    </row>
    <row r="19" spans="1:28" ht="15.6" customHeight="1" x14ac:dyDescent="0.25">
      <c r="A19" s="24" t="s">
        <v>157</v>
      </c>
      <c r="B19" s="50">
        <v>3051</v>
      </c>
      <c r="C19" s="25" t="s">
        <v>158</v>
      </c>
      <c r="D19" s="25" t="s">
        <v>159</v>
      </c>
      <c r="E19" s="25" t="s">
        <v>102</v>
      </c>
      <c r="F19" s="25" t="s">
        <v>138</v>
      </c>
      <c r="G19" s="26" t="s">
        <v>139</v>
      </c>
      <c r="H19" s="27" t="s">
        <v>160</v>
      </c>
      <c r="I19" s="24" t="s">
        <v>106</v>
      </c>
      <c r="J19" s="24" t="s">
        <v>107</v>
      </c>
      <c r="K19" s="28" t="s">
        <v>108</v>
      </c>
      <c r="L19" s="29">
        <v>0.01</v>
      </c>
      <c r="M19" s="29">
        <v>5.0000000000000001E-3</v>
      </c>
      <c r="N19" s="29">
        <v>0.02</v>
      </c>
      <c r="O19" s="27" t="s">
        <v>161</v>
      </c>
      <c r="P19" s="30" t="s">
        <v>159</v>
      </c>
      <c r="Q19" s="31">
        <v>4760576.3</v>
      </c>
      <c r="R19" s="31">
        <v>43277.97</v>
      </c>
      <c r="S19" s="32">
        <v>1.8457999999999999E-2</v>
      </c>
      <c r="T19" s="32" t="s">
        <v>139</v>
      </c>
      <c r="U19" s="32">
        <v>8.175E-3</v>
      </c>
      <c r="V19" s="32">
        <v>4.2409000000000002E-2</v>
      </c>
      <c r="W19" s="32">
        <v>3.1424000000000001E-2</v>
      </c>
      <c r="X19" s="32">
        <v>1.3528999999999999E-2</v>
      </c>
      <c r="Y19" s="32">
        <v>-3.5359000000000002E-2</v>
      </c>
      <c r="Z19" s="32">
        <v>0.201657</v>
      </c>
      <c r="AA19" s="32">
        <v>0.32761800000000002</v>
      </c>
      <c r="AB19" s="32">
        <v>0.31179499999999999</v>
      </c>
    </row>
    <row r="20" spans="1:28" ht="15.6" customHeight="1" x14ac:dyDescent="0.25">
      <c r="A20" s="24" t="s">
        <v>162</v>
      </c>
      <c r="B20" s="50">
        <v>3052</v>
      </c>
      <c r="C20" s="25" t="s">
        <v>163</v>
      </c>
      <c r="D20" s="25" t="s">
        <v>164</v>
      </c>
      <c r="E20" s="25" t="s">
        <v>102</v>
      </c>
      <c r="F20" s="25" t="s">
        <v>138</v>
      </c>
      <c r="G20" s="26" t="s">
        <v>139</v>
      </c>
      <c r="H20" s="27" t="s">
        <v>165</v>
      </c>
      <c r="I20" s="24" t="s">
        <v>106</v>
      </c>
      <c r="J20" s="24" t="s">
        <v>107</v>
      </c>
      <c r="K20" s="28" t="s">
        <v>108</v>
      </c>
      <c r="L20" s="29">
        <v>0.03</v>
      </c>
      <c r="M20" s="29">
        <v>1.4999999999999999E-2</v>
      </c>
      <c r="N20" s="29">
        <v>0.02</v>
      </c>
      <c r="O20" s="27" t="s">
        <v>166</v>
      </c>
      <c r="P20" s="30" t="s">
        <v>164</v>
      </c>
      <c r="Q20" s="31">
        <v>5189074393.29</v>
      </c>
      <c r="R20" s="31">
        <v>793.62</v>
      </c>
      <c r="S20" s="32">
        <v>0.103445</v>
      </c>
      <c r="T20" s="32" t="s">
        <v>139</v>
      </c>
      <c r="U20" s="32">
        <v>1.1471E-2</v>
      </c>
      <c r="V20" s="32">
        <v>5.9219000000000001E-2</v>
      </c>
      <c r="W20" s="32">
        <v>4.0786000000000003E-2</v>
      </c>
      <c r="X20" s="32">
        <v>7.7337000000000003E-2</v>
      </c>
      <c r="Y20" s="32">
        <v>5.7159000000000001E-2</v>
      </c>
      <c r="Z20" s="32">
        <v>0.27567000000000003</v>
      </c>
      <c r="AA20" s="32">
        <v>0.42149399999999998</v>
      </c>
      <c r="AB20" s="32">
        <v>0.38348100000000002</v>
      </c>
    </row>
    <row r="21" spans="1:28" ht="15.6" customHeight="1" x14ac:dyDescent="0.25">
      <c r="A21" s="24" t="s">
        <v>1011</v>
      </c>
      <c r="B21" s="50">
        <v>3053</v>
      </c>
      <c r="C21" s="25" t="s">
        <v>1012</v>
      </c>
      <c r="D21" s="25" t="s">
        <v>164</v>
      </c>
      <c r="E21" s="25" t="s">
        <v>102</v>
      </c>
      <c r="F21" s="25" t="s">
        <v>138</v>
      </c>
      <c r="G21" s="26" t="s">
        <v>139</v>
      </c>
      <c r="H21" s="27" t="s">
        <v>1013</v>
      </c>
      <c r="I21" s="24" t="s">
        <v>998</v>
      </c>
      <c r="J21" s="24" t="s">
        <v>107</v>
      </c>
      <c r="K21" s="28" t="s">
        <v>108</v>
      </c>
      <c r="L21" s="29">
        <v>0.03</v>
      </c>
      <c r="M21" s="29">
        <v>1.4999999999999999E-2</v>
      </c>
      <c r="N21" s="29">
        <v>0.02</v>
      </c>
      <c r="O21" s="27" t="s">
        <v>166</v>
      </c>
      <c r="P21" s="30" t="s">
        <v>164</v>
      </c>
      <c r="Q21" s="31">
        <v>23150625.859999999</v>
      </c>
      <c r="R21" s="31">
        <v>4955.1899999999996</v>
      </c>
      <c r="S21" s="32">
        <v>6.4323000000000005E-2</v>
      </c>
      <c r="T21" s="32" t="s">
        <v>139</v>
      </c>
      <c r="U21" s="32">
        <v>1.2071E-2</v>
      </c>
      <c r="V21" s="32">
        <v>5.8491000000000001E-2</v>
      </c>
      <c r="W21" s="32">
        <v>4.6851999999999998E-2</v>
      </c>
      <c r="X21" s="32">
        <v>5.0955E-2</v>
      </c>
      <c r="Y21" s="32">
        <v>-5.1400000000000003E-4</v>
      </c>
      <c r="Z21" s="32">
        <v>0.27557199999999998</v>
      </c>
      <c r="AA21" s="32">
        <v>0.40177499999999999</v>
      </c>
      <c r="AB21" s="32">
        <v>0.34161200000000003</v>
      </c>
    </row>
    <row r="22" spans="1:28" ht="15.6" customHeight="1" x14ac:dyDescent="0.25">
      <c r="A22" s="24" t="s">
        <v>1014</v>
      </c>
      <c r="B22" s="50">
        <v>3054</v>
      </c>
      <c r="C22" s="25" t="s">
        <v>1015</v>
      </c>
      <c r="D22" s="25" t="s">
        <v>164</v>
      </c>
      <c r="E22" s="25" t="s">
        <v>102</v>
      </c>
      <c r="F22" s="25" t="s">
        <v>113</v>
      </c>
      <c r="G22" s="26" t="s">
        <v>1016</v>
      </c>
      <c r="H22" s="27" t="s">
        <v>120</v>
      </c>
      <c r="I22" s="24" t="s">
        <v>998</v>
      </c>
      <c r="J22" s="24" t="s">
        <v>107</v>
      </c>
      <c r="K22" s="28" t="s">
        <v>108</v>
      </c>
      <c r="L22" s="29">
        <v>0.03</v>
      </c>
      <c r="M22" s="29">
        <v>1.4999999999999999E-2</v>
      </c>
      <c r="N22" s="29">
        <v>0.02</v>
      </c>
      <c r="O22" s="27" t="s">
        <v>166</v>
      </c>
      <c r="P22" s="30" t="s">
        <v>164</v>
      </c>
      <c r="Q22" s="31">
        <v>377119006.35000002</v>
      </c>
      <c r="R22" s="31">
        <v>318.57</v>
      </c>
      <c r="S22" s="32">
        <v>9.3790000000000002E-3</v>
      </c>
      <c r="T22" s="32" t="s">
        <v>139</v>
      </c>
      <c r="U22" s="32">
        <v>1.6659999999999999E-3</v>
      </c>
      <c r="V22" s="32">
        <v>6.7629999999999999E-3</v>
      </c>
      <c r="W22" s="32">
        <v>9.7949999999999999E-3</v>
      </c>
      <c r="X22" s="32">
        <v>7.0489999999999997E-3</v>
      </c>
      <c r="Y22" s="32">
        <v>1.1011999999999999E-2</v>
      </c>
      <c r="Z22" s="32">
        <v>7.2771000000000002E-2</v>
      </c>
      <c r="AA22" s="32">
        <v>0.12485400000000001</v>
      </c>
      <c r="AB22" s="32">
        <v>0.127083</v>
      </c>
    </row>
    <row r="23" spans="1:28" ht="15.6" customHeight="1" x14ac:dyDescent="0.25">
      <c r="A23" s="24" t="s">
        <v>167</v>
      </c>
      <c r="B23" s="50">
        <v>3055</v>
      </c>
      <c r="C23" s="25" t="s">
        <v>168</v>
      </c>
      <c r="D23" s="25" t="s">
        <v>164</v>
      </c>
      <c r="E23" s="25" t="s">
        <v>102</v>
      </c>
      <c r="F23" s="25" t="s">
        <v>103</v>
      </c>
      <c r="G23" s="26" t="s">
        <v>104</v>
      </c>
      <c r="H23" s="27" t="s">
        <v>169</v>
      </c>
      <c r="I23" s="24" t="s">
        <v>106</v>
      </c>
      <c r="J23" s="24" t="s">
        <v>107</v>
      </c>
      <c r="K23" s="28" t="s">
        <v>108</v>
      </c>
      <c r="L23" s="29">
        <v>0</v>
      </c>
      <c r="M23" s="29">
        <v>0</v>
      </c>
      <c r="N23" s="29">
        <v>0.02</v>
      </c>
      <c r="O23" s="27" t="s">
        <v>166</v>
      </c>
      <c r="P23" s="30" t="s">
        <v>164</v>
      </c>
      <c r="Q23" s="31">
        <v>3831611266.0900002</v>
      </c>
      <c r="R23" s="31">
        <v>5691.39</v>
      </c>
      <c r="S23" s="32">
        <v>1.3880999999999999E-2</v>
      </c>
      <c r="T23" s="32" t="s">
        <v>139</v>
      </c>
      <c r="U23" s="32">
        <v>4.6900000000000002E-4</v>
      </c>
      <c r="V23" s="32">
        <v>1.6559999999999999E-3</v>
      </c>
      <c r="W23" s="32">
        <v>5.391E-3</v>
      </c>
      <c r="X23" s="32">
        <v>1.0728E-2</v>
      </c>
      <c r="Y23" s="32">
        <v>2.0199999999999999E-2</v>
      </c>
      <c r="Z23" s="32">
        <v>4.4531000000000001E-2</v>
      </c>
      <c r="AA23" s="32">
        <v>7.4264999999999998E-2</v>
      </c>
      <c r="AB23" s="32">
        <v>0.10777</v>
      </c>
    </row>
    <row r="24" spans="1:28" ht="15.6" customHeight="1" x14ac:dyDescent="0.25">
      <c r="A24" s="24" t="s">
        <v>1017</v>
      </c>
      <c r="B24" s="50">
        <v>3056</v>
      </c>
      <c r="C24" s="25" t="s">
        <v>1018</v>
      </c>
      <c r="D24" s="25" t="s">
        <v>159</v>
      </c>
      <c r="E24" s="25" t="s">
        <v>102</v>
      </c>
      <c r="F24" s="25" t="s">
        <v>113</v>
      </c>
      <c r="G24" s="26" t="s">
        <v>531</v>
      </c>
      <c r="H24" s="27" t="s">
        <v>115</v>
      </c>
      <c r="I24" s="24" t="s">
        <v>998</v>
      </c>
      <c r="J24" s="24" t="s">
        <v>121</v>
      </c>
      <c r="K24" s="28" t="s">
        <v>108</v>
      </c>
      <c r="L24" s="29">
        <v>0</v>
      </c>
      <c r="M24" s="29">
        <v>0</v>
      </c>
      <c r="N24" s="29">
        <v>0.02</v>
      </c>
      <c r="O24" s="27" t="s">
        <v>173</v>
      </c>
      <c r="P24" s="30" t="s">
        <v>159</v>
      </c>
      <c r="Q24" s="31">
        <v>6935614442.5600004</v>
      </c>
      <c r="R24" s="31">
        <v>961543.66</v>
      </c>
      <c r="S24" s="32">
        <v>-1.4E-3</v>
      </c>
      <c r="T24" s="32" t="s">
        <v>139</v>
      </c>
      <c r="U24" s="32">
        <v>1.057E-3</v>
      </c>
      <c r="V24" s="32">
        <v>3.0599999999999998E-3</v>
      </c>
      <c r="W24" s="32">
        <v>2.7590000000000002E-3</v>
      </c>
      <c r="X24" s="32">
        <v>-1.5950000000000001E-3</v>
      </c>
      <c r="Y24" s="32">
        <v>-5.7860000000000003E-3</v>
      </c>
      <c r="Z24" s="32">
        <v>9.2446E-2</v>
      </c>
      <c r="AA24" s="32">
        <v>0.19509899999999999</v>
      </c>
      <c r="AB24" s="32">
        <v>0.151424</v>
      </c>
    </row>
    <row r="25" spans="1:28" ht="15.6" customHeight="1" x14ac:dyDescent="0.25">
      <c r="A25" s="24" t="s">
        <v>170</v>
      </c>
      <c r="B25" s="50">
        <v>3057</v>
      </c>
      <c r="C25" s="25" t="s">
        <v>171</v>
      </c>
      <c r="D25" s="25" t="s">
        <v>164</v>
      </c>
      <c r="E25" s="25" t="s">
        <v>102</v>
      </c>
      <c r="F25" s="25" t="s">
        <v>138</v>
      </c>
      <c r="G25" s="26" t="s">
        <v>139</v>
      </c>
      <c r="H25" s="27" t="s">
        <v>172</v>
      </c>
      <c r="I25" s="24" t="s">
        <v>106</v>
      </c>
      <c r="J25" s="24" t="s">
        <v>107</v>
      </c>
      <c r="K25" s="28" t="s">
        <v>108</v>
      </c>
      <c r="L25" s="29">
        <v>0.03</v>
      </c>
      <c r="M25" s="29">
        <v>1.4999999999999999E-2</v>
      </c>
      <c r="N25" s="29">
        <v>0.02</v>
      </c>
      <c r="O25" s="27" t="s">
        <v>173</v>
      </c>
      <c r="P25" s="30" t="s">
        <v>164</v>
      </c>
      <c r="Q25" s="31">
        <v>570051083.58000004</v>
      </c>
      <c r="R25" s="31">
        <v>7292.55</v>
      </c>
      <c r="S25" s="32">
        <v>6.2872999999999998E-2</v>
      </c>
      <c r="T25" s="32" t="s">
        <v>139</v>
      </c>
      <c r="U25" s="32">
        <v>1.4432E-2</v>
      </c>
      <c r="V25" s="32">
        <v>6.3220999999999999E-2</v>
      </c>
      <c r="W25" s="32">
        <v>4.7389000000000001E-2</v>
      </c>
      <c r="X25" s="32">
        <v>5.3665999999999998E-2</v>
      </c>
      <c r="Y25" s="32">
        <v>1.1179E-2</v>
      </c>
      <c r="Z25" s="32">
        <v>0.26416000000000001</v>
      </c>
      <c r="AA25" s="32">
        <v>0.42238399999999998</v>
      </c>
      <c r="AB25" s="32">
        <v>0.36114499999999999</v>
      </c>
    </row>
    <row r="26" spans="1:28" ht="15.6" customHeight="1" x14ac:dyDescent="0.25">
      <c r="A26" s="24" t="s">
        <v>174</v>
      </c>
      <c r="B26" s="50">
        <v>3058</v>
      </c>
      <c r="C26" s="25" t="s">
        <v>175</v>
      </c>
      <c r="D26" s="25" t="s">
        <v>164</v>
      </c>
      <c r="E26" s="25" t="s">
        <v>102</v>
      </c>
      <c r="F26" s="25" t="s">
        <v>113</v>
      </c>
      <c r="G26" s="26" t="s">
        <v>176</v>
      </c>
      <c r="H26" s="27" t="s">
        <v>177</v>
      </c>
      <c r="I26" s="24" t="s">
        <v>106</v>
      </c>
      <c r="J26" s="24" t="s">
        <v>107</v>
      </c>
      <c r="K26" s="28" t="s">
        <v>108</v>
      </c>
      <c r="L26" s="29">
        <v>0.03</v>
      </c>
      <c r="M26" s="29">
        <v>1.4999999999999999E-2</v>
      </c>
      <c r="N26" s="29">
        <v>0.02</v>
      </c>
      <c r="O26" s="27" t="s">
        <v>173</v>
      </c>
      <c r="P26" s="30" t="s">
        <v>164</v>
      </c>
      <c r="Q26" s="31">
        <v>983494544.16999996</v>
      </c>
      <c r="R26" s="31">
        <v>3628.1</v>
      </c>
      <c r="S26" s="32">
        <v>5.705E-3</v>
      </c>
      <c r="T26" s="32" t="s">
        <v>139</v>
      </c>
      <c r="U26" s="32">
        <v>2.6589999999999999E-3</v>
      </c>
      <c r="V26" s="32">
        <v>9.7210000000000005E-3</v>
      </c>
      <c r="W26" s="32">
        <v>9.2040000000000004E-3</v>
      </c>
      <c r="X26" s="32">
        <v>3.7680000000000001E-3</v>
      </c>
      <c r="Y26" s="32">
        <v>-1.8730000000000001E-3</v>
      </c>
      <c r="Z26" s="32">
        <v>7.4234999999999995E-2</v>
      </c>
      <c r="AA26" s="32">
        <v>0.16320699999999999</v>
      </c>
      <c r="AB26" s="32">
        <v>0.118341</v>
      </c>
    </row>
    <row r="27" spans="1:28" ht="15.6" customHeight="1" x14ac:dyDescent="0.25">
      <c r="A27" s="24" t="s">
        <v>178</v>
      </c>
      <c r="B27" s="50">
        <v>3059</v>
      </c>
      <c r="C27" s="25" t="s">
        <v>179</v>
      </c>
      <c r="D27" s="25" t="s">
        <v>164</v>
      </c>
      <c r="E27" s="25" t="s">
        <v>102</v>
      </c>
      <c r="F27" s="25" t="s">
        <v>128</v>
      </c>
      <c r="G27" s="26" t="s">
        <v>129</v>
      </c>
      <c r="H27" s="27" t="s">
        <v>130</v>
      </c>
      <c r="I27" s="24" t="s">
        <v>106</v>
      </c>
      <c r="J27" s="24" t="s">
        <v>107</v>
      </c>
      <c r="K27" s="28" t="s">
        <v>180</v>
      </c>
      <c r="L27" s="29">
        <v>0.03</v>
      </c>
      <c r="M27" s="29">
        <v>1.4999999999999999E-2</v>
      </c>
      <c r="N27" s="29">
        <v>0.02</v>
      </c>
      <c r="O27" s="27" t="s">
        <v>173</v>
      </c>
      <c r="P27" s="30" t="s">
        <v>164</v>
      </c>
      <c r="Q27" s="31">
        <v>236438829.22</v>
      </c>
      <c r="R27" s="31">
        <v>1745.68</v>
      </c>
      <c r="S27" s="32">
        <v>1.8234E-2</v>
      </c>
      <c r="T27" s="32" t="s">
        <v>139</v>
      </c>
      <c r="U27" s="32">
        <v>7.2199999999999999E-4</v>
      </c>
      <c r="V27" s="32">
        <v>2.3249999999999998E-3</v>
      </c>
      <c r="W27" s="32">
        <v>7.5259999999999997E-3</v>
      </c>
      <c r="X27" s="32">
        <v>1.4388E-2</v>
      </c>
      <c r="Y27" s="32">
        <v>2.5368999999999999E-2</v>
      </c>
      <c r="Z27" s="32">
        <v>5.8039E-2</v>
      </c>
      <c r="AA27" s="32">
        <v>9.9598999999999993E-2</v>
      </c>
      <c r="AB27" s="32">
        <v>0.14052799999999999</v>
      </c>
    </row>
    <row r="28" spans="1:28" ht="15.6" customHeight="1" x14ac:dyDescent="0.25">
      <c r="A28" s="24" t="s">
        <v>181</v>
      </c>
      <c r="B28" s="50">
        <v>3060</v>
      </c>
      <c r="C28" s="25" t="s">
        <v>182</v>
      </c>
      <c r="D28" s="25" t="s">
        <v>164</v>
      </c>
      <c r="E28" s="25" t="s">
        <v>102</v>
      </c>
      <c r="F28" s="25" t="s">
        <v>103</v>
      </c>
      <c r="G28" s="26" t="s">
        <v>104</v>
      </c>
      <c r="H28" s="27" t="s">
        <v>183</v>
      </c>
      <c r="I28" s="24" t="s">
        <v>106</v>
      </c>
      <c r="J28" s="24" t="s">
        <v>107</v>
      </c>
      <c r="K28" s="28" t="s">
        <v>108</v>
      </c>
      <c r="L28" s="29">
        <v>0.03</v>
      </c>
      <c r="M28" s="29">
        <v>1.4999999999999999E-2</v>
      </c>
      <c r="N28" s="29">
        <v>1.4999999999999999E-2</v>
      </c>
      <c r="O28" s="27" t="s">
        <v>173</v>
      </c>
      <c r="P28" s="30" t="s">
        <v>164</v>
      </c>
      <c r="Q28" s="31">
        <v>1788456171.79</v>
      </c>
      <c r="R28" s="31">
        <v>5999.22</v>
      </c>
      <c r="S28" s="32">
        <v>1.4592000000000001E-2</v>
      </c>
      <c r="T28" s="32" t="s">
        <v>139</v>
      </c>
      <c r="U28" s="32">
        <v>4.8500000000000003E-4</v>
      </c>
      <c r="V28" s="32">
        <v>1.7080000000000001E-3</v>
      </c>
      <c r="W28" s="32">
        <v>5.5999999999999999E-3</v>
      </c>
      <c r="X28" s="32">
        <v>1.1257E-2</v>
      </c>
      <c r="Y28" s="32">
        <v>2.1349E-2</v>
      </c>
      <c r="Z28" s="32">
        <v>4.7835999999999997E-2</v>
      </c>
      <c r="AA28" s="32">
        <v>7.9953999999999997E-2</v>
      </c>
      <c r="AB28" s="32">
        <v>0.117086</v>
      </c>
    </row>
    <row r="29" spans="1:28" ht="15.6" customHeight="1" x14ac:dyDescent="0.25">
      <c r="A29" s="24" t="s">
        <v>1019</v>
      </c>
      <c r="B29" s="50">
        <v>3061</v>
      </c>
      <c r="C29" s="25" t="s">
        <v>1020</v>
      </c>
      <c r="D29" s="25" t="s">
        <v>164</v>
      </c>
      <c r="E29" s="25" t="s">
        <v>102</v>
      </c>
      <c r="F29" s="25" t="s">
        <v>155</v>
      </c>
      <c r="G29" s="26" t="s">
        <v>139</v>
      </c>
      <c r="H29" s="27" t="s">
        <v>280</v>
      </c>
      <c r="I29" s="24" t="s">
        <v>998</v>
      </c>
      <c r="J29" s="24" t="s">
        <v>107</v>
      </c>
      <c r="K29" s="28" t="s">
        <v>108</v>
      </c>
      <c r="L29" s="29">
        <v>0.03</v>
      </c>
      <c r="M29" s="29">
        <v>1.4999999999999999E-2</v>
      </c>
      <c r="N29" s="29">
        <v>0.02</v>
      </c>
      <c r="O29" s="27" t="s">
        <v>173</v>
      </c>
      <c r="P29" s="30" t="s">
        <v>164</v>
      </c>
      <c r="Q29" s="31">
        <v>464508755.11000001</v>
      </c>
      <c r="R29" s="31">
        <v>8268.52</v>
      </c>
      <c r="S29" s="32">
        <v>8.0727999999999994E-2</v>
      </c>
      <c r="T29" s="32" t="s">
        <v>139</v>
      </c>
      <c r="U29" s="32">
        <v>1.5899E-2</v>
      </c>
      <c r="V29" s="32">
        <v>8.1750000000000003E-2</v>
      </c>
      <c r="W29" s="32">
        <v>6.9391999999999995E-2</v>
      </c>
      <c r="X29" s="32">
        <v>6.4697000000000005E-2</v>
      </c>
      <c r="Y29" s="32">
        <v>-1.1998E-2</v>
      </c>
      <c r="Z29" s="32">
        <v>0.39856599999999998</v>
      </c>
      <c r="AA29" s="32">
        <v>0.61211499999999996</v>
      </c>
      <c r="AB29" s="32">
        <v>0.53780600000000001</v>
      </c>
    </row>
    <row r="30" spans="1:28" ht="15.6" customHeight="1" x14ac:dyDescent="0.25">
      <c r="A30" s="24" t="s">
        <v>1021</v>
      </c>
      <c r="B30" s="50">
        <v>3062</v>
      </c>
      <c r="C30" s="25" t="s">
        <v>1022</v>
      </c>
      <c r="D30" s="25" t="s">
        <v>127</v>
      </c>
      <c r="E30" s="25" t="s">
        <v>102</v>
      </c>
      <c r="F30" s="25" t="s">
        <v>113</v>
      </c>
      <c r="G30" s="26" t="s">
        <v>531</v>
      </c>
      <c r="H30" s="27" t="s">
        <v>327</v>
      </c>
      <c r="I30" s="24" t="s">
        <v>998</v>
      </c>
      <c r="J30" s="24" t="s">
        <v>121</v>
      </c>
      <c r="K30" s="28" t="s">
        <v>108</v>
      </c>
      <c r="L30" s="29">
        <v>0.03</v>
      </c>
      <c r="M30" s="29">
        <v>1.4999999999999999E-2</v>
      </c>
      <c r="N30" s="29">
        <v>0.02</v>
      </c>
      <c r="O30" s="27" t="s">
        <v>131</v>
      </c>
      <c r="P30" s="30" t="s">
        <v>131</v>
      </c>
      <c r="Q30" s="31">
        <v>6185107607.1000004</v>
      </c>
      <c r="R30" s="31">
        <v>986617.89</v>
      </c>
      <c r="S30" s="32">
        <v>-9.7099999999999997E-4</v>
      </c>
      <c r="T30" s="32" t="s">
        <v>139</v>
      </c>
      <c r="U30" s="32">
        <v>1.1119999999999999E-3</v>
      </c>
      <c r="V30" s="32">
        <v>3.1050000000000001E-3</v>
      </c>
      <c r="W30" s="32">
        <v>2.882E-3</v>
      </c>
      <c r="X30" s="32">
        <v>-1.4220000000000001E-3</v>
      </c>
      <c r="Y30" s="32">
        <v>-5.666E-3</v>
      </c>
      <c r="Z30" s="32">
        <v>8.2175999999999999E-2</v>
      </c>
      <c r="AA30" s="32">
        <v>0.17707400000000001</v>
      </c>
      <c r="AB30" s="32">
        <v>0.15068799999999999</v>
      </c>
    </row>
    <row r="31" spans="1:28" ht="15.6" customHeight="1" x14ac:dyDescent="0.25">
      <c r="A31" s="24" t="s">
        <v>1023</v>
      </c>
      <c r="B31" s="50">
        <v>3063</v>
      </c>
      <c r="C31" s="25" t="s">
        <v>1024</v>
      </c>
      <c r="D31" s="25" t="s">
        <v>164</v>
      </c>
      <c r="E31" s="25" t="s">
        <v>102</v>
      </c>
      <c r="F31" s="25" t="s">
        <v>113</v>
      </c>
      <c r="G31" s="26" t="s">
        <v>1025</v>
      </c>
      <c r="H31" s="27" t="s">
        <v>789</v>
      </c>
      <c r="I31" s="24" t="s">
        <v>998</v>
      </c>
      <c r="J31" s="24" t="s">
        <v>121</v>
      </c>
      <c r="K31" s="28" t="s">
        <v>108</v>
      </c>
      <c r="L31" s="29">
        <v>0.03</v>
      </c>
      <c r="M31" s="29">
        <v>1.4999999999999999E-2</v>
      </c>
      <c r="N31" s="29">
        <v>0.02</v>
      </c>
      <c r="O31" s="27" t="s">
        <v>148</v>
      </c>
      <c r="P31" s="30" t="s">
        <v>164</v>
      </c>
      <c r="Q31" s="31">
        <v>4019231991.0300002</v>
      </c>
      <c r="R31" s="31">
        <v>1048039.63</v>
      </c>
      <c r="S31" s="32">
        <v>3.0240000000000002E-3</v>
      </c>
      <c r="T31" s="32" t="s">
        <v>139</v>
      </c>
      <c r="U31" s="32">
        <v>5.8799999999999998E-4</v>
      </c>
      <c r="V31" s="32">
        <v>7.0809999999999996E-3</v>
      </c>
      <c r="W31" s="32">
        <v>2.3869999999999998E-3</v>
      </c>
      <c r="X31" s="32">
        <v>5.0639999999999999E-3</v>
      </c>
      <c r="Y31" s="32">
        <v>3.0068999999999999E-2</v>
      </c>
      <c r="Z31" s="32">
        <v>9.5874000000000001E-2</v>
      </c>
      <c r="AA31" s="32">
        <v>0.19176399999999999</v>
      </c>
      <c r="AB31" s="32">
        <v>0.204349</v>
      </c>
    </row>
    <row r="32" spans="1:28" ht="15.6" customHeight="1" x14ac:dyDescent="0.25">
      <c r="A32" s="24" t="s">
        <v>1026</v>
      </c>
      <c r="B32" s="50">
        <v>3064</v>
      </c>
      <c r="C32" s="25" t="s">
        <v>1027</v>
      </c>
      <c r="D32" s="25" t="s">
        <v>164</v>
      </c>
      <c r="E32" s="25" t="s">
        <v>102</v>
      </c>
      <c r="F32" s="25" t="s">
        <v>155</v>
      </c>
      <c r="G32" s="26" t="s">
        <v>139</v>
      </c>
      <c r="H32" s="27" t="s">
        <v>156</v>
      </c>
      <c r="I32" s="24" t="s">
        <v>998</v>
      </c>
      <c r="J32" s="24" t="s">
        <v>107</v>
      </c>
      <c r="K32" s="28" t="s">
        <v>108</v>
      </c>
      <c r="L32" s="29">
        <v>0.03</v>
      </c>
      <c r="M32" s="29">
        <v>1.4999999999999999E-2</v>
      </c>
      <c r="N32" s="29">
        <v>0.02</v>
      </c>
      <c r="O32" s="27" t="s">
        <v>166</v>
      </c>
      <c r="P32" s="30" t="s">
        <v>164</v>
      </c>
      <c r="Q32" s="31">
        <v>1247447176.23</v>
      </c>
      <c r="R32" s="31">
        <v>127.39</v>
      </c>
      <c r="S32" s="32">
        <v>7.4024000000000006E-2</v>
      </c>
      <c r="T32" s="32" t="s">
        <v>139</v>
      </c>
      <c r="U32" s="32">
        <v>1.6598999999999999E-2</v>
      </c>
      <c r="V32" s="32">
        <v>8.7595000000000006E-2</v>
      </c>
      <c r="W32" s="32">
        <v>6.6829E-2</v>
      </c>
      <c r="X32" s="32">
        <v>6.2114000000000003E-2</v>
      </c>
      <c r="Y32" s="32">
        <v>-2.904E-2</v>
      </c>
      <c r="Z32" s="32">
        <v>0.34861300000000001</v>
      </c>
      <c r="AA32" s="32">
        <v>0.52016700000000005</v>
      </c>
      <c r="AB32" s="32">
        <v>0.427819</v>
      </c>
    </row>
    <row r="33" spans="1:28" ht="15.6" customHeight="1" x14ac:dyDescent="0.25">
      <c r="A33" s="24" t="s">
        <v>1028</v>
      </c>
      <c r="B33" s="50">
        <v>3067</v>
      </c>
      <c r="C33" s="25" t="s">
        <v>1029</v>
      </c>
      <c r="D33" s="25" t="s">
        <v>164</v>
      </c>
      <c r="E33" s="25" t="s">
        <v>102</v>
      </c>
      <c r="F33" s="25" t="s">
        <v>138</v>
      </c>
      <c r="G33" s="26" t="s">
        <v>139</v>
      </c>
      <c r="H33" s="27" t="s">
        <v>1030</v>
      </c>
      <c r="I33" s="24" t="s">
        <v>998</v>
      </c>
      <c r="J33" s="24" t="s">
        <v>121</v>
      </c>
      <c r="K33" s="28" t="s">
        <v>108</v>
      </c>
      <c r="L33" s="29">
        <v>0.03</v>
      </c>
      <c r="M33" s="29">
        <v>1.4999999999999999E-2</v>
      </c>
      <c r="N33" s="29">
        <v>0.02</v>
      </c>
      <c r="O33" s="27" t="s">
        <v>166</v>
      </c>
      <c r="P33" s="30" t="s">
        <v>164</v>
      </c>
      <c r="Q33" s="31">
        <v>655181175.33000004</v>
      </c>
      <c r="R33" s="31">
        <v>38678.86</v>
      </c>
      <c r="S33" s="32">
        <v>4.2680000000000003E-2</v>
      </c>
      <c r="T33" s="32" t="s">
        <v>139</v>
      </c>
      <c r="U33" s="32">
        <v>1.0718999999999999E-2</v>
      </c>
      <c r="V33" s="32">
        <v>4.3659999999999997E-2</v>
      </c>
      <c r="W33" s="32">
        <v>3.6519000000000003E-2</v>
      </c>
      <c r="X33" s="32">
        <v>3.4457000000000002E-2</v>
      </c>
      <c r="Y33" s="32">
        <v>9.7280000000000005E-3</v>
      </c>
      <c r="Z33" s="32">
        <v>0.23996000000000001</v>
      </c>
      <c r="AA33" s="32">
        <v>0.39201200000000003</v>
      </c>
      <c r="AB33" s="32">
        <v>0.379832</v>
      </c>
    </row>
    <row r="34" spans="1:28" ht="15.6" customHeight="1" x14ac:dyDescent="0.25">
      <c r="A34" s="24" t="s">
        <v>1031</v>
      </c>
      <c r="B34" s="50">
        <v>3068</v>
      </c>
      <c r="C34" s="25" t="s">
        <v>1032</v>
      </c>
      <c r="D34" s="25" t="s">
        <v>164</v>
      </c>
      <c r="E34" s="25" t="s">
        <v>102</v>
      </c>
      <c r="F34" s="25" t="s">
        <v>138</v>
      </c>
      <c r="G34" s="26" t="s">
        <v>139</v>
      </c>
      <c r="H34" s="27" t="s">
        <v>1033</v>
      </c>
      <c r="I34" s="24" t="s">
        <v>998</v>
      </c>
      <c r="J34" s="24" t="s">
        <v>121</v>
      </c>
      <c r="K34" s="28" t="s">
        <v>108</v>
      </c>
      <c r="L34" s="29">
        <v>5.0000000000000001E-3</v>
      </c>
      <c r="M34" s="29">
        <v>2.5000000000000001E-3</v>
      </c>
      <c r="N34" s="29">
        <v>0.01</v>
      </c>
      <c r="O34" s="27" t="s">
        <v>166</v>
      </c>
      <c r="P34" s="30" t="s">
        <v>164</v>
      </c>
      <c r="Q34" s="31">
        <v>22794106.780000001</v>
      </c>
      <c r="R34" s="31">
        <v>580.09</v>
      </c>
      <c r="S34" s="32">
        <v>8.3139000000000005E-2</v>
      </c>
      <c r="T34" s="32" t="s">
        <v>139</v>
      </c>
      <c r="U34" s="32">
        <v>1.4303E-2</v>
      </c>
      <c r="V34" s="32">
        <v>6.4639000000000002E-2</v>
      </c>
      <c r="W34" s="32">
        <v>4.7579000000000003E-2</v>
      </c>
      <c r="X34" s="32">
        <v>6.9295999999999996E-2</v>
      </c>
      <c r="Y34" s="32">
        <v>3.8774000000000003E-2</v>
      </c>
      <c r="Z34" s="32">
        <v>0.34326299999999998</v>
      </c>
      <c r="AA34" s="32">
        <v>0.53695199999999998</v>
      </c>
      <c r="AB34" s="32">
        <v>0.54618699999999998</v>
      </c>
    </row>
    <row r="35" spans="1:28" ht="15.6" customHeight="1" x14ac:dyDescent="0.25">
      <c r="A35" s="24" t="s">
        <v>1034</v>
      </c>
      <c r="B35" s="50">
        <v>3069</v>
      </c>
      <c r="C35" s="25" t="s">
        <v>1035</v>
      </c>
      <c r="D35" s="25" t="s">
        <v>164</v>
      </c>
      <c r="E35" s="25" t="s">
        <v>102</v>
      </c>
      <c r="F35" s="25" t="s">
        <v>138</v>
      </c>
      <c r="G35" s="26" t="s">
        <v>139</v>
      </c>
      <c r="H35" s="27" t="s">
        <v>1033</v>
      </c>
      <c r="I35" s="24" t="s">
        <v>998</v>
      </c>
      <c r="J35" s="24" t="s">
        <v>107</v>
      </c>
      <c r="K35" s="28" t="s">
        <v>108</v>
      </c>
      <c r="L35" s="29">
        <v>0.03</v>
      </c>
      <c r="M35" s="29">
        <v>1.4999999999999999E-2</v>
      </c>
      <c r="N35" s="29">
        <v>0.02</v>
      </c>
      <c r="O35" s="27" t="s">
        <v>166</v>
      </c>
      <c r="P35" s="30" t="s">
        <v>164</v>
      </c>
      <c r="Q35" s="31">
        <v>56407378.009999998</v>
      </c>
      <c r="R35" s="31">
        <v>5645.25</v>
      </c>
      <c r="S35" s="32">
        <v>2.8015000000000002E-2</v>
      </c>
      <c r="T35" s="32" t="s">
        <v>139</v>
      </c>
      <c r="U35" s="32">
        <v>1.0735E-2</v>
      </c>
      <c r="V35" s="32">
        <v>5.1608000000000001E-2</v>
      </c>
      <c r="W35" s="32">
        <v>3.9072999999999997E-2</v>
      </c>
      <c r="X35" s="32">
        <v>1.9966999999999999E-2</v>
      </c>
      <c r="Y35" s="32">
        <v>-3.8873999999999999E-2</v>
      </c>
      <c r="Z35" s="32">
        <v>0.199211</v>
      </c>
      <c r="AA35" s="32">
        <v>0.35761500000000002</v>
      </c>
      <c r="AB35" s="32">
        <v>0.30194300000000002</v>
      </c>
    </row>
    <row r="36" spans="1:28" ht="15.6" customHeight="1" x14ac:dyDescent="0.25">
      <c r="A36" s="24" t="s">
        <v>1036</v>
      </c>
      <c r="B36" s="50">
        <v>3070</v>
      </c>
      <c r="C36" s="25" t="s">
        <v>1037</v>
      </c>
      <c r="D36" s="25" t="s">
        <v>164</v>
      </c>
      <c r="E36" s="25" t="s">
        <v>102</v>
      </c>
      <c r="F36" s="25" t="s">
        <v>113</v>
      </c>
      <c r="G36" s="26" t="s">
        <v>1016</v>
      </c>
      <c r="H36" s="27" t="s">
        <v>120</v>
      </c>
      <c r="I36" s="24" t="s">
        <v>998</v>
      </c>
      <c r="J36" s="24" t="s">
        <v>107</v>
      </c>
      <c r="K36" s="28" t="s">
        <v>108</v>
      </c>
      <c r="L36" s="29">
        <v>0.03</v>
      </c>
      <c r="M36" s="29">
        <v>1.4999999999999999E-2</v>
      </c>
      <c r="N36" s="29">
        <v>0.02</v>
      </c>
      <c r="O36" s="27" t="s">
        <v>166</v>
      </c>
      <c r="P36" s="30" t="s">
        <v>164</v>
      </c>
      <c r="Q36" s="31">
        <v>145671241.34999999</v>
      </c>
      <c r="R36" s="31">
        <v>3943.78</v>
      </c>
      <c r="S36" s="32">
        <v>2.2720000000000001E-3</v>
      </c>
      <c r="T36" s="32" t="s">
        <v>139</v>
      </c>
      <c r="U36" s="32">
        <v>1.16E-3</v>
      </c>
      <c r="V36" s="32">
        <v>3.473E-3</v>
      </c>
      <c r="W36" s="32">
        <v>4.4089999999999997E-3</v>
      </c>
      <c r="X36" s="32">
        <v>1.0660000000000001E-3</v>
      </c>
      <c r="Y36" s="32">
        <v>-3.6809999999999998E-3</v>
      </c>
      <c r="Z36" s="32">
        <v>4.4485999999999998E-2</v>
      </c>
      <c r="AA36" s="32">
        <v>0.103529</v>
      </c>
      <c r="AB36" s="32">
        <v>7.9747999999999999E-2</v>
      </c>
    </row>
    <row r="37" spans="1:28" ht="15.6" customHeight="1" x14ac:dyDescent="0.25">
      <c r="A37" s="24" t="s">
        <v>1038</v>
      </c>
      <c r="B37" s="50">
        <v>3071</v>
      </c>
      <c r="C37" s="25" t="s">
        <v>1039</v>
      </c>
      <c r="D37" s="25" t="s">
        <v>164</v>
      </c>
      <c r="E37" s="25" t="s">
        <v>102</v>
      </c>
      <c r="F37" s="25" t="s">
        <v>138</v>
      </c>
      <c r="G37" s="26" t="s">
        <v>139</v>
      </c>
      <c r="H37" s="27" t="s">
        <v>1040</v>
      </c>
      <c r="I37" s="24" t="s">
        <v>998</v>
      </c>
      <c r="J37" s="24" t="s">
        <v>107</v>
      </c>
      <c r="K37" s="28" t="s">
        <v>108</v>
      </c>
      <c r="L37" s="29">
        <v>0.03</v>
      </c>
      <c r="M37" s="29">
        <v>1.4999999999999999E-2</v>
      </c>
      <c r="N37" s="29">
        <v>0.02</v>
      </c>
      <c r="O37" s="27" t="s">
        <v>166</v>
      </c>
      <c r="P37" s="30" t="s">
        <v>164</v>
      </c>
      <c r="Q37" s="31">
        <v>54110954.5</v>
      </c>
      <c r="R37" s="31">
        <v>631.99</v>
      </c>
      <c r="S37" s="32">
        <v>5.7334999999999997E-2</v>
      </c>
      <c r="T37" s="32" t="s">
        <v>139</v>
      </c>
      <c r="U37" s="32">
        <v>1.0343E-2</v>
      </c>
      <c r="V37" s="32">
        <v>5.0393E-2</v>
      </c>
      <c r="W37" s="32">
        <v>4.0483999999999999E-2</v>
      </c>
      <c r="X37" s="32">
        <v>4.5372000000000003E-2</v>
      </c>
      <c r="Y37" s="32">
        <v>3.7000000000000002E-3</v>
      </c>
      <c r="Z37" s="32">
        <v>0.23411399999999999</v>
      </c>
      <c r="AA37" s="32">
        <v>0.350435</v>
      </c>
      <c r="AB37" s="32">
        <v>0.30600699999999997</v>
      </c>
    </row>
    <row r="38" spans="1:28" ht="15.6" customHeight="1" x14ac:dyDescent="0.25">
      <c r="A38" s="24" t="s">
        <v>1041</v>
      </c>
      <c r="B38" s="50">
        <v>3072</v>
      </c>
      <c r="C38" s="25" t="s">
        <v>1042</v>
      </c>
      <c r="D38" s="25" t="s">
        <v>164</v>
      </c>
      <c r="E38" s="25" t="s">
        <v>102</v>
      </c>
      <c r="F38" s="25" t="s">
        <v>113</v>
      </c>
      <c r="G38" s="26" t="s">
        <v>1043</v>
      </c>
      <c r="H38" s="27" t="s">
        <v>327</v>
      </c>
      <c r="I38" s="24" t="s">
        <v>998</v>
      </c>
      <c r="J38" s="24" t="s">
        <v>121</v>
      </c>
      <c r="K38" s="28" t="s">
        <v>108</v>
      </c>
      <c r="L38" s="29">
        <v>0.03</v>
      </c>
      <c r="M38" s="29">
        <v>1.4999999999999999E-2</v>
      </c>
      <c r="N38" s="29">
        <v>0.02</v>
      </c>
      <c r="O38" s="27" t="s">
        <v>166</v>
      </c>
      <c r="P38" s="30" t="s">
        <v>164</v>
      </c>
      <c r="Q38" s="31">
        <v>10434313541.450001</v>
      </c>
      <c r="R38" s="31">
        <v>1313814.3500000001</v>
      </c>
      <c r="S38" s="32">
        <v>-5.2700000000000002E-4</v>
      </c>
      <c r="T38" s="32" t="s">
        <v>139</v>
      </c>
      <c r="U38" s="32">
        <v>8.7000000000000001E-4</v>
      </c>
      <c r="V38" s="32">
        <v>3.8430000000000001E-3</v>
      </c>
      <c r="W38" s="32">
        <v>4.0270000000000002E-3</v>
      </c>
      <c r="X38" s="32">
        <v>-1.601E-3</v>
      </c>
      <c r="Y38" s="32">
        <v>-2.542E-3</v>
      </c>
      <c r="Z38" s="32">
        <v>9.1370000000000007E-2</v>
      </c>
      <c r="AA38" s="32">
        <v>0.19580800000000001</v>
      </c>
      <c r="AB38" s="32">
        <v>0.16602900000000001</v>
      </c>
    </row>
    <row r="39" spans="1:28" ht="15.6" customHeight="1" x14ac:dyDescent="0.25">
      <c r="A39" s="24" t="s">
        <v>184</v>
      </c>
      <c r="B39" s="50">
        <v>3073</v>
      </c>
      <c r="C39" s="25" t="s">
        <v>185</v>
      </c>
      <c r="D39" s="25" t="s">
        <v>101</v>
      </c>
      <c r="E39" s="25" t="s">
        <v>102</v>
      </c>
      <c r="F39" s="25" t="s">
        <v>103</v>
      </c>
      <c r="G39" s="26" t="s">
        <v>134</v>
      </c>
      <c r="H39" s="27" t="s">
        <v>130</v>
      </c>
      <c r="I39" s="24" t="s">
        <v>106</v>
      </c>
      <c r="J39" s="24" t="s">
        <v>107</v>
      </c>
      <c r="K39" s="28" t="s">
        <v>108</v>
      </c>
      <c r="L39" s="29">
        <v>0</v>
      </c>
      <c r="M39" s="29">
        <v>0</v>
      </c>
      <c r="N39" s="29">
        <v>0.02</v>
      </c>
      <c r="O39" s="27" t="s">
        <v>109</v>
      </c>
      <c r="P39" s="30" t="s">
        <v>101</v>
      </c>
      <c r="Q39" s="31">
        <v>1713348913.8599999</v>
      </c>
      <c r="R39" s="31">
        <v>168.52</v>
      </c>
      <c r="S39" s="32">
        <v>1.3653999999999999E-2</v>
      </c>
      <c r="T39" s="32" t="s">
        <v>139</v>
      </c>
      <c r="U39" s="32">
        <v>4.75E-4</v>
      </c>
      <c r="V39" s="32">
        <v>1.7240000000000001E-3</v>
      </c>
      <c r="W39" s="32">
        <v>5.489E-3</v>
      </c>
      <c r="X39" s="32">
        <v>1.0675E-2</v>
      </c>
      <c r="Y39" s="32">
        <v>2.0159E-2</v>
      </c>
      <c r="Z39" s="32">
        <v>4.4502E-2</v>
      </c>
      <c r="AA39" s="32">
        <v>7.5498999999999997E-2</v>
      </c>
      <c r="AB39" s="32">
        <v>0.112343</v>
      </c>
    </row>
    <row r="40" spans="1:28" ht="15.6" customHeight="1" x14ac:dyDescent="0.25">
      <c r="A40" s="24" t="s">
        <v>1044</v>
      </c>
      <c r="B40" s="50">
        <v>3074</v>
      </c>
      <c r="C40" s="25" t="s">
        <v>1045</v>
      </c>
      <c r="D40" s="25" t="s">
        <v>112</v>
      </c>
      <c r="E40" s="25" t="s">
        <v>102</v>
      </c>
      <c r="F40" s="25" t="s">
        <v>155</v>
      </c>
      <c r="G40" s="26" t="s">
        <v>139</v>
      </c>
      <c r="H40" s="27" t="s">
        <v>1046</v>
      </c>
      <c r="I40" s="24" t="s">
        <v>998</v>
      </c>
      <c r="J40" s="24" t="s">
        <v>107</v>
      </c>
      <c r="K40" s="28" t="s">
        <v>108</v>
      </c>
      <c r="L40" s="29">
        <v>0.01</v>
      </c>
      <c r="M40" s="29">
        <v>0.01</v>
      </c>
      <c r="N40" s="29">
        <v>0.02</v>
      </c>
      <c r="O40" s="27" t="s">
        <v>116</v>
      </c>
      <c r="P40" s="30" t="s">
        <v>112</v>
      </c>
      <c r="Q40" s="31">
        <v>4655437.53</v>
      </c>
      <c r="R40" s="31">
        <v>9926.2999999999993</v>
      </c>
      <c r="S40" s="32">
        <v>-4.2313999999999997E-2</v>
      </c>
      <c r="T40" s="32" t="s">
        <v>139</v>
      </c>
      <c r="U40" s="32">
        <v>8.5730000000000008E-3</v>
      </c>
      <c r="V40" s="32">
        <v>5.3310000000000003E-2</v>
      </c>
      <c r="W40" s="32">
        <v>5.2391E-2</v>
      </c>
      <c r="X40" s="32">
        <v>-2.9259E-2</v>
      </c>
      <c r="Y40" s="32">
        <v>-0.12809999999999999</v>
      </c>
      <c r="Z40" s="32">
        <v>0.19128500000000001</v>
      </c>
      <c r="AA40" s="32">
        <v>0.34185599999999999</v>
      </c>
      <c r="AB40" s="32">
        <v>0.30992700000000001</v>
      </c>
    </row>
    <row r="41" spans="1:28" ht="15.6" customHeight="1" x14ac:dyDescent="0.25">
      <c r="A41" s="24" t="s">
        <v>1047</v>
      </c>
      <c r="B41" s="50">
        <v>3075</v>
      </c>
      <c r="C41" s="25" t="s">
        <v>1048</v>
      </c>
      <c r="D41" s="25" t="s">
        <v>112</v>
      </c>
      <c r="E41" s="25" t="s">
        <v>102</v>
      </c>
      <c r="F41" s="25" t="s">
        <v>138</v>
      </c>
      <c r="G41" s="26" t="s">
        <v>139</v>
      </c>
      <c r="H41" s="27" t="s">
        <v>1049</v>
      </c>
      <c r="I41" s="24" t="s">
        <v>998</v>
      </c>
      <c r="J41" s="24" t="s">
        <v>107</v>
      </c>
      <c r="K41" s="28" t="s">
        <v>108</v>
      </c>
      <c r="L41" s="29">
        <v>0.01</v>
      </c>
      <c r="M41" s="29">
        <v>0.01</v>
      </c>
      <c r="N41" s="29">
        <v>0.02</v>
      </c>
      <c r="O41" s="27" t="s">
        <v>116</v>
      </c>
      <c r="P41" s="30" t="s">
        <v>112</v>
      </c>
      <c r="Q41" s="31">
        <v>2862062.57</v>
      </c>
      <c r="R41" s="31">
        <v>4409.95</v>
      </c>
      <c r="S41" s="32">
        <v>1.7290000000000001E-3</v>
      </c>
      <c r="T41" s="32" t="s">
        <v>139</v>
      </c>
      <c r="U41" s="32">
        <v>5.1809999999999998E-3</v>
      </c>
      <c r="V41" s="32">
        <v>2.0080000000000001E-2</v>
      </c>
      <c r="W41" s="32">
        <v>1.7759E-2</v>
      </c>
      <c r="X41" s="32">
        <v>4.032E-3</v>
      </c>
      <c r="Y41" s="32">
        <v>-1.7288000000000001E-2</v>
      </c>
      <c r="Z41" s="32">
        <v>5.9470000000000002E-2</v>
      </c>
      <c r="AA41" s="32">
        <v>0.10910300000000001</v>
      </c>
      <c r="AB41" s="32">
        <v>-6.87E-4</v>
      </c>
    </row>
    <row r="42" spans="1:28" ht="15.6" customHeight="1" x14ac:dyDescent="0.25">
      <c r="A42" s="24" t="s">
        <v>1050</v>
      </c>
      <c r="B42" s="50">
        <v>3076</v>
      </c>
      <c r="C42" s="25" t="s">
        <v>1051</v>
      </c>
      <c r="D42" s="25" t="s">
        <v>241</v>
      </c>
      <c r="E42" s="25" t="s">
        <v>102</v>
      </c>
      <c r="F42" s="25" t="s">
        <v>138</v>
      </c>
      <c r="G42" s="26" t="s">
        <v>139</v>
      </c>
      <c r="H42" s="27" t="s">
        <v>1052</v>
      </c>
      <c r="I42" s="24" t="s">
        <v>998</v>
      </c>
      <c r="J42" s="24" t="s">
        <v>107</v>
      </c>
      <c r="K42" s="28" t="s">
        <v>108</v>
      </c>
      <c r="L42" s="29">
        <v>0.03</v>
      </c>
      <c r="M42" s="29">
        <v>1.4999999999999999E-2</v>
      </c>
      <c r="N42" s="29">
        <v>0.02</v>
      </c>
      <c r="O42" s="27" t="s">
        <v>148</v>
      </c>
      <c r="P42" s="30" t="s">
        <v>241</v>
      </c>
      <c r="Q42" s="31">
        <v>43587016.119999997</v>
      </c>
      <c r="R42" s="31">
        <v>1551.02</v>
      </c>
      <c r="S42" s="32">
        <v>1.2514000000000001E-2</v>
      </c>
      <c r="T42" s="32" t="s">
        <v>139</v>
      </c>
      <c r="U42" s="32">
        <v>5.0670000000000003E-3</v>
      </c>
      <c r="V42" s="32">
        <v>2.6051000000000001E-2</v>
      </c>
      <c r="W42" s="32">
        <v>1.7729999999999999E-2</v>
      </c>
      <c r="X42" s="32">
        <v>8.4849999999999995E-3</v>
      </c>
      <c r="Y42" s="32">
        <v>-1.8938E-2</v>
      </c>
      <c r="Z42" s="32">
        <v>0.18829299999999999</v>
      </c>
      <c r="AA42" s="32">
        <v>0.31284400000000001</v>
      </c>
      <c r="AB42" s="32">
        <v>0.31712499999999999</v>
      </c>
    </row>
    <row r="43" spans="1:28" ht="15.6" customHeight="1" x14ac:dyDescent="0.25">
      <c r="A43" s="24" t="s">
        <v>186</v>
      </c>
      <c r="B43" s="50">
        <v>3077</v>
      </c>
      <c r="C43" s="25" t="s">
        <v>187</v>
      </c>
      <c r="D43" s="25" t="s">
        <v>127</v>
      </c>
      <c r="E43" s="25" t="s">
        <v>102</v>
      </c>
      <c r="F43" s="25" t="s">
        <v>103</v>
      </c>
      <c r="G43" s="26" t="s">
        <v>104</v>
      </c>
      <c r="H43" s="27" t="s">
        <v>188</v>
      </c>
      <c r="I43" s="24" t="s">
        <v>106</v>
      </c>
      <c r="J43" s="24" t="s">
        <v>107</v>
      </c>
      <c r="K43" s="28" t="s">
        <v>108</v>
      </c>
      <c r="L43" s="29">
        <v>0</v>
      </c>
      <c r="M43" s="29">
        <v>0</v>
      </c>
      <c r="N43" s="29">
        <v>0.02</v>
      </c>
      <c r="O43" s="27" t="s">
        <v>131</v>
      </c>
      <c r="P43" s="30" t="s">
        <v>131</v>
      </c>
      <c r="Q43" s="31">
        <v>528338706.41000003</v>
      </c>
      <c r="R43" s="31">
        <v>216.32</v>
      </c>
      <c r="S43" s="32">
        <v>1.4444E-2</v>
      </c>
      <c r="T43" s="32" t="s">
        <v>139</v>
      </c>
      <c r="U43" s="32">
        <v>5.5500000000000005E-4</v>
      </c>
      <c r="V43" s="32">
        <v>1.8060000000000001E-3</v>
      </c>
      <c r="W43" s="32">
        <v>5.8120000000000003E-3</v>
      </c>
      <c r="X43" s="32">
        <v>1.1266E-2</v>
      </c>
      <c r="Y43" s="32">
        <v>2.1534000000000001E-2</v>
      </c>
      <c r="Z43" s="32">
        <v>4.8265000000000002E-2</v>
      </c>
      <c r="AA43" s="32">
        <v>8.0842999999999998E-2</v>
      </c>
      <c r="AB43" s="32">
        <v>0.11923400000000001</v>
      </c>
    </row>
    <row r="44" spans="1:28" ht="15.6" customHeight="1" x14ac:dyDescent="0.25">
      <c r="A44" s="24" t="s">
        <v>189</v>
      </c>
      <c r="B44" s="50">
        <v>3078</v>
      </c>
      <c r="C44" s="25" t="s">
        <v>190</v>
      </c>
      <c r="D44" s="25" t="s">
        <v>127</v>
      </c>
      <c r="E44" s="25" t="s">
        <v>102</v>
      </c>
      <c r="F44" s="25" t="s">
        <v>113</v>
      </c>
      <c r="G44" s="26" t="s">
        <v>191</v>
      </c>
      <c r="H44" s="27" t="s">
        <v>120</v>
      </c>
      <c r="I44" s="24" t="s">
        <v>106</v>
      </c>
      <c r="J44" s="24" t="s">
        <v>107</v>
      </c>
      <c r="K44" s="28" t="s">
        <v>108</v>
      </c>
      <c r="L44" s="29">
        <v>5.0000000000000001E-3</v>
      </c>
      <c r="M44" s="29">
        <v>1E-3</v>
      </c>
      <c r="N44" s="29">
        <v>0.02</v>
      </c>
      <c r="O44" s="27" t="s">
        <v>131</v>
      </c>
      <c r="P44" s="30" t="s">
        <v>131</v>
      </c>
      <c r="Q44" s="31">
        <v>1275044551.1199999</v>
      </c>
      <c r="R44" s="31">
        <v>248.82</v>
      </c>
      <c r="S44" s="32">
        <v>-1.6050000000000001E-3</v>
      </c>
      <c r="T44" s="32" t="s">
        <v>139</v>
      </c>
      <c r="U44" s="32">
        <v>1.933E-3</v>
      </c>
      <c r="V44" s="32">
        <v>7.2459999999999998E-3</v>
      </c>
      <c r="W44" s="32">
        <v>5.4549999999999998E-3</v>
      </c>
      <c r="X44" s="32">
        <v>-2.6059999999999998E-3</v>
      </c>
      <c r="Y44" s="32">
        <v>-1.2815E-2</v>
      </c>
      <c r="Z44" s="32">
        <v>7.1114999999999998E-2</v>
      </c>
      <c r="AA44" s="32">
        <v>0.151838</v>
      </c>
      <c r="AB44" s="32">
        <v>0.134245</v>
      </c>
    </row>
    <row r="45" spans="1:28" ht="15.6" customHeight="1" x14ac:dyDescent="0.25">
      <c r="A45" s="24" t="s">
        <v>1053</v>
      </c>
      <c r="B45" s="50">
        <v>3079</v>
      </c>
      <c r="C45" s="25" t="s">
        <v>1054</v>
      </c>
      <c r="D45" s="25" t="s">
        <v>127</v>
      </c>
      <c r="E45" s="25" t="s">
        <v>102</v>
      </c>
      <c r="F45" s="25" t="s">
        <v>155</v>
      </c>
      <c r="G45" s="26" t="s">
        <v>139</v>
      </c>
      <c r="H45" s="27" t="s">
        <v>156</v>
      </c>
      <c r="I45" s="24" t="s">
        <v>998</v>
      </c>
      <c r="J45" s="24" t="s">
        <v>107</v>
      </c>
      <c r="K45" s="28" t="s">
        <v>108</v>
      </c>
      <c r="L45" s="29">
        <v>0.02</v>
      </c>
      <c r="M45" s="29">
        <v>1.4999999999999999E-2</v>
      </c>
      <c r="N45" s="29">
        <v>0.02</v>
      </c>
      <c r="O45" s="27" t="s">
        <v>131</v>
      </c>
      <c r="P45" s="30" t="s">
        <v>131</v>
      </c>
      <c r="Q45" s="31">
        <v>61152646.869999997</v>
      </c>
      <c r="R45" s="31">
        <v>354.72</v>
      </c>
      <c r="S45" s="32">
        <v>1.3023E-2</v>
      </c>
      <c r="T45" s="32" t="s">
        <v>139</v>
      </c>
      <c r="U45" s="32">
        <v>1.5488E-2</v>
      </c>
      <c r="V45" s="32">
        <v>7.5105000000000005E-2</v>
      </c>
      <c r="W45" s="32">
        <v>4.1548000000000002E-2</v>
      </c>
      <c r="X45" s="32">
        <v>9.2180000000000005E-3</v>
      </c>
      <c r="Y45" s="32">
        <v>-0.105688</v>
      </c>
      <c r="Z45" s="32">
        <v>0.295402</v>
      </c>
      <c r="AA45" s="32">
        <v>0.56326299999999996</v>
      </c>
      <c r="AB45" s="32">
        <v>0.498859</v>
      </c>
    </row>
    <row r="46" spans="1:28" ht="15.6" customHeight="1" x14ac:dyDescent="0.25">
      <c r="A46" s="24" t="s">
        <v>1055</v>
      </c>
      <c r="B46" s="50">
        <v>3080</v>
      </c>
      <c r="C46" s="25" t="s">
        <v>1056</v>
      </c>
      <c r="D46" s="25" t="s">
        <v>127</v>
      </c>
      <c r="E46" s="25" t="s">
        <v>102</v>
      </c>
      <c r="F46" s="25" t="s">
        <v>138</v>
      </c>
      <c r="G46" s="26" t="s">
        <v>139</v>
      </c>
      <c r="H46" s="27" t="s">
        <v>1057</v>
      </c>
      <c r="I46" s="24" t="s">
        <v>998</v>
      </c>
      <c r="J46" s="24" t="s">
        <v>107</v>
      </c>
      <c r="K46" s="28" t="s">
        <v>108</v>
      </c>
      <c r="L46" s="29">
        <v>0.02</v>
      </c>
      <c r="M46" s="29">
        <v>1.4999999999999999E-2</v>
      </c>
      <c r="N46" s="29">
        <v>0.02</v>
      </c>
      <c r="O46" s="27" t="s">
        <v>131</v>
      </c>
      <c r="P46" s="30" t="s">
        <v>131</v>
      </c>
      <c r="Q46" s="31">
        <v>267430139.11000001</v>
      </c>
      <c r="R46" s="31">
        <v>404.16</v>
      </c>
      <c r="S46" s="32">
        <v>7.1019999999999998E-3</v>
      </c>
      <c r="T46" s="32" t="s">
        <v>139</v>
      </c>
      <c r="U46" s="32">
        <v>7.0520000000000001E-3</v>
      </c>
      <c r="V46" s="32">
        <v>3.4636E-2</v>
      </c>
      <c r="W46" s="32">
        <v>2.0476999999999999E-2</v>
      </c>
      <c r="X46" s="32">
        <v>5.2729999999999999E-3</v>
      </c>
      <c r="Y46" s="32">
        <v>-4.9794999999999999E-2</v>
      </c>
      <c r="Z46" s="32">
        <v>0.17222599999999999</v>
      </c>
      <c r="AA46" s="32">
        <v>0.32056899999999999</v>
      </c>
      <c r="AB46" s="32">
        <v>0.28504000000000002</v>
      </c>
    </row>
    <row r="47" spans="1:28" ht="15.6" customHeight="1" x14ac:dyDescent="0.25">
      <c r="A47" s="24" t="s">
        <v>1058</v>
      </c>
      <c r="B47" s="50">
        <v>3082</v>
      </c>
      <c r="C47" s="25" t="s">
        <v>1059</v>
      </c>
      <c r="D47" s="25" t="s">
        <v>164</v>
      </c>
      <c r="E47" s="25" t="s">
        <v>102</v>
      </c>
      <c r="F47" s="25" t="s">
        <v>138</v>
      </c>
      <c r="G47" s="26" t="s">
        <v>139</v>
      </c>
      <c r="H47" s="27" t="s">
        <v>1060</v>
      </c>
      <c r="I47" s="24" t="s">
        <v>998</v>
      </c>
      <c r="J47" s="24" t="s">
        <v>107</v>
      </c>
      <c r="K47" s="28" t="s">
        <v>108</v>
      </c>
      <c r="L47" s="29">
        <v>0</v>
      </c>
      <c r="M47" s="29">
        <v>0</v>
      </c>
      <c r="N47" s="29">
        <v>0.02</v>
      </c>
      <c r="O47" s="27" t="s">
        <v>166</v>
      </c>
      <c r="P47" s="30" t="s">
        <v>164</v>
      </c>
      <c r="Q47" s="31">
        <v>164232839.56999999</v>
      </c>
      <c r="R47" s="31">
        <v>7165.79</v>
      </c>
      <c r="S47" s="32">
        <v>6.2317999999999998E-2</v>
      </c>
      <c r="T47" s="32" t="s">
        <v>139</v>
      </c>
      <c r="U47" s="32">
        <v>1.0361E-2</v>
      </c>
      <c r="V47" s="32">
        <v>5.0236000000000003E-2</v>
      </c>
      <c r="W47" s="32">
        <v>4.3434E-2</v>
      </c>
      <c r="X47" s="32">
        <v>5.2975000000000001E-2</v>
      </c>
      <c r="Y47" s="32">
        <v>2.7171000000000001E-2</v>
      </c>
      <c r="Z47" s="32">
        <v>0.30748999999999999</v>
      </c>
      <c r="AA47" s="32">
        <v>0.47743400000000003</v>
      </c>
      <c r="AB47" s="32">
        <v>0.46434599999999998</v>
      </c>
    </row>
    <row r="48" spans="1:28" ht="15.6" customHeight="1" x14ac:dyDescent="0.25">
      <c r="A48" s="24" t="s">
        <v>1061</v>
      </c>
      <c r="B48" s="50">
        <v>3083</v>
      </c>
      <c r="C48" s="25" t="s">
        <v>1062</v>
      </c>
      <c r="D48" s="25" t="s">
        <v>164</v>
      </c>
      <c r="E48" s="25" t="s">
        <v>102</v>
      </c>
      <c r="F48" s="25" t="s">
        <v>138</v>
      </c>
      <c r="G48" s="26" t="s">
        <v>139</v>
      </c>
      <c r="H48" s="27" t="s">
        <v>1063</v>
      </c>
      <c r="I48" s="24" t="s">
        <v>998</v>
      </c>
      <c r="J48" s="24" t="s">
        <v>107</v>
      </c>
      <c r="K48" s="28" t="s">
        <v>108</v>
      </c>
      <c r="L48" s="29">
        <v>0</v>
      </c>
      <c r="M48" s="29">
        <v>0</v>
      </c>
      <c r="N48" s="29">
        <v>0.02</v>
      </c>
      <c r="O48" s="27" t="s">
        <v>166</v>
      </c>
      <c r="P48" s="30" t="s">
        <v>164</v>
      </c>
      <c r="Q48" s="31">
        <v>1128285102.1300001</v>
      </c>
      <c r="R48" s="31">
        <v>5667.7</v>
      </c>
      <c r="S48" s="32">
        <v>0.118379</v>
      </c>
      <c r="T48" s="32" t="s">
        <v>139</v>
      </c>
      <c r="U48" s="32">
        <v>1.4629E-2</v>
      </c>
      <c r="V48" s="32">
        <v>6.3253000000000004E-2</v>
      </c>
      <c r="W48" s="32">
        <v>4.9725999999999999E-2</v>
      </c>
      <c r="X48" s="32">
        <v>9.1433E-2</v>
      </c>
      <c r="Y48" s="32">
        <v>8.8425000000000004E-2</v>
      </c>
      <c r="Z48" s="32">
        <v>0.36836200000000002</v>
      </c>
      <c r="AA48" s="32">
        <v>0.51868000000000003</v>
      </c>
      <c r="AB48" s="32">
        <v>0.49170799999999998</v>
      </c>
    </row>
    <row r="49" spans="1:28" ht="15.6" customHeight="1" x14ac:dyDescent="0.25">
      <c r="A49" s="24" t="s">
        <v>1064</v>
      </c>
      <c r="B49" s="50">
        <v>3507</v>
      </c>
      <c r="C49" s="25" t="s">
        <v>1065</v>
      </c>
      <c r="D49" s="25" t="s">
        <v>112</v>
      </c>
      <c r="E49" s="25" t="s">
        <v>194</v>
      </c>
      <c r="F49" s="25" t="s">
        <v>113</v>
      </c>
      <c r="G49" s="26" t="s">
        <v>1066</v>
      </c>
      <c r="H49" s="27" t="s">
        <v>1067</v>
      </c>
      <c r="I49" s="24" t="s">
        <v>998</v>
      </c>
      <c r="J49" s="24" t="s">
        <v>121</v>
      </c>
      <c r="K49" s="28" t="s">
        <v>108</v>
      </c>
      <c r="L49" s="29">
        <v>0.03</v>
      </c>
      <c r="M49" s="29">
        <v>1.4999999999999999E-2</v>
      </c>
      <c r="N49" s="29">
        <v>0.02</v>
      </c>
      <c r="O49" s="27" t="s">
        <v>548</v>
      </c>
      <c r="P49" s="30" t="s">
        <v>112</v>
      </c>
      <c r="Q49" s="31">
        <v>4813772661.3900003</v>
      </c>
      <c r="R49" s="31">
        <v>4425.16</v>
      </c>
      <c r="S49" s="32">
        <v>-7.7499999999999997E-4</v>
      </c>
      <c r="T49" s="32" t="s">
        <v>139</v>
      </c>
      <c r="U49" s="32">
        <v>1.9109999999999999E-3</v>
      </c>
      <c r="V49" s="32">
        <v>7.711E-3</v>
      </c>
      <c r="W49" s="32">
        <v>5.7660000000000003E-3</v>
      </c>
      <c r="X49" s="32">
        <v>-1.2979999999999999E-3</v>
      </c>
      <c r="Y49" s="32">
        <v>-1.0602E-2</v>
      </c>
      <c r="Z49" s="32">
        <v>0.100351</v>
      </c>
      <c r="AA49" s="32">
        <v>0.20566699999999999</v>
      </c>
      <c r="AB49" s="32">
        <v>0.13262299999999999</v>
      </c>
    </row>
    <row r="50" spans="1:28" ht="15.6" customHeight="1" x14ac:dyDescent="0.25">
      <c r="A50" s="24" t="s">
        <v>1068</v>
      </c>
      <c r="B50" s="50">
        <v>3508</v>
      </c>
      <c r="C50" s="25" t="s">
        <v>1069</v>
      </c>
      <c r="D50" s="25" t="s">
        <v>261</v>
      </c>
      <c r="E50" s="25" t="s">
        <v>194</v>
      </c>
      <c r="F50" s="25" t="s">
        <v>155</v>
      </c>
      <c r="G50" s="26" t="s">
        <v>139</v>
      </c>
      <c r="H50" s="27" t="s">
        <v>156</v>
      </c>
      <c r="I50" s="24" t="s">
        <v>998</v>
      </c>
      <c r="J50" s="24" t="s">
        <v>107</v>
      </c>
      <c r="K50" s="28" t="s">
        <v>108</v>
      </c>
      <c r="L50" s="29">
        <v>0.02</v>
      </c>
      <c r="M50" s="29">
        <v>6.0000000000000001E-3</v>
      </c>
      <c r="N50" s="29">
        <v>0.02</v>
      </c>
      <c r="O50" s="27" t="s">
        <v>262</v>
      </c>
      <c r="P50" s="30" t="s">
        <v>261</v>
      </c>
      <c r="Q50" s="31">
        <v>127568484.81</v>
      </c>
      <c r="R50" s="31">
        <v>4583.1899999999996</v>
      </c>
      <c r="S50" s="32">
        <v>-4.5935999999999998E-2</v>
      </c>
      <c r="T50" s="32" t="s">
        <v>139</v>
      </c>
      <c r="U50" s="32">
        <v>6.7860000000000004E-3</v>
      </c>
      <c r="V50" s="32">
        <v>5.2786E-2</v>
      </c>
      <c r="W50" s="32">
        <v>4.2582000000000002E-2</v>
      </c>
      <c r="X50" s="32">
        <v>-5.0415000000000001E-2</v>
      </c>
      <c r="Y50" s="32">
        <v>-0.147337</v>
      </c>
      <c r="Z50" s="32">
        <v>0.21517500000000001</v>
      </c>
      <c r="AA50" s="32">
        <v>0.45163999999999999</v>
      </c>
      <c r="AB50" s="32">
        <v>0.38748700000000003</v>
      </c>
    </row>
    <row r="51" spans="1:28" ht="15.6" customHeight="1" x14ac:dyDescent="0.25">
      <c r="A51" s="24" t="s">
        <v>1070</v>
      </c>
      <c r="B51" s="50">
        <v>3509</v>
      </c>
      <c r="C51" s="25" t="s">
        <v>1071</v>
      </c>
      <c r="D51" s="25" t="s">
        <v>261</v>
      </c>
      <c r="E51" s="25" t="s">
        <v>194</v>
      </c>
      <c r="F51" s="25" t="s">
        <v>113</v>
      </c>
      <c r="G51" s="26" t="s">
        <v>1072</v>
      </c>
      <c r="H51" s="27" t="s">
        <v>327</v>
      </c>
      <c r="I51" s="24" t="s">
        <v>998</v>
      </c>
      <c r="J51" s="24" t="s">
        <v>107</v>
      </c>
      <c r="K51" s="28" t="s">
        <v>108</v>
      </c>
      <c r="L51" s="29">
        <v>1.4999999999999999E-2</v>
      </c>
      <c r="M51" s="29">
        <v>3.0000000000000001E-3</v>
      </c>
      <c r="N51" s="29">
        <v>0.02</v>
      </c>
      <c r="O51" s="27" t="s">
        <v>262</v>
      </c>
      <c r="P51" s="30" t="s">
        <v>261</v>
      </c>
      <c r="Q51" s="31">
        <v>754865707.35000002</v>
      </c>
      <c r="R51" s="31">
        <v>3527.36</v>
      </c>
      <c r="S51" s="32">
        <v>-1.0916E-2</v>
      </c>
      <c r="T51" s="32" t="s">
        <v>139</v>
      </c>
      <c r="U51" s="32">
        <v>9.8799999999999995E-4</v>
      </c>
      <c r="V51" s="32">
        <v>6.339E-3</v>
      </c>
      <c r="W51" s="32">
        <v>2.2590000000000002E-3</v>
      </c>
      <c r="X51" s="32">
        <v>-9.9579999999999998E-3</v>
      </c>
      <c r="Y51" s="32">
        <v>-2.2766999999999999E-2</v>
      </c>
      <c r="Z51" s="32">
        <v>7.5536000000000006E-2</v>
      </c>
      <c r="AA51" s="32">
        <v>0.16228500000000001</v>
      </c>
      <c r="AB51" s="32">
        <v>9.1254000000000002E-2</v>
      </c>
    </row>
    <row r="52" spans="1:28" ht="15.6" customHeight="1" x14ac:dyDescent="0.25">
      <c r="A52" s="24" t="s">
        <v>1073</v>
      </c>
      <c r="B52" s="50">
        <v>3516</v>
      </c>
      <c r="C52" s="25" t="s">
        <v>9</v>
      </c>
      <c r="D52" s="25" t="s">
        <v>261</v>
      </c>
      <c r="E52" s="25" t="s">
        <v>194</v>
      </c>
      <c r="F52" s="25" t="s">
        <v>155</v>
      </c>
      <c r="G52" s="26" t="s">
        <v>139</v>
      </c>
      <c r="H52" s="27" t="s">
        <v>202</v>
      </c>
      <c r="I52" s="24" t="s">
        <v>998</v>
      </c>
      <c r="J52" s="24" t="s">
        <v>107</v>
      </c>
      <c r="K52" s="28" t="s">
        <v>108</v>
      </c>
      <c r="L52" s="29">
        <v>0.02</v>
      </c>
      <c r="M52" s="29">
        <v>6.0000000000000001E-3</v>
      </c>
      <c r="N52" s="29">
        <v>0.02</v>
      </c>
      <c r="O52" s="27" t="s">
        <v>262</v>
      </c>
      <c r="P52" s="30" t="s">
        <v>261</v>
      </c>
      <c r="Q52" s="31">
        <v>99812374.489999995</v>
      </c>
      <c r="R52" s="31">
        <v>4891.8</v>
      </c>
      <c r="S52" s="32">
        <v>-4.1832000000000001E-2</v>
      </c>
      <c r="T52" s="32" t="s">
        <v>139</v>
      </c>
      <c r="U52" s="32">
        <v>7.1609999999999998E-3</v>
      </c>
      <c r="V52" s="32">
        <v>5.4219999999999997E-2</v>
      </c>
      <c r="W52" s="32">
        <v>4.4084999999999999E-2</v>
      </c>
      <c r="X52" s="32">
        <v>-5.2763999999999998E-2</v>
      </c>
      <c r="Y52" s="32">
        <v>-0.135217</v>
      </c>
      <c r="Z52" s="32">
        <v>0.41568500000000003</v>
      </c>
      <c r="AA52" s="32">
        <v>0.93189900000000003</v>
      </c>
      <c r="AB52" s="32">
        <v>0.86822600000000005</v>
      </c>
    </row>
    <row r="53" spans="1:28" ht="15.6" customHeight="1" x14ac:dyDescent="0.25">
      <c r="A53" s="24" t="s">
        <v>1074</v>
      </c>
      <c r="B53" s="50">
        <v>3518</v>
      </c>
      <c r="C53" s="25" t="s">
        <v>1075</v>
      </c>
      <c r="D53" s="25" t="s">
        <v>101</v>
      </c>
      <c r="E53" s="25" t="s">
        <v>194</v>
      </c>
      <c r="F53" s="25" t="s">
        <v>138</v>
      </c>
      <c r="G53" s="26" t="s">
        <v>139</v>
      </c>
      <c r="H53" s="27" t="s">
        <v>283</v>
      </c>
      <c r="I53" s="24" t="s">
        <v>998</v>
      </c>
      <c r="J53" s="24" t="s">
        <v>121</v>
      </c>
      <c r="K53" s="28" t="s">
        <v>180</v>
      </c>
      <c r="L53" s="29">
        <v>0.03</v>
      </c>
      <c r="M53" s="29">
        <v>1.4999999999999999E-2</v>
      </c>
      <c r="N53" s="29">
        <v>0.02</v>
      </c>
      <c r="O53" s="27" t="s">
        <v>109</v>
      </c>
      <c r="P53" s="30" t="s">
        <v>101</v>
      </c>
      <c r="Q53" s="31">
        <v>358524051.20999998</v>
      </c>
      <c r="R53" s="31">
        <v>137523.60999999999</v>
      </c>
      <c r="S53" s="32">
        <v>3.8939999999999999E-3</v>
      </c>
      <c r="T53" s="32" t="s">
        <v>139</v>
      </c>
      <c r="U53" s="32">
        <v>5.4999999999999997E-3</v>
      </c>
      <c r="V53" s="32">
        <v>3.0672999999999999E-2</v>
      </c>
      <c r="W53" s="32">
        <v>2.4537E-2</v>
      </c>
      <c r="X53" s="32">
        <v>3.3540000000000002E-3</v>
      </c>
      <c r="Y53" s="32">
        <v>-3.9690999999999997E-2</v>
      </c>
      <c r="Z53" s="32">
        <v>0.14343700000000001</v>
      </c>
      <c r="AA53" s="32">
        <v>0.26244400000000001</v>
      </c>
      <c r="AB53" s="32">
        <v>0.25062200000000001</v>
      </c>
    </row>
    <row r="54" spans="1:28" ht="15.6" customHeight="1" x14ac:dyDescent="0.25">
      <c r="A54" s="24" t="s">
        <v>1076</v>
      </c>
      <c r="B54" s="50">
        <v>3519</v>
      </c>
      <c r="C54" s="25" t="s">
        <v>1077</v>
      </c>
      <c r="D54" s="25" t="s">
        <v>101</v>
      </c>
      <c r="E54" s="25" t="s">
        <v>194</v>
      </c>
      <c r="F54" s="25" t="s">
        <v>113</v>
      </c>
      <c r="G54" s="26" t="s">
        <v>647</v>
      </c>
      <c r="H54" s="27" t="s">
        <v>839</v>
      </c>
      <c r="I54" s="24" t="s">
        <v>998</v>
      </c>
      <c r="J54" s="24" t="s">
        <v>121</v>
      </c>
      <c r="K54" s="28" t="s">
        <v>108</v>
      </c>
      <c r="L54" s="29">
        <v>0.03</v>
      </c>
      <c r="M54" s="29">
        <v>1.4999999999999999E-2</v>
      </c>
      <c r="N54" s="29">
        <v>0.02</v>
      </c>
      <c r="O54" s="27" t="s">
        <v>109</v>
      </c>
      <c r="P54" s="30" t="s">
        <v>101</v>
      </c>
      <c r="Q54" s="31">
        <v>1510439.38</v>
      </c>
      <c r="R54" s="31">
        <v>1510439.38</v>
      </c>
      <c r="S54" s="32">
        <v>-1.1129E-2</v>
      </c>
      <c r="T54" s="32" t="s">
        <v>139</v>
      </c>
      <c r="U54" s="32">
        <v>5.8500000000000002E-4</v>
      </c>
      <c r="V54" s="32">
        <v>1.0549999999999999E-3</v>
      </c>
      <c r="W54" s="32">
        <v>-9.3099999999999997E-4</v>
      </c>
      <c r="X54" s="32">
        <v>-9.6609999999999994E-3</v>
      </c>
      <c r="Y54" s="32">
        <v>-2.2053E-2</v>
      </c>
      <c r="Z54" s="32">
        <v>2.2339999999999999E-2</v>
      </c>
      <c r="AA54" s="32">
        <v>4.7460000000000002E-2</v>
      </c>
      <c r="AB54" s="32">
        <v>3.1855000000000001E-2</v>
      </c>
    </row>
    <row r="55" spans="1:28" ht="15.6" customHeight="1" x14ac:dyDescent="0.25">
      <c r="A55" s="24" t="s">
        <v>1078</v>
      </c>
      <c r="B55" s="50">
        <v>3520</v>
      </c>
      <c r="C55" s="25" t="s">
        <v>1079</v>
      </c>
      <c r="D55" s="25" t="s">
        <v>101</v>
      </c>
      <c r="E55" s="25" t="s">
        <v>194</v>
      </c>
      <c r="F55" s="25" t="s">
        <v>113</v>
      </c>
      <c r="G55" s="26" t="s">
        <v>647</v>
      </c>
      <c r="H55" s="27" t="s">
        <v>839</v>
      </c>
      <c r="I55" s="24" t="s">
        <v>998</v>
      </c>
      <c r="J55" s="24" t="s">
        <v>121</v>
      </c>
      <c r="K55" s="28" t="s">
        <v>108</v>
      </c>
      <c r="L55" s="29">
        <v>0.03</v>
      </c>
      <c r="M55" s="29">
        <v>1.4999999999999999E-2</v>
      </c>
      <c r="N55" s="29">
        <v>0.02</v>
      </c>
      <c r="O55" s="27" t="s">
        <v>109</v>
      </c>
      <c r="P55" s="30" t="s">
        <v>101</v>
      </c>
      <c r="Q55" s="31">
        <v>555756371.38999999</v>
      </c>
      <c r="R55" s="31">
        <v>2987937.48</v>
      </c>
      <c r="S55" s="32">
        <v>-6.8719999999999996E-3</v>
      </c>
      <c r="T55" s="32" t="s">
        <v>139</v>
      </c>
      <c r="U55" s="32">
        <v>1.8289999999999999E-3</v>
      </c>
      <c r="V55" s="32">
        <v>6.391E-3</v>
      </c>
      <c r="W55" s="32">
        <v>4.4460000000000003E-3</v>
      </c>
      <c r="X55" s="32">
        <v>-4.3420000000000004E-3</v>
      </c>
      <c r="Y55" s="32">
        <v>-8.6669999999999994E-3</v>
      </c>
      <c r="Z55" s="32">
        <v>4.8800000000000003E-2</v>
      </c>
      <c r="AA55" s="32">
        <v>0.14047899999999999</v>
      </c>
      <c r="AB55" s="32">
        <v>9.9922999999999998E-2</v>
      </c>
    </row>
    <row r="56" spans="1:28" ht="15.6" customHeight="1" x14ac:dyDescent="0.25">
      <c r="A56" s="24" t="s">
        <v>1080</v>
      </c>
      <c r="B56" s="50">
        <v>3543</v>
      </c>
      <c r="C56" s="25" t="s">
        <v>1081</v>
      </c>
      <c r="D56" s="25" t="s">
        <v>101</v>
      </c>
      <c r="E56" s="25" t="s">
        <v>194</v>
      </c>
      <c r="F56" s="25" t="s">
        <v>113</v>
      </c>
      <c r="G56" s="26" t="s">
        <v>866</v>
      </c>
      <c r="H56" s="27" t="s">
        <v>120</v>
      </c>
      <c r="I56" s="24" t="s">
        <v>998</v>
      </c>
      <c r="J56" s="24" t="s">
        <v>121</v>
      </c>
      <c r="K56" s="28" t="s">
        <v>108</v>
      </c>
      <c r="L56" s="29">
        <v>0</v>
      </c>
      <c r="M56" s="29">
        <v>0</v>
      </c>
      <c r="N56" s="29">
        <v>5.0000000000000001E-3</v>
      </c>
      <c r="O56" s="27" t="s">
        <v>262</v>
      </c>
      <c r="P56" s="30" t="s">
        <v>101</v>
      </c>
      <c r="Q56" s="31">
        <v>4719797522.9799995</v>
      </c>
      <c r="R56" s="31">
        <v>261586.07</v>
      </c>
      <c r="S56" s="32">
        <v>6.0330000000000002E-3</v>
      </c>
      <c r="T56" s="32" t="s">
        <v>139</v>
      </c>
      <c r="U56" s="32">
        <v>8.1400000000000005E-4</v>
      </c>
      <c r="V56" s="32">
        <v>3.5860000000000002E-3</v>
      </c>
      <c r="W56" s="32">
        <v>5.9059999999999998E-3</v>
      </c>
      <c r="X56" s="32">
        <v>5.4330000000000003E-3</v>
      </c>
      <c r="Y56" s="32">
        <v>7.9120000000000006E-3</v>
      </c>
      <c r="Z56" s="32">
        <v>4.1973000000000003E-2</v>
      </c>
      <c r="AA56" s="32">
        <v>8.4318000000000004E-2</v>
      </c>
      <c r="AB56" s="32">
        <v>0.10638</v>
      </c>
    </row>
    <row r="57" spans="1:28" ht="15.6" customHeight="1" x14ac:dyDescent="0.25">
      <c r="A57" s="24" t="s">
        <v>1082</v>
      </c>
      <c r="B57" s="50">
        <v>3545</v>
      </c>
      <c r="C57" s="25" t="s">
        <v>1083</v>
      </c>
      <c r="D57" s="25" t="s">
        <v>112</v>
      </c>
      <c r="E57" s="25" t="s">
        <v>194</v>
      </c>
      <c r="F57" s="25" t="s">
        <v>155</v>
      </c>
      <c r="G57" s="26" t="s">
        <v>139</v>
      </c>
      <c r="H57" s="27" t="s">
        <v>202</v>
      </c>
      <c r="I57" s="24" t="s">
        <v>998</v>
      </c>
      <c r="J57" s="24" t="s">
        <v>121</v>
      </c>
      <c r="K57" s="28" t="s">
        <v>180</v>
      </c>
      <c r="L57" s="29">
        <v>0.03</v>
      </c>
      <c r="M57" s="29">
        <v>1.4999999999999999E-2</v>
      </c>
      <c r="N57" s="29">
        <v>0.02</v>
      </c>
      <c r="O57" s="27" t="s">
        <v>116</v>
      </c>
      <c r="P57" s="30" t="s">
        <v>112</v>
      </c>
      <c r="Q57" s="31">
        <v>230321303.93000001</v>
      </c>
      <c r="R57" s="31">
        <v>6690.13</v>
      </c>
      <c r="S57" s="32">
        <v>-3.8433000000000002E-2</v>
      </c>
      <c r="T57" s="32" t="s">
        <v>139</v>
      </c>
      <c r="U57" s="32">
        <v>1.0406E-2</v>
      </c>
      <c r="V57" s="32">
        <v>7.1733000000000005E-2</v>
      </c>
      <c r="W57" s="32">
        <v>5.4994000000000001E-2</v>
      </c>
      <c r="X57" s="32">
        <v>-2.2107999999999999E-2</v>
      </c>
      <c r="Y57" s="32">
        <v>-0.13100500000000001</v>
      </c>
      <c r="Z57" s="32">
        <v>0.27740300000000001</v>
      </c>
      <c r="AA57" s="32">
        <v>0.497753</v>
      </c>
      <c r="AB57" s="32">
        <v>0.43819799999999998</v>
      </c>
    </row>
    <row r="58" spans="1:28" ht="15.6" customHeight="1" x14ac:dyDescent="0.25">
      <c r="A58" s="24" t="s">
        <v>1084</v>
      </c>
      <c r="B58" s="50">
        <v>3546</v>
      </c>
      <c r="C58" s="25" t="s">
        <v>1085</v>
      </c>
      <c r="D58" s="25" t="s">
        <v>112</v>
      </c>
      <c r="E58" s="25" t="s">
        <v>194</v>
      </c>
      <c r="F58" s="25" t="s">
        <v>113</v>
      </c>
      <c r="G58" s="26" t="s">
        <v>1086</v>
      </c>
      <c r="H58" s="27" t="s">
        <v>115</v>
      </c>
      <c r="I58" s="24" t="s">
        <v>998</v>
      </c>
      <c r="J58" s="24" t="s">
        <v>121</v>
      </c>
      <c r="K58" s="28" t="s">
        <v>108</v>
      </c>
      <c r="L58" s="29">
        <v>0</v>
      </c>
      <c r="M58" s="29">
        <v>0</v>
      </c>
      <c r="N58" s="29" t="s">
        <v>139</v>
      </c>
      <c r="O58" s="27" t="s">
        <v>116</v>
      </c>
      <c r="P58" s="30" t="s">
        <v>112</v>
      </c>
      <c r="Q58" s="31">
        <v>2420905567.6799998</v>
      </c>
      <c r="R58" s="31">
        <v>2731.36</v>
      </c>
      <c r="S58" s="32">
        <v>-1.3339999999999999E-3</v>
      </c>
      <c r="T58" s="32" t="s">
        <v>139</v>
      </c>
      <c r="U58" s="32">
        <v>1.188E-3</v>
      </c>
      <c r="V58" s="32">
        <v>4.3059999999999999E-3</v>
      </c>
      <c r="W58" s="32">
        <v>4.8300000000000001E-3</v>
      </c>
      <c r="X58" s="32">
        <v>-1.193E-3</v>
      </c>
      <c r="Y58" s="32">
        <v>-6.4460000000000003E-3</v>
      </c>
      <c r="Z58" s="32">
        <v>8.4770999999999999E-2</v>
      </c>
      <c r="AA58" s="32">
        <v>0.18332999999999999</v>
      </c>
      <c r="AB58" s="32">
        <v>8.0557000000000004E-2</v>
      </c>
    </row>
    <row r="59" spans="1:28" ht="15.6" customHeight="1" x14ac:dyDescent="0.25">
      <c r="A59" s="24" t="s">
        <v>1087</v>
      </c>
      <c r="B59" s="50">
        <v>3548</v>
      </c>
      <c r="C59" s="25" t="s">
        <v>1088</v>
      </c>
      <c r="D59" s="25" t="s">
        <v>112</v>
      </c>
      <c r="E59" s="25" t="s">
        <v>194</v>
      </c>
      <c r="F59" s="25" t="s">
        <v>155</v>
      </c>
      <c r="G59" s="26" t="s">
        <v>139</v>
      </c>
      <c r="H59" s="27" t="s">
        <v>202</v>
      </c>
      <c r="I59" s="24" t="s">
        <v>998</v>
      </c>
      <c r="J59" s="24" t="s">
        <v>121</v>
      </c>
      <c r="K59" s="28" t="s">
        <v>108</v>
      </c>
      <c r="L59" s="29">
        <v>0.03</v>
      </c>
      <c r="M59" s="29">
        <v>1.4999999999999999E-2</v>
      </c>
      <c r="N59" s="29">
        <v>0.02</v>
      </c>
      <c r="O59" s="27" t="s">
        <v>116</v>
      </c>
      <c r="P59" s="30" t="s">
        <v>112</v>
      </c>
      <c r="Q59" s="31">
        <v>1792653968.72</v>
      </c>
      <c r="R59" s="31">
        <v>7774.13</v>
      </c>
      <c r="S59" s="32">
        <v>-1.4334E-2</v>
      </c>
      <c r="T59" s="32" t="s">
        <v>139</v>
      </c>
      <c r="U59" s="32">
        <v>1.5106E-2</v>
      </c>
      <c r="V59" s="32">
        <v>8.1715999999999997E-2</v>
      </c>
      <c r="W59" s="32">
        <v>6.5522999999999998E-2</v>
      </c>
      <c r="X59" s="32">
        <v>-1.513E-3</v>
      </c>
      <c r="Y59" s="32">
        <v>-0.114996</v>
      </c>
      <c r="Z59" s="32">
        <v>0.24126300000000001</v>
      </c>
      <c r="AA59" s="32">
        <v>0.42099599999999998</v>
      </c>
      <c r="AB59" s="32">
        <v>0.37342700000000001</v>
      </c>
    </row>
    <row r="60" spans="1:28" ht="15.6" customHeight="1" x14ac:dyDescent="0.25">
      <c r="A60" s="24" t="s">
        <v>1089</v>
      </c>
      <c r="B60" s="50">
        <v>3549</v>
      </c>
      <c r="C60" s="25" t="s">
        <v>1090</v>
      </c>
      <c r="D60" s="25" t="s">
        <v>101</v>
      </c>
      <c r="E60" s="25" t="s">
        <v>194</v>
      </c>
      <c r="F60" s="25" t="s">
        <v>138</v>
      </c>
      <c r="G60" s="26" t="s">
        <v>139</v>
      </c>
      <c r="H60" s="27" t="s">
        <v>1006</v>
      </c>
      <c r="I60" s="24" t="s">
        <v>998</v>
      </c>
      <c r="J60" s="24" t="s">
        <v>121</v>
      </c>
      <c r="K60" s="28" t="s">
        <v>108</v>
      </c>
      <c r="L60" s="29">
        <v>0.03</v>
      </c>
      <c r="M60" s="29">
        <v>1.4999999999999999E-2</v>
      </c>
      <c r="N60" s="29">
        <v>7.4999999999999997E-3</v>
      </c>
      <c r="O60" s="27" t="s">
        <v>109</v>
      </c>
      <c r="P60" s="30" t="s">
        <v>101</v>
      </c>
      <c r="Q60" s="31">
        <v>35007206.530000001</v>
      </c>
      <c r="R60" s="31">
        <v>36849.69</v>
      </c>
      <c r="S60" s="32">
        <v>-6.6100000000000002E-4</v>
      </c>
      <c r="T60" s="32" t="s">
        <v>139</v>
      </c>
      <c r="U60" s="32">
        <v>1.6429999999999999E-3</v>
      </c>
      <c r="V60" s="32">
        <v>1.4847000000000001E-2</v>
      </c>
      <c r="W60" s="32">
        <v>1.4992999999999999E-2</v>
      </c>
      <c r="X60" s="32">
        <v>3.1800000000000001E-3</v>
      </c>
      <c r="Y60" s="32">
        <v>-2.6422000000000001E-2</v>
      </c>
      <c r="Z60" s="32">
        <v>0.12936600000000001</v>
      </c>
      <c r="AA60" s="32">
        <v>0.23544799999999999</v>
      </c>
      <c r="AB60" s="32">
        <v>0.255718</v>
      </c>
    </row>
    <row r="61" spans="1:28" ht="15.6" customHeight="1" x14ac:dyDescent="0.25">
      <c r="A61" s="24" t="s">
        <v>1091</v>
      </c>
      <c r="B61" s="50">
        <v>3550</v>
      </c>
      <c r="C61" s="25" t="s">
        <v>1092</v>
      </c>
      <c r="D61" s="25" t="s">
        <v>101</v>
      </c>
      <c r="E61" s="25" t="s">
        <v>194</v>
      </c>
      <c r="F61" s="25" t="s">
        <v>138</v>
      </c>
      <c r="G61" s="26" t="s">
        <v>139</v>
      </c>
      <c r="H61" s="27" t="s">
        <v>283</v>
      </c>
      <c r="I61" s="24" t="s">
        <v>998</v>
      </c>
      <c r="J61" s="24" t="s">
        <v>121</v>
      </c>
      <c r="K61" s="28" t="s">
        <v>180</v>
      </c>
      <c r="L61" s="29">
        <v>0.03</v>
      </c>
      <c r="M61" s="29">
        <v>1.4999999999999999E-2</v>
      </c>
      <c r="N61" s="29">
        <v>0.02</v>
      </c>
      <c r="O61" s="27" t="s">
        <v>109</v>
      </c>
      <c r="P61" s="30" t="s">
        <v>101</v>
      </c>
      <c r="Q61" s="31">
        <v>2471148.59</v>
      </c>
      <c r="R61" s="31">
        <v>176510.61</v>
      </c>
      <c r="S61" s="32">
        <v>1.25E-4</v>
      </c>
      <c r="T61" s="32" t="s">
        <v>139</v>
      </c>
      <c r="U61" s="32">
        <v>8.2100000000000001E-4</v>
      </c>
      <c r="V61" s="32">
        <v>2.1919999999999999E-3</v>
      </c>
      <c r="W61" s="32">
        <v>3.3050000000000002E-3</v>
      </c>
      <c r="X61" s="32">
        <v>1.3320000000000001E-3</v>
      </c>
      <c r="Y61" s="32">
        <v>-1.8389999999999999E-3</v>
      </c>
      <c r="Z61" s="32">
        <v>1.1620999999999999E-2</v>
      </c>
      <c r="AA61" s="32">
        <v>3.2217999999999997E-2</v>
      </c>
      <c r="AB61" s="32">
        <v>3.1678999999999999E-2</v>
      </c>
    </row>
    <row r="62" spans="1:28" ht="15.6" customHeight="1" x14ac:dyDescent="0.25">
      <c r="A62" s="24" t="s">
        <v>1093</v>
      </c>
      <c r="B62" s="50">
        <v>3551</v>
      </c>
      <c r="C62" s="25" t="s">
        <v>1094</v>
      </c>
      <c r="D62" s="25" t="s">
        <v>101</v>
      </c>
      <c r="E62" s="25" t="s">
        <v>194</v>
      </c>
      <c r="F62" s="25" t="s">
        <v>138</v>
      </c>
      <c r="G62" s="26" t="s">
        <v>139</v>
      </c>
      <c r="H62" s="27" t="s">
        <v>283</v>
      </c>
      <c r="I62" s="24" t="s">
        <v>998</v>
      </c>
      <c r="J62" s="24" t="s">
        <v>121</v>
      </c>
      <c r="K62" s="28" t="s">
        <v>180</v>
      </c>
      <c r="L62" s="29">
        <v>0.03</v>
      </c>
      <c r="M62" s="29">
        <v>1.4999999999999999E-2</v>
      </c>
      <c r="N62" s="29">
        <v>0.02</v>
      </c>
      <c r="O62" s="27" t="s">
        <v>109</v>
      </c>
      <c r="P62" s="30" t="s">
        <v>101</v>
      </c>
      <c r="Q62" s="31">
        <v>226365390</v>
      </c>
      <c r="R62" s="31">
        <v>250404.19</v>
      </c>
      <c r="S62" s="32">
        <v>2.1979999999999999E-3</v>
      </c>
      <c r="T62" s="32" t="s">
        <v>139</v>
      </c>
      <c r="U62" s="32">
        <v>5.3489999999999996E-3</v>
      </c>
      <c r="V62" s="32">
        <v>3.0053E-2</v>
      </c>
      <c r="W62" s="32">
        <v>2.3789999999999999E-2</v>
      </c>
      <c r="X62" s="32">
        <v>1.82E-3</v>
      </c>
      <c r="Y62" s="32">
        <v>-4.4081000000000002E-2</v>
      </c>
      <c r="Z62" s="32">
        <v>0.139823</v>
      </c>
      <c r="AA62" s="32">
        <v>0.25105</v>
      </c>
      <c r="AB62" s="32">
        <v>0.24884000000000001</v>
      </c>
    </row>
    <row r="63" spans="1:28" ht="15.6" customHeight="1" x14ac:dyDescent="0.25">
      <c r="A63" s="24" t="s">
        <v>1095</v>
      </c>
      <c r="B63" s="50">
        <v>3552</v>
      </c>
      <c r="C63" s="25" t="s">
        <v>1096</v>
      </c>
      <c r="D63" s="25" t="s">
        <v>101</v>
      </c>
      <c r="E63" s="25" t="s">
        <v>194</v>
      </c>
      <c r="F63" s="25" t="s">
        <v>138</v>
      </c>
      <c r="G63" s="26" t="s">
        <v>139</v>
      </c>
      <c r="H63" s="27" t="s">
        <v>202</v>
      </c>
      <c r="I63" s="24" t="s">
        <v>998</v>
      </c>
      <c r="J63" s="24" t="s">
        <v>121</v>
      </c>
      <c r="K63" s="28" t="s">
        <v>227</v>
      </c>
      <c r="L63" s="29">
        <v>0.03</v>
      </c>
      <c r="M63" s="29">
        <v>1.4999999999999999E-2</v>
      </c>
      <c r="N63" s="29">
        <v>0</v>
      </c>
      <c r="O63" s="27" t="s">
        <v>109</v>
      </c>
      <c r="P63" s="30" t="s">
        <v>101</v>
      </c>
      <c r="Q63" s="31">
        <v>824545016.59000003</v>
      </c>
      <c r="R63" s="31">
        <v>181497.91</v>
      </c>
      <c r="S63" s="32">
        <v>1.0423999999999999E-2</v>
      </c>
      <c r="T63" s="32" t="s">
        <v>139</v>
      </c>
      <c r="U63" s="32">
        <v>5.9959999999999996E-3</v>
      </c>
      <c r="V63" s="32">
        <v>2.6808999999999999E-2</v>
      </c>
      <c r="W63" s="32">
        <v>2.2661000000000001E-2</v>
      </c>
      <c r="X63" s="32">
        <v>7.7340000000000004E-3</v>
      </c>
      <c r="Y63" s="32">
        <v>-2.3710999999999999E-2</v>
      </c>
      <c r="Z63" s="32">
        <v>0.196411</v>
      </c>
      <c r="AA63" s="32">
        <v>0.33534900000000001</v>
      </c>
      <c r="AB63" s="32">
        <v>0.29596699999999998</v>
      </c>
    </row>
    <row r="64" spans="1:28" ht="15.6" customHeight="1" x14ac:dyDescent="0.25">
      <c r="A64" s="24" t="s">
        <v>1097</v>
      </c>
      <c r="B64" s="50">
        <v>3553</v>
      </c>
      <c r="C64" s="25" t="s">
        <v>1098</v>
      </c>
      <c r="D64" s="25" t="s">
        <v>101</v>
      </c>
      <c r="E64" s="25" t="s">
        <v>194</v>
      </c>
      <c r="F64" s="25" t="s">
        <v>155</v>
      </c>
      <c r="G64" s="26" t="s">
        <v>139</v>
      </c>
      <c r="H64" s="27" t="s">
        <v>1099</v>
      </c>
      <c r="I64" s="24" t="s">
        <v>998</v>
      </c>
      <c r="J64" s="24" t="s">
        <v>121</v>
      </c>
      <c r="K64" s="28" t="s">
        <v>108</v>
      </c>
      <c r="L64" s="29">
        <v>0</v>
      </c>
      <c r="M64" s="29">
        <v>0</v>
      </c>
      <c r="N64" s="29">
        <v>0.02</v>
      </c>
      <c r="O64" s="27" t="s">
        <v>109</v>
      </c>
      <c r="P64" s="30" t="s">
        <v>101</v>
      </c>
      <c r="Q64" s="31">
        <v>1165689476.9200001</v>
      </c>
      <c r="R64" s="31">
        <v>524612.73</v>
      </c>
      <c r="S64" s="32">
        <v>3.9919999999999997E-2</v>
      </c>
      <c r="T64" s="32" t="s">
        <v>139</v>
      </c>
      <c r="U64" s="32">
        <v>1.5904000000000001E-2</v>
      </c>
      <c r="V64" s="32">
        <v>8.2095000000000001E-2</v>
      </c>
      <c r="W64" s="32">
        <v>6.3811999999999994E-2</v>
      </c>
      <c r="X64" s="32">
        <v>4.0307000000000003E-2</v>
      </c>
      <c r="Y64" s="32">
        <v>-5.2075000000000003E-2</v>
      </c>
      <c r="Z64" s="32">
        <v>0.40313700000000002</v>
      </c>
      <c r="AA64" s="32">
        <v>0.65922700000000001</v>
      </c>
      <c r="AB64" s="32">
        <v>0.67562900000000004</v>
      </c>
    </row>
    <row r="65" spans="1:28" ht="15.6" customHeight="1" x14ac:dyDescent="0.25">
      <c r="A65" s="24" t="s">
        <v>1100</v>
      </c>
      <c r="B65" s="50">
        <v>3554</v>
      </c>
      <c r="C65" s="25" t="s">
        <v>1101</v>
      </c>
      <c r="D65" s="25" t="s">
        <v>101</v>
      </c>
      <c r="E65" s="25" t="s">
        <v>194</v>
      </c>
      <c r="F65" s="25" t="s">
        <v>138</v>
      </c>
      <c r="G65" s="26" t="s">
        <v>139</v>
      </c>
      <c r="H65" s="27" t="s">
        <v>1006</v>
      </c>
      <c r="I65" s="24" t="s">
        <v>998</v>
      </c>
      <c r="J65" s="24" t="s">
        <v>121</v>
      </c>
      <c r="K65" s="28" t="s">
        <v>108</v>
      </c>
      <c r="L65" s="29">
        <v>0.03</v>
      </c>
      <c r="M65" s="29">
        <v>1.4999999999999999E-2</v>
      </c>
      <c r="N65" s="29">
        <v>6.0000000000000001E-3</v>
      </c>
      <c r="O65" s="27" t="s">
        <v>109</v>
      </c>
      <c r="P65" s="30" t="s">
        <v>101</v>
      </c>
      <c r="Q65" s="31">
        <v>839472.75</v>
      </c>
      <c r="R65" s="31">
        <v>239.85</v>
      </c>
      <c r="S65" s="32">
        <v>4.9020000000000001E-3</v>
      </c>
      <c r="T65" s="32" t="s">
        <v>139</v>
      </c>
      <c r="U65" s="32">
        <v>-2.5000000000000001E-4</v>
      </c>
      <c r="V65" s="32">
        <v>1.1129E-2</v>
      </c>
      <c r="W65" s="32">
        <v>-4.607E-3</v>
      </c>
      <c r="X65" s="32">
        <v>-4.5800000000000002E-4</v>
      </c>
      <c r="Y65" s="32">
        <v>-1.1906E-2</v>
      </c>
      <c r="Z65" s="32">
        <v>4.4324000000000002E-2</v>
      </c>
      <c r="AA65" s="32">
        <v>6.7755999999999997E-2</v>
      </c>
      <c r="AB65" s="32">
        <v>5.9221000000000003E-2</v>
      </c>
    </row>
    <row r="66" spans="1:28" ht="15.6" customHeight="1" x14ac:dyDescent="0.25">
      <c r="A66" s="24" t="s">
        <v>1102</v>
      </c>
      <c r="B66" s="50">
        <v>3555</v>
      </c>
      <c r="C66" s="25" t="s">
        <v>1103</v>
      </c>
      <c r="D66" s="25" t="s">
        <v>112</v>
      </c>
      <c r="E66" s="25" t="s">
        <v>194</v>
      </c>
      <c r="F66" s="25" t="s">
        <v>138</v>
      </c>
      <c r="G66" s="26" t="s">
        <v>139</v>
      </c>
      <c r="H66" s="27" t="s">
        <v>1104</v>
      </c>
      <c r="I66" s="24" t="s">
        <v>998</v>
      </c>
      <c r="J66" s="24" t="s">
        <v>121</v>
      </c>
      <c r="K66" s="28" t="s">
        <v>227</v>
      </c>
      <c r="L66" s="29">
        <v>0.03</v>
      </c>
      <c r="M66" s="29">
        <v>1.4999999999999999E-2</v>
      </c>
      <c r="N66" s="29">
        <v>0.02</v>
      </c>
      <c r="O66" s="27" t="s">
        <v>116</v>
      </c>
      <c r="P66" s="30" t="s">
        <v>112</v>
      </c>
      <c r="Q66" s="31">
        <v>782871408.78999996</v>
      </c>
      <c r="R66" s="31">
        <v>3660.22</v>
      </c>
      <c r="S66" s="32">
        <v>-1.5876999999999999E-2</v>
      </c>
      <c r="T66" s="32" t="s">
        <v>139</v>
      </c>
      <c r="U66" s="32">
        <v>5.1190000000000003E-3</v>
      </c>
      <c r="V66" s="32">
        <v>2.5961000000000001E-2</v>
      </c>
      <c r="W66" s="32">
        <v>2.1215000000000001E-2</v>
      </c>
      <c r="X66" s="32">
        <v>-1.1906E-2</v>
      </c>
      <c r="Y66" s="32">
        <v>-5.9140999999999999E-2</v>
      </c>
      <c r="Z66" s="32">
        <v>0.146368</v>
      </c>
      <c r="AA66" s="32">
        <v>0.251108</v>
      </c>
      <c r="AB66" s="32">
        <v>0.201625</v>
      </c>
    </row>
    <row r="67" spans="1:28" ht="15.6" customHeight="1" x14ac:dyDescent="0.25">
      <c r="A67" s="24" t="s">
        <v>192</v>
      </c>
      <c r="B67" s="50">
        <v>3559</v>
      </c>
      <c r="C67" s="25" t="s">
        <v>193</v>
      </c>
      <c r="D67" s="25" t="s">
        <v>127</v>
      </c>
      <c r="E67" s="25" t="s">
        <v>194</v>
      </c>
      <c r="F67" s="25" t="s">
        <v>138</v>
      </c>
      <c r="G67" s="26" t="s">
        <v>139</v>
      </c>
      <c r="H67" s="27" t="s">
        <v>195</v>
      </c>
      <c r="I67" s="24" t="s">
        <v>106</v>
      </c>
      <c r="J67" s="24" t="s">
        <v>107</v>
      </c>
      <c r="K67" s="28" t="s">
        <v>180</v>
      </c>
      <c r="L67" s="29">
        <v>0.02</v>
      </c>
      <c r="M67" s="29">
        <v>1.4999999999999999E-2</v>
      </c>
      <c r="N67" s="29">
        <v>0.02</v>
      </c>
      <c r="O67" s="27" t="s">
        <v>131</v>
      </c>
      <c r="P67" s="30" t="s">
        <v>131</v>
      </c>
      <c r="Q67" s="31">
        <v>1293595.56</v>
      </c>
      <c r="R67" s="31">
        <v>107799.63</v>
      </c>
      <c r="S67" s="32">
        <v>-1.4300000000000001E-3</v>
      </c>
      <c r="T67" s="32" t="s">
        <v>139</v>
      </c>
      <c r="U67" s="32">
        <v>7.2620000000000002E-3</v>
      </c>
      <c r="V67" s="32">
        <v>3.5189999999999999E-2</v>
      </c>
      <c r="W67" s="32">
        <v>-5.4209999999999996E-3</v>
      </c>
      <c r="X67" s="32">
        <v>-6.6740000000000002E-3</v>
      </c>
      <c r="Y67" s="32">
        <v>-4.9498E-2</v>
      </c>
      <c r="Z67" s="32">
        <v>0.189829</v>
      </c>
      <c r="AA67" s="32">
        <v>0.36221300000000001</v>
      </c>
      <c r="AB67" s="32">
        <v>0.38190200000000002</v>
      </c>
    </row>
    <row r="68" spans="1:28" ht="15.6" customHeight="1" x14ac:dyDescent="0.25">
      <c r="A68" s="24" t="s">
        <v>1105</v>
      </c>
      <c r="B68" s="50">
        <v>3565</v>
      </c>
      <c r="C68" s="25" t="s">
        <v>1106</v>
      </c>
      <c r="D68" s="25" t="s">
        <v>350</v>
      </c>
      <c r="E68" s="25" t="s">
        <v>194</v>
      </c>
      <c r="F68" s="25" t="s">
        <v>155</v>
      </c>
      <c r="G68" s="26" t="s">
        <v>139</v>
      </c>
      <c r="H68" s="27" t="s">
        <v>156</v>
      </c>
      <c r="I68" s="24" t="s">
        <v>998</v>
      </c>
      <c r="J68" s="24" t="s">
        <v>107</v>
      </c>
      <c r="K68" s="28" t="s">
        <v>108</v>
      </c>
      <c r="L68" s="29">
        <v>0.03</v>
      </c>
      <c r="M68" s="29">
        <v>1.4999999999999999E-2</v>
      </c>
      <c r="N68" s="29">
        <v>1.4999999999999999E-2</v>
      </c>
      <c r="O68" s="27" t="s">
        <v>262</v>
      </c>
      <c r="P68" s="30" t="s">
        <v>350</v>
      </c>
      <c r="Q68" s="31">
        <v>1052815.6000000001</v>
      </c>
      <c r="R68" s="31">
        <v>767.91</v>
      </c>
      <c r="S68" s="32">
        <v>5.1240000000000001E-2</v>
      </c>
      <c r="T68" s="32" t="s">
        <v>139</v>
      </c>
      <c r="U68" s="32">
        <v>1.4452E-2</v>
      </c>
      <c r="V68" s="32">
        <v>7.7738000000000002E-2</v>
      </c>
      <c r="W68" s="32">
        <v>6.3749E-2</v>
      </c>
      <c r="X68" s="32">
        <v>4.4989000000000001E-2</v>
      </c>
      <c r="Y68" s="32">
        <v>-4.6868E-2</v>
      </c>
      <c r="Z68" s="32">
        <v>0.44324999999999998</v>
      </c>
      <c r="AA68" s="32">
        <v>0.700044</v>
      </c>
      <c r="AB68" s="32">
        <v>0.65962799999999999</v>
      </c>
    </row>
    <row r="69" spans="1:28" ht="15.6" customHeight="1" x14ac:dyDescent="0.25">
      <c r="A69" s="24" t="s">
        <v>196</v>
      </c>
      <c r="B69" s="50">
        <v>3567</v>
      </c>
      <c r="C69" s="25" t="s">
        <v>197</v>
      </c>
      <c r="D69" s="25" t="s">
        <v>112</v>
      </c>
      <c r="E69" s="25" t="s">
        <v>194</v>
      </c>
      <c r="F69" s="25" t="s">
        <v>113</v>
      </c>
      <c r="G69" s="26" t="s">
        <v>198</v>
      </c>
      <c r="H69" s="27" t="s">
        <v>199</v>
      </c>
      <c r="I69" s="24" t="s">
        <v>106</v>
      </c>
      <c r="J69" s="24" t="s">
        <v>107</v>
      </c>
      <c r="K69" s="28" t="s">
        <v>108</v>
      </c>
      <c r="L69" s="29">
        <v>0.03</v>
      </c>
      <c r="M69" s="29">
        <v>1.4999999999999999E-2</v>
      </c>
      <c r="N69" s="29">
        <v>0.02</v>
      </c>
      <c r="O69" s="27" t="s">
        <v>116</v>
      </c>
      <c r="P69" s="30" t="s">
        <v>112</v>
      </c>
      <c r="Q69" s="31">
        <v>230659976.84</v>
      </c>
      <c r="R69" s="31">
        <v>2257.0500000000002</v>
      </c>
      <c r="S69" s="32">
        <v>7.0499999999999998E-3</v>
      </c>
      <c r="T69" s="32" t="s">
        <v>139</v>
      </c>
      <c r="U69" s="32">
        <v>6.5600000000000001E-4</v>
      </c>
      <c r="V69" s="32">
        <v>3.3249999999999998E-3</v>
      </c>
      <c r="W69" s="32">
        <v>5.6049999999999997E-3</v>
      </c>
      <c r="X69" s="32">
        <v>5.5110000000000003E-3</v>
      </c>
      <c r="Y69" s="32">
        <v>1.3002E-2</v>
      </c>
      <c r="Z69" s="32">
        <v>8.6305999999999994E-2</v>
      </c>
      <c r="AA69" s="32">
        <v>0.143349</v>
      </c>
      <c r="AB69" s="32">
        <v>0.13093399999999999</v>
      </c>
    </row>
    <row r="70" spans="1:28" ht="15.6" customHeight="1" x14ac:dyDescent="0.25">
      <c r="A70" s="24" t="s">
        <v>1107</v>
      </c>
      <c r="B70" s="50">
        <v>3568</v>
      </c>
      <c r="C70" s="25" t="s">
        <v>1108</v>
      </c>
      <c r="D70" s="25" t="s">
        <v>137</v>
      </c>
      <c r="E70" s="25" t="s">
        <v>194</v>
      </c>
      <c r="F70" s="25" t="s">
        <v>113</v>
      </c>
      <c r="G70" s="26" t="s">
        <v>1109</v>
      </c>
      <c r="H70" s="27" t="s">
        <v>1110</v>
      </c>
      <c r="I70" s="24" t="s">
        <v>998</v>
      </c>
      <c r="J70" s="24" t="s">
        <v>121</v>
      </c>
      <c r="K70" s="28" t="s">
        <v>227</v>
      </c>
      <c r="L70" s="29">
        <v>0</v>
      </c>
      <c r="M70" s="29">
        <v>0</v>
      </c>
      <c r="N70" s="29">
        <v>0.01</v>
      </c>
      <c r="O70" s="27" t="s">
        <v>166</v>
      </c>
      <c r="P70" s="30" t="s">
        <v>137</v>
      </c>
      <c r="Q70" s="31">
        <v>1402189586.3793881</v>
      </c>
      <c r="R70" s="31">
        <v>26110.57</v>
      </c>
      <c r="S70" s="32">
        <v>-2.7060000000000001E-3</v>
      </c>
      <c r="T70" s="32" t="s">
        <v>139</v>
      </c>
      <c r="U70" s="32">
        <v>8.5300000000000003E-4</v>
      </c>
      <c r="V70" s="32">
        <v>2.8059999999999999E-3</v>
      </c>
      <c r="W70" s="32">
        <v>1.529E-3</v>
      </c>
      <c r="X70" s="32">
        <v>-3.2599999999999999E-3</v>
      </c>
      <c r="Y70" s="32">
        <v>-1.1532000000000001E-2</v>
      </c>
      <c r="Z70" s="32">
        <v>7.9969999999999999E-2</v>
      </c>
      <c r="AA70" s="32">
        <v>0.180455</v>
      </c>
      <c r="AB70" s="32">
        <v>8.7447999999999998E-2</v>
      </c>
    </row>
    <row r="71" spans="1:28" ht="15.6" customHeight="1" x14ac:dyDescent="0.25">
      <c r="A71" s="24" t="s">
        <v>1111</v>
      </c>
      <c r="B71" s="50">
        <v>3569</v>
      </c>
      <c r="C71" s="25" t="s">
        <v>1112</v>
      </c>
      <c r="D71" s="25" t="s">
        <v>137</v>
      </c>
      <c r="E71" s="25" t="s">
        <v>194</v>
      </c>
      <c r="F71" s="25" t="s">
        <v>113</v>
      </c>
      <c r="G71" s="26" t="s">
        <v>1113</v>
      </c>
      <c r="H71" s="27" t="s">
        <v>327</v>
      </c>
      <c r="I71" s="24" t="s">
        <v>998</v>
      </c>
      <c r="J71" s="24" t="s">
        <v>121</v>
      </c>
      <c r="K71" s="28" t="s">
        <v>227</v>
      </c>
      <c r="L71" s="29">
        <v>0.03</v>
      </c>
      <c r="M71" s="29">
        <v>1.4999999999999999E-2</v>
      </c>
      <c r="N71" s="29">
        <v>0.02</v>
      </c>
      <c r="O71" s="27" t="s">
        <v>166</v>
      </c>
      <c r="P71" s="30" t="s">
        <v>137</v>
      </c>
      <c r="Q71" s="31">
        <v>1345063.3313259999</v>
      </c>
      <c r="R71" s="31">
        <v>336265.83</v>
      </c>
      <c r="S71" s="32">
        <v>1.258E-3</v>
      </c>
      <c r="T71" s="32" t="s">
        <v>139</v>
      </c>
      <c r="U71" s="32">
        <v>6.8599999999999998E-4</v>
      </c>
      <c r="V71" s="32">
        <v>1.957E-3</v>
      </c>
      <c r="W71" s="32">
        <v>2.519E-3</v>
      </c>
      <c r="X71" s="32">
        <v>1.2999999999999999E-3</v>
      </c>
      <c r="Y71" s="32">
        <v>-9.7040000000000008E-3</v>
      </c>
      <c r="Z71" s="32">
        <v>6.9209999999999994E-2</v>
      </c>
      <c r="AA71" s="32">
        <v>0.120438</v>
      </c>
      <c r="AB71" s="32">
        <v>0.12859499999999999</v>
      </c>
    </row>
    <row r="72" spans="1:28" ht="15.6" customHeight="1" x14ac:dyDescent="0.25">
      <c r="A72" s="24" t="s">
        <v>1114</v>
      </c>
      <c r="B72" s="50">
        <v>3570</v>
      </c>
      <c r="C72" s="25" t="s">
        <v>1115</v>
      </c>
      <c r="D72" s="25" t="s">
        <v>137</v>
      </c>
      <c r="E72" s="25" t="s">
        <v>194</v>
      </c>
      <c r="F72" s="25" t="s">
        <v>155</v>
      </c>
      <c r="G72" s="26" t="s">
        <v>139</v>
      </c>
      <c r="H72" s="27" t="s">
        <v>202</v>
      </c>
      <c r="I72" s="24" t="s">
        <v>998</v>
      </c>
      <c r="J72" s="24" t="s">
        <v>107</v>
      </c>
      <c r="K72" s="28" t="s">
        <v>108</v>
      </c>
      <c r="L72" s="29">
        <v>4.5000000000000014E-3</v>
      </c>
      <c r="M72" s="29">
        <v>4.5000000000000014E-3</v>
      </c>
      <c r="N72" s="29">
        <v>0.02</v>
      </c>
      <c r="O72" s="27" t="s">
        <v>141</v>
      </c>
      <c r="P72" s="30" t="s">
        <v>142</v>
      </c>
      <c r="Q72" s="31">
        <v>72947370.787936002</v>
      </c>
      <c r="R72" s="31">
        <v>803.93</v>
      </c>
      <c r="S72" s="32">
        <v>-1.503E-3</v>
      </c>
      <c r="T72" s="32" t="s">
        <v>139</v>
      </c>
      <c r="U72" s="32">
        <v>8.7200000000000003E-3</v>
      </c>
      <c r="V72" s="32">
        <v>5.0916000000000003E-2</v>
      </c>
      <c r="W72" s="32">
        <v>3.7422999999999998E-2</v>
      </c>
      <c r="X72" s="32">
        <v>-5.64E-3</v>
      </c>
      <c r="Y72" s="32">
        <v>-0.108112</v>
      </c>
      <c r="Z72" s="32">
        <v>0.23480200000000001</v>
      </c>
      <c r="AA72" s="32">
        <v>0.42616599999999999</v>
      </c>
      <c r="AB72" s="32">
        <v>0.39093</v>
      </c>
    </row>
    <row r="73" spans="1:28" ht="15.6" customHeight="1" x14ac:dyDescent="0.25">
      <c r="A73" s="24" t="s">
        <v>1116</v>
      </c>
      <c r="B73" s="50">
        <v>3572</v>
      </c>
      <c r="C73" s="25" t="s">
        <v>1117</v>
      </c>
      <c r="D73" s="25" t="s">
        <v>137</v>
      </c>
      <c r="E73" s="25" t="s">
        <v>194</v>
      </c>
      <c r="F73" s="25" t="s">
        <v>138</v>
      </c>
      <c r="G73" s="26" t="s">
        <v>139</v>
      </c>
      <c r="H73" s="27" t="s">
        <v>1118</v>
      </c>
      <c r="I73" s="24" t="s">
        <v>998</v>
      </c>
      <c r="J73" s="24" t="s">
        <v>107</v>
      </c>
      <c r="K73" s="28" t="s">
        <v>108</v>
      </c>
      <c r="L73" s="29">
        <v>2E-3</v>
      </c>
      <c r="M73" s="29">
        <v>2E-3</v>
      </c>
      <c r="N73" s="29">
        <v>0.02</v>
      </c>
      <c r="O73" s="27" t="s">
        <v>141</v>
      </c>
      <c r="P73" s="30" t="s">
        <v>142</v>
      </c>
      <c r="Q73" s="31">
        <v>315993577.40037102</v>
      </c>
      <c r="R73" s="31">
        <v>5154.79</v>
      </c>
      <c r="S73" s="32">
        <v>3.8267000000000002E-2</v>
      </c>
      <c r="T73" s="32" t="s">
        <v>139</v>
      </c>
      <c r="U73" s="32">
        <v>1.0781000000000001E-2</v>
      </c>
      <c r="V73" s="32">
        <v>3.9509000000000002E-2</v>
      </c>
      <c r="W73" s="32">
        <v>2.7335999999999999E-2</v>
      </c>
      <c r="X73" s="32">
        <v>3.8143999999999997E-2</v>
      </c>
      <c r="Y73" s="32">
        <v>2.3578000000000002E-2</v>
      </c>
      <c r="Z73" s="32">
        <v>0.122104</v>
      </c>
      <c r="AA73" s="32">
        <v>0.15936500000000001</v>
      </c>
      <c r="AB73" s="32">
        <v>0.25957599999999997</v>
      </c>
    </row>
    <row r="74" spans="1:28" ht="15.6" customHeight="1" x14ac:dyDescent="0.25">
      <c r="A74" s="24" t="s">
        <v>200</v>
      </c>
      <c r="B74" s="50">
        <v>3573</v>
      </c>
      <c r="C74" s="25" t="s">
        <v>201</v>
      </c>
      <c r="D74" s="25" t="s">
        <v>137</v>
      </c>
      <c r="E74" s="25" t="s">
        <v>194</v>
      </c>
      <c r="F74" s="25" t="s">
        <v>155</v>
      </c>
      <c r="G74" s="26" t="s">
        <v>139</v>
      </c>
      <c r="H74" s="27" t="s">
        <v>202</v>
      </c>
      <c r="I74" s="24" t="s">
        <v>106</v>
      </c>
      <c r="J74" s="24" t="s">
        <v>121</v>
      </c>
      <c r="K74" s="28" t="s">
        <v>108</v>
      </c>
      <c r="L74" s="29">
        <v>3.0000000000000001E-3</v>
      </c>
      <c r="M74" s="29">
        <v>3.0000000000000001E-3</v>
      </c>
      <c r="N74" s="29">
        <v>0.02</v>
      </c>
      <c r="O74" s="27" t="s">
        <v>141</v>
      </c>
      <c r="P74" s="30" t="s">
        <v>142</v>
      </c>
      <c r="Q74" s="31">
        <v>52505123.734957002</v>
      </c>
      <c r="R74" s="31">
        <v>4734.46</v>
      </c>
      <c r="S74" s="32">
        <v>2.9172E-2</v>
      </c>
      <c r="T74" s="32" t="s">
        <v>139</v>
      </c>
      <c r="U74" s="32">
        <v>1.4622E-2</v>
      </c>
      <c r="V74" s="32">
        <v>8.2150000000000001E-2</v>
      </c>
      <c r="W74" s="32">
        <v>5.8941E-2</v>
      </c>
      <c r="X74" s="32">
        <v>2.0732E-2</v>
      </c>
      <c r="Y74" s="32">
        <v>-7.3124999999999996E-2</v>
      </c>
      <c r="Z74" s="32">
        <v>0.40433400000000003</v>
      </c>
      <c r="AA74" s="32">
        <v>0.703546</v>
      </c>
      <c r="AB74" s="32">
        <v>0.73207699999999998</v>
      </c>
    </row>
    <row r="75" spans="1:28" ht="15.6" customHeight="1" x14ac:dyDescent="0.25">
      <c r="A75" s="24" t="s">
        <v>203</v>
      </c>
      <c r="B75" s="50">
        <v>3574</v>
      </c>
      <c r="C75" s="25" t="s">
        <v>204</v>
      </c>
      <c r="D75" s="25" t="s">
        <v>137</v>
      </c>
      <c r="E75" s="25" t="s">
        <v>194</v>
      </c>
      <c r="F75" s="25" t="s">
        <v>155</v>
      </c>
      <c r="G75" s="26" t="s">
        <v>139</v>
      </c>
      <c r="H75" s="27" t="s">
        <v>202</v>
      </c>
      <c r="I75" s="24" t="s">
        <v>106</v>
      </c>
      <c r="J75" s="24" t="s">
        <v>107</v>
      </c>
      <c r="K75" s="28" t="s">
        <v>108</v>
      </c>
      <c r="L75" s="29">
        <v>4.5000000000000014E-3</v>
      </c>
      <c r="M75" s="29">
        <v>4.5000000000000014E-3</v>
      </c>
      <c r="N75" s="29">
        <v>0.02</v>
      </c>
      <c r="O75" s="27" t="s">
        <v>141</v>
      </c>
      <c r="P75" s="30" t="s">
        <v>142</v>
      </c>
      <c r="Q75" s="31">
        <v>1353425443.064111</v>
      </c>
      <c r="R75" s="31">
        <v>1216.49</v>
      </c>
      <c r="S75" s="32">
        <v>1.4359E-2</v>
      </c>
      <c r="T75" s="32" t="s">
        <v>139</v>
      </c>
      <c r="U75" s="32">
        <v>1.2898E-2</v>
      </c>
      <c r="V75" s="32">
        <v>7.2941000000000006E-2</v>
      </c>
      <c r="W75" s="32">
        <v>4.2319000000000002E-2</v>
      </c>
      <c r="X75" s="32">
        <v>4.4010000000000004E-3</v>
      </c>
      <c r="Y75" s="32">
        <v>-9.4139E-2</v>
      </c>
      <c r="Z75" s="32">
        <v>0.37018299999999998</v>
      </c>
      <c r="AA75" s="32">
        <v>0.65574200000000005</v>
      </c>
      <c r="AB75" s="32">
        <v>0.54608400000000001</v>
      </c>
    </row>
    <row r="76" spans="1:28" ht="15.6" customHeight="1" x14ac:dyDescent="0.25">
      <c r="A76" s="24" t="s">
        <v>1119</v>
      </c>
      <c r="B76" s="50">
        <v>3575</v>
      </c>
      <c r="C76" s="25" t="s">
        <v>1120</v>
      </c>
      <c r="D76" s="25" t="s">
        <v>137</v>
      </c>
      <c r="E76" s="25" t="s">
        <v>194</v>
      </c>
      <c r="F76" s="25" t="s">
        <v>138</v>
      </c>
      <c r="G76" s="26" t="s">
        <v>139</v>
      </c>
      <c r="H76" s="27" t="s">
        <v>1104</v>
      </c>
      <c r="I76" s="24" t="s">
        <v>998</v>
      </c>
      <c r="J76" s="24" t="s">
        <v>121</v>
      </c>
      <c r="K76" s="28" t="s">
        <v>180</v>
      </c>
      <c r="L76" s="29">
        <v>0</v>
      </c>
      <c r="M76" s="29">
        <v>0</v>
      </c>
      <c r="N76" s="29">
        <v>0.02</v>
      </c>
      <c r="O76" s="27" t="s">
        <v>141</v>
      </c>
      <c r="P76" s="30" t="s">
        <v>137</v>
      </c>
      <c r="Q76" s="31">
        <v>836175838.35643494</v>
      </c>
      <c r="R76" s="31">
        <v>67227.520000000004</v>
      </c>
      <c r="S76" s="32">
        <v>4.0540000000000003E-3</v>
      </c>
      <c r="T76" s="32" t="s">
        <v>139</v>
      </c>
      <c r="U76" s="32">
        <v>4.5589999999999997E-3</v>
      </c>
      <c r="V76" s="32">
        <v>2.3843E-2</v>
      </c>
      <c r="W76" s="32">
        <v>1.8609000000000001E-2</v>
      </c>
      <c r="X76" s="32">
        <v>-5.1900000000000004E-4</v>
      </c>
      <c r="Y76" s="32">
        <v>-2.5899999999999999E-2</v>
      </c>
      <c r="Z76" s="32">
        <v>0.168127</v>
      </c>
      <c r="AA76" s="32">
        <v>0.297898</v>
      </c>
      <c r="AB76" s="32">
        <v>0.26043699999999997</v>
      </c>
    </row>
    <row r="77" spans="1:28" ht="15.6" customHeight="1" x14ac:dyDescent="0.25">
      <c r="A77" s="24" t="s">
        <v>1121</v>
      </c>
      <c r="B77" s="50">
        <v>3576</v>
      </c>
      <c r="C77" s="25" t="s">
        <v>1122</v>
      </c>
      <c r="D77" s="25" t="s">
        <v>137</v>
      </c>
      <c r="E77" s="25" t="s">
        <v>194</v>
      </c>
      <c r="F77" s="25" t="s">
        <v>155</v>
      </c>
      <c r="G77" s="26" t="s">
        <v>139</v>
      </c>
      <c r="H77" s="27" t="s">
        <v>202</v>
      </c>
      <c r="I77" s="24" t="s">
        <v>998</v>
      </c>
      <c r="J77" s="24" t="s">
        <v>107</v>
      </c>
      <c r="K77" s="28" t="s">
        <v>108</v>
      </c>
      <c r="L77" s="29">
        <v>4.5000000000000014E-3</v>
      </c>
      <c r="M77" s="29">
        <v>4.5000000000000014E-3</v>
      </c>
      <c r="N77" s="29">
        <v>0.02</v>
      </c>
      <c r="O77" s="27" t="s">
        <v>141</v>
      </c>
      <c r="P77" s="30" t="s">
        <v>142</v>
      </c>
      <c r="Q77" s="31">
        <v>31353788.135697</v>
      </c>
      <c r="R77" s="31">
        <v>86852.6</v>
      </c>
      <c r="S77" s="32">
        <v>2.9079000000000001E-2</v>
      </c>
      <c r="T77" s="32" t="s">
        <v>139</v>
      </c>
      <c r="U77" s="32">
        <v>1.4298999999999999E-2</v>
      </c>
      <c r="V77" s="32">
        <v>8.3915000000000003E-2</v>
      </c>
      <c r="W77" s="32">
        <v>5.8323E-2</v>
      </c>
      <c r="X77" s="32">
        <v>2.3188E-2</v>
      </c>
      <c r="Y77" s="32">
        <v>-8.4224999999999994E-2</v>
      </c>
      <c r="Z77" s="32">
        <v>0.35915799999999998</v>
      </c>
      <c r="AA77" s="32">
        <v>0.603715</v>
      </c>
      <c r="AB77" s="32">
        <v>0.52341800000000005</v>
      </c>
    </row>
    <row r="78" spans="1:28" ht="15.6" customHeight="1" x14ac:dyDescent="0.25">
      <c r="A78" s="24" t="s">
        <v>205</v>
      </c>
      <c r="B78" s="50">
        <v>3578</v>
      </c>
      <c r="C78" s="25" t="s">
        <v>206</v>
      </c>
      <c r="D78" s="25" t="s">
        <v>137</v>
      </c>
      <c r="E78" s="25" t="s">
        <v>194</v>
      </c>
      <c r="F78" s="25" t="s">
        <v>155</v>
      </c>
      <c r="G78" s="26" t="s">
        <v>139</v>
      </c>
      <c r="H78" s="27" t="s">
        <v>202</v>
      </c>
      <c r="I78" s="24" t="s">
        <v>106</v>
      </c>
      <c r="J78" s="24" t="s">
        <v>107</v>
      </c>
      <c r="K78" s="28" t="s">
        <v>108</v>
      </c>
      <c r="L78" s="29">
        <v>3.0000000000000001E-3</v>
      </c>
      <c r="M78" s="29">
        <v>3.0000000000000001E-3</v>
      </c>
      <c r="N78" s="29">
        <v>0.02</v>
      </c>
      <c r="O78" s="27" t="s">
        <v>141</v>
      </c>
      <c r="P78" s="30" t="s">
        <v>142</v>
      </c>
      <c r="Q78" s="31">
        <v>93730321.995866999</v>
      </c>
      <c r="R78" s="31">
        <v>718.07</v>
      </c>
      <c r="S78" s="32">
        <v>1.0271000000000001E-2</v>
      </c>
      <c r="T78" s="32" t="s">
        <v>139</v>
      </c>
      <c r="U78" s="32">
        <v>1.4825E-2</v>
      </c>
      <c r="V78" s="32">
        <v>7.9318E-2</v>
      </c>
      <c r="W78" s="32">
        <v>5.3629999999999997E-2</v>
      </c>
      <c r="X78" s="32">
        <v>6.8989999999999998E-3</v>
      </c>
      <c r="Y78" s="32">
        <v>-9.6597000000000002E-2</v>
      </c>
      <c r="Z78" s="32">
        <v>0.32978400000000002</v>
      </c>
      <c r="AA78" s="32">
        <v>0.52732100000000004</v>
      </c>
      <c r="AB78" s="32">
        <v>0.44440200000000002</v>
      </c>
    </row>
    <row r="79" spans="1:28" ht="15.6" customHeight="1" x14ac:dyDescent="0.25">
      <c r="A79" s="24" t="s">
        <v>207</v>
      </c>
      <c r="B79" s="50">
        <v>3579</v>
      </c>
      <c r="C79" s="25" t="s">
        <v>208</v>
      </c>
      <c r="D79" s="25" t="s">
        <v>137</v>
      </c>
      <c r="E79" s="25" t="s">
        <v>194</v>
      </c>
      <c r="F79" s="25" t="s">
        <v>113</v>
      </c>
      <c r="G79" s="26" t="s">
        <v>209</v>
      </c>
      <c r="H79" s="27" t="s">
        <v>210</v>
      </c>
      <c r="I79" s="24" t="s">
        <v>106</v>
      </c>
      <c r="J79" s="24" t="s">
        <v>107</v>
      </c>
      <c r="K79" s="28" t="s">
        <v>108</v>
      </c>
      <c r="L79" s="29">
        <v>0</v>
      </c>
      <c r="M79" s="29">
        <v>0</v>
      </c>
      <c r="N79" s="29">
        <v>0.01</v>
      </c>
      <c r="O79" s="27" t="s">
        <v>141</v>
      </c>
      <c r="P79" s="30" t="s">
        <v>142</v>
      </c>
      <c r="Q79" s="31">
        <v>41860041.721955001</v>
      </c>
      <c r="R79" s="31">
        <v>348</v>
      </c>
      <c r="S79" s="32">
        <v>-6.5659999999999998E-3</v>
      </c>
      <c r="T79" s="32" t="s">
        <v>139</v>
      </c>
      <c r="U79" s="32">
        <v>5.7000000000000003E-5</v>
      </c>
      <c r="V79" s="32">
        <v>6.3299999999999999E-4</v>
      </c>
      <c r="W79" s="32">
        <v>-1.062E-3</v>
      </c>
      <c r="X79" s="32">
        <v>-4.3489999999999996E-3</v>
      </c>
      <c r="Y79" s="32">
        <v>4.8256E-2</v>
      </c>
      <c r="Z79" s="32">
        <v>5.4737000000000001E-2</v>
      </c>
      <c r="AA79" s="32">
        <v>5.9811999999999997E-2</v>
      </c>
      <c r="AB79" s="32">
        <v>-1.0605E-2</v>
      </c>
    </row>
    <row r="80" spans="1:28" ht="15.6" customHeight="1" x14ac:dyDescent="0.25">
      <c r="A80" s="24" t="s">
        <v>1123</v>
      </c>
      <c r="B80" s="50">
        <v>3580</v>
      </c>
      <c r="C80" s="25" t="s">
        <v>1124</v>
      </c>
      <c r="D80" s="25" t="s">
        <v>137</v>
      </c>
      <c r="E80" s="25" t="s">
        <v>194</v>
      </c>
      <c r="F80" s="25" t="s">
        <v>113</v>
      </c>
      <c r="G80" s="26" t="s">
        <v>531</v>
      </c>
      <c r="H80" s="27" t="s">
        <v>115</v>
      </c>
      <c r="I80" s="24" t="s">
        <v>998</v>
      </c>
      <c r="J80" s="24" t="s">
        <v>121</v>
      </c>
      <c r="K80" s="28" t="s">
        <v>227</v>
      </c>
      <c r="L80" s="29">
        <v>0</v>
      </c>
      <c r="M80" s="29">
        <v>0</v>
      </c>
      <c r="N80" s="29">
        <v>0.02</v>
      </c>
      <c r="O80" s="27" t="s">
        <v>141</v>
      </c>
      <c r="P80" s="30" t="s">
        <v>137</v>
      </c>
      <c r="Q80" s="31">
        <v>176548304.767158</v>
      </c>
      <c r="R80" s="31">
        <v>22533.29</v>
      </c>
      <c r="S80" s="32">
        <v>-2.7060000000000001E-3</v>
      </c>
      <c r="T80" s="32" t="s">
        <v>139</v>
      </c>
      <c r="U80" s="32">
        <v>9.8200000000000002E-4</v>
      </c>
      <c r="V80" s="32">
        <v>2.8579999999999999E-3</v>
      </c>
      <c r="W80" s="32">
        <v>2.3050000000000002E-3</v>
      </c>
      <c r="X80" s="32">
        <v>-2.4550000000000002E-3</v>
      </c>
      <c r="Y80" s="32">
        <v>-7.9080000000000001E-3</v>
      </c>
      <c r="Z80" s="32">
        <v>8.7826000000000001E-2</v>
      </c>
      <c r="AA80" s="32">
        <v>0.18471799999999999</v>
      </c>
      <c r="AB80" s="32">
        <v>0.16126499999999999</v>
      </c>
    </row>
    <row r="81" spans="1:28" ht="15.6" customHeight="1" x14ac:dyDescent="0.25">
      <c r="A81" s="24" t="s">
        <v>211</v>
      </c>
      <c r="B81" s="50">
        <v>3582</v>
      </c>
      <c r="C81" s="25" t="s">
        <v>212</v>
      </c>
      <c r="D81" s="25" t="s">
        <v>137</v>
      </c>
      <c r="E81" s="25" t="s">
        <v>194</v>
      </c>
      <c r="F81" s="25" t="s">
        <v>128</v>
      </c>
      <c r="G81" s="26" t="s">
        <v>213</v>
      </c>
      <c r="H81" s="27" t="s">
        <v>130</v>
      </c>
      <c r="I81" s="24" t="s">
        <v>106</v>
      </c>
      <c r="J81" s="24" t="s">
        <v>107</v>
      </c>
      <c r="K81" s="28" t="s">
        <v>108</v>
      </c>
      <c r="L81" s="29">
        <v>0</v>
      </c>
      <c r="M81" s="29">
        <v>0</v>
      </c>
      <c r="N81" s="29">
        <v>0.01</v>
      </c>
      <c r="O81" s="27" t="s">
        <v>141</v>
      </c>
      <c r="P81" s="30" t="s">
        <v>142</v>
      </c>
      <c r="Q81" s="31">
        <v>107124275.544908</v>
      </c>
      <c r="R81" s="31">
        <v>228.13</v>
      </c>
      <c r="S81" s="32">
        <v>1.0543E-2</v>
      </c>
      <c r="T81" s="32" t="s">
        <v>139</v>
      </c>
      <c r="U81" s="32">
        <v>4.8200000000000001E-4</v>
      </c>
      <c r="V81" s="32">
        <v>1.405E-3</v>
      </c>
      <c r="W81" s="32">
        <v>4.4470000000000004E-3</v>
      </c>
      <c r="X81" s="32">
        <v>8.3540000000000003E-3</v>
      </c>
      <c r="Y81" s="32">
        <v>3.3057000000000003E-2</v>
      </c>
      <c r="Z81" s="32">
        <v>4.9742000000000001E-2</v>
      </c>
      <c r="AA81" s="32">
        <v>7.5222999999999998E-2</v>
      </c>
      <c r="AB81" s="32">
        <v>9.4148999999999997E-2</v>
      </c>
    </row>
    <row r="82" spans="1:28" ht="15.6" customHeight="1" x14ac:dyDescent="0.25">
      <c r="A82" s="24" t="s">
        <v>214</v>
      </c>
      <c r="B82" s="50">
        <v>3583</v>
      </c>
      <c r="C82" s="25" t="s">
        <v>215</v>
      </c>
      <c r="D82" s="25" t="s">
        <v>137</v>
      </c>
      <c r="E82" s="25" t="s">
        <v>194</v>
      </c>
      <c r="F82" s="25" t="s">
        <v>103</v>
      </c>
      <c r="G82" s="26" t="s">
        <v>216</v>
      </c>
      <c r="H82" s="27" t="s">
        <v>217</v>
      </c>
      <c r="I82" s="24" t="s">
        <v>106</v>
      </c>
      <c r="J82" s="24" t="s">
        <v>107</v>
      </c>
      <c r="K82" s="28" t="s">
        <v>108</v>
      </c>
      <c r="L82" s="29">
        <v>0</v>
      </c>
      <c r="M82" s="29">
        <v>0</v>
      </c>
      <c r="N82" s="29">
        <v>6.0000000000000001E-3</v>
      </c>
      <c r="O82" s="27" t="s">
        <v>141</v>
      </c>
      <c r="P82" s="30" t="s">
        <v>142</v>
      </c>
      <c r="Q82" s="31">
        <v>2046982114.3554089</v>
      </c>
      <c r="R82" s="31">
        <v>2569.66</v>
      </c>
      <c r="S82" s="32">
        <v>1.4637000000000001E-2</v>
      </c>
      <c r="T82" s="32" t="s">
        <v>139</v>
      </c>
      <c r="U82" s="32">
        <v>4.8700000000000002E-4</v>
      </c>
      <c r="V82" s="32">
        <v>1.7149999999999999E-3</v>
      </c>
      <c r="W82" s="32">
        <v>5.9620000000000003E-3</v>
      </c>
      <c r="X82" s="32">
        <v>1.1518E-2</v>
      </c>
      <c r="Y82" s="32">
        <v>2.4115999999999999E-2</v>
      </c>
      <c r="Z82" s="32">
        <v>5.0401000000000001E-2</v>
      </c>
      <c r="AA82" s="32">
        <v>8.0556000000000003E-2</v>
      </c>
      <c r="AB82" s="32">
        <v>0.11513900000000001</v>
      </c>
    </row>
    <row r="83" spans="1:28" ht="15.6" customHeight="1" x14ac:dyDescent="0.25">
      <c r="A83" s="24" t="s">
        <v>218</v>
      </c>
      <c r="B83" s="50">
        <v>3584</v>
      </c>
      <c r="C83" s="25" t="s">
        <v>219</v>
      </c>
      <c r="D83" s="25" t="s">
        <v>145</v>
      </c>
      <c r="E83" s="25" t="s">
        <v>194</v>
      </c>
      <c r="F83" s="25" t="s">
        <v>138</v>
      </c>
      <c r="G83" s="26" t="s">
        <v>139</v>
      </c>
      <c r="H83" s="27" t="s">
        <v>220</v>
      </c>
      <c r="I83" s="24" t="s">
        <v>106</v>
      </c>
      <c r="J83" s="24" t="s">
        <v>107</v>
      </c>
      <c r="K83" s="28" t="s">
        <v>108</v>
      </c>
      <c r="L83" s="29">
        <v>0.02</v>
      </c>
      <c r="M83" s="29">
        <v>0.02</v>
      </c>
      <c r="N83" s="29">
        <v>0.02</v>
      </c>
      <c r="O83" s="27" t="s">
        <v>148</v>
      </c>
      <c r="P83" s="30" t="s">
        <v>145</v>
      </c>
      <c r="Q83" s="31">
        <v>481788146.79000002</v>
      </c>
      <c r="R83" s="31">
        <v>5896.24</v>
      </c>
      <c r="S83" s="32">
        <v>1.3498E-2</v>
      </c>
      <c r="T83" s="32" t="s">
        <v>139</v>
      </c>
      <c r="U83" s="32">
        <v>8.6770000000000007E-3</v>
      </c>
      <c r="V83" s="32">
        <v>4.4483000000000002E-2</v>
      </c>
      <c r="W83" s="32">
        <v>3.3876999999999997E-2</v>
      </c>
      <c r="X83" s="32">
        <v>1.2148000000000001E-2</v>
      </c>
      <c r="Y83" s="32">
        <v>-4.5879999999999997E-2</v>
      </c>
      <c r="Z83" s="32">
        <v>0.23486099999999999</v>
      </c>
      <c r="AA83" s="32">
        <v>0.39985700000000002</v>
      </c>
      <c r="AB83" s="32">
        <v>0.31257400000000002</v>
      </c>
    </row>
    <row r="84" spans="1:28" ht="15.6" customHeight="1" x14ac:dyDescent="0.25">
      <c r="A84" s="24" t="s">
        <v>221</v>
      </c>
      <c r="B84" s="50">
        <v>3586</v>
      </c>
      <c r="C84" s="25" t="s">
        <v>222</v>
      </c>
      <c r="D84" s="25" t="s">
        <v>145</v>
      </c>
      <c r="E84" s="25" t="s">
        <v>194</v>
      </c>
      <c r="F84" s="25" t="s">
        <v>138</v>
      </c>
      <c r="G84" s="26" t="s">
        <v>139</v>
      </c>
      <c r="H84" s="27" t="s">
        <v>223</v>
      </c>
      <c r="I84" s="24" t="s">
        <v>106</v>
      </c>
      <c r="J84" s="24" t="s">
        <v>107</v>
      </c>
      <c r="K84" s="28" t="s">
        <v>108</v>
      </c>
      <c r="L84" s="29">
        <v>0.02</v>
      </c>
      <c r="M84" s="29">
        <v>0.02</v>
      </c>
      <c r="N84" s="29">
        <v>0.02</v>
      </c>
      <c r="O84" s="27" t="s">
        <v>148</v>
      </c>
      <c r="P84" s="30" t="s">
        <v>145</v>
      </c>
      <c r="Q84" s="31">
        <v>1594259.31</v>
      </c>
      <c r="R84" s="31">
        <v>69315.62</v>
      </c>
      <c r="S84" s="32">
        <v>4.9201000000000002E-2</v>
      </c>
      <c r="T84" s="32" t="s">
        <v>139</v>
      </c>
      <c r="U84" s="32">
        <v>9.3229999999999997E-3</v>
      </c>
      <c r="V84" s="32">
        <v>4.3816000000000001E-2</v>
      </c>
      <c r="W84" s="32">
        <v>3.5144000000000002E-2</v>
      </c>
      <c r="X84" s="32">
        <v>3.7012000000000003E-2</v>
      </c>
      <c r="Y84" s="32">
        <v>7.5160000000000001E-3</v>
      </c>
      <c r="Z84" s="32">
        <v>0.24054400000000001</v>
      </c>
      <c r="AA84" s="32">
        <v>0.35857699999999998</v>
      </c>
      <c r="AB84" s="32">
        <v>0.39352399999999998</v>
      </c>
    </row>
    <row r="85" spans="1:28" ht="15.6" customHeight="1" x14ac:dyDescent="0.25">
      <c r="A85" s="24" t="s">
        <v>224</v>
      </c>
      <c r="B85" s="50">
        <v>3587</v>
      </c>
      <c r="C85" s="25" t="s">
        <v>1</v>
      </c>
      <c r="D85" s="25" t="s">
        <v>145</v>
      </c>
      <c r="E85" s="25" t="s">
        <v>194</v>
      </c>
      <c r="F85" s="25" t="s">
        <v>155</v>
      </c>
      <c r="G85" s="26" t="s">
        <v>139</v>
      </c>
      <c r="H85" s="27" t="s">
        <v>156</v>
      </c>
      <c r="I85" s="24" t="s">
        <v>106</v>
      </c>
      <c r="J85" s="24" t="s">
        <v>107</v>
      </c>
      <c r="K85" s="28" t="s">
        <v>108</v>
      </c>
      <c r="L85" s="29">
        <v>0.02</v>
      </c>
      <c r="M85" s="29">
        <v>0.02</v>
      </c>
      <c r="N85" s="29">
        <v>0.02</v>
      </c>
      <c r="O85" s="27" t="s">
        <v>148</v>
      </c>
      <c r="P85" s="30" t="s">
        <v>145</v>
      </c>
      <c r="Q85" s="31">
        <v>663271691.01999998</v>
      </c>
      <c r="R85" s="31">
        <v>9988.1200000000008</v>
      </c>
      <c r="S85" s="32">
        <v>-0.104394</v>
      </c>
      <c r="T85" s="32" t="s">
        <v>139</v>
      </c>
      <c r="U85" s="32">
        <v>-2.5900000000000001E-4</v>
      </c>
      <c r="V85" s="32">
        <v>4.7495000000000002E-2</v>
      </c>
      <c r="W85" s="32">
        <v>2.2998000000000001E-2</v>
      </c>
      <c r="X85" s="32">
        <v>-7.1898000000000004E-2</v>
      </c>
      <c r="Y85" s="32">
        <v>-0.21054800000000001</v>
      </c>
      <c r="Z85" s="32">
        <v>0.32874999999999999</v>
      </c>
      <c r="AA85" s="32">
        <v>0.62073999999999996</v>
      </c>
      <c r="AB85" s="32">
        <v>0.52838300000000005</v>
      </c>
    </row>
    <row r="86" spans="1:28" ht="15.6" customHeight="1" x14ac:dyDescent="0.25">
      <c r="A86" s="24" t="s">
        <v>225</v>
      </c>
      <c r="B86" s="50">
        <v>3588</v>
      </c>
      <c r="C86" s="25" t="s">
        <v>226</v>
      </c>
      <c r="D86" s="25" t="s">
        <v>145</v>
      </c>
      <c r="E86" s="25" t="s">
        <v>194</v>
      </c>
      <c r="F86" s="25" t="s">
        <v>155</v>
      </c>
      <c r="G86" s="26" t="s">
        <v>139</v>
      </c>
      <c r="H86" s="27" t="s">
        <v>156</v>
      </c>
      <c r="I86" s="24" t="s">
        <v>106</v>
      </c>
      <c r="J86" s="24" t="s">
        <v>107</v>
      </c>
      <c r="K86" s="28" t="s">
        <v>227</v>
      </c>
      <c r="L86" s="29">
        <v>0.02</v>
      </c>
      <c r="M86" s="29">
        <v>0.02</v>
      </c>
      <c r="N86" s="29">
        <v>0.02</v>
      </c>
      <c r="O86" s="27" t="s">
        <v>148</v>
      </c>
      <c r="P86" s="30" t="s">
        <v>145</v>
      </c>
      <c r="Q86" s="31">
        <v>5678634.0300000003</v>
      </c>
      <c r="R86" s="31">
        <v>8603.99</v>
      </c>
      <c r="S86" s="32">
        <v>3.5560000000000001E-2</v>
      </c>
      <c r="T86" s="32" t="s">
        <v>139</v>
      </c>
      <c r="U86" s="32">
        <v>1.244E-2</v>
      </c>
      <c r="V86" s="32">
        <v>7.2150000000000006E-2</v>
      </c>
      <c r="W86" s="32">
        <v>6.1001E-2</v>
      </c>
      <c r="X86" s="32">
        <v>2.3359999999999999E-2</v>
      </c>
      <c r="Y86" s="32">
        <v>-6.1747999999999997E-2</v>
      </c>
      <c r="Z86" s="32">
        <v>0.39034200000000002</v>
      </c>
      <c r="AA86" s="32">
        <v>0.64855200000000002</v>
      </c>
      <c r="AB86" s="32">
        <v>0.57929299999999995</v>
      </c>
    </row>
    <row r="87" spans="1:28" ht="15.6" customHeight="1" x14ac:dyDescent="0.25">
      <c r="A87" s="24" t="s">
        <v>1125</v>
      </c>
      <c r="B87" s="50">
        <v>3589</v>
      </c>
      <c r="C87" s="25" t="s">
        <v>1126</v>
      </c>
      <c r="D87" s="25" t="s">
        <v>145</v>
      </c>
      <c r="E87" s="25" t="s">
        <v>194</v>
      </c>
      <c r="F87" s="25" t="s">
        <v>138</v>
      </c>
      <c r="G87" s="26" t="s">
        <v>139</v>
      </c>
      <c r="H87" s="27" t="s">
        <v>220</v>
      </c>
      <c r="I87" s="24" t="s">
        <v>998</v>
      </c>
      <c r="J87" s="24" t="s">
        <v>107</v>
      </c>
      <c r="K87" s="28" t="s">
        <v>180</v>
      </c>
      <c r="L87" s="29">
        <v>0.02</v>
      </c>
      <c r="M87" s="29">
        <v>0.02</v>
      </c>
      <c r="N87" s="29">
        <v>0.02</v>
      </c>
      <c r="O87" s="27" t="s">
        <v>148</v>
      </c>
      <c r="P87" s="30" t="s">
        <v>145</v>
      </c>
      <c r="Q87" s="31">
        <v>6242298.3499999996</v>
      </c>
      <c r="R87" s="31">
        <v>773.51</v>
      </c>
      <c r="S87" s="32">
        <v>8.8000000000000003E-4</v>
      </c>
      <c r="T87" s="32" t="s">
        <v>139</v>
      </c>
      <c r="U87" s="32">
        <v>5.4990000000000004E-3</v>
      </c>
      <c r="V87" s="32">
        <v>2.7047000000000002E-2</v>
      </c>
      <c r="W87" s="32">
        <v>2.6692E-2</v>
      </c>
      <c r="X87" s="32">
        <v>-6.8950000000000001E-3</v>
      </c>
      <c r="Y87" s="32">
        <v>-3.0179000000000001E-2</v>
      </c>
      <c r="Z87" s="32">
        <v>0.139845</v>
      </c>
      <c r="AA87" s="32">
        <v>0.224606</v>
      </c>
      <c r="AB87" s="32">
        <v>0.22911999999999999</v>
      </c>
    </row>
    <row r="88" spans="1:28" ht="15.6" customHeight="1" x14ac:dyDescent="0.25">
      <c r="A88" s="24" t="s">
        <v>1127</v>
      </c>
      <c r="B88" s="50">
        <v>3590</v>
      </c>
      <c r="C88" s="25" t="s">
        <v>1128</v>
      </c>
      <c r="D88" s="25" t="s">
        <v>145</v>
      </c>
      <c r="E88" s="25" t="s">
        <v>194</v>
      </c>
      <c r="F88" s="25" t="s">
        <v>113</v>
      </c>
      <c r="G88" s="26" t="s">
        <v>1129</v>
      </c>
      <c r="H88" s="27" t="s">
        <v>199</v>
      </c>
      <c r="I88" s="24" t="s">
        <v>998</v>
      </c>
      <c r="J88" s="24" t="s">
        <v>121</v>
      </c>
      <c r="K88" s="28" t="s">
        <v>108</v>
      </c>
      <c r="L88" s="29">
        <v>0.03</v>
      </c>
      <c r="M88" s="29">
        <v>1.4999999999999999E-2</v>
      </c>
      <c r="N88" s="29">
        <v>6.0000000000000001E-3</v>
      </c>
      <c r="O88" s="27" t="s">
        <v>148</v>
      </c>
      <c r="P88" s="30" t="s">
        <v>145</v>
      </c>
      <c r="Q88" s="31">
        <v>1135394799.6800001</v>
      </c>
      <c r="R88" s="31">
        <v>247.81</v>
      </c>
      <c r="S88" s="32">
        <v>-3.7190000000000001E-3</v>
      </c>
      <c r="T88" s="32" t="s">
        <v>139</v>
      </c>
      <c r="U88" s="32">
        <v>9.2900000000000003E-4</v>
      </c>
      <c r="V88" s="32">
        <v>3.686E-3</v>
      </c>
      <c r="W88" s="32">
        <v>2.833E-3</v>
      </c>
      <c r="X88" s="32">
        <v>-2.8930000000000002E-3</v>
      </c>
      <c r="Y88" s="32">
        <v>-1.9872999999999998E-2</v>
      </c>
      <c r="Z88" s="32">
        <v>0.119294</v>
      </c>
      <c r="AA88" s="32">
        <v>0.205928</v>
      </c>
      <c r="AB88" s="32">
        <v>0.17843300000000001</v>
      </c>
    </row>
    <row r="89" spans="1:28" ht="15.6" customHeight="1" x14ac:dyDescent="0.25">
      <c r="A89" s="24" t="s">
        <v>228</v>
      </c>
      <c r="B89" s="50">
        <v>3591</v>
      </c>
      <c r="C89" s="25" t="s">
        <v>229</v>
      </c>
      <c r="D89" s="25" t="s">
        <v>145</v>
      </c>
      <c r="E89" s="25" t="s">
        <v>194</v>
      </c>
      <c r="F89" s="25" t="s">
        <v>113</v>
      </c>
      <c r="G89" s="26" t="s">
        <v>230</v>
      </c>
      <c r="H89" s="27" t="s">
        <v>231</v>
      </c>
      <c r="I89" s="24" t="s">
        <v>106</v>
      </c>
      <c r="J89" s="24" t="s">
        <v>107</v>
      </c>
      <c r="K89" s="28" t="s">
        <v>108</v>
      </c>
      <c r="L89" s="29">
        <v>0.02</v>
      </c>
      <c r="M89" s="29">
        <v>0.02</v>
      </c>
      <c r="N89" s="29">
        <v>0.02</v>
      </c>
      <c r="O89" s="27" t="s">
        <v>148</v>
      </c>
      <c r="P89" s="30" t="s">
        <v>145</v>
      </c>
      <c r="Q89" s="31">
        <v>4360695423.0299997</v>
      </c>
      <c r="R89" s="31">
        <v>2859.02</v>
      </c>
      <c r="S89" s="32">
        <v>-3.5899999999999999E-3</v>
      </c>
      <c r="T89" s="32" t="s">
        <v>139</v>
      </c>
      <c r="U89" s="32">
        <v>1.3940000000000001E-3</v>
      </c>
      <c r="V89" s="32">
        <v>5.1539999999999997E-3</v>
      </c>
      <c r="W89" s="32">
        <v>4.2779999999999997E-3</v>
      </c>
      <c r="X89" s="32">
        <v>-3.3119999999999998E-3</v>
      </c>
      <c r="Y89" s="32">
        <v>-1.2196E-2</v>
      </c>
      <c r="Z89" s="32">
        <v>6.0794000000000001E-2</v>
      </c>
      <c r="AA89" s="32">
        <v>0.13714000000000001</v>
      </c>
      <c r="AB89" s="32">
        <v>0.15329100000000001</v>
      </c>
    </row>
    <row r="90" spans="1:28" ht="15.6" customHeight="1" x14ac:dyDescent="0.25">
      <c r="A90" s="24" t="s">
        <v>232</v>
      </c>
      <c r="B90" s="50">
        <v>3592</v>
      </c>
      <c r="C90" s="25" t="s">
        <v>233</v>
      </c>
      <c r="D90" s="25" t="s">
        <v>145</v>
      </c>
      <c r="E90" s="25" t="s">
        <v>194</v>
      </c>
      <c r="F90" s="25" t="s">
        <v>128</v>
      </c>
      <c r="G90" s="26" t="s">
        <v>129</v>
      </c>
      <c r="H90" s="27" t="s">
        <v>130</v>
      </c>
      <c r="I90" s="24" t="s">
        <v>106</v>
      </c>
      <c r="J90" s="24" t="s">
        <v>107</v>
      </c>
      <c r="K90" s="28" t="s">
        <v>108</v>
      </c>
      <c r="L90" s="29">
        <v>0.01</v>
      </c>
      <c r="M90" s="29">
        <v>0.01</v>
      </c>
      <c r="N90" s="29">
        <v>0.01</v>
      </c>
      <c r="O90" s="27" t="s">
        <v>148</v>
      </c>
      <c r="P90" s="30" t="s">
        <v>145</v>
      </c>
      <c r="Q90" s="31">
        <v>154584372.08000001</v>
      </c>
      <c r="R90" s="31">
        <v>2409.84</v>
      </c>
      <c r="S90" s="32">
        <v>3.9445000000000001E-2</v>
      </c>
      <c r="T90" s="32" t="s">
        <v>139</v>
      </c>
      <c r="U90" s="32">
        <v>5.6899999999999995E-4</v>
      </c>
      <c r="V90" s="32">
        <v>1.8749999999999999E-3</v>
      </c>
      <c r="W90" s="32">
        <v>3.2400999999999999E-2</v>
      </c>
      <c r="X90" s="32">
        <v>3.6561999999999997E-2</v>
      </c>
      <c r="Y90" s="32">
        <v>8.1834000000000004E-2</v>
      </c>
      <c r="Z90" s="32">
        <v>9.7127000000000005E-2</v>
      </c>
      <c r="AA90" s="32">
        <v>0.11094</v>
      </c>
      <c r="AB90" s="32">
        <v>0.136819</v>
      </c>
    </row>
    <row r="91" spans="1:28" ht="15.6" customHeight="1" x14ac:dyDescent="0.25">
      <c r="A91" s="24" t="s">
        <v>234</v>
      </c>
      <c r="B91" s="50">
        <v>3593</v>
      </c>
      <c r="C91" s="25" t="s">
        <v>235</v>
      </c>
      <c r="D91" s="25" t="s">
        <v>145</v>
      </c>
      <c r="E91" s="25" t="s">
        <v>194</v>
      </c>
      <c r="F91" s="25" t="s">
        <v>113</v>
      </c>
      <c r="G91" s="26" t="s">
        <v>198</v>
      </c>
      <c r="H91" s="27" t="s">
        <v>120</v>
      </c>
      <c r="I91" s="24" t="s">
        <v>106</v>
      </c>
      <c r="J91" s="24" t="s">
        <v>107</v>
      </c>
      <c r="K91" s="28" t="s">
        <v>108</v>
      </c>
      <c r="L91" s="29">
        <v>0.02</v>
      </c>
      <c r="M91" s="29">
        <v>0.02</v>
      </c>
      <c r="N91" s="29">
        <v>0.02</v>
      </c>
      <c r="O91" s="27" t="s">
        <v>148</v>
      </c>
      <c r="P91" s="30" t="s">
        <v>145</v>
      </c>
      <c r="Q91" s="31">
        <v>1300532740.8499999</v>
      </c>
      <c r="R91" s="31">
        <v>2645.58</v>
      </c>
      <c r="S91" s="32">
        <v>8.6300000000000005E-4</v>
      </c>
      <c r="T91" s="32" t="s">
        <v>139</v>
      </c>
      <c r="U91" s="32">
        <v>1.2409999999999999E-3</v>
      </c>
      <c r="V91" s="32">
        <v>5.6909999999999999E-3</v>
      </c>
      <c r="W91" s="32">
        <v>7.169E-3</v>
      </c>
      <c r="X91" s="32">
        <v>2.98E-3</v>
      </c>
      <c r="Y91" s="32">
        <v>-4.5529999999999998E-3</v>
      </c>
      <c r="Z91" s="32">
        <v>7.1914000000000006E-2</v>
      </c>
      <c r="AA91" s="32">
        <v>0.149502</v>
      </c>
      <c r="AB91" s="32">
        <v>0.133273</v>
      </c>
    </row>
    <row r="92" spans="1:28" ht="15.6" customHeight="1" x14ac:dyDescent="0.25">
      <c r="A92" s="24" t="s">
        <v>236</v>
      </c>
      <c r="B92" s="50">
        <v>3594</v>
      </c>
      <c r="C92" s="25" t="s">
        <v>237</v>
      </c>
      <c r="D92" s="25" t="s">
        <v>145</v>
      </c>
      <c r="E92" s="25" t="s">
        <v>194</v>
      </c>
      <c r="F92" s="25" t="s">
        <v>113</v>
      </c>
      <c r="G92" s="26" t="s">
        <v>238</v>
      </c>
      <c r="H92" s="27" t="s">
        <v>115</v>
      </c>
      <c r="I92" s="24" t="s">
        <v>106</v>
      </c>
      <c r="J92" s="24" t="s">
        <v>107</v>
      </c>
      <c r="K92" s="28" t="s">
        <v>108</v>
      </c>
      <c r="L92" s="29">
        <v>0.02</v>
      </c>
      <c r="M92" s="29">
        <v>0.02</v>
      </c>
      <c r="N92" s="29">
        <v>0.02</v>
      </c>
      <c r="O92" s="27" t="s">
        <v>148</v>
      </c>
      <c r="P92" s="30" t="s">
        <v>145</v>
      </c>
      <c r="Q92" s="31">
        <v>1109034123.0599999</v>
      </c>
      <c r="R92" s="31">
        <v>30114.7</v>
      </c>
      <c r="S92" s="32">
        <v>-6.8599999999999998E-4</v>
      </c>
      <c r="T92" s="32" t="s">
        <v>139</v>
      </c>
      <c r="U92" s="32">
        <v>1.072E-3</v>
      </c>
      <c r="V92" s="32">
        <v>3.4259999999999998E-3</v>
      </c>
      <c r="W92" s="32">
        <v>3.529E-3</v>
      </c>
      <c r="X92" s="32">
        <v>-1.451E-3</v>
      </c>
      <c r="Y92" s="32">
        <v>-1.1069999999999999E-3</v>
      </c>
      <c r="Z92" s="32">
        <v>8.9623999999999995E-2</v>
      </c>
      <c r="AA92" s="32">
        <v>0.182867</v>
      </c>
      <c r="AB92" s="32">
        <v>0.111623</v>
      </c>
    </row>
    <row r="93" spans="1:28" ht="15.6" customHeight="1" x14ac:dyDescent="0.25">
      <c r="A93" s="24" t="s">
        <v>1130</v>
      </c>
      <c r="B93" s="50">
        <v>3595</v>
      </c>
      <c r="C93" s="25" t="s">
        <v>1131</v>
      </c>
      <c r="D93" s="25" t="s">
        <v>145</v>
      </c>
      <c r="E93" s="25" t="s">
        <v>194</v>
      </c>
      <c r="F93" s="25" t="s">
        <v>155</v>
      </c>
      <c r="G93" s="26" t="s">
        <v>139</v>
      </c>
      <c r="H93" s="27" t="s">
        <v>588</v>
      </c>
      <c r="I93" s="24" t="s">
        <v>998</v>
      </c>
      <c r="J93" s="24" t="s">
        <v>107</v>
      </c>
      <c r="K93" s="28" t="s">
        <v>227</v>
      </c>
      <c r="L93" s="29">
        <v>0.02</v>
      </c>
      <c r="M93" s="29">
        <v>0.02</v>
      </c>
      <c r="N93" s="29">
        <v>0.02</v>
      </c>
      <c r="O93" s="27" t="s">
        <v>148</v>
      </c>
      <c r="P93" s="30" t="s">
        <v>145</v>
      </c>
      <c r="Q93" s="31">
        <v>1396873880.8199999</v>
      </c>
      <c r="R93" s="31">
        <v>4750.3599999999997</v>
      </c>
      <c r="S93" s="32">
        <v>3.2260999999999998E-2</v>
      </c>
      <c r="T93" s="32" t="s">
        <v>139</v>
      </c>
      <c r="U93" s="32">
        <v>1.5710999999999999E-2</v>
      </c>
      <c r="V93" s="32">
        <v>8.2427E-2</v>
      </c>
      <c r="W93" s="32">
        <v>6.5912999999999999E-2</v>
      </c>
      <c r="X93" s="32">
        <v>3.2772999999999997E-2</v>
      </c>
      <c r="Y93" s="32">
        <v>-7.7514E-2</v>
      </c>
      <c r="Z93" s="32">
        <v>0.417603</v>
      </c>
      <c r="AA93" s="32">
        <v>0.62992099999999995</v>
      </c>
      <c r="AB93" s="32">
        <v>0.52102000000000004</v>
      </c>
    </row>
    <row r="94" spans="1:28" ht="15.6" customHeight="1" x14ac:dyDescent="0.25">
      <c r="A94" s="24" t="s">
        <v>239</v>
      </c>
      <c r="B94" s="50">
        <v>3597</v>
      </c>
      <c r="C94" s="25" t="s">
        <v>240</v>
      </c>
      <c r="D94" s="25" t="s">
        <v>241</v>
      </c>
      <c r="E94" s="25" t="s">
        <v>194</v>
      </c>
      <c r="F94" s="25" t="s">
        <v>103</v>
      </c>
      <c r="G94" s="26" t="s">
        <v>104</v>
      </c>
      <c r="H94" s="27" t="s">
        <v>130</v>
      </c>
      <c r="I94" s="24" t="s">
        <v>106</v>
      </c>
      <c r="J94" s="24" t="s">
        <v>107</v>
      </c>
      <c r="K94" s="28" t="s">
        <v>108</v>
      </c>
      <c r="L94" s="29">
        <v>0</v>
      </c>
      <c r="M94" s="29">
        <v>0</v>
      </c>
      <c r="N94" s="29">
        <v>6.5000000000000006E-3</v>
      </c>
      <c r="O94" s="27" t="s">
        <v>148</v>
      </c>
      <c r="P94" s="30" t="s">
        <v>241</v>
      </c>
      <c r="Q94" s="31">
        <v>552515913.02999997</v>
      </c>
      <c r="R94" s="31">
        <v>2122.2600000000002</v>
      </c>
      <c r="S94" s="32">
        <v>2.5831E-2</v>
      </c>
      <c r="T94" s="32" t="s">
        <v>139</v>
      </c>
      <c r="U94" s="32">
        <v>5.6099999999999998E-4</v>
      </c>
      <c r="V94" s="32">
        <v>1.817E-3</v>
      </c>
      <c r="W94" s="32">
        <v>1.7656000000000002E-2</v>
      </c>
      <c r="X94" s="32">
        <v>2.2401000000000001E-2</v>
      </c>
      <c r="Y94" s="32">
        <v>3.875E-2</v>
      </c>
      <c r="Z94" s="32">
        <v>6.4542000000000002E-2</v>
      </c>
      <c r="AA94" s="32">
        <v>9.6423999999999996E-2</v>
      </c>
      <c r="AB94" s="32">
        <v>0.13234899999999999</v>
      </c>
    </row>
    <row r="95" spans="1:28" ht="15.6" customHeight="1" x14ac:dyDescent="0.25">
      <c r="A95" s="24" t="s">
        <v>1132</v>
      </c>
      <c r="B95" s="50">
        <v>3599</v>
      </c>
      <c r="C95" s="25" t="s">
        <v>1133</v>
      </c>
      <c r="D95" s="25" t="s">
        <v>241</v>
      </c>
      <c r="E95" s="25" t="s">
        <v>194</v>
      </c>
      <c r="F95" s="25" t="s">
        <v>113</v>
      </c>
      <c r="G95" s="26" t="s">
        <v>1134</v>
      </c>
      <c r="H95" s="27" t="s">
        <v>115</v>
      </c>
      <c r="I95" s="24" t="s">
        <v>998</v>
      </c>
      <c r="J95" s="24" t="s">
        <v>107</v>
      </c>
      <c r="K95" s="28" t="s">
        <v>108</v>
      </c>
      <c r="L95" s="29">
        <v>0.03</v>
      </c>
      <c r="M95" s="29">
        <v>1.4999999999999999E-2</v>
      </c>
      <c r="N95" s="29">
        <v>1.2999999999999999E-2</v>
      </c>
      <c r="O95" s="27" t="s">
        <v>166</v>
      </c>
      <c r="P95" s="30" t="s">
        <v>241</v>
      </c>
      <c r="Q95" s="31">
        <v>1158007468.22</v>
      </c>
      <c r="R95" s="31">
        <v>1911.81</v>
      </c>
      <c r="S95" s="32">
        <v>1.1845E-2</v>
      </c>
      <c r="T95" s="32" t="s">
        <v>139</v>
      </c>
      <c r="U95" s="32">
        <v>7.7499999999999997E-4</v>
      </c>
      <c r="V95" s="32">
        <v>2.428E-3</v>
      </c>
      <c r="W95" s="32">
        <v>9.2599999999999991E-3</v>
      </c>
      <c r="X95" s="32">
        <v>1.1936E-2</v>
      </c>
      <c r="Y95" s="32">
        <v>1.2503999999999999E-2</v>
      </c>
      <c r="Z95" s="32">
        <v>7.5246999999999994E-2</v>
      </c>
      <c r="AA95" s="32">
        <v>0.133495</v>
      </c>
      <c r="AB95" s="32">
        <v>4.9614999999999999E-2</v>
      </c>
    </row>
    <row r="96" spans="1:28" ht="15.6" customHeight="1" x14ac:dyDescent="0.25">
      <c r="A96" s="24" t="s">
        <v>242</v>
      </c>
      <c r="B96" s="50">
        <v>3600</v>
      </c>
      <c r="C96" s="25" t="s">
        <v>243</v>
      </c>
      <c r="D96" s="25" t="s">
        <v>159</v>
      </c>
      <c r="E96" s="25" t="s">
        <v>194</v>
      </c>
      <c r="F96" s="25" t="s">
        <v>103</v>
      </c>
      <c r="G96" s="26" t="s">
        <v>244</v>
      </c>
      <c r="H96" s="27" t="s">
        <v>245</v>
      </c>
      <c r="I96" s="24" t="s">
        <v>106</v>
      </c>
      <c r="J96" s="24" t="s">
        <v>107</v>
      </c>
      <c r="K96" s="28" t="s">
        <v>108</v>
      </c>
      <c r="L96" s="29">
        <v>0</v>
      </c>
      <c r="M96" s="29">
        <v>0</v>
      </c>
      <c r="N96" s="29">
        <v>0.02</v>
      </c>
      <c r="O96" s="27" t="s">
        <v>161</v>
      </c>
      <c r="P96" s="30" t="s">
        <v>159</v>
      </c>
      <c r="Q96" s="31">
        <v>501566983.54000002</v>
      </c>
      <c r="R96" s="31">
        <v>19588.63</v>
      </c>
      <c r="S96" s="32">
        <v>1.3639E-2</v>
      </c>
      <c r="T96" s="32" t="s">
        <v>139</v>
      </c>
      <c r="U96" s="32">
        <v>4.3399999999999998E-4</v>
      </c>
      <c r="V96" s="32">
        <v>1.7329999999999999E-3</v>
      </c>
      <c r="W96" s="32">
        <v>5.326E-3</v>
      </c>
      <c r="X96" s="32">
        <v>1.0505E-2</v>
      </c>
      <c r="Y96" s="32">
        <v>2.0147000000000002E-2</v>
      </c>
      <c r="Z96" s="32">
        <v>4.6113000000000001E-2</v>
      </c>
      <c r="AA96" s="32">
        <v>7.5964000000000004E-2</v>
      </c>
      <c r="AB96" s="32">
        <v>0.117368</v>
      </c>
    </row>
    <row r="97" spans="1:28" ht="15.6" customHeight="1" x14ac:dyDescent="0.25">
      <c r="A97" s="24" t="s">
        <v>246</v>
      </c>
      <c r="B97" s="50">
        <v>3601</v>
      </c>
      <c r="C97" s="25" t="s">
        <v>247</v>
      </c>
      <c r="D97" s="25" t="s">
        <v>159</v>
      </c>
      <c r="E97" s="25" t="s">
        <v>194</v>
      </c>
      <c r="F97" s="25" t="s">
        <v>103</v>
      </c>
      <c r="G97" s="26" t="s">
        <v>244</v>
      </c>
      <c r="H97" s="27" t="s">
        <v>188</v>
      </c>
      <c r="I97" s="24" t="s">
        <v>106</v>
      </c>
      <c r="J97" s="24" t="s">
        <v>121</v>
      </c>
      <c r="K97" s="28" t="s">
        <v>108</v>
      </c>
      <c r="L97" s="29">
        <v>0</v>
      </c>
      <c r="M97" s="29">
        <v>0</v>
      </c>
      <c r="N97" s="29">
        <v>0.02</v>
      </c>
      <c r="O97" s="27" t="s">
        <v>161</v>
      </c>
      <c r="P97" s="30" t="s">
        <v>159</v>
      </c>
      <c r="Q97" s="31">
        <v>3063444994.25</v>
      </c>
      <c r="R97" s="31">
        <v>23533.46</v>
      </c>
      <c r="S97" s="32">
        <v>1.4504E-2</v>
      </c>
      <c r="T97" s="32" t="s">
        <v>139</v>
      </c>
      <c r="U97" s="32">
        <v>4.73E-4</v>
      </c>
      <c r="V97" s="32">
        <v>1.8240000000000001E-3</v>
      </c>
      <c r="W97" s="32">
        <v>5.6880000000000003E-3</v>
      </c>
      <c r="X97" s="32">
        <v>1.1478E-2</v>
      </c>
      <c r="Y97" s="32">
        <v>2.1831E-2</v>
      </c>
      <c r="Z97" s="32">
        <v>4.8542000000000002E-2</v>
      </c>
      <c r="AA97" s="32">
        <v>8.1336000000000006E-2</v>
      </c>
      <c r="AB97" s="32">
        <v>0.119104</v>
      </c>
    </row>
    <row r="98" spans="1:28" ht="15.6" customHeight="1" x14ac:dyDescent="0.25">
      <c r="A98" s="24" t="s">
        <v>1135</v>
      </c>
      <c r="B98" s="50">
        <v>3602</v>
      </c>
      <c r="C98" s="25" t="s">
        <v>1136</v>
      </c>
      <c r="D98" s="25" t="s">
        <v>164</v>
      </c>
      <c r="E98" s="25" t="s">
        <v>102</v>
      </c>
      <c r="F98" s="25" t="s">
        <v>138</v>
      </c>
      <c r="G98" s="26" t="s">
        <v>139</v>
      </c>
      <c r="H98" s="27" t="s">
        <v>1033</v>
      </c>
      <c r="I98" s="24" t="s">
        <v>998</v>
      </c>
      <c r="J98" s="24" t="s">
        <v>107</v>
      </c>
      <c r="K98" s="28" t="s">
        <v>108</v>
      </c>
      <c r="L98" s="29">
        <v>0.03</v>
      </c>
      <c r="M98" s="29">
        <v>1.4999999999999999E-2</v>
      </c>
      <c r="N98" s="29">
        <v>0.02</v>
      </c>
      <c r="O98" s="27" t="s">
        <v>166</v>
      </c>
      <c r="P98" s="30" t="s">
        <v>164</v>
      </c>
      <c r="Q98" s="31">
        <v>210637124.16</v>
      </c>
      <c r="R98" s="31">
        <v>5766.46</v>
      </c>
      <c r="S98" s="32">
        <v>5.8312999999999997E-2</v>
      </c>
      <c r="T98" s="32" t="s">
        <v>139</v>
      </c>
      <c r="U98" s="32">
        <v>1.3601E-2</v>
      </c>
      <c r="V98" s="32">
        <v>6.0976000000000002E-2</v>
      </c>
      <c r="W98" s="32">
        <v>4.7862000000000002E-2</v>
      </c>
      <c r="X98" s="32">
        <v>4.7933000000000003E-2</v>
      </c>
      <c r="Y98" s="32">
        <v>-1.9559999999999998E-3</v>
      </c>
      <c r="Z98" s="32">
        <v>0.271787</v>
      </c>
      <c r="AA98" s="32">
        <v>0.43634000000000001</v>
      </c>
      <c r="AB98" s="32">
        <v>0.38293700000000003</v>
      </c>
    </row>
    <row r="99" spans="1:28" ht="15.6" customHeight="1" x14ac:dyDescent="0.25">
      <c r="A99" s="24" t="s">
        <v>248</v>
      </c>
      <c r="B99" s="50">
        <v>3604</v>
      </c>
      <c r="C99" s="25" t="s">
        <v>249</v>
      </c>
      <c r="D99" s="25" t="s">
        <v>164</v>
      </c>
      <c r="E99" s="25" t="s">
        <v>194</v>
      </c>
      <c r="F99" s="25" t="s">
        <v>128</v>
      </c>
      <c r="G99" s="26" t="s">
        <v>250</v>
      </c>
      <c r="H99" s="27" t="s">
        <v>130</v>
      </c>
      <c r="I99" s="24" t="s">
        <v>106</v>
      </c>
      <c r="J99" s="24" t="s">
        <v>107</v>
      </c>
      <c r="K99" s="28" t="s">
        <v>108</v>
      </c>
      <c r="L99" s="29">
        <v>0</v>
      </c>
      <c r="M99" s="29">
        <v>0</v>
      </c>
      <c r="N99" s="29">
        <v>0.02</v>
      </c>
      <c r="O99" s="27" t="s">
        <v>166</v>
      </c>
      <c r="P99" s="30" t="s">
        <v>164</v>
      </c>
      <c r="Q99" s="31">
        <v>950059003.10000002</v>
      </c>
      <c r="R99" s="31">
        <v>231.94</v>
      </c>
      <c r="S99" s="32">
        <v>1.5765999999999999E-2</v>
      </c>
      <c r="T99" s="32" t="s">
        <v>139</v>
      </c>
      <c r="U99" s="32">
        <v>6.8999999999999997E-4</v>
      </c>
      <c r="V99" s="32">
        <v>2.0309999999999998E-3</v>
      </c>
      <c r="W99" s="32">
        <v>6.5529999999999998E-3</v>
      </c>
      <c r="X99" s="32">
        <v>1.2130999999999999E-2</v>
      </c>
      <c r="Y99" s="32">
        <v>2.2166999999999999E-2</v>
      </c>
      <c r="Z99" s="32">
        <v>5.0263000000000002E-2</v>
      </c>
      <c r="AA99" s="32">
        <v>8.4846000000000005E-2</v>
      </c>
      <c r="AB99" s="32">
        <v>0.118322</v>
      </c>
    </row>
    <row r="100" spans="1:28" ht="15.6" customHeight="1" x14ac:dyDescent="0.25">
      <c r="A100" s="24" t="s">
        <v>1137</v>
      </c>
      <c r="B100" s="50">
        <v>3605</v>
      </c>
      <c r="C100" s="25" t="s">
        <v>1138</v>
      </c>
      <c r="D100" s="25" t="s">
        <v>164</v>
      </c>
      <c r="E100" s="25" t="s">
        <v>194</v>
      </c>
      <c r="F100" s="25" t="s">
        <v>113</v>
      </c>
      <c r="G100" s="26" t="s">
        <v>1025</v>
      </c>
      <c r="H100" s="27" t="s">
        <v>732</v>
      </c>
      <c r="I100" s="24" t="s">
        <v>998</v>
      </c>
      <c r="J100" s="24" t="s">
        <v>121</v>
      </c>
      <c r="K100" s="28" t="s">
        <v>180</v>
      </c>
      <c r="L100" s="29">
        <v>0.03</v>
      </c>
      <c r="M100" s="29">
        <v>1.4999999999999999E-2</v>
      </c>
      <c r="N100" s="29">
        <v>0.02</v>
      </c>
      <c r="O100" s="27" t="s">
        <v>166</v>
      </c>
      <c r="P100" s="30" t="s">
        <v>164</v>
      </c>
      <c r="Q100" s="31">
        <v>418281707.20999998</v>
      </c>
      <c r="R100" s="31">
        <v>24649.759999999998</v>
      </c>
      <c r="S100" s="32">
        <v>-1.1310000000000001E-3</v>
      </c>
      <c r="T100" s="32" t="s">
        <v>139</v>
      </c>
      <c r="U100" s="32">
        <v>1.124E-3</v>
      </c>
      <c r="V100" s="32">
        <v>3.395E-3</v>
      </c>
      <c r="W100" s="32">
        <v>3.0599999999999998E-3</v>
      </c>
      <c r="X100" s="32">
        <v>-1.0759999999999999E-3</v>
      </c>
      <c r="Y100" s="32">
        <v>-6.5989999999999998E-3</v>
      </c>
      <c r="Z100" s="32">
        <v>0.107735</v>
      </c>
      <c r="AA100" s="32">
        <v>0.24357100000000001</v>
      </c>
      <c r="AB100" s="32">
        <v>9.2247999999999997E-2</v>
      </c>
    </row>
    <row r="101" spans="1:28" ht="15.6" customHeight="1" x14ac:dyDescent="0.25">
      <c r="A101" s="24" t="s">
        <v>251</v>
      </c>
      <c r="B101" s="50">
        <v>3606</v>
      </c>
      <c r="C101" s="25" t="s">
        <v>252</v>
      </c>
      <c r="D101" s="25" t="s">
        <v>164</v>
      </c>
      <c r="E101" s="25" t="s">
        <v>194</v>
      </c>
      <c r="F101" s="25" t="s">
        <v>155</v>
      </c>
      <c r="G101" s="26" t="s">
        <v>139</v>
      </c>
      <c r="H101" s="27" t="s">
        <v>156</v>
      </c>
      <c r="I101" s="24" t="s">
        <v>106</v>
      </c>
      <c r="J101" s="24" t="s">
        <v>107</v>
      </c>
      <c r="K101" s="28" t="s">
        <v>108</v>
      </c>
      <c r="L101" s="29">
        <v>0.03</v>
      </c>
      <c r="M101" s="29">
        <v>1.4999999999999999E-2</v>
      </c>
      <c r="N101" s="29">
        <v>0.02</v>
      </c>
      <c r="O101" s="27" t="s">
        <v>166</v>
      </c>
      <c r="P101" s="30" t="s">
        <v>164</v>
      </c>
      <c r="Q101" s="31">
        <v>904699181.22000003</v>
      </c>
      <c r="R101" s="31">
        <v>977.92</v>
      </c>
      <c r="S101" s="32">
        <v>7.1881E-2</v>
      </c>
      <c r="T101" s="32" t="s">
        <v>139</v>
      </c>
      <c r="U101" s="32">
        <v>1.6813000000000002E-2</v>
      </c>
      <c r="V101" s="32">
        <v>8.4361000000000005E-2</v>
      </c>
      <c r="W101" s="32">
        <v>6.5202999999999997E-2</v>
      </c>
      <c r="X101" s="32">
        <v>5.7702000000000003E-2</v>
      </c>
      <c r="Y101" s="32">
        <v>-2.6780999999999999E-2</v>
      </c>
      <c r="Z101" s="32">
        <v>0.38151600000000002</v>
      </c>
      <c r="AA101" s="32">
        <v>0.56494699999999998</v>
      </c>
      <c r="AB101" s="32">
        <v>0.479097</v>
      </c>
    </row>
    <row r="102" spans="1:28" ht="15.6" customHeight="1" x14ac:dyDescent="0.25">
      <c r="A102" s="24" t="s">
        <v>1139</v>
      </c>
      <c r="B102" s="50">
        <v>3608</v>
      </c>
      <c r="C102" s="25" t="s">
        <v>1140</v>
      </c>
      <c r="D102" s="25" t="s">
        <v>164</v>
      </c>
      <c r="E102" s="25" t="s">
        <v>194</v>
      </c>
      <c r="F102" s="25" t="s">
        <v>155</v>
      </c>
      <c r="G102" s="26" t="s">
        <v>139</v>
      </c>
      <c r="H102" s="27" t="s">
        <v>156</v>
      </c>
      <c r="I102" s="24" t="s">
        <v>998</v>
      </c>
      <c r="J102" s="24" t="s">
        <v>121</v>
      </c>
      <c r="K102" s="28" t="s">
        <v>108</v>
      </c>
      <c r="L102" s="29">
        <v>1.4999999999999999E-2</v>
      </c>
      <c r="M102" s="29">
        <v>0.02</v>
      </c>
      <c r="N102" s="29">
        <v>0.03</v>
      </c>
      <c r="O102" s="27" t="s">
        <v>166</v>
      </c>
      <c r="P102" s="30" t="s">
        <v>164</v>
      </c>
      <c r="Q102" s="31">
        <v>77931316.530000001</v>
      </c>
      <c r="R102" s="31">
        <v>3564.69</v>
      </c>
      <c r="S102" s="32">
        <v>0.106535</v>
      </c>
      <c r="T102" s="32" t="s">
        <v>139</v>
      </c>
      <c r="U102" s="32">
        <v>1.5095000000000001E-2</v>
      </c>
      <c r="V102" s="32">
        <v>7.7991000000000005E-2</v>
      </c>
      <c r="W102" s="32">
        <v>7.1256E-2</v>
      </c>
      <c r="X102" s="32">
        <v>8.0196000000000003E-2</v>
      </c>
      <c r="Y102" s="32">
        <v>1.5873999999999999E-2</v>
      </c>
      <c r="Z102" s="32">
        <v>0.47973199999999999</v>
      </c>
      <c r="AA102" s="32">
        <v>0.75930699999999995</v>
      </c>
      <c r="AB102" s="32">
        <v>0.74888900000000003</v>
      </c>
    </row>
    <row r="103" spans="1:28" ht="15.6" customHeight="1" x14ac:dyDescent="0.25">
      <c r="A103" s="24" t="s">
        <v>1141</v>
      </c>
      <c r="B103" s="50">
        <v>3609</v>
      </c>
      <c r="C103" s="25" t="s">
        <v>1142</v>
      </c>
      <c r="D103" s="25" t="s">
        <v>164</v>
      </c>
      <c r="E103" s="25" t="s">
        <v>194</v>
      </c>
      <c r="F103" s="25" t="s">
        <v>138</v>
      </c>
      <c r="G103" s="26" t="s">
        <v>139</v>
      </c>
      <c r="H103" s="27" t="s">
        <v>1143</v>
      </c>
      <c r="I103" s="24" t="s">
        <v>998</v>
      </c>
      <c r="J103" s="24" t="s">
        <v>107</v>
      </c>
      <c r="K103" s="28" t="s">
        <v>108</v>
      </c>
      <c r="L103" s="29">
        <v>0.03</v>
      </c>
      <c r="M103" s="29">
        <v>1.4999999999999999E-2</v>
      </c>
      <c r="N103" s="29">
        <v>0.02</v>
      </c>
      <c r="O103" s="27" t="s">
        <v>166</v>
      </c>
      <c r="P103" s="30" t="s">
        <v>164</v>
      </c>
      <c r="Q103" s="31">
        <v>170618790.44</v>
      </c>
      <c r="R103" s="31">
        <v>8588.0499999999993</v>
      </c>
      <c r="S103" s="32">
        <v>0.110652</v>
      </c>
      <c r="T103" s="32" t="s">
        <v>139</v>
      </c>
      <c r="U103" s="32">
        <v>1.4031999999999999E-2</v>
      </c>
      <c r="V103" s="32">
        <v>7.0254999999999998E-2</v>
      </c>
      <c r="W103" s="32">
        <v>5.9147999999999999E-2</v>
      </c>
      <c r="X103" s="32">
        <v>9.5035999999999995E-2</v>
      </c>
      <c r="Y103" s="32">
        <v>6.6118999999999997E-2</v>
      </c>
      <c r="Z103" s="32">
        <v>0.417717</v>
      </c>
      <c r="AA103" s="32">
        <v>0.62766200000000005</v>
      </c>
      <c r="AB103" s="32">
        <v>0.61022100000000001</v>
      </c>
    </row>
    <row r="104" spans="1:28" ht="15.6" customHeight="1" x14ac:dyDescent="0.25">
      <c r="A104" s="24" t="s">
        <v>253</v>
      </c>
      <c r="B104" s="50">
        <v>3614</v>
      </c>
      <c r="C104" s="25" t="s">
        <v>254</v>
      </c>
      <c r="D104" s="25" t="s">
        <v>164</v>
      </c>
      <c r="E104" s="25" t="s">
        <v>194</v>
      </c>
      <c r="F104" s="25" t="s">
        <v>103</v>
      </c>
      <c r="G104" s="26" t="s">
        <v>104</v>
      </c>
      <c r="H104" s="27" t="s">
        <v>169</v>
      </c>
      <c r="I104" s="24" t="s">
        <v>106</v>
      </c>
      <c r="J104" s="24" t="s">
        <v>107</v>
      </c>
      <c r="K104" s="28" t="s">
        <v>108</v>
      </c>
      <c r="L104" s="29">
        <v>0</v>
      </c>
      <c r="M104" s="29">
        <v>0</v>
      </c>
      <c r="N104" s="29">
        <v>0.01</v>
      </c>
      <c r="O104" s="27" t="s">
        <v>173</v>
      </c>
      <c r="P104" s="30" t="s">
        <v>164</v>
      </c>
      <c r="Q104" s="31">
        <v>101329063.72</v>
      </c>
      <c r="R104" s="31">
        <v>2044.7</v>
      </c>
      <c r="S104" s="32">
        <v>1.1447000000000001E-2</v>
      </c>
      <c r="T104" s="32" t="s">
        <v>139</v>
      </c>
      <c r="U104" s="32">
        <v>3.77E-4</v>
      </c>
      <c r="V104" s="32">
        <v>1.5330000000000001E-3</v>
      </c>
      <c r="W104" s="32">
        <v>4.3470000000000002E-3</v>
      </c>
      <c r="X104" s="32">
        <v>8.7069999999999995E-3</v>
      </c>
      <c r="Y104" s="32">
        <v>1.7446E-2</v>
      </c>
      <c r="Z104" s="32">
        <v>3.7728999999999999E-2</v>
      </c>
      <c r="AA104" s="32">
        <v>6.3209000000000001E-2</v>
      </c>
      <c r="AB104" s="32">
        <v>9.5759999999999998E-2</v>
      </c>
    </row>
    <row r="105" spans="1:28" ht="15.6" customHeight="1" x14ac:dyDescent="0.25">
      <c r="A105" s="24" t="s">
        <v>255</v>
      </c>
      <c r="B105" s="50">
        <v>3615</v>
      </c>
      <c r="C105" s="25" t="s">
        <v>256</v>
      </c>
      <c r="D105" s="25" t="s">
        <v>164</v>
      </c>
      <c r="E105" s="25" t="s">
        <v>194</v>
      </c>
      <c r="F105" s="25" t="s">
        <v>128</v>
      </c>
      <c r="G105" s="26" t="s">
        <v>257</v>
      </c>
      <c r="H105" s="27" t="s">
        <v>258</v>
      </c>
      <c r="I105" s="24" t="s">
        <v>106</v>
      </c>
      <c r="J105" s="24" t="s">
        <v>107</v>
      </c>
      <c r="K105" s="28" t="s">
        <v>108</v>
      </c>
      <c r="L105" s="29">
        <v>0.03</v>
      </c>
      <c r="M105" s="29">
        <v>1.4999999999999999E-2</v>
      </c>
      <c r="N105" s="29">
        <v>0.02</v>
      </c>
      <c r="O105" s="27" t="s">
        <v>173</v>
      </c>
      <c r="P105" s="30" t="s">
        <v>164</v>
      </c>
      <c r="Q105" s="31">
        <v>500005862.89999998</v>
      </c>
      <c r="R105" s="31">
        <v>40216.03</v>
      </c>
      <c r="S105" s="32">
        <v>1.4026E-2</v>
      </c>
      <c r="T105" s="32" t="s">
        <v>139</v>
      </c>
      <c r="U105" s="32">
        <v>6.0700000000000001E-4</v>
      </c>
      <c r="V105" s="32">
        <v>1.717E-3</v>
      </c>
      <c r="W105" s="32">
        <v>5.738E-3</v>
      </c>
      <c r="X105" s="32">
        <v>1.106E-2</v>
      </c>
      <c r="Y105" s="32">
        <v>1.9115E-2</v>
      </c>
      <c r="Z105" s="32">
        <v>4.6040999999999999E-2</v>
      </c>
      <c r="AA105" s="32">
        <v>7.9353000000000007E-2</v>
      </c>
      <c r="AB105" s="32">
        <v>0.103824</v>
      </c>
    </row>
    <row r="106" spans="1:28" ht="15.6" customHeight="1" x14ac:dyDescent="0.25">
      <c r="A106" s="24" t="s">
        <v>1144</v>
      </c>
      <c r="B106" s="50">
        <v>3618</v>
      </c>
      <c r="C106" s="25" t="s">
        <v>1145</v>
      </c>
      <c r="D106" s="25" t="s">
        <v>261</v>
      </c>
      <c r="E106" s="25" t="s">
        <v>194</v>
      </c>
      <c r="F106" s="25" t="s">
        <v>128</v>
      </c>
      <c r="G106" s="26" t="s">
        <v>289</v>
      </c>
      <c r="H106" s="27" t="s">
        <v>130</v>
      </c>
      <c r="I106" s="24" t="s">
        <v>998</v>
      </c>
      <c r="J106" s="24" t="s">
        <v>107</v>
      </c>
      <c r="K106" s="28" t="s">
        <v>108</v>
      </c>
      <c r="L106" s="29">
        <v>0.03</v>
      </c>
      <c r="M106" s="29">
        <v>1.4999999999999999E-2</v>
      </c>
      <c r="N106" s="29">
        <v>0.01</v>
      </c>
      <c r="O106" s="27" t="s">
        <v>262</v>
      </c>
      <c r="P106" s="30" t="s">
        <v>261</v>
      </c>
      <c r="Q106" s="31">
        <v>5527413.4299999997</v>
      </c>
      <c r="R106" s="31">
        <v>245.94</v>
      </c>
      <c r="S106" s="32">
        <v>6.1595999999999998E-2</v>
      </c>
      <c r="T106" s="32" t="s">
        <v>139</v>
      </c>
      <c r="U106" s="32">
        <v>6.5099999999999999E-4</v>
      </c>
      <c r="V106" s="32">
        <v>2.1189999999999998E-3</v>
      </c>
      <c r="W106" s="32">
        <v>5.0127999999999999E-2</v>
      </c>
      <c r="X106" s="32">
        <v>5.7896999999999997E-2</v>
      </c>
      <c r="Y106" s="32">
        <v>6.9071999999999995E-2</v>
      </c>
      <c r="Z106" s="32">
        <v>0.100747</v>
      </c>
      <c r="AA106" s="32">
        <v>0.13845299999999999</v>
      </c>
      <c r="AB106" s="32">
        <v>0.185196</v>
      </c>
    </row>
    <row r="107" spans="1:28" ht="15.6" customHeight="1" x14ac:dyDescent="0.25">
      <c r="A107" s="24" t="s">
        <v>259</v>
      </c>
      <c r="B107" s="50">
        <v>3619</v>
      </c>
      <c r="C107" s="25" t="s">
        <v>260</v>
      </c>
      <c r="D107" s="25" t="s">
        <v>261</v>
      </c>
      <c r="E107" s="25" t="s">
        <v>194</v>
      </c>
      <c r="F107" s="25" t="s">
        <v>103</v>
      </c>
      <c r="G107" s="26" t="s">
        <v>216</v>
      </c>
      <c r="H107" s="27" t="s">
        <v>217</v>
      </c>
      <c r="I107" s="24" t="s">
        <v>106</v>
      </c>
      <c r="J107" s="24" t="s">
        <v>107</v>
      </c>
      <c r="K107" s="28" t="s">
        <v>108</v>
      </c>
      <c r="L107" s="29">
        <v>0</v>
      </c>
      <c r="M107" s="29">
        <v>0</v>
      </c>
      <c r="N107" s="29">
        <v>6.5000000000000006E-3</v>
      </c>
      <c r="O107" s="27" t="s">
        <v>262</v>
      </c>
      <c r="P107" s="30" t="s">
        <v>261</v>
      </c>
      <c r="Q107" s="31">
        <v>1859210874.26</v>
      </c>
      <c r="R107" s="31">
        <v>1948.92</v>
      </c>
      <c r="S107" s="32">
        <v>1.8520999999999999E-2</v>
      </c>
      <c r="T107" s="32" t="s">
        <v>139</v>
      </c>
      <c r="U107" s="32">
        <v>5.2400000000000005E-4</v>
      </c>
      <c r="V107" s="32">
        <v>2.9329999999999998E-3</v>
      </c>
      <c r="W107" s="32">
        <v>7.9699999999999997E-3</v>
      </c>
      <c r="X107" s="32">
        <v>1.4381E-2</v>
      </c>
      <c r="Y107" s="32">
        <v>2.7380000000000002E-2</v>
      </c>
      <c r="Z107" s="32">
        <v>5.9017E-2</v>
      </c>
      <c r="AA107" s="32">
        <v>9.5538999999999999E-2</v>
      </c>
      <c r="AB107" s="32">
        <v>0.14269999999999999</v>
      </c>
    </row>
    <row r="108" spans="1:28" ht="15.6" customHeight="1" x14ac:dyDescent="0.25">
      <c r="A108" s="24" t="s">
        <v>1146</v>
      </c>
      <c r="B108" s="50">
        <v>3620</v>
      </c>
      <c r="C108" s="25" t="s">
        <v>1147</v>
      </c>
      <c r="D108" s="25" t="s">
        <v>164</v>
      </c>
      <c r="E108" s="25" t="s">
        <v>194</v>
      </c>
      <c r="F108" s="25" t="s">
        <v>155</v>
      </c>
      <c r="G108" s="26" t="s">
        <v>139</v>
      </c>
      <c r="H108" s="27" t="s">
        <v>156</v>
      </c>
      <c r="I108" s="24" t="s">
        <v>998</v>
      </c>
      <c r="J108" s="24" t="s">
        <v>121</v>
      </c>
      <c r="K108" s="28" t="s">
        <v>108</v>
      </c>
      <c r="L108" s="29">
        <v>0.03</v>
      </c>
      <c r="M108" s="29">
        <v>1.4999999999999999E-2</v>
      </c>
      <c r="N108" s="29">
        <v>0.02</v>
      </c>
      <c r="O108" s="27" t="s">
        <v>166</v>
      </c>
      <c r="P108" s="30" t="s">
        <v>164</v>
      </c>
      <c r="Q108" s="31">
        <v>1655652322.1600001</v>
      </c>
      <c r="R108" s="31">
        <v>10382.35</v>
      </c>
      <c r="S108" s="32">
        <v>7.5810000000000002E-2</v>
      </c>
      <c r="T108" s="32" t="s">
        <v>139</v>
      </c>
      <c r="U108" s="32">
        <v>1.6792000000000001E-2</v>
      </c>
      <c r="V108" s="32">
        <v>8.7653999999999996E-2</v>
      </c>
      <c r="W108" s="32">
        <v>6.9530999999999996E-2</v>
      </c>
      <c r="X108" s="32">
        <v>6.5130999999999994E-2</v>
      </c>
      <c r="Y108" s="32">
        <v>-1.5805E-2</v>
      </c>
      <c r="Z108" s="32">
        <v>0.42381600000000003</v>
      </c>
      <c r="AA108" s="32">
        <v>0.65706399999999998</v>
      </c>
      <c r="AB108" s="32">
        <v>0.65659299999999998</v>
      </c>
    </row>
    <row r="109" spans="1:28" ht="15.6" customHeight="1" x14ac:dyDescent="0.25">
      <c r="A109" s="24" t="s">
        <v>263</v>
      </c>
      <c r="B109" s="50">
        <v>3622</v>
      </c>
      <c r="C109" s="25" t="s">
        <v>264</v>
      </c>
      <c r="D109" s="25" t="s">
        <v>145</v>
      </c>
      <c r="E109" s="25" t="s">
        <v>194</v>
      </c>
      <c r="F109" s="25" t="s">
        <v>155</v>
      </c>
      <c r="G109" s="26" t="s">
        <v>139</v>
      </c>
      <c r="H109" s="27" t="s">
        <v>156</v>
      </c>
      <c r="I109" s="24" t="s">
        <v>106</v>
      </c>
      <c r="J109" s="24" t="s">
        <v>121</v>
      </c>
      <c r="K109" s="28" t="s">
        <v>108</v>
      </c>
      <c r="L109" s="29">
        <v>0.02</v>
      </c>
      <c r="M109" s="29">
        <v>0.02</v>
      </c>
      <c r="N109" s="29">
        <v>0.02</v>
      </c>
      <c r="O109" s="27" t="s">
        <v>148</v>
      </c>
      <c r="P109" s="30" t="s">
        <v>145</v>
      </c>
      <c r="Q109" s="31">
        <v>1071381078.66</v>
      </c>
      <c r="R109" s="31">
        <v>3969.68</v>
      </c>
      <c r="S109" s="32">
        <v>2.758E-2</v>
      </c>
      <c r="T109" s="32" t="s">
        <v>139</v>
      </c>
      <c r="U109" s="32">
        <v>1.4236E-2</v>
      </c>
      <c r="V109" s="32">
        <v>7.6105999999999993E-2</v>
      </c>
      <c r="W109" s="32">
        <v>6.0458999999999999E-2</v>
      </c>
      <c r="X109" s="32">
        <v>2.8065E-2</v>
      </c>
      <c r="Y109" s="32">
        <v>-7.8492999999999993E-2</v>
      </c>
      <c r="Z109" s="32">
        <v>0.36327500000000001</v>
      </c>
      <c r="AA109" s="32">
        <v>0.64333899999999999</v>
      </c>
      <c r="AB109" s="32">
        <v>0.65274399999999999</v>
      </c>
    </row>
    <row r="110" spans="1:28" ht="15.6" customHeight="1" x14ac:dyDescent="0.25">
      <c r="A110" s="24" t="s">
        <v>265</v>
      </c>
      <c r="B110" s="50">
        <v>3623</v>
      </c>
      <c r="C110" s="25" t="s">
        <v>266</v>
      </c>
      <c r="D110" s="25" t="s">
        <v>145</v>
      </c>
      <c r="E110" s="25" t="s">
        <v>194</v>
      </c>
      <c r="F110" s="25" t="s">
        <v>103</v>
      </c>
      <c r="G110" s="26" t="s">
        <v>267</v>
      </c>
      <c r="H110" s="27" t="s">
        <v>188</v>
      </c>
      <c r="I110" s="24" t="s">
        <v>106</v>
      </c>
      <c r="J110" s="24" t="s">
        <v>107</v>
      </c>
      <c r="K110" s="28" t="s">
        <v>108</v>
      </c>
      <c r="L110" s="29">
        <v>0.01</v>
      </c>
      <c r="M110" s="29">
        <v>0.01</v>
      </c>
      <c r="N110" s="29">
        <v>0.01</v>
      </c>
      <c r="O110" s="27" t="s">
        <v>148</v>
      </c>
      <c r="P110" s="30" t="s">
        <v>145</v>
      </c>
      <c r="Q110" s="31">
        <v>468894091.13999999</v>
      </c>
      <c r="R110" s="31">
        <v>1656.57</v>
      </c>
      <c r="S110" s="32">
        <v>1.2375000000000001E-2</v>
      </c>
      <c r="T110" s="32" t="s">
        <v>139</v>
      </c>
      <c r="U110" s="32">
        <v>3.5599999999999998E-4</v>
      </c>
      <c r="V110" s="32">
        <v>1.511E-3</v>
      </c>
      <c r="W110" s="32">
        <v>4.7190000000000001E-3</v>
      </c>
      <c r="X110" s="32">
        <v>9.4269999999999996E-3</v>
      </c>
      <c r="Y110" s="32">
        <v>1.8832000000000002E-2</v>
      </c>
      <c r="Z110" s="32">
        <v>4.02E-2</v>
      </c>
      <c r="AA110" s="32">
        <v>6.6827999999999999E-2</v>
      </c>
      <c r="AB110" s="32">
        <v>0.10276299999999999</v>
      </c>
    </row>
    <row r="111" spans="1:28" ht="15.6" customHeight="1" x14ac:dyDescent="0.25">
      <c r="A111" s="24" t="s">
        <v>268</v>
      </c>
      <c r="B111" s="50">
        <v>3624</v>
      </c>
      <c r="C111" s="25" t="s">
        <v>269</v>
      </c>
      <c r="D111" s="25" t="s">
        <v>112</v>
      </c>
      <c r="E111" s="25" t="s">
        <v>194</v>
      </c>
      <c r="F111" s="25" t="s">
        <v>128</v>
      </c>
      <c r="G111" s="26" t="s">
        <v>250</v>
      </c>
      <c r="H111" s="27" t="s">
        <v>270</v>
      </c>
      <c r="I111" s="24" t="s">
        <v>106</v>
      </c>
      <c r="J111" s="24" t="s">
        <v>107</v>
      </c>
      <c r="K111" s="28" t="s">
        <v>108</v>
      </c>
      <c r="L111" s="29">
        <v>5.0000000000000001E-3</v>
      </c>
      <c r="M111" s="29">
        <v>0</v>
      </c>
      <c r="N111" s="29">
        <v>0.01</v>
      </c>
      <c r="O111" s="27" t="s">
        <v>116</v>
      </c>
      <c r="P111" s="30" t="s">
        <v>112</v>
      </c>
      <c r="Q111" s="31">
        <v>3381090092.0100002</v>
      </c>
      <c r="R111" s="31">
        <v>2318.58</v>
      </c>
      <c r="S111" s="32">
        <v>2.0650000000000002E-2</v>
      </c>
      <c r="T111" s="32" t="s">
        <v>139</v>
      </c>
      <c r="U111" s="32">
        <v>7.0399999999999998E-4</v>
      </c>
      <c r="V111" s="32">
        <v>2.5379999999999999E-3</v>
      </c>
      <c r="W111" s="32">
        <v>7.5700000000000003E-3</v>
      </c>
      <c r="X111" s="32">
        <v>1.6345999999999999E-2</v>
      </c>
      <c r="Y111" s="32">
        <v>3.2035000000000001E-2</v>
      </c>
      <c r="Z111" s="32">
        <v>6.9633E-2</v>
      </c>
      <c r="AA111" s="32">
        <v>0.11382399999999999</v>
      </c>
      <c r="AB111" s="32">
        <v>0.150917</v>
      </c>
    </row>
    <row r="112" spans="1:28" ht="15.6" customHeight="1" x14ac:dyDescent="0.25">
      <c r="A112" s="24" t="s">
        <v>1148</v>
      </c>
      <c r="B112" s="50">
        <v>3625</v>
      </c>
      <c r="C112" s="25" t="s">
        <v>1149</v>
      </c>
      <c r="D112" s="25" t="s">
        <v>137</v>
      </c>
      <c r="E112" s="25" t="s">
        <v>194</v>
      </c>
      <c r="F112" s="25" t="s">
        <v>113</v>
      </c>
      <c r="G112" s="26" t="s">
        <v>114</v>
      </c>
      <c r="H112" s="27" t="s">
        <v>327</v>
      </c>
      <c r="I112" s="24" t="s">
        <v>998</v>
      </c>
      <c r="J112" s="24" t="s">
        <v>121</v>
      </c>
      <c r="K112" s="28" t="s">
        <v>227</v>
      </c>
      <c r="L112" s="29">
        <v>0.03</v>
      </c>
      <c r="M112" s="29">
        <v>1.4999999999999999E-2</v>
      </c>
      <c r="N112" s="29">
        <v>0.02</v>
      </c>
      <c r="O112" s="27" t="s">
        <v>148</v>
      </c>
      <c r="P112" s="30" t="s">
        <v>137</v>
      </c>
      <c r="Q112" s="31">
        <v>143106116.79086199</v>
      </c>
      <c r="R112" s="31">
        <v>9532.15</v>
      </c>
      <c r="S112" s="32">
        <v>6.9610000000000002E-3</v>
      </c>
      <c r="T112" s="32" t="s">
        <v>139</v>
      </c>
      <c r="U112" s="32">
        <v>1.17E-3</v>
      </c>
      <c r="V112" s="32">
        <v>3.1329999999999999E-3</v>
      </c>
      <c r="W112" s="32">
        <v>5.0899999999999999E-3</v>
      </c>
      <c r="X112" s="32">
        <v>6.1549999999999999E-3</v>
      </c>
      <c r="Y112" s="32">
        <v>-2.0999999999999999E-5</v>
      </c>
      <c r="Z112" s="32">
        <v>6.8741999999999998E-2</v>
      </c>
      <c r="AA112" s="32">
        <v>0.13522999999999999</v>
      </c>
      <c r="AB112" s="32">
        <v>9.3325000000000005E-2</v>
      </c>
    </row>
    <row r="113" spans="1:28" ht="15.6" customHeight="1" x14ac:dyDescent="0.25">
      <c r="A113" s="24" t="s">
        <v>271</v>
      </c>
      <c r="B113" s="50">
        <v>3626</v>
      </c>
      <c r="C113" s="25" t="s">
        <v>272</v>
      </c>
      <c r="D113" s="25" t="s">
        <v>145</v>
      </c>
      <c r="E113" s="25" t="s">
        <v>194</v>
      </c>
      <c r="F113" s="25" t="s">
        <v>128</v>
      </c>
      <c r="G113" s="26" t="s">
        <v>129</v>
      </c>
      <c r="H113" s="27" t="s">
        <v>130</v>
      </c>
      <c r="I113" s="24" t="s">
        <v>106</v>
      </c>
      <c r="J113" s="24" t="s">
        <v>107</v>
      </c>
      <c r="K113" s="28" t="s">
        <v>108</v>
      </c>
      <c r="L113" s="29">
        <v>0.01</v>
      </c>
      <c r="M113" s="29">
        <v>5.0000000000000001E-3</v>
      </c>
      <c r="N113" s="29">
        <v>8.0000000000000002E-3</v>
      </c>
      <c r="O113" s="27" t="s">
        <v>148</v>
      </c>
      <c r="P113" s="30" t="s">
        <v>145</v>
      </c>
      <c r="Q113" s="31">
        <v>14026104460.360001</v>
      </c>
      <c r="R113" s="31">
        <v>19385.89</v>
      </c>
      <c r="S113" s="32">
        <v>1.9507E-2</v>
      </c>
      <c r="T113" s="32" t="s">
        <v>139</v>
      </c>
      <c r="U113" s="32">
        <v>7.4299999999999995E-4</v>
      </c>
      <c r="V113" s="32">
        <v>2.3440000000000002E-3</v>
      </c>
      <c r="W113" s="32">
        <v>8.0660000000000003E-3</v>
      </c>
      <c r="X113" s="32">
        <v>1.5618E-2</v>
      </c>
      <c r="Y113" s="32">
        <v>2.8195999999999999E-2</v>
      </c>
      <c r="Z113" s="32">
        <v>6.6605999999999999E-2</v>
      </c>
      <c r="AA113" s="32">
        <v>0.110946</v>
      </c>
      <c r="AB113" s="32">
        <v>0.16351099999999999</v>
      </c>
    </row>
    <row r="114" spans="1:28" ht="15.6" customHeight="1" x14ac:dyDescent="0.25">
      <c r="A114" s="24" t="s">
        <v>273</v>
      </c>
      <c r="B114" s="50">
        <v>3628</v>
      </c>
      <c r="C114" s="25" t="s">
        <v>274</v>
      </c>
      <c r="D114" s="25" t="s">
        <v>241</v>
      </c>
      <c r="E114" s="25" t="s">
        <v>194</v>
      </c>
      <c r="F114" s="25" t="s">
        <v>128</v>
      </c>
      <c r="G114" s="26" t="s">
        <v>275</v>
      </c>
      <c r="H114" s="27" t="s">
        <v>130</v>
      </c>
      <c r="I114" s="24" t="s">
        <v>106</v>
      </c>
      <c r="J114" s="24" t="s">
        <v>107</v>
      </c>
      <c r="K114" s="28" t="s">
        <v>108</v>
      </c>
      <c r="L114" s="29">
        <v>0</v>
      </c>
      <c r="M114" s="29">
        <v>0</v>
      </c>
      <c r="N114" s="29">
        <v>8.0000000000000002E-3</v>
      </c>
      <c r="O114" s="27" t="s">
        <v>148</v>
      </c>
      <c r="P114" s="30" t="s">
        <v>241</v>
      </c>
      <c r="Q114" s="31">
        <v>721324188.44000006</v>
      </c>
      <c r="R114" s="31">
        <v>2446.7800000000002</v>
      </c>
      <c r="S114" s="32">
        <v>2.6360000000000001E-2</v>
      </c>
      <c r="T114" s="32" t="s">
        <v>139</v>
      </c>
      <c r="U114" s="32">
        <v>6.4999999999999997E-4</v>
      </c>
      <c r="V114" s="32">
        <v>1.8959999999999999E-3</v>
      </c>
      <c r="W114" s="32">
        <v>1.7575E-2</v>
      </c>
      <c r="X114" s="32">
        <v>2.2738999999999999E-2</v>
      </c>
      <c r="Y114" s="32">
        <v>3.4942000000000001E-2</v>
      </c>
      <c r="Z114" s="32">
        <v>6.3152E-2</v>
      </c>
      <c r="AA114" s="32">
        <v>9.7170999999999993E-2</v>
      </c>
      <c r="AB114" s="32">
        <v>0.13945199999999999</v>
      </c>
    </row>
    <row r="115" spans="1:28" ht="15.6" customHeight="1" x14ac:dyDescent="0.25">
      <c r="A115" s="24" t="s">
        <v>1150</v>
      </c>
      <c r="B115" s="50">
        <v>3629</v>
      </c>
      <c r="C115" s="25" t="s">
        <v>1151</v>
      </c>
      <c r="D115" s="25" t="s">
        <v>101</v>
      </c>
      <c r="E115" s="25" t="s">
        <v>194</v>
      </c>
      <c r="F115" s="25" t="s">
        <v>113</v>
      </c>
      <c r="G115" s="26" t="s">
        <v>1152</v>
      </c>
      <c r="H115" s="27" t="s">
        <v>115</v>
      </c>
      <c r="I115" s="24" t="s">
        <v>998</v>
      </c>
      <c r="J115" s="24" t="s">
        <v>121</v>
      </c>
      <c r="K115" s="28" t="s">
        <v>227</v>
      </c>
      <c r="L115" s="29">
        <v>0</v>
      </c>
      <c r="M115" s="29">
        <v>0</v>
      </c>
      <c r="N115" s="29">
        <v>0.02</v>
      </c>
      <c r="O115" s="27" t="s">
        <v>262</v>
      </c>
      <c r="P115" s="30" t="s">
        <v>101</v>
      </c>
      <c r="Q115" s="31">
        <v>301710594.38999999</v>
      </c>
      <c r="R115" s="31">
        <v>140.5</v>
      </c>
      <c r="S115" s="32">
        <v>1.7830000000000001E-3</v>
      </c>
      <c r="T115" s="32" t="s">
        <v>139</v>
      </c>
      <c r="U115" s="32">
        <v>1.0690000000000001E-3</v>
      </c>
      <c r="V115" s="32">
        <v>3.4280000000000001E-3</v>
      </c>
      <c r="W115" s="32">
        <v>3.8579999999999999E-3</v>
      </c>
      <c r="X115" s="32">
        <v>3.0699999999999998E-3</v>
      </c>
      <c r="Y115" s="32">
        <v>-4.1937000000000002E-2</v>
      </c>
      <c r="Z115" s="32">
        <v>2.9078E-2</v>
      </c>
      <c r="AA115" s="32">
        <v>5.6628999999999999E-2</v>
      </c>
      <c r="AB115" s="32">
        <v>5.6787999999999998E-2</v>
      </c>
    </row>
    <row r="116" spans="1:28" ht="15.6" customHeight="1" x14ac:dyDescent="0.25">
      <c r="A116" s="24" t="s">
        <v>276</v>
      </c>
      <c r="B116" s="50">
        <v>3630</v>
      </c>
      <c r="C116" s="25" t="s">
        <v>277</v>
      </c>
      <c r="D116" s="25" t="s">
        <v>145</v>
      </c>
      <c r="E116" s="25" t="s">
        <v>194</v>
      </c>
      <c r="F116" s="25" t="s">
        <v>155</v>
      </c>
      <c r="G116" s="26" t="s">
        <v>139</v>
      </c>
      <c r="H116" s="27" t="s">
        <v>156</v>
      </c>
      <c r="I116" s="24" t="s">
        <v>106</v>
      </c>
      <c r="J116" s="24" t="s">
        <v>107</v>
      </c>
      <c r="K116" s="28" t="s">
        <v>108</v>
      </c>
      <c r="L116" s="29">
        <v>0.02</v>
      </c>
      <c r="M116" s="29">
        <v>0.02</v>
      </c>
      <c r="N116" s="29">
        <v>0.02</v>
      </c>
      <c r="O116" s="27" t="s">
        <v>148</v>
      </c>
      <c r="P116" s="30" t="s">
        <v>145</v>
      </c>
      <c r="Q116" s="31">
        <v>269424737.25999999</v>
      </c>
      <c r="R116" s="31">
        <v>276.89</v>
      </c>
      <c r="S116" s="32">
        <v>3.1132E-2</v>
      </c>
      <c r="T116" s="32" t="s">
        <v>139</v>
      </c>
      <c r="U116" s="32">
        <v>1.4955E-2</v>
      </c>
      <c r="V116" s="32">
        <v>7.9450999999999994E-2</v>
      </c>
      <c r="W116" s="32">
        <v>5.9784999999999998E-2</v>
      </c>
      <c r="X116" s="32">
        <v>2.7497000000000001E-2</v>
      </c>
      <c r="Y116" s="32">
        <v>-7.8722E-2</v>
      </c>
      <c r="Z116" s="32">
        <v>0.41032999999999997</v>
      </c>
      <c r="AA116" s="32">
        <v>0.66360200000000003</v>
      </c>
      <c r="AB116" s="32">
        <v>0.55294399999999999</v>
      </c>
    </row>
    <row r="117" spans="1:28" ht="15.6" customHeight="1" x14ac:dyDescent="0.25">
      <c r="A117" s="24" t="s">
        <v>278</v>
      </c>
      <c r="B117" s="50">
        <v>3631</v>
      </c>
      <c r="C117" s="25" t="s">
        <v>279</v>
      </c>
      <c r="D117" s="25" t="s">
        <v>145</v>
      </c>
      <c r="E117" s="25" t="s">
        <v>194</v>
      </c>
      <c r="F117" s="25" t="s">
        <v>155</v>
      </c>
      <c r="G117" s="26" t="s">
        <v>139</v>
      </c>
      <c r="H117" s="27" t="s">
        <v>280</v>
      </c>
      <c r="I117" s="24" t="s">
        <v>106</v>
      </c>
      <c r="J117" s="24" t="s">
        <v>107</v>
      </c>
      <c r="K117" s="28" t="s">
        <v>108</v>
      </c>
      <c r="L117" s="29">
        <v>0.02</v>
      </c>
      <c r="M117" s="29">
        <v>0.02</v>
      </c>
      <c r="N117" s="29">
        <v>0.02</v>
      </c>
      <c r="O117" s="27" t="s">
        <v>148</v>
      </c>
      <c r="P117" s="30" t="s">
        <v>145</v>
      </c>
      <c r="Q117" s="31">
        <v>3754856.47</v>
      </c>
      <c r="R117" s="31">
        <v>328.56</v>
      </c>
      <c r="S117" s="32">
        <v>4.5250000000000004E-3</v>
      </c>
      <c r="T117" s="32" t="s">
        <v>139</v>
      </c>
      <c r="U117" s="32">
        <v>9.3699999999999999E-3</v>
      </c>
      <c r="V117" s="32">
        <v>5.7109E-2</v>
      </c>
      <c r="W117" s="32">
        <v>4.0536999999999997E-2</v>
      </c>
      <c r="X117" s="32">
        <v>-2.1870000000000001E-3</v>
      </c>
      <c r="Y117" s="32">
        <v>-0.10222100000000001</v>
      </c>
      <c r="Z117" s="32">
        <v>0.323131</v>
      </c>
      <c r="AA117" s="32">
        <v>0.58067899999999995</v>
      </c>
      <c r="AB117" s="32">
        <v>0.51633700000000005</v>
      </c>
    </row>
    <row r="118" spans="1:28" ht="15.6" customHeight="1" x14ac:dyDescent="0.25">
      <c r="A118" s="24" t="s">
        <v>281</v>
      </c>
      <c r="B118" s="50">
        <v>3632</v>
      </c>
      <c r="C118" s="25" t="s">
        <v>282</v>
      </c>
      <c r="D118" s="25" t="s">
        <v>145</v>
      </c>
      <c r="E118" s="25" t="s">
        <v>194</v>
      </c>
      <c r="F118" s="25" t="s">
        <v>138</v>
      </c>
      <c r="G118" s="26" t="s">
        <v>139</v>
      </c>
      <c r="H118" s="27" t="s">
        <v>283</v>
      </c>
      <c r="I118" s="24" t="s">
        <v>106</v>
      </c>
      <c r="J118" s="24" t="s">
        <v>107</v>
      </c>
      <c r="K118" s="28" t="s">
        <v>108</v>
      </c>
      <c r="L118" s="29">
        <v>0.02</v>
      </c>
      <c r="M118" s="29">
        <v>0.02</v>
      </c>
      <c r="N118" s="29">
        <v>0.02</v>
      </c>
      <c r="O118" s="27" t="s">
        <v>148</v>
      </c>
      <c r="P118" s="30" t="s">
        <v>145</v>
      </c>
      <c r="Q118" s="31">
        <v>81346693.640000001</v>
      </c>
      <c r="R118" s="31">
        <v>249.05</v>
      </c>
      <c r="S118" s="32">
        <v>2.5826000000000002E-2</v>
      </c>
      <c r="T118" s="32" t="s">
        <v>139</v>
      </c>
      <c r="U118" s="32">
        <v>3.748E-3</v>
      </c>
      <c r="V118" s="32">
        <v>1.9651999999999999E-2</v>
      </c>
      <c r="W118" s="32">
        <v>3.3402000000000001E-2</v>
      </c>
      <c r="X118" s="32">
        <v>2.4306999999999999E-2</v>
      </c>
      <c r="Y118" s="32">
        <v>-3.202E-3</v>
      </c>
      <c r="Z118" s="32">
        <v>0.177096</v>
      </c>
      <c r="AA118" s="32">
        <v>0.30120200000000003</v>
      </c>
      <c r="AB118" s="32">
        <v>0.25744699999999998</v>
      </c>
    </row>
    <row r="119" spans="1:28" ht="15.6" customHeight="1" x14ac:dyDescent="0.25">
      <c r="A119" s="24" t="s">
        <v>284</v>
      </c>
      <c r="B119" s="50">
        <v>3634</v>
      </c>
      <c r="C119" s="25" t="s">
        <v>285</v>
      </c>
      <c r="D119" s="25" t="s">
        <v>137</v>
      </c>
      <c r="E119" s="25" t="s">
        <v>194</v>
      </c>
      <c r="F119" s="25" t="s">
        <v>113</v>
      </c>
      <c r="G119" s="26" t="s">
        <v>286</v>
      </c>
      <c r="H119" s="27" t="s">
        <v>115</v>
      </c>
      <c r="I119" s="24" t="s">
        <v>106</v>
      </c>
      <c r="J119" s="24" t="s">
        <v>107</v>
      </c>
      <c r="K119" s="28" t="s">
        <v>108</v>
      </c>
      <c r="L119" s="29">
        <v>0.03</v>
      </c>
      <c r="M119" s="29">
        <v>1.4999999999999999E-2</v>
      </c>
      <c r="N119" s="29">
        <v>0.02</v>
      </c>
      <c r="O119" s="27" t="s">
        <v>141</v>
      </c>
      <c r="P119" s="30" t="s">
        <v>142</v>
      </c>
      <c r="Q119" s="31">
        <v>552494153.84583604</v>
      </c>
      <c r="R119" s="31">
        <v>34.15</v>
      </c>
      <c r="S119" s="32">
        <v>1.7600000000000001E-3</v>
      </c>
      <c r="T119" s="32" t="s">
        <v>139</v>
      </c>
      <c r="U119" s="32">
        <v>8.7900000000000001E-4</v>
      </c>
      <c r="V119" s="32">
        <v>4.1159999999999999E-3</v>
      </c>
      <c r="W119" s="32">
        <v>3.8210000000000002E-3</v>
      </c>
      <c r="X119" s="32">
        <v>-1.462E-3</v>
      </c>
      <c r="Y119" s="32">
        <v>-0.78038600000000002</v>
      </c>
      <c r="Z119" s="32">
        <v>-0.76713299999999995</v>
      </c>
      <c r="AA119" s="32">
        <v>-0.754969</v>
      </c>
      <c r="AB119" s="32" t="s">
        <v>139</v>
      </c>
    </row>
    <row r="120" spans="1:28" ht="15.6" customHeight="1" x14ac:dyDescent="0.25">
      <c r="A120" s="24" t="s">
        <v>287</v>
      </c>
      <c r="B120" s="50">
        <v>3635</v>
      </c>
      <c r="C120" s="25" t="s">
        <v>288</v>
      </c>
      <c r="D120" s="25" t="s">
        <v>261</v>
      </c>
      <c r="E120" s="25" t="s">
        <v>194</v>
      </c>
      <c r="F120" s="25" t="s">
        <v>128</v>
      </c>
      <c r="G120" s="26" t="s">
        <v>289</v>
      </c>
      <c r="H120" s="27" t="s">
        <v>290</v>
      </c>
      <c r="I120" s="24" t="s">
        <v>106</v>
      </c>
      <c r="J120" s="24" t="s">
        <v>107</v>
      </c>
      <c r="K120" s="28" t="s">
        <v>108</v>
      </c>
      <c r="L120" s="29">
        <v>0.03</v>
      </c>
      <c r="M120" s="29">
        <v>1.4999999999999999E-2</v>
      </c>
      <c r="N120" s="29">
        <v>0.02</v>
      </c>
      <c r="O120" s="27" t="s">
        <v>262</v>
      </c>
      <c r="P120" s="30" t="s">
        <v>291</v>
      </c>
      <c r="Q120" s="31">
        <v>885351435.10000002</v>
      </c>
      <c r="R120" s="31">
        <v>174.74</v>
      </c>
      <c r="S120" s="32">
        <v>1.8595E-2</v>
      </c>
      <c r="T120" s="32" t="s">
        <v>139</v>
      </c>
      <c r="U120" s="32">
        <v>7.45E-4</v>
      </c>
      <c r="V120" s="32">
        <v>2.2369999999999998E-3</v>
      </c>
      <c r="W120" s="32">
        <v>7.3790000000000001E-3</v>
      </c>
      <c r="X120" s="32">
        <v>1.422E-2</v>
      </c>
      <c r="Y120" s="32">
        <v>2.6313E-2</v>
      </c>
      <c r="Z120" s="32">
        <v>6.2701000000000007E-2</v>
      </c>
      <c r="AA120" s="32">
        <v>0.10553</v>
      </c>
      <c r="AB120" s="32">
        <v>0.15180299999999999</v>
      </c>
    </row>
    <row r="121" spans="1:28" ht="15.6" customHeight="1" x14ac:dyDescent="0.25">
      <c r="A121" s="24" t="s">
        <v>1153</v>
      </c>
      <c r="B121" s="50">
        <v>3637</v>
      </c>
      <c r="C121" s="25" t="s">
        <v>1154</v>
      </c>
      <c r="D121" s="25" t="s">
        <v>137</v>
      </c>
      <c r="E121" s="25" t="s">
        <v>194</v>
      </c>
      <c r="F121" s="25" t="s">
        <v>155</v>
      </c>
      <c r="G121" s="26" t="s">
        <v>139</v>
      </c>
      <c r="H121" s="27" t="s">
        <v>202</v>
      </c>
      <c r="I121" s="24" t="s">
        <v>998</v>
      </c>
      <c r="J121" s="24" t="s">
        <v>121</v>
      </c>
      <c r="K121" s="28" t="s">
        <v>227</v>
      </c>
      <c r="L121" s="29">
        <v>0.03</v>
      </c>
      <c r="M121" s="29">
        <v>1.4999999999999999E-2</v>
      </c>
      <c r="N121" s="29">
        <v>0.02</v>
      </c>
      <c r="O121" s="27" t="s">
        <v>166</v>
      </c>
      <c r="P121" s="30" t="s">
        <v>137</v>
      </c>
      <c r="Q121" s="31">
        <v>1307500.0678129999</v>
      </c>
      <c r="R121" s="31">
        <v>36319.449999999997</v>
      </c>
      <c r="S121" s="32">
        <v>-3.1662000000000003E-2</v>
      </c>
      <c r="T121" s="32" t="s">
        <v>139</v>
      </c>
      <c r="U121" s="32">
        <v>4.3150000000000003E-3</v>
      </c>
      <c r="V121" s="32">
        <v>3.9067999999999999E-2</v>
      </c>
      <c r="W121" s="32">
        <v>3.0488000000000001E-2</v>
      </c>
      <c r="X121" s="32">
        <v>-3.1371999999999997E-2</v>
      </c>
      <c r="Y121" s="32">
        <v>-0.117025</v>
      </c>
      <c r="Z121" s="32">
        <v>0.21706600000000001</v>
      </c>
      <c r="AA121" s="32">
        <v>0.45758300000000002</v>
      </c>
      <c r="AB121" s="32">
        <v>0.44945499999999999</v>
      </c>
    </row>
    <row r="122" spans="1:28" ht="15.6" customHeight="1" x14ac:dyDescent="0.25">
      <c r="A122" s="24" t="s">
        <v>1155</v>
      </c>
      <c r="B122" s="50">
        <v>3639</v>
      </c>
      <c r="C122" s="25" t="s">
        <v>1156</v>
      </c>
      <c r="D122" s="25" t="s">
        <v>145</v>
      </c>
      <c r="E122" s="25" t="s">
        <v>194</v>
      </c>
      <c r="F122" s="25" t="s">
        <v>113</v>
      </c>
      <c r="G122" s="26" t="s">
        <v>1109</v>
      </c>
      <c r="H122" s="27" t="s">
        <v>1157</v>
      </c>
      <c r="I122" s="24" t="s">
        <v>998</v>
      </c>
      <c r="J122" s="24" t="s">
        <v>121</v>
      </c>
      <c r="K122" s="28" t="s">
        <v>108</v>
      </c>
      <c r="L122" s="29">
        <v>0.03</v>
      </c>
      <c r="M122" s="29">
        <v>1.4999999999999999E-2</v>
      </c>
      <c r="N122" s="29">
        <v>0.02</v>
      </c>
      <c r="O122" s="27" t="s">
        <v>148</v>
      </c>
      <c r="P122" s="30" t="s">
        <v>145</v>
      </c>
      <c r="Q122" s="31">
        <v>3553462527.7399998</v>
      </c>
      <c r="R122" s="31">
        <v>2373.64</v>
      </c>
      <c r="S122" s="32">
        <v>-6.4400000000000004E-4</v>
      </c>
      <c r="T122" s="32" t="s">
        <v>139</v>
      </c>
      <c r="U122" s="32">
        <v>2.081E-3</v>
      </c>
      <c r="V122" s="32">
        <v>8.5869999999999991E-3</v>
      </c>
      <c r="W122" s="32">
        <v>7.4739999999999997E-3</v>
      </c>
      <c r="X122" s="32">
        <v>-1.073E-3</v>
      </c>
      <c r="Y122" s="32">
        <v>-1.4429000000000001E-2</v>
      </c>
      <c r="Z122" s="32">
        <v>0.109748</v>
      </c>
      <c r="AA122" s="32">
        <v>0.22562299999999999</v>
      </c>
      <c r="AB122" s="32">
        <v>0.16853799999999999</v>
      </c>
    </row>
    <row r="123" spans="1:28" ht="15.6" customHeight="1" x14ac:dyDescent="0.25">
      <c r="A123" s="24" t="s">
        <v>292</v>
      </c>
      <c r="B123" s="50">
        <v>3640</v>
      </c>
      <c r="C123" s="25" t="s">
        <v>293</v>
      </c>
      <c r="D123" s="25" t="s">
        <v>159</v>
      </c>
      <c r="E123" s="25" t="s">
        <v>194</v>
      </c>
      <c r="F123" s="25" t="s">
        <v>138</v>
      </c>
      <c r="G123" s="26" t="s">
        <v>139</v>
      </c>
      <c r="H123" s="27" t="s">
        <v>294</v>
      </c>
      <c r="I123" s="24" t="s">
        <v>106</v>
      </c>
      <c r="J123" s="24" t="s">
        <v>121</v>
      </c>
      <c r="K123" s="28" t="s">
        <v>227</v>
      </c>
      <c r="L123" s="29">
        <v>0</v>
      </c>
      <c r="M123" s="29">
        <v>0</v>
      </c>
      <c r="N123" s="29">
        <v>0.02</v>
      </c>
      <c r="O123" s="27" t="s">
        <v>161</v>
      </c>
      <c r="P123" s="30" t="s">
        <v>159</v>
      </c>
      <c r="Q123" s="31">
        <v>573432785.75</v>
      </c>
      <c r="R123" s="31">
        <v>125.57</v>
      </c>
      <c r="S123" s="32">
        <v>1.3412E-2</v>
      </c>
      <c r="T123" s="32" t="s">
        <v>139</v>
      </c>
      <c r="U123" s="32">
        <v>6.6540000000000002E-3</v>
      </c>
      <c r="V123" s="32">
        <v>3.6227000000000002E-2</v>
      </c>
      <c r="W123" s="32">
        <v>2.9853000000000001E-2</v>
      </c>
      <c r="X123" s="32">
        <v>1.3968E-2</v>
      </c>
      <c r="Y123" s="32">
        <v>-3.9623999999999999E-2</v>
      </c>
      <c r="Z123" s="32">
        <v>-7.0168999999999995E-2</v>
      </c>
      <c r="AA123" s="32">
        <v>-4.2014999999999997E-2</v>
      </c>
      <c r="AB123" s="32">
        <v>-7.8932000000000002E-2</v>
      </c>
    </row>
    <row r="124" spans="1:28" ht="15.6" customHeight="1" x14ac:dyDescent="0.25">
      <c r="A124" s="24" t="s">
        <v>1158</v>
      </c>
      <c r="B124" s="50">
        <v>3643</v>
      </c>
      <c r="C124" s="25" t="s">
        <v>1159</v>
      </c>
      <c r="D124" s="25" t="s">
        <v>241</v>
      </c>
      <c r="E124" s="25" t="s">
        <v>194</v>
      </c>
      <c r="F124" s="25" t="s">
        <v>113</v>
      </c>
      <c r="G124" s="26" t="s">
        <v>1160</v>
      </c>
      <c r="H124" s="27" t="s">
        <v>115</v>
      </c>
      <c r="I124" s="24" t="s">
        <v>998</v>
      </c>
      <c r="J124" s="24" t="s">
        <v>107</v>
      </c>
      <c r="K124" s="28" t="s">
        <v>108</v>
      </c>
      <c r="L124" s="29">
        <v>0.03</v>
      </c>
      <c r="M124" s="29">
        <v>1.4999999999999999E-2</v>
      </c>
      <c r="N124" s="29">
        <v>5.0000000000000001E-3</v>
      </c>
      <c r="O124" s="27" t="s">
        <v>148</v>
      </c>
      <c r="P124" s="30" t="s">
        <v>241</v>
      </c>
      <c r="Q124" s="31">
        <v>273348017.04000002</v>
      </c>
      <c r="R124" s="31">
        <v>1799.77</v>
      </c>
      <c r="S124" s="32">
        <v>5.3509999999999999E-3</v>
      </c>
      <c r="T124" s="32" t="s">
        <v>139</v>
      </c>
      <c r="U124" s="32">
        <v>8.7299999999999997E-4</v>
      </c>
      <c r="V124" s="32">
        <v>2.568E-3</v>
      </c>
      <c r="W124" s="32">
        <v>4.8069999999999996E-3</v>
      </c>
      <c r="X124" s="32">
        <v>4.1289999999999999E-3</v>
      </c>
      <c r="Y124" s="32">
        <v>5.6150000000000002E-3</v>
      </c>
      <c r="Z124" s="32">
        <v>6.5571000000000004E-2</v>
      </c>
      <c r="AA124" s="32">
        <v>0.129105</v>
      </c>
      <c r="AB124" s="32">
        <v>0.110997</v>
      </c>
    </row>
    <row r="125" spans="1:28" ht="15.6" customHeight="1" x14ac:dyDescent="0.25">
      <c r="A125" s="24" t="s">
        <v>1161</v>
      </c>
      <c r="B125" s="50">
        <v>3644</v>
      </c>
      <c r="C125" s="25" t="s">
        <v>1162</v>
      </c>
      <c r="D125" s="25" t="s">
        <v>241</v>
      </c>
      <c r="E125" s="25" t="s">
        <v>194</v>
      </c>
      <c r="F125" s="25" t="s">
        <v>113</v>
      </c>
      <c r="G125" s="26" t="s">
        <v>1163</v>
      </c>
      <c r="H125" s="27" t="s">
        <v>115</v>
      </c>
      <c r="I125" s="24" t="s">
        <v>998</v>
      </c>
      <c r="J125" s="24" t="s">
        <v>121</v>
      </c>
      <c r="K125" s="28" t="s">
        <v>108</v>
      </c>
      <c r="L125" s="29">
        <v>0.03</v>
      </c>
      <c r="M125" s="29">
        <v>1.4999999999999999E-2</v>
      </c>
      <c r="N125" s="29">
        <v>8.0000000000000002E-3</v>
      </c>
      <c r="O125" s="27" t="s">
        <v>548</v>
      </c>
      <c r="P125" s="30" t="s">
        <v>241</v>
      </c>
      <c r="Q125" s="31">
        <v>5038095323.9799995</v>
      </c>
      <c r="R125" s="31">
        <v>213795.68</v>
      </c>
      <c r="S125" s="32">
        <v>2.1909999999999998E-3</v>
      </c>
      <c r="T125" s="32" t="s">
        <v>139</v>
      </c>
      <c r="U125" s="32">
        <v>1.7440000000000001E-3</v>
      </c>
      <c r="V125" s="32">
        <v>6.8669999999999998E-3</v>
      </c>
      <c r="W125" s="32">
        <v>7.3229999999999996E-3</v>
      </c>
      <c r="X125" s="32">
        <v>2.0579999999999999E-3</v>
      </c>
      <c r="Y125" s="32">
        <v>-7.0780000000000001E-3</v>
      </c>
      <c r="Z125" s="32">
        <v>0.101811</v>
      </c>
      <c r="AA125" s="32">
        <v>0.214506</v>
      </c>
      <c r="AB125" s="32">
        <v>0.13698299999999999</v>
      </c>
    </row>
    <row r="126" spans="1:28" ht="15.6" customHeight="1" x14ac:dyDescent="0.25">
      <c r="A126" s="24" t="s">
        <v>1164</v>
      </c>
      <c r="B126" s="50">
        <v>3648</v>
      </c>
      <c r="C126" s="25" t="s">
        <v>1165</v>
      </c>
      <c r="D126" s="25" t="s">
        <v>101</v>
      </c>
      <c r="E126" s="25" t="s">
        <v>194</v>
      </c>
      <c r="F126" s="25" t="s">
        <v>155</v>
      </c>
      <c r="G126" s="26" t="s">
        <v>139</v>
      </c>
      <c r="H126" s="27" t="s">
        <v>1099</v>
      </c>
      <c r="I126" s="24" t="s">
        <v>998</v>
      </c>
      <c r="J126" s="24" t="s">
        <v>121</v>
      </c>
      <c r="K126" s="28" t="s">
        <v>180</v>
      </c>
      <c r="L126" s="29">
        <v>0</v>
      </c>
      <c r="M126" s="29">
        <v>0</v>
      </c>
      <c r="N126" s="29">
        <v>0.02</v>
      </c>
      <c r="O126" s="27" t="s">
        <v>109</v>
      </c>
      <c r="P126" s="30" t="s">
        <v>101</v>
      </c>
      <c r="Q126" s="31">
        <v>293737385.75</v>
      </c>
      <c r="R126" s="31">
        <v>513526.9</v>
      </c>
      <c r="S126" s="32">
        <v>2.5974000000000001E-2</v>
      </c>
      <c r="T126" s="32" t="s">
        <v>139</v>
      </c>
      <c r="U126" s="32">
        <v>1.5266999999999999E-2</v>
      </c>
      <c r="V126" s="32">
        <v>7.9545000000000005E-2</v>
      </c>
      <c r="W126" s="32">
        <v>6.4482999999999999E-2</v>
      </c>
      <c r="X126" s="32">
        <v>2.4317999999999999E-2</v>
      </c>
      <c r="Y126" s="32">
        <v>-6.8510000000000001E-2</v>
      </c>
      <c r="Z126" s="32">
        <v>0.36924600000000002</v>
      </c>
      <c r="AA126" s="32">
        <v>0.57816500000000004</v>
      </c>
      <c r="AB126" s="32">
        <v>0.57601599999999997</v>
      </c>
    </row>
    <row r="127" spans="1:28" ht="15.6" customHeight="1" x14ac:dyDescent="0.25">
      <c r="A127" s="24" t="s">
        <v>295</v>
      </c>
      <c r="B127" s="50">
        <v>3649</v>
      </c>
      <c r="C127" s="25" t="s">
        <v>296</v>
      </c>
      <c r="D127" s="25" t="s">
        <v>145</v>
      </c>
      <c r="E127" s="25" t="s">
        <v>194</v>
      </c>
      <c r="F127" s="25" t="s">
        <v>155</v>
      </c>
      <c r="G127" s="26" t="s">
        <v>139</v>
      </c>
      <c r="H127" s="27" t="s">
        <v>156</v>
      </c>
      <c r="I127" s="24" t="s">
        <v>106</v>
      </c>
      <c r="J127" s="24" t="s">
        <v>107</v>
      </c>
      <c r="K127" s="28" t="s">
        <v>108</v>
      </c>
      <c r="L127" s="29">
        <v>0.02</v>
      </c>
      <c r="M127" s="29">
        <v>0.02</v>
      </c>
      <c r="N127" s="29">
        <v>0.02</v>
      </c>
      <c r="O127" s="27" t="s">
        <v>148</v>
      </c>
      <c r="P127" s="30" t="s">
        <v>145</v>
      </c>
      <c r="Q127" s="31">
        <v>1528816414.97</v>
      </c>
      <c r="R127" s="31">
        <v>1825.43</v>
      </c>
      <c r="S127" s="32">
        <v>2.6578000000000001E-2</v>
      </c>
      <c r="T127" s="32" t="s">
        <v>139</v>
      </c>
      <c r="U127" s="32">
        <v>1.4584E-2</v>
      </c>
      <c r="V127" s="32">
        <v>7.9133999999999996E-2</v>
      </c>
      <c r="W127" s="32">
        <v>6.1561999999999999E-2</v>
      </c>
      <c r="X127" s="32">
        <v>2.8504000000000002E-2</v>
      </c>
      <c r="Y127" s="32">
        <v>-8.4322999999999995E-2</v>
      </c>
      <c r="Z127" s="32">
        <v>0.41288200000000003</v>
      </c>
      <c r="AA127" s="32">
        <v>0.72802100000000003</v>
      </c>
      <c r="AB127" s="32">
        <v>0.66182300000000005</v>
      </c>
    </row>
    <row r="128" spans="1:28" ht="15.6" customHeight="1" x14ac:dyDescent="0.25">
      <c r="A128" s="24" t="s">
        <v>297</v>
      </c>
      <c r="B128" s="50">
        <v>3650</v>
      </c>
      <c r="C128" s="25" t="s">
        <v>298</v>
      </c>
      <c r="D128" s="25" t="s">
        <v>145</v>
      </c>
      <c r="E128" s="25" t="s">
        <v>194</v>
      </c>
      <c r="F128" s="25" t="s">
        <v>138</v>
      </c>
      <c r="G128" s="26" t="s">
        <v>139</v>
      </c>
      <c r="H128" s="27" t="s">
        <v>283</v>
      </c>
      <c r="I128" s="24" t="s">
        <v>106</v>
      </c>
      <c r="J128" s="24" t="s">
        <v>107</v>
      </c>
      <c r="K128" s="28" t="s">
        <v>108</v>
      </c>
      <c r="L128" s="29">
        <v>0.02</v>
      </c>
      <c r="M128" s="29">
        <v>0.02</v>
      </c>
      <c r="N128" s="29">
        <v>0.02</v>
      </c>
      <c r="O128" s="27" t="s">
        <v>148</v>
      </c>
      <c r="P128" s="30" t="s">
        <v>145</v>
      </c>
      <c r="Q128" s="31">
        <v>1758445984.5599999</v>
      </c>
      <c r="R128" s="31">
        <v>547.39</v>
      </c>
      <c r="S128" s="32">
        <v>-1.0735E-2</v>
      </c>
      <c r="T128" s="32" t="s">
        <v>139</v>
      </c>
      <c r="U128" s="32">
        <v>4.607E-3</v>
      </c>
      <c r="V128" s="32">
        <v>2.6169999999999999E-2</v>
      </c>
      <c r="W128" s="32">
        <v>1.7604999999999999E-2</v>
      </c>
      <c r="X128" s="32">
        <v>-7.6319999999999999E-3</v>
      </c>
      <c r="Y128" s="32">
        <v>-5.6501000000000003E-2</v>
      </c>
      <c r="Z128" s="32">
        <v>0.14894099999999999</v>
      </c>
      <c r="AA128" s="32">
        <v>0.27013500000000001</v>
      </c>
      <c r="AB128" s="32">
        <v>0.17774000000000001</v>
      </c>
    </row>
    <row r="129" spans="1:28" ht="15.6" customHeight="1" x14ac:dyDescent="0.25">
      <c r="A129" s="24" t="s">
        <v>1166</v>
      </c>
      <c r="B129" s="50">
        <v>3651</v>
      </c>
      <c r="C129" s="25" t="s">
        <v>1167</v>
      </c>
      <c r="D129" s="25" t="s">
        <v>145</v>
      </c>
      <c r="E129" s="25" t="s">
        <v>194</v>
      </c>
      <c r="F129" s="25" t="s">
        <v>113</v>
      </c>
      <c r="G129" s="26" t="s">
        <v>1168</v>
      </c>
      <c r="H129" s="27" t="s">
        <v>115</v>
      </c>
      <c r="I129" s="24" t="s">
        <v>998</v>
      </c>
      <c r="J129" s="24" t="s">
        <v>121</v>
      </c>
      <c r="K129" s="28" t="s">
        <v>108</v>
      </c>
      <c r="L129" s="29">
        <v>0.03</v>
      </c>
      <c r="M129" s="29">
        <v>1.4999999999999999E-2</v>
      </c>
      <c r="N129" s="29">
        <v>0.02</v>
      </c>
      <c r="O129" s="27" t="s">
        <v>148</v>
      </c>
      <c r="P129" s="30" t="s">
        <v>145</v>
      </c>
      <c r="Q129" s="31">
        <v>3021581206.3400002</v>
      </c>
      <c r="R129" s="31">
        <v>225339.78</v>
      </c>
      <c r="S129" s="32">
        <v>-2.127E-3</v>
      </c>
      <c r="T129" s="32" t="s">
        <v>139</v>
      </c>
      <c r="U129" s="32">
        <v>1.7949999999999999E-3</v>
      </c>
      <c r="V129" s="32">
        <v>7.8510000000000003E-3</v>
      </c>
      <c r="W129" s="32">
        <v>6.5430000000000002E-3</v>
      </c>
      <c r="X129" s="32">
        <v>-2.6619999999999999E-3</v>
      </c>
      <c r="Y129" s="32">
        <v>-1.5547E-2</v>
      </c>
      <c r="Z129" s="32">
        <v>9.8135E-2</v>
      </c>
      <c r="AA129" s="32">
        <v>0.20956900000000001</v>
      </c>
      <c r="AB129" s="32">
        <v>0.151806</v>
      </c>
    </row>
    <row r="130" spans="1:28" ht="15.6" customHeight="1" x14ac:dyDescent="0.25">
      <c r="A130" s="24" t="s">
        <v>1169</v>
      </c>
      <c r="B130" s="50">
        <v>3652</v>
      </c>
      <c r="C130" s="25" t="s">
        <v>1170</v>
      </c>
      <c r="D130" s="25" t="s">
        <v>164</v>
      </c>
      <c r="E130" s="25" t="s">
        <v>194</v>
      </c>
      <c r="F130" s="25" t="s">
        <v>113</v>
      </c>
      <c r="G130" s="26" t="s">
        <v>1066</v>
      </c>
      <c r="H130" s="27" t="s">
        <v>115</v>
      </c>
      <c r="I130" s="24" t="s">
        <v>998</v>
      </c>
      <c r="J130" s="24" t="s">
        <v>121</v>
      </c>
      <c r="K130" s="28" t="s">
        <v>108</v>
      </c>
      <c r="L130" s="29">
        <v>0.03</v>
      </c>
      <c r="M130" s="29">
        <v>0.03</v>
      </c>
      <c r="N130" s="29">
        <v>0.02</v>
      </c>
      <c r="O130" s="27" t="s">
        <v>166</v>
      </c>
      <c r="P130" s="30" t="s">
        <v>164</v>
      </c>
      <c r="Q130" s="31">
        <v>5239427317.0299997</v>
      </c>
      <c r="R130" s="31">
        <v>218664.8</v>
      </c>
      <c r="S130" s="32">
        <v>6.9909999999999998E-3</v>
      </c>
      <c r="T130" s="32" t="s">
        <v>139</v>
      </c>
      <c r="U130" s="32">
        <v>1.8910000000000001E-3</v>
      </c>
      <c r="V130" s="32">
        <v>7.3010000000000002E-3</v>
      </c>
      <c r="W130" s="32">
        <v>8.371E-3</v>
      </c>
      <c r="X130" s="32">
        <v>6.8490000000000001E-3</v>
      </c>
      <c r="Y130" s="32">
        <v>1.49E-3</v>
      </c>
      <c r="Z130" s="32">
        <v>0.112582</v>
      </c>
      <c r="AA130" s="32">
        <v>0.22847500000000001</v>
      </c>
      <c r="AB130" s="32">
        <v>0.14835100000000001</v>
      </c>
    </row>
    <row r="131" spans="1:28" ht="15.6" customHeight="1" x14ac:dyDescent="0.25">
      <c r="A131" s="24" t="s">
        <v>1171</v>
      </c>
      <c r="B131" s="50">
        <v>3653</v>
      </c>
      <c r="C131" s="25" t="s">
        <v>1172</v>
      </c>
      <c r="D131" s="25" t="s">
        <v>137</v>
      </c>
      <c r="E131" s="25" t="s">
        <v>194</v>
      </c>
      <c r="F131" s="25" t="s">
        <v>113</v>
      </c>
      <c r="G131" s="26" t="s">
        <v>1168</v>
      </c>
      <c r="H131" s="27" t="s">
        <v>115</v>
      </c>
      <c r="I131" s="24" t="s">
        <v>998</v>
      </c>
      <c r="J131" s="24" t="s">
        <v>121</v>
      </c>
      <c r="K131" s="28" t="s">
        <v>108</v>
      </c>
      <c r="L131" s="29">
        <v>0</v>
      </c>
      <c r="M131" s="29">
        <v>0</v>
      </c>
      <c r="N131" s="29">
        <v>0.02</v>
      </c>
      <c r="O131" s="27" t="s">
        <v>548</v>
      </c>
      <c r="P131" s="30" t="s">
        <v>137</v>
      </c>
      <c r="Q131" s="31">
        <v>3852728139.929616</v>
      </c>
      <c r="R131" s="31">
        <v>219829.29</v>
      </c>
      <c r="S131" s="32">
        <v>-2.49E-3</v>
      </c>
      <c r="T131" s="32" t="s">
        <v>139</v>
      </c>
      <c r="U131" s="32">
        <v>1.7049999999999999E-3</v>
      </c>
      <c r="V131" s="32">
        <v>6.9569999999999996E-3</v>
      </c>
      <c r="W131" s="32">
        <v>5.2649999999999997E-3</v>
      </c>
      <c r="X131" s="32">
        <v>-1.771E-3</v>
      </c>
      <c r="Y131" s="32">
        <v>-1.2699999999999999E-2</v>
      </c>
      <c r="Z131" s="32">
        <v>9.8913000000000001E-2</v>
      </c>
      <c r="AA131" s="32">
        <v>0.211396</v>
      </c>
      <c r="AB131" s="32">
        <v>0.12953600000000001</v>
      </c>
    </row>
    <row r="132" spans="1:28" ht="15.6" customHeight="1" x14ac:dyDescent="0.25">
      <c r="A132" s="24" t="s">
        <v>1173</v>
      </c>
      <c r="B132" s="50">
        <v>3654</v>
      </c>
      <c r="C132" s="25" t="s">
        <v>1174</v>
      </c>
      <c r="D132" s="25" t="s">
        <v>127</v>
      </c>
      <c r="E132" s="25" t="s">
        <v>194</v>
      </c>
      <c r="F132" s="25" t="s">
        <v>113</v>
      </c>
      <c r="G132" s="26" t="s">
        <v>1066</v>
      </c>
      <c r="H132" s="27" t="s">
        <v>115</v>
      </c>
      <c r="I132" s="24" t="s">
        <v>998</v>
      </c>
      <c r="J132" s="24" t="s">
        <v>121</v>
      </c>
      <c r="K132" s="28" t="s">
        <v>108</v>
      </c>
      <c r="L132" s="29">
        <v>0.03</v>
      </c>
      <c r="M132" s="29">
        <v>1.4999999999999999E-2</v>
      </c>
      <c r="N132" s="29">
        <v>0.02</v>
      </c>
      <c r="O132" s="27" t="s">
        <v>131</v>
      </c>
      <c r="P132" s="30" t="s">
        <v>131</v>
      </c>
      <c r="Q132" s="31">
        <v>2829373265.9699998</v>
      </c>
      <c r="R132" s="31">
        <v>246032.45</v>
      </c>
      <c r="S132" s="32">
        <v>1.954E-3</v>
      </c>
      <c r="T132" s="32" t="s">
        <v>139</v>
      </c>
      <c r="U132" s="32">
        <v>1.7279999999999999E-3</v>
      </c>
      <c r="V132" s="32">
        <v>6.2360000000000002E-3</v>
      </c>
      <c r="W132" s="32">
        <v>5.306E-3</v>
      </c>
      <c r="X132" s="32">
        <v>-6.0000000000000002E-6</v>
      </c>
      <c r="Y132" s="32">
        <v>-8.4150000000000006E-3</v>
      </c>
      <c r="Z132" s="32">
        <v>9.5502000000000004E-2</v>
      </c>
      <c r="AA132" s="32">
        <v>0.20198199999999999</v>
      </c>
      <c r="AB132" s="32">
        <v>0.18568299999999999</v>
      </c>
    </row>
    <row r="133" spans="1:28" ht="15.6" customHeight="1" x14ac:dyDescent="0.25">
      <c r="A133" s="24" t="s">
        <v>1175</v>
      </c>
      <c r="B133" s="50">
        <v>3655</v>
      </c>
      <c r="C133" s="25" t="s">
        <v>1176</v>
      </c>
      <c r="D133" s="25" t="s">
        <v>159</v>
      </c>
      <c r="E133" s="25" t="s">
        <v>194</v>
      </c>
      <c r="F133" s="25" t="s">
        <v>113</v>
      </c>
      <c r="G133" s="26" t="s">
        <v>1066</v>
      </c>
      <c r="H133" s="27" t="s">
        <v>115</v>
      </c>
      <c r="I133" s="24" t="s">
        <v>998</v>
      </c>
      <c r="J133" s="24" t="s">
        <v>121</v>
      </c>
      <c r="K133" s="28" t="s">
        <v>108</v>
      </c>
      <c r="L133" s="29">
        <v>0</v>
      </c>
      <c r="M133" s="29">
        <v>0</v>
      </c>
      <c r="N133" s="29">
        <v>0.02</v>
      </c>
      <c r="O133" s="27" t="s">
        <v>548</v>
      </c>
      <c r="P133" s="30" t="s">
        <v>159</v>
      </c>
      <c r="Q133" s="31">
        <v>1407618055.1700001</v>
      </c>
      <c r="R133" s="31">
        <v>137168</v>
      </c>
      <c r="S133" s="32">
        <v>4.3030000000000004E-3</v>
      </c>
      <c r="T133" s="32" t="s">
        <v>139</v>
      </c>
      <c r="U133" s="32">
        <v>1.7730000000000001E-3</v>
      </c>
      <c r="V133" s="32">
        <v>6.2700000000000004E-3</v>
      </c>
      <c r="W133" s="32">
        <v>7.4489999999999999E-3</v>
      </c>
      <c r="X133" s="32">
        <v>1.6249999999999999E-3</v>
      </c>
      <c r="Y133" s="32">
        <v>-6.1019999999999998E-3</v>
      </c>
      <c r="Z133" s="32">
        <v>0.101273</v>
      </c>
      <c r="AA133" s="32">
        <v>0.20838400000000001</v>
      </c>
      <c r="AB133" s="32">
        <v>0.12637899999999999</v>
      </c>
    </row>
    <row r="134" spans="1:28" ht="15.6" customHeight="1" x14ac:dyDescent="0.25">
      <c r="A134" s="24" t="s">
        <v>1177</v>
      </c>
      <c r="B134" s="50">
        <v>3656</v>
      </c>
      <c r="C134" s="25" t="s">
        <v>1178</v>
      </c>
      <c r="D134" s="25" t="s">
        <v>159</v>
      </c>
      <c r="E134" s="25" t="s">
        <v>194</v>
      </c>
      <c r="F134" s="25" t="s">
        <v>113</v>
      </c>
      <c r="G134" s="26" t="s">
        <v>1179</v>
      </c>
      <c r="H134" s="27" t="s">
        <v>1180</v>
      </c>
      <c r="I134" s="24" t="s">
        <v>998</v>
      </c>
      <c r="J134" s="24" t="s">
        <v>121</v>
      </c>
      <c r="K134" s="28" t="s">
        <v>227</v>
      </c>
      <c r="L134" s="29">
        <v>0</v>
      </c>
      <c r="M134" s="29">
        <v>0</v>
      </c>
      <c r="N134" s="29">
        <v>0.02</v>
      </c>
      <c r="O134" s="27" t="s">
        <v>161</v>
      </c>
      <c r="P134" s="30" t="s">
        <v>159</v>
      </c>
      <c r="Q134" s="31">
        <v>10775399153.09</v>
      </c>
      <c r="R134" s="31">
        <v>1654.69</v>
      </c>
      <c r="S134" s="32">
        <v>-8.4250000000000002E-3</v>
      </c>
      <c r="T134" s="32" t="s">
        <v>139</v>
      </c>
      <c r="U134" s="32">
        <v>1.307E-3</v>
      </c>
      <c r="V134" s="32">
        <v>5.6769999999999998E-3</v>
      </c>
      <c r="W134" s="32">
        <v>2.369E-3</v>
      </c>
      <c r="X134" s="32">
        <v>-7.1999999999999998E-3</v>
      </c>
      <c r="Y134" s="32">
        <v>-1.3415E-2</v>
      </c>
      <c r="Z134" s="32">
        <v>9.4835000000000003E-2</v>
      </c>
      <c r="AA134" s="32">
        <v>0.19958999999999999</v>
      </c>
      <c r="AB134" s="32">
        <v>0.12955700000000001</v>
      </c>
    </row>
    <row r="135" spans="1:28" ht="15.6" customHeight="1" x14ac:dyDescent="0.25">
      <c r="A135" s="24" t="s">
        <v>299</v>
      </c>
      <c r="B135" s="50">
        <v>3657</v>
      </c>
      <c r="C135" s="25" t="s">
        <v>300</v>
      </c>
      <c r="D135" s="25" t="s">
        <v>159</v>
      </c>
      <c r="E135" s="25" t="s">
        <v>194</v>
      </c>
      <c r="F135" s="25" t="s">
        <v>155</v>
      </c>
      <c r="G135" s="26" t="s">
        <v>139</v>
      </c>
      <c r="H135" s="27" t="s">
        <v>156</v>
      </c>
      <c r="I135" s="24" t="s">
        <v>106</v>
      </c>
      <c r="J135" s="24" t="s">
        <v>107</v>
      </c>
      <c r="K135" s="28" t="s">
        <v>227</v>
      </c>
      <c r="L135" s="29">
        <v>0</v>
      </c>
      <c r="M135" s="29">
        <v>0</v>
      </c>
      <c r="N135" s="29">
        <v>0.02</v>
      </c>
      <c r="O135" s="27" t="s">
        <v>161</v>
      </c>
      <c r="P135" s="30" t="s">
        <v>159</v>
      </c>
      <c r="Q135" s="31">
        <v>15749496.24</v>
      </c>
      <c r="R135" s="31">
        <v>4550.5600000000004</v>
      </c>
      <c r="S135" s="32">
        <v>3.2229000000000001E-2</v>
      </c>
      <c r="T135" s="32" t="s">
        <v>139</v>
      </c>
      <c r="U135" s="32">
        <v>1.3653E-2</v>
      </c>
      <c r="V135" s="32">
        <v>7.5914999999999996E-2</v>
      </c>
      <c r="W135" s="32">
        <v>6.1385000000000002E-2</v>
      </c>
      <c r="X135" s="32">
        <v>2.4403000000000001E-2</v>
      </c>
      <c r="Y135" s="32">
        <v>-8.1233E-2</v>
      </c>
      <c r="Z135" s="32">
        <v>0.38017899999999999</v>
      </c>
      <c r="AA135" s="32">
        <v>0.65015900000000004</v>
      </c>
      <c r="AB135" s="32">
        <v>0.608205</v>
      </c>
    </row>
    <row r="136" spans="1:28" ht="15.6" customHeight="1" x14ac:dyDescent="0.25">
      <c r="A136" s="24" t="s">
        <v>301</v>
      </c>
      <c r="B136" s="50">
        <v>3658</v>
      </c>
      <c r="C136" s="25" t="s">
        <v>302</v>
      </c>
      <c r="D136" s="25" t="s">
        <v>127</v>
      </c>
      <c r="E136" s="25" t="s">
        <v>194</v>
      </c>
      <c r="F136" s="25" t="s">
        <v>103</v>
      </c>
      <c r="G136" s="26" t="s">
        <v>104</v>
      </c>
      <c r="H136" s="27" t="s">
        <v>217</v>
      </c>
      <c r="I136" s="24" t="s">
        <v>106</v>
      </c>
      <c r="J136" s="24" t="s">
        <v>121</v>
      </c>
      <c r="K136" s="28" t="s">
        <v>108</v>
      </c>
      <c r="L136" s="29">
        <v>0.03</v>
      </c>
      <c r="M136" s="29">
        <v>1.4999999999999999E-2</v>
      </c>
      <c r="N136" s="29">
        <v>0.02</v>
      </c>
      <c r="O136" s="27" t="s">
        <v>131</v>
      </c>
      <c r="P136" s="30" t="s">
        <v>131</v>
      </c>
      <c r="Q136" s="31">
        <v>1597318.91</v>
      </c>
      <c r="R136" s="31">
        <v>1518.36</v>
      </c>
      <c r="S136" s="32">
        <v>1.0717000000000001E-2</v>
      </c>
      <c r="T136" s="32" t="s">
        <v>139</v>
      </c>
      <c r="U136" s="32">
        <v>3.8200000000000002E-4</v>
      </c>
      <c r="V136" s="32">
        <v>1.3190000000000001E-3</v>
      </c>
      <c r="W136" s="32">
        <v>4.2789999999999998E-3</v>
      </c>
      <c r="X136" s="32">
        <v>8.234E-3</v>
      </c>
      <c r="Y136" s="32">
        <v>1.5692999999999999E-2</v>
      </c>
      <c r="Z136" s="32">
        <v>3.5109000000000001E-2</v>
      </c>
      <c r="AA136" s="32">
        <v>6.1233999999999997E-2</v>
      </c>
      <c r="AB136" s="32">
        <v>9.0839000000000003E-2</v>
      </c>
    </row>
    <row r="137" spans="1:28" ht="15.6" customHeight="1" x14ac:dyDescent="0.25">
      <c r="A137" s="24" t="s">
        <v>303</v>
      </c>
      <c r="B137" s="50">
        <v>3659</v>
      </c>
      <c r="C137" s="25" t="s">
        <v>304</v>
      </c>
      <c r="D137" s="25" t="s">
        <v>145</v>
      </c>
      <c r="E137" s="25" t="s">
        <v>194</v>
      </c>
      <c r="F137" s="25" t="s">
        <v>155</v>
      </c>
      <c r="G137" s="26" t="s">
        <v>139</v>
      </c>
      <c r="H137" s="27" t="s">
        <v>305</v>
      </c>
      <c r="I137" s="24" t="s">
        <v>106</v>
      </c>
      <c r="J137" s="24" t="s">
        <v>107</v>
      </c>
      <c r="K137" s="28" t="s">
        <v>108</v>
      </c>
      <c r="L137" s="29">
        <v>0.02</v>
      </c>
      <c r="M137" s="29">
        <v>0.02</v>
      </c>
      <c r="N137" s="29">
        <v>0.02</v>
      </c>
      <c r="O137" s="27" t="s">
        <v>148</v>
      </c>
      <c r="P137" s="30" t="s">
        <v>145</v>
      </c>
      <c r="Q137" s="31">
        <v>1382088.5</v>
      </c>
      <c r="R137" s="31">
        <v>1898.47</v>
      </c>
      <c r="S137" s="32">
        <v>-2.8656999999999998E-2</v>
      </c>
      <c r="T137" s="32" t="s">
        <v>139</v>
      </c>
      <c r="U137" s="32">
        <v>4.0940000000000004E-3</v>
      </c>
      <c r="V137" s="32">
        <v>3.7262000000000003E-2</v>
      </c>
      <c r="W137" s="32">
        <v>3.0338E-2</v>
      </c>
      <c r="X137" s="32">
        <v>-3.5001999999999998E-2</v>
      </c>
      <c r="Y137" s="32">
        <v>-0.12126199999999999</v>
      </c>
      <c r="Z137" s="32">
        <v>0.35575899999999999</v>
      </c>
      <c r="AA137" s="32">
        <v>0.69287100000000001</v>
      </c>
      <c r="AB137" s="32">
        <v>0.63781200000000005</v>
      </c>
    </row>
    <row r="138" spans="1:28" ht="15.6" customHeight="1" x14ac:dyDescent="0.25">
      <c r="A138" s="24" t="s">
        <v>306</v>
      </c>
      <c r="B138" s="50">
        <v>3660</v>
      </c>
      <c r="C138" s="25" t="s">
        <v>307</v>
      </c>
      <c r="D138" s="25" t="s">
        <v>159</v>
      </c>
      <c r="E138" s="25" t="s">
        <v>194</v>
      </c>
      <c r="F138" s="25" t="s">
        <v>113</v>
      </c>
      <c r="G138" s="26" t="s">
        <v>308</v>
      </c>
      <c r="H138" s="27" t="s">
        <v>309</v>
      </c>
      <c r="I138" s="24" t="s">
        <v>106</v>
      </c>
      <c r="J138" s="24" t="s">
        <v>121</v>
      </c>
      <c r="K138" s="28" t="s">
        <v>108</v>
      </c>
      <c r="L138" s="29">
        <v>0</v>
      </c>
      <c r="M138" s="29">
        <v>0</v>
      </c>
      <c r="N138" s="29">
        <v>0.02</v>
      </c>
      <c r="O138" s="27" t="s">
        <v>161</v>
      </c>
      <c r="P138" s="30" t="s">
        <v>159</v>
      </c>
      <c r="Q138" s="31">
        <v>2795592368.8600001</v>
      </c>
      <c r="R138" s="31">
        <v>1861.6</v>
      </c>
      <c r="S138" s="32">
        <v>4.6360000000000004E-3</v>
      </c>
      <c r="T138" s="32" t="s">
        <v>139</v>
      </c>
      <c r="U138" s="32">
        <v>9.7900000000000005E-4</v>
      </c>
      <c r="V138" s="32">
        <v>3.0010000000000002E-3</v>
      </c>
      <c r="W138" s="32">
        <v>6.2049999999999996E-3</v>
      </c>
      <c r="X138" s="32">
        <v>4.7280000000000004E-3</v>
      </c>
      <c r="Y138" s="32">
        <v>4.0130000000000001E-3</v>
      </c>
      <c r="Z138" s="32">
        <v>8.4197999999999995E-2</v>
      </c>
      <c r="AA138" s="32">
        <v>0.178899</v>
      </c>
      <c r="AB138" s="32">
        <v>0.18115100000000001</v>
      </c>
    </row>
    <row r="139" spans="1:28" ht="15.6" customHeight="1" x14ac:dyDescent="0.25">
      <c r="A139" s="24" t="s">
        <v>310</v>
      </c>
      <c r="B139" s="50">
        <v>3661</v>
      </c>
      <c r="C139" s="25" t="s">
        <v>311</v>
      </c>
      <c r="D139" s="25" t="s">
        <v>159</v>
      </c>
      <c r="E139" s="25" t="s">
        <v>194</v>
      </c>
      <c r="F139" s="25" t="s">
        <v>103</v>
      </c>
      <c r="G139" s="26" t="s">
        <v>244</v>
      </c>
      <c r="H139" s="27" t="s">
        <v>130</v>
      </c>
      <c r="I139" s="24" t="s">
        <v>106</v>
      </c>
      <c r="J139" s="24" t="s">
        <v>107</v>
      </c>
      <c r="K139" s="28" t="s">
        <v>227</v>
      </c>
      <c r="L139" s="29">
        <v>0</v>
      </c>
      <c r="M139" s="29">
        <v>0</v>
      </c>
      <c r="N139" s="29">
        <v>0.02</v>
      </c>
      <c r="O139" s="27" t="s">
        <v>161</v>
      </c>
      <c r="P139" s="30" t="s">
        <v>159</v>
      </c>
      <c r="Q139" s="31">
        <v>8170176311</v>
      </c>
      <c r="R139" s="31">
        <v>1787.55</v>
      </c>
      <c r="S139" s="32">
        <v>1.6739E-2</v>
      </c>
      <c r="T139" s="32" t="s">
        <v>139</v>
      </c>
      <c r="U139" s="32">
        <v>5.4900000000000001E-4</v>
      </c>
      <c r="V139" s="32">
        <v>2.0119999999999999E-3</v>
      </c>
      <c r="W139" s="32">
        <v>6.5659999999999998E-3</v>
      </c>
      <c r="X139" s="32">
        <v>1.304E-2</v>
      </c>
      <c r="Y139" s="32">
        <v>2.4572E-2</v>
      </c>
      <c r="Z139" s="32">
        <v>5.4869000000000001E-2</v>
      </c>
      <c r="AA139" s="32">
        <v>9.1346999999999998E-2</v>
      </c>
      <c r="AB139" s="32">
        <v>0.13703899999999999</v>
      </c>
    </row>
    <row r="140" spans="1:28" ht="15.6" customHeight="1" x14ac:dyDescent="0.25">
      <c r="A140" s="24" t="s">
        <v>1181</v>
      </c>
      <c r="B140" s="50">
        <v>3662</v>
      </c>
      <c r="C140" s="25" t="s">
        <v>1182</v>
      </c>
      <c r="D140" s="25" t="s">
        <v>241</v>
      </c>
      <c r="E140" s="25" t="s">
        <v>194</v>
      </c>
      <c r="F140" s="25" t="s">
        <v>155</v>
      </c>
      <c r="G140" s="26" t="s">
        <v>139</v>
      </c>
      <c r="H140" s="27" t="s">
        <v>156</v>
      </c>
      <c r="I140" s="24" t="s">
        <v>998</v>
      </c>
      <c r="J140" s="24" t="s">
        <v>107</v>
      </c>
      <c r="K140" s="28" t="s">
        <v>108</v>
      </c>
      <c r="L140" s="29">
        <v>0.03</v>
      </c>
      <c r="M140" s="29">
        <v>1.4999999999999999E-2</v>
      </c>
      <c r="N140" s="29">
        <v>1.7000000000000001E-2</v>
      </c>
      <c r="O140" s="27" t="s">
        <v>148</v>
      </c>
      <c r="P140" s="30" t="s">
        <v>241</v>
      </c>
      <c r="Q140" s="31">
        <v>112723447.79000001</v>
      </c>
      <c r="R140" s="31">
        <v>13610.65</v>
      </c>
      <c r="S140" s="32">
        <v>2.0619999999999999E-2</v>
      </c>
      <c r="T140" s="32" t="s">
        <v>139</v>
      </c>
      <c r="U140" s="32">
        <v>1.3339E-2</v>
      </c>
      <c r="V140" s="32">
        <v>7.7857999999999997E-2</v>
      </c>
      <c r="W140" s="32">
        <v>7.0810999999999999E-2</v>
      </c>
      <c r="X140" s="32">
        <v>2.4153000000000001E-2</v>
      </c>
      <c r="Y140" s="32">
        <v>-7.8327999999999995E-2</v>
      </c>
      <c r="Z140" s="32">
        <v>0.42012500000000003</v>
      </c>
      <c r="AA140" s="32">
        <v>0.74253599999999997</v>
      </c>
      <c r="AB140" s="32">
        <v>0.750467</v>
      </c>
    </row>
    <row r="141" spans="1:28" ht="15.6" customHeight="1" x14ac:dyDescent="0.25">
      <c r="A141" s="24" t="s">
        <v>1183</v>
      </c>
      <c r="B141" s="50">
        <v>3663</v>
      </c>
      <c r="C141" s="25" t="s">
        <v>1184</v>
      </c>
      <c r="D141" s="25" t="s">
        <v>241</v>
      </c>
      <c r="E141" s="25" t="s">
        <v>194</v>
      </c>
      <c r="F141" s="25" t="s">
        <v>138</v>
      </c>
      <c r="G141" s="26" t="s">
        <v>139</v>
      </c>
      <c r="H141" s="27" t="s">
        <v>577</v>
      </c>
      <c r="I141" s="24" t="s">
        <v>998</v>
      </c>
      <c r="J141" s="24" t="s">
        <v>107</v>
      </c>
      <c r="K141" s="28" t="s">
        <v>108</v>
      </c>
      <c r="L141" s="29">
        <v>0.03</v>
      </c>
      <c r="M141" s="29">
        <v>1.4999999999999999E-2</v>
      </c>
      <c r="N141" s="29">
        <v>1.7000000000000001E-2</v>
      </c>
      <c r="O141" s="27" t="s">
        <v>148</v>
      </c>
      <c r="P141" s="30" t="s">
        <v>241</v>
      </c>
      <c r="Q141" s="31">
        <v>2293108748.98</v>
      </c>
      <c r="R141" s="31">
        <v>4150.71</v>
      </c>
      <c r="S141" s="32">
        <v>7.5699999999999997E-4</v>
      </c>
      <c r="T141" s="32" t="s">
        <v>139</v>
      </c>
      <c r="U141" s="32">
        <v>5.2240000000000003E-3</v>
      </c>
      <c r="V141" s="32">
        <v>3.8181E-2</v>
      </c>
      <c r="W141" s="32">
        <v>3.0196000000000001E-2</v>
      </c>
      <c r="X141" s="32">
        <v>2.0279999999999999E-3</v>
      </c>
      <c r="Y141" s="32">
        <v>-5.8445999999999998E-2</v>
      </c>
      <c r="Z141" s="32">
        <v>0.21298400000000001</v>
      </c>
      <c r="AA141" s="32">
        <v>0.35788300000000001</v>
      </c>
      <c r="AB141" s="32">
        <v>0.239255</v>
      </c>
    </row>
    <row r="142" spans="1:28" ht="15.6" customHeight="1" x14ac:dyDescent="0.25">
      <c r="A142" s="24" t="s">
        <v>1185</v>
      </c>
      <c r="B142" s="50">
        <v>3664</v>
      </c>
      <c r="C142" s="25" t="s">
        <v>1186</v>
      </c>
      <c r="D142" s="25" t="s">
        <v>101</v>
      </c>
      <c r="E142" s="25" t="s">
        <v>194</v>
      </c>
      <c r="F142" s="25" t="s">
        <v>113</v>
      </c>
      <c r="G142" s="26" t="s">
        <v>1160</v>
      </c>
      <c r="H142" s="27" t="s">
        <v>327</v>
      </c>
      <c r="I142" s="24" t="s">
        <v>998</v>
      </c>
      <c r="J142" s="24" t="s">
        <v>121</v>
      </c>
      <c r="K142" s="28" t="s">
        <v>227</v>
      </c>
      <c r="L142" s="29">
        <v>0.03</v>
      </c>
      <c r="M142" s="29">
        <v>1.4999999999999999E-2</v>
      </c>
      <c r="N142" s="29">
        <v>5.0000000000000001E-3</v>
      </c>
      <c r="O142" s="27" t="s">
        <v>109</v>
      </c>
      <c r="P142" s="30" t="s">
        <v>101</v>
      </c>
      <c r="Q142" s="31">
        <v>532871946.94</v>
      </c>
      <c r="R142" s="31">
        <v>114917.39</v>
      </c>
      <c r="S142" s="32">
        <v>-1.3290000000000001E-3</v>
      </c>
      <c r="T142" s="32" t="s">
        <v>139</v>
      </c>
      <c r="U142" s="32">
        <v>1.0300000000000001E-3</v>
      </c>
      <c r="V142" s="32">
        <v>2.8860000000000001E-3</v>
      </c>
      <c r="W142" s="32">
        <v>2.7899999999999999E-3</v>
      </c>
      <c r="X142" s="32">
        <v>-1.26E-4</v>
      </c>
      <c r="Y142" s="32">
        <v>-2.4139999999999999E-3</v>
      </c>
      <c r="Z142" s="32">
        <v>9.2464000000000005E-2</v>
      </c>
      <c r="AA142" s="32">
        <v>0.18612100000000001</v>
      </c>
      <c r="AB142" s="32">
        <v>0.142295</v>
      </c>
    </row>
    <row r="143" spans="1:28" ht="15.6" customHeight="1" x14ac:dyDescent="0.25">
      <c r="A143" s="24" t="s">
        <v>312</v>
      </c>
      <c r="B143" s="50">
        <v>3665</v>
      </c>
      <c r="C143" s="25" t="s">
        <v>313</v>
      </c>
      <c r="D143" s="25" t="s">
        <v>164</v>
      </c>
      <c r="E143" s="25" t="s">
        <v>194</v>
      </c>
      <c r="F143" s="25" t="s">
        <v>103</v>
      </c>
      <c r="G143" s="26" t="s">
        <v>104</v>
      </c>
      <c r="H143" s="27" t="s">
        <v>169</v>
      </c>
      <c r="I143" s="24" t="s">
        <v>106</v>
      </c>
      <c r="J143" s="24" t="s">
        <v>107</v>
      </c>
      <c r="K143" s="28" t="s">
        <v>108</v>
      </c>
      <c r="L143" s="29">
        <v>0.02</v>
      </c>
      <c r="M143" s="29">
        <v>0.02</v>
      </c>
      <c r="N143" s="29">
        <v>0.02</v>
      </c>
      <c r="O143" s="27" t="s">
        <v>166</v>
      </c>
      <c r="P143" s="30" t="s">
        <v>164</v>
      </c>
      <c r="Q143" s="31">
        <v>3637242767.0599999</v>
      </c>
      <c r="R143" s="31">
        <v>1589.78</v>
      </c>
      <c r="S143" s="32">
        <v>1.2076999999999999E-2</v>
      </c>
      <c r="T143" s="32" t="s">
        <v>139</v>
      </c>
      <c r="U143" s="32">
        <v>3.5199999999999999E-4</v>
      </c>
      <c r="V143" s="32">
        <v>1.5430000000000001E-3</v>
      </c>
      <c r="W143" s="32">
        <v>4.6189999999999998E-3</v>
      </c>
      <c r="X143" s="32">
        <v>9.1789999999999997E-3</v>
      </c>
      <c r="Y143" s="32">
        <v>1.8561000000000001E-2</v>
      </c>
      <c r="Z143" s="32">
        <v>4.0936E-2</v>
      </c>
      <c r="AA143" s="32">
        <v>6.8458000000000005E-2</v>
      </c>
      <c r="AB143" s="32">
        <v>0.10513400000000001</v>
      </c>
    </row>
    <row r="144" spans="1:28" ht="15.6" customHeight="1" x14ac:dyDescent="0.25">
      <c r="A144" s="24" t="s">
        <v>1187</v>
      </c>
      <c r="B144" s="50">
        <v>3666</v>
      </c>
      <c r="C144" s="25" t="s">
        <v>1188</v>
      </c>
      <c r="D144" s="25" t="s">
        <v>101</v>
      </c>
      <c r="E144" s="25" t="s">
        <v>194</v>
      </c>
      <c r="F144" s="25" t="s">
        <v>113</v>
      </c>
      <c r="G144" s="26" t="s">
        <v>1160</v>
      </c>
      <c r="H144" s="27" t="s">
        <v>839</v>
      </c>
      <c r="I144" s="24" t="s">
        <v>998</v>
      </c>
      <c r="J144" s="24" t="s">
        <v>121</v>
      </c>
      <c r="K144" s="28" t="s">
        <v>227</v>
      </c>
      <c r="L144" s="29">
        <v>0.03</v>
      </c>
      <c r="M144" s="29">
        <v>1.4999999999999999E-2</v>
      </c>
      <c r="N144" s="29">
        <v>5.0000000000000001E-3</v>
      </c>
      <c r="O144" s="27" t="s">
        <v>109</v>
      </c>
      <c r="P144" s="30" t="s">
        <v>101</v>
      </c>
      <c r="Q144" s="31">
        <v>560177456.83000004</v>
      </c>
      <c r="R144" s="31">
        <v>109924.93</v>
      </c>
      <c r="S144" s="32">
        <v>-1.2520000000000001E-3</v>
      </c>
      <c r="T144" s="32" t="s">
        <v>139</v>
      </c>
      <c r="U144" s="32">
        <v>1.0269999999999999E-3</v>
      </c>
      <c r="V144" s="32">
        <v>2.875E-3</v>
      </c>
      <c r="W144" s="32">
        <v>2.6819999999999999E-3</v>
      </c>
      <c r="X144" s="32">
        <v>-1.44E-4</v>
      </c>
      <c r="Y144" s="32">
        <v>-2.137E-3</v>
      </c>
      <c r="Z144" s="32">
        <v>9.2747999999999997E-2</v>
      </c>
      <c r="AA144" s="32">
        <v>0.186086</v>
      </c>
      <c r="AB144" s="32">
        <v>0.145784</v>
      </c>
    </row>
    <row r="145" spans="1:28" ht="15.6" customHeight="1" x14ac:dyDescent="0.25">
      <c r="A145" s="24" t="s">
        <v>1189</v>
      </c>
      <c r="B145" s="50">
        <v>3667</v>
      </c>
      <c r="C145" s="25" t="s">
        <v>1190</v>
      </c>
      <c r="D145" s="25" t="s">
        <v>145</v>
      </c>
      <c r="E145" s="25" t="s">
        <v>194</v>
      </c>
      <c r="F145" s="25" t="s">
        <v>138</v>
      </c>
      <c r="G145" s="26" t="s">
        <v>139</v>
      </c>
      <c r="H145" s="27" t="s">
        <v>1191</v>
      </c>
      <c r="I145" s="24" t="s">
        <v>998</v>
      </c>
      <c r="J145" s="24" t="s">
        <v>121</v>
      </c>
      <c r="K145" s="28" t="s">
        <v>108</v>
      </c>
      <c r="L145" s="29">
        <v>0.01</v>
      </c>
      <c r="M145" s="29">
        <v>0.01</v>
      </c>
      <c r="N145" s="29">
        <v>0.02</v>
      </c>
      <c r="O145" s="27" t="s">
        <v>148</v>
      </c>
      <c r="P145" s="30" t="s">
        <v>145</v>
      </c>
      <c r="Q145" s="31">
        <v>525991481.29000002</v>
      </c>
      <c r="R145" s="31">
        <v>2100.69</v>
      </c>
      <c r="S145" s="32">
        <v>1.3953999999999999E-2</v>
      </c>
      <c r="T145" s="32" t="s">
        <v>139</v>
      </c>
      <c r="U145" s="32">
        <v>6.3720000000000001E-3</v>
      </c>
      <c r="V145" s="32">
        <v>2.9856000000000001E-2</v>
      </c>
      <c r="W145" s="32">
        <v>2.5347000000000001E-2</v>
      </c>
      <c r="X145" s="32">
        <v>1.0817E-2</v>
      </c>
      <c r="Y145" s="32">
        <v>1.2529999999999999E-2</v>
      </c>
      <c r="Z145" s="32">
        <v>0.254695</v>
      </c>
      <c r="AA145" s="32">
        <v>0.41931200000000002</v>
      </c>
      <c r="AB145" s="32">
        <v>0.37895600000000002</v>
      </c>
    </row>
    <row r="146" spans="1:28" ht="15.6" customHeight="1" x14ac:dyDescent="0.25">
      <c r="A146" s="24" t="s">
        <v>1192</v>
      </c>
      <c r="B146" s="50">
        <v>3668</v>
      </c>
      <c r="C146" s="25" t="s">
        <v>1193</v>
      </c>
      <c r="D146" s="25" t="s">
        <v>261</v>
      </c>
      <c r="E146" s="25" t="s">
        <v>194</v>
      </c>
      <c r="F146" s="25" t="s">
        <v>113</v>
      </c>
      <c r="G146" s="26" t="s">
        <v>1194</v>
      </c>
      <c r="H146" s="27" t="s">
        <v>1195</v>
      </c>
      <c r="I146" s="24" t="s">
        <v>998</v>
      </c>
      <c r="J146" s="24" t="s">
        <v>107</v>
      </c>
      <c r="K146" s="28" t="s">
        <v>108</v>
      </c>
      <c r="L146" s="29">
        <v>1.4999999999999999E-2</v>
      </c>
      <c r="M146" s="29">
        <v>3.0000000000000001E-3</v>
      </c>
      <c r="N146" s="29">
        <v>0.01</v>
      </c>
      <c r="O146" s="27" t="s">
        <v>262</v>
      </c>
      <c r="P146" s="30" t="s">
        <v>261</v>
      </c>
      <c r="Q146" s="31">
        <v>90318251.599999994</v>
      </c>
      <c r="R146" s="31">
        <v>166.83</v>
      </c>
      <c r="S146" s="32">
        <v>-5.1879999999999999E-3</v>
      </c>
      <c r="T146" s="32" t="s">
        <v>139</v>
      </c>
      <c r="U146" s="32">
        <v>1.5610000000000001E-3</v>
      </c>
      <c r="V146" s="32">
        <v>6.5160000000000001E-3</v>
      </c>
      <c r="W146" s="32">
        <v>5.3030000000000004E-3</v>
      </c>
      <c r="X146" s="32">
        <v>-5.1289999999999999E-3</v>
      </c>
      <c r="Y146" s="32">
        <v>-1.5810000000000001E-2</v>
      </c>
      <c r="Z146" s="32">
        <v>8.2186999999999996E-2</v>
      </c>
      <c r="AA146" s="32">
        <v>0.18260399999999999</v>
      </c>
      <c r="AB146" s="32">
        <v>4.4842E-2</v>
      </c>
    </row>
    <row r="147" spans="1:28" ht="15.6" customHeight="1" x14ac:dyDescent="0.25">
      <c r="A147" s="24" t="s">
        <v>1196</v>
      </c>
      <c r="B147" s="50">
        <v>3669</v>
      </c>
      <c r="C147" s="25" t="s">
        <v>1197</v>
      </c>
      <c r="D147" s="25" t="s">
        <v>261</v>
      </c>
      <c r="E147" s="25" t="s">
        <v>194</v>
      </c>
      <c r="F147" s="25" t="s">
        <v>113</v>
      </c>
      <c r="G147" s="26" t="s">
        <v>1160</v>
      </c>
      <c r="H147" s="27" t="s">
        <v>115</v>
      </c>
      <c r="I147" s="24" t="s">
        <v>998</v>
      </c>
      <c r="J147" s="24" t="s">
        <v>107</v>
      </c>
      <c r="K147" s="28" t="s">
        <v>108</v>
      </c>
      <c r="L147" s="29">
        <v>1.4999999999999999E-2</v>
      </c>
      <c r="M147" s="29">
        <v>3.0000000000000001E-3</v>
      </c>
      <c r="N147" s="29">
        <v>0.01</v>
      </c>
      <c r="O147" s="27" t="s">
        <v>262</v>
      </c>
      <c r="P147" s="30" t="s">
        <v>261</v>
      </c>
      <c r="Q147" s="31">
        <v>13378245.939999999</v>
      </c>
      <c r="R147" s="31">
        <v>153.86000000000001</v>
      </c>
      <c r="S147" s="32">
        <v>3.522E-3</v>
      </c>
      <c r="T147" s="32" t="s">
        <v>139</v>
      </c>
      <c r="U147" s="32">
        <v>7.8100000000000001E-4</v>
      </c>
      <c r="V147" s="32">
        <v>2.4759999999999999E-3</v>
      </c>
      <c r="W147" s="32">
        <v>3.784E-3</v>
      </c>
      <c r="X147" s="32">
        <v>2.9329999999999998E-3</v>
      </c>
      <c r="Y147" s="32">
        <v>3.522E-3</v>
      </c>
      <c r="Z147" s="32">
        <v>6.6473000000000004E-2</v>
      </c>
      <c r="AA147" s="32">
        <v>0.14232700000000001</v>
      </c>
      <c r="AB147" s="32">
        <v>-3.5620000000000001E-3</v>
      </c>
    </row>
    <row r="148" spans="1:28" ht="15.6" customHeight="1" x14ac:dyDescent="0.25">
      <c r="A148" s="24" t="s">
        <v>1198</v>
      </c>
      <c r="B148" s="50">
        <v>3670</v>
      </c>
      <c r="C148" s="25" t="s">
        <v>1199</v>
      </c>
      <c r="D148" s="25" t="s">
        <v>164</v>
      </c>
      <c r="E148" s="25" t="s">
        <v>194</v>
      </c>
      <c r="F148" s="25" t="s">
        <v>113</v>
      </c>
      <c r="G148" s="26" t="s">
        <v>1109</v>
      </c>
      <c r="H148" s="27" t="s">
        <v>1157</v>
      </c>
      <c r="I148" s="24" t="s">
        <v>998</v>
      </c>
      <c r="J148" s="24" t="s">
        <v>121</v>
      </c>
      <c r="K148" s="28" t="s">
        <v>108</v>
      </c>
      <c r="L148" s="29">
        <v>0.03</v>
      </c>
      <c r="M148" s="29">
        <v>0.03</v>
      </c>
      <c r="N148" s="29">
        <v>0.02</v>
      </c>
      <c r="O148" s="27" t="s">
        <v>166</v>
      </c>
      <c r="P148" s="30" t="s">
        <v>164</v>
      </c>
      <c r="Q148" s="31">
        <v>6068216.0599999996</v>
      </c>
      <c r="R148" s="31">
        <v>2014.01</v>
      </c>
      <c r="S148" s="32">
        <v>2.7698E-2</v>
      </c>
      <c r="T148" s="32" t="s">
        <v>139</v>
      </c>
      <c r="U148" s="32">
        <v>1.611E-3</v>
      </c>
      <c r="V148" s="32">
        <v>5.6670000000000002E-3</v>
      </c>
      <c r="W148" s="32">
        <v>7.2620000000000002E-3</v>
      </c>
      <c r="X148" s="32">
        <v>9.7769999999999992E-3</v>
      </c>
      <c r="Y148" s="32">
        <v>2.9083999999999999E-2</v>
      </c>
      <c r="Z148" s="32">
        <v>0.12622700000000001</v>
      </c>
      <c r="AA148" s="32">
        <v>0.21498600000000001</v>
      </c>
      <c r="AB148" s="32">
        <v>0.18784899999999999</v>
      </c>
    </row>
    <row r="149" spans="1:28" ht="15.6" customHeight="1" x14ac:dyDescent="0.25">
      <c r="A149" s="24" t="s">
        <v>1200</v>
      </c>
      <c r="B149" s="50">
        <v>3675</v>
      </c>
      <c r="C149" s="25" t="s">
        <v>1201</v>
      </c>
      <c r="D149" s="25" t="s">
        <v>137</v>
      </c>
      <c r="E149" s="25" t="s">
        <v>194</v>
      </c>
      <c r="F149" s="25" t="s">
        <v>155</v>
      </c>
      <c r="G149" s="26" t="s">
        <v>139</v>
      </c>
      <c r="H149" s="27" t="s">
        <v>202</v>
      </c>
      <c r="I149" s="24" t="s">
        <v>998</v>
      </c>
      <c r="J149" s="24" t="s">
        <v>107</v>
      </c>
      <c r="K149" s="28" t="s">
        <v>108</v>
      </c>
      <c r="L149" s="29">
        <v>8.5000000000000006E-3</v>
      </c>
      <c r="M149" s="29">
        <v>8.5000000000000006E-3</v>
      </c>
      <c r="N149" s="29">
        <v>0.02</v>
      </c>
      <c r="O149" s="27" t="s">
        <v>166</v>
      </c>
      <c r="P149" s="30" t="s">
        <v>137</v>
      </c>
      <c r="Q149" s="31">
        <v>33644937.275283001</v>
      </c>
      <c r="R149" s="31">
        <v>176.01</v>
      </c>
      <c r="S149" s="32">
        <v>3.6999999999999998E-2</v>
      </c>
      <c r="T149" s="32" t="s">
        <v>139</v>
      </c>
      <c r="U149" s="32">
        <v>1.435E-2</v>
      </c>
      <c r="V149" s="32">
        <v>8.5944999999999994E-2</v>
      </c>
      <c r="W149" s="32">
        <v>5.5785000000000001E-2</v>
      </c>
      <c r="X149" s="32">
        <v>3.7977999999999998E-2</v>
      </c>
      <c r="Y149" s="32">
        <v>-7.7322000000000002E-2</v>
      </c>
      <c r="Z149" s="32">
        <v>0.430394</v>
      </c>
      <c r="AA149" s="32">
        <v>0.69029099999999999</v>
      </c>
      <c r="AB149" s="32">
        <v>0.54842999999999997</v>
      </c>
    </row>
    <row r="150" spans="1:28" ht="15.6" customHeight="1" x14ac:dyDescent="0.25">
      <c r="A150" s="24" t="s">
        <v>314</v>
      </c>
      <c r="B150" s="50">
        <v>3677</v>
      </c>
      <c r="C150" s="25" t="s">
        <v>315</v>
      </c>
      <c r="D150" s="25" t="s">
        <v>316</v>
      </c>
      <c r="E150" s="25" t="s">
        <v>194</v>
      </c>
      <c r="F150" s="25" t="s">
        <v>103</v>
      </c>
      <c r="G150" s="26" t="s">
        <v>244</v>
      </c>
      <c r="H150" s="27" t="s">
        <v>317</v>
      </c>
      <c r="I150" s="24" t="s">
        <v>106</v>
      </c>
      <c r="J150" s="24" t="s">
        <v>107</v>
      </c>
      <c r="K150" s="28" t="s">
        <v>108</v>
      </c>
      <c r="L150" s="29">
        <v>0.03</v>
      </c>
      <c r="M150" s="29">
        <v>0.03</v>
      </c>
      <c r="N150" s="29">
        <v>0.02</v>
      </c>
      <c r="O150" s="27" t="s">
        <v>166</v>
      </c>
      <c r="P150" s="30" t="s">
        <v>316</v>
      </c>
      <c r="Q150" s="31">
        <v>1162545330.9100001</v>
      </c>
      <c r="R150" s="31">
        <v>1589.08</v>
      </c>
      <c r="S150" s="32">
        <v>1.5387E-2</v>
      </c>
      <c r="T150" s="32" t="s">
        <v>139</v>
      </c>
      <c r="U150" s="32">
        <v>4.9700000000000005E-4</v>
      </c>
      <c r="V150" s="32">
        <v>1.835E-3</v>
      </c>
      <c r="W150" s="32">
        <v>5.7470000000000004E-3</v>
      </c>
      <c r="X150" s="32">
        <v>1.1612000000000001E-2</v>
      </c>
      <c r="Y150" s="32">
        <v>2.2943000000000002E-2</v>
      </c>
      <c r="Z150" s="32">
        <v>5.1131999999999997E-2</v>
      </c>
      <c r="AA150" s="32">
        <v>8.5503999999999997E-2</v>
      </c>
      <c r="AB150" s="32">
        <v>0.127919</v>
      </c>
    </row>
    <row r="151" spans="1:28" ht="15.6" customHeight="1" x14ac:dyDescent="0.25">
      <c r="A151" s="24" t="s">
        <v>1202</v>
      </c>
      <c r="B151" s="50">
        <v>3678</v>
      </c>
      <c r="C151" s="25" t="s">
        <v>1203</v>
      </c>
      <c r="D151" s="25" t="s">
        <v>316</v>
      </c>
      <c r="E151" s="25" t="s">
        <v>194</v>
      </c>
      <c r="F151" s="25" t="s">
        <v>138</v>
      </c>
      <c r="G151" s="26" t="s">
        <v>139</v>
      </c>
      <c r="H151" s="27" t="s">
        <v>1204</v>
      </c>
      <c r="I151" s="24" t="s">
        <v>998</v>
      </c>
      <c r="J151" s="24" t="s">
        <v>107</v>
      </c>
      <c r="K151" s="28" t="s">
        <v>108</v>
      </c>
      <c r="L151" s="29">
        <v>0.03</v>
      </c>
      <c r="M151" s="29">
        <v>0.03</v>
      </c>
      <c r="N151" s="29">
        <v>0.02</v>
      </c>
      <c r="O151" s="27" t="s">
        <v>166</v>
      </c>
      <c r="P151" s="30" t="s">
        <v>316</v>
      </c>
      <c r="Q151" s="31">
        <v>3156251328.7600002</v>
      </c>
      <c r="R151" s="31">
        <v>2494.84</v>
      </c>
      <c r="S151" s="32">
        <v>-4.5629000000000003E-2</v>
      </c>
      <c r="T151" s="32" t="s">
        <v>139</v>
      </c>
      <c r="U151" s="32">
        <v>3.7940000000000001E-3</v>
      </c>
      <c r="V151" s="32">
        <v>2.9937999999999999E-2</v>
      </c>
      <c r="W151" s="32">
        <v>2.4230000000000002E-2</v>
      </c>
      <c r="X151" s="32">
        <v>-3.9433999999999997E-2</v>
      </c>
      <c r="Y151" s="32">
        <v>-0.11842800000000001</v>
      </c>
      <c r="Z151" s="32">
        <v>0.12612999999999999</v>
      </c>
      <c r="AA151" s="32">
        <v>0.29881400000000002</v>
      </c>
      <c r="AB151" s="32">
        <v>0.139982</v>
      </c>
    </row>
    <row r="152" spans="1:28" ht="15.6" customHeight="1" x14ac:dyDescent="0.25">
      <c r="A152" s="24" t="s">
        <v>1205</v>
      </c>
      <c r="B152" s="50">
        <v>3679</v>
      </c>
      <c r="C152" s="25" t="s">
        <v>0</v>
      </c>
      <c r="D152" s="25" t="s">
        <v>316</v>
      </c>
      <c r="E152" s="25" t="s">
        <v>194</v>
      </c>
      <c r="F152" s="25" t="s">
        <v>155</v>
      </c>
      <c r="G152" s="26" t="s">
        <v>139</v>
      </c>
      <c r="H152" s="27" t="s">
        <v>156</v>
      </c>
      <c r="I152" s="24" t="s">
        <v>998</v>
      </c>
      <c r="J152" s="24" t="s">
        <v>107</v>
      </c>
      <c r="K152" s="28" t="s">
        <v>108</v>
      </c>
      <c r="L152" s="29">
        <v>0.03</v>
      </c>
      <c r="M152" s="29">
        <v>0.03</v>
      </c>
      <c r="N152" s="29">
        <v>0.02</v>
      </c>
      <c r="O152" s="27" t="s">
        <v>166</v>
      </c>
      <c r="P152" s="30" t="s">
        <v>316</v>
      </c>
      <c r="Q152" s="31">
        <v>953091244.01999998</v>
      </c>
      <c r="R152" s="31">
        <v>3008.6</v>
      </c>
      <c r="S152" s="32">
        <v>2.0930000000000001E-2</v>
      </c>
      <c r="T152" s="32" t="s">
        <v>139</v>
      </c>
      <c r="U152" s="32">
        <v>1.5650000000000001E-2</v>
      </c>
      <c r="V152" s="32">
        <v>8.1157000000000007E-2</v>
      </c>
      <c r="W152" s="32">
        <v>6.8247000000000002E-2</v>
      </c>
      <c r="X152" s="32">
        <v>2.5163999999999999E-2</v>
      </c>
      <c r="Y152" s="32">
        <v>-9.3295000000000003E-2</v>
      </c>
      <c r="Z152" s="32">
        <v>0.369089</v>
      </c>
      <c r="AA152" s="32">
        <v>0.65965200000000002</v>
      </c>
      <c r="AB152" s="32">
        <v>0.49520900000000001</v>
      </c>
    </row>
    <row r="153" spans="1:28" ht="15.6" customHeight="1" x14ac:dyDescent="0.25">
      <c r="A153" s="24" t="s">
        <v>1206</v>
      </c>
      <c r="B153" s="50">
        <v>3683</v>
      </c>
      <c r="C153" s="25" t="s">
        <v>1207</v>
      </c>
      <c r="D153" s="25" t="s">
        <v>145</v>
      </c>
      <c r="E153" s="25" t="s">
        <v>194</v>
      </c>
      <c r="F153" s="25" t="s">
        <v>138</v>
      </c>
      <c r="G153" s="26" t="s">
        <v>139</v>
      </c>
      <c r="H153" s="27" t="s">
        <v>521</v>
      </c>
      <c r="I153" s="24" t="s">
        <v>998</v>
      </c>
      <c r="J153" s="24" t="s">
        <v>121</v>
      </c>
      <c r="K153" s="28" t="s">
        <v>108</v>
      </c>
      <c r="L153" s="29">
        <v>0</v>
      </c>
      <c r="M153" s="29">
        <v>0</v>
      </c>
      <c r="N153" s="29">
        <v>6.0000000000000001E-3</v>
      </c>
      <c r="O153" s="27" t="s">
        <v>148</v>
      </c>
      <c r="P153" s="30" t="s">
        <v>145</v>
      </c>
      <c r="Q153" s="31">
        <v>1871798612.26</v>
      </c>
      <c r="R153" s="31">
        <v>2966.16</v>
      </c>
      <c r="S153" s="32">
        <v>3.5079999999999998E-3</v>
      </c>
      <c r="T153" s="32" t="s">
        <v>139</v>
      </c>
      <c r="U153" s="32">
        <v>4.9529999999999999E-3</v>
      </c>
      <c r="V153" s="32">
        <v>2.4664999999999999E-2</v>
      </c>
      <c r="W153" s="32">
        <v>1.8414E-2</v>
      </c>
      <c r="X153" s="32">
        <v>2.9520000000000002E-3</v>
      </c>
      <c r="Y153" s="32">
        <v>-3.1799000000000001E-2</v>
      </c>
      <c r="Z153" s="32">
        <v>0.19387599999999999</v>
      </c>
      <c r="AA153" s="32">
        <v>0.38467099999999999</v>
      </c>
      <c r="AB153" s="32">
        <v>0.30730600000000002</v>
      </c>
    </row>
    <row r="154" spans="1:28" ht="15.6" customHeight="1" x14ac:dyDescent="0.25">
      <c r="A154" s="24" t="s">
        <v>1208</v>
      </c>
      <c r="B154" s="50">
        <v>3684</v>
      </c>
      <c r="C154" s="25" t="s">
        <v>1209</v>
      </c>
      <c r="D154" s="25" t="s">
        <v>164</v>
      </c>
      <c r="E154" s="25" t="s">
        <v>194</v>
      </c>
      <c r="F154" s="25" t="s">
        <v>138</v>
      </c>
      <c r="G154" s="26" t="s">
        <v>139</v>
      </c>
      <c r="H154" s="27" t="s">
        <v>1210</v>
      </c>
      <c r="I154" s="24" t="s">
        <v>998</v>
      </c>
      <c r="J154" s="24" t="s">
        <v>121</v>
      </c>
      <c r="K154" s="28" t="s">
        <v>108</v>
      </c>
      <c r="L154" s="29">
        <v>0.03</v>
      </c>
      <c r="M154" s="29">
        <v>1.4999999999999999E-2</v>
      </c>
      <c r="N154" s="29">
        <v>0.02</v>
      </c>
      <c r="O154" s="27" t="s">
        <v>166</v>
      </c>
      <c r="P154" s="30" t="s">
        <v>164</v>
      </c>
      <c r="Q154" s="31">
        <v>1727512494.45</v>
      </c>
      <c r="R154" s="31">
        <v>281629.03000000003</v>
      </c>
      <c r="S154" s="32">
        <v>2.5308000000000001E-2</v>
      </c>
      <c r="T154" s="32" t="s">
        <v>139</v>
      </c>
      <c r="U154" s="32">
        <v>8.7480000000000006E-3</v>
      </c>
      <c r="V154" s="32">
        <v>3.6942999999999997E-2</v>
      </c>
      <c r="W154" s="32">
        <v>2.8043999999999999E-2</v>
      </c>
      <c r="X154" s="32">
        <v>2.0015000000000002E-2</v>
      </c>
      <c r="Y154" s="32">
        <v>-6.2449999999999997E-3</v>
      </c>
      <c r="Z154" s="32">
        <v>0.23288300000000001</v>
      </c>
      <c r="AA154" s="32">
        <v>0.411688</v>
      </c>
      <c r="AB154" s="32">
        <v>0.334673</v>
      </c>
    </row>
    <row r="155" spans="1:28" ht="15.6" customHeight="1" x14ac:dyDescent="0.25">
      <c r="A155" s="24" t="s">
        <v>1211</v>
      </c>
      <c r="B155" s="50">
        <v>3686</v>
      </c>
      <c r="C155" s="25" t="s">
        <v>1212</v>
      </c>
      <c r="D155" s="25" t="s">
        <v>316</v>
      </c>
      <c r="E155" s="25" t="s">
        <v>194</v>
      </c>
      <c r="F155" s="25" t="s">
        <v>113</v>
      </c>
      <c r="G155" s="26" t="s">
        <v>1213</v>
      </c>
      <c r="H155" s="27" t="s">
        <v>327</v>
      </c>
      <c r="I155" s="24" t="s">
        <v>998</v>
      </c>
      <c r="J155" s="24" t="s">
        <v>107</v>
      </c>
      <c r="K155" s="28" t="s">
        <v>108</v>
      </c>
      <c r="L155" s="29">
        <v>0.03</v>
      </c>
      <c r="M155" s="29">
        <v>0.03</v>
      </c>
      <c r="N155" s="29">
        <v>0.02</v>
      </c>
      <c r="O155" s="27" t="s">
        <v>166</v>
      </c>
      <c r="P155" s="30" t="s">
        <v>316</v>
      </c>
      <c r="Q155" s="31">
        <v>1855783630.4300001</v>
      </c>
      <c r="R155" s="31">
        <v>1606.76</v>
      </c>
      <c r="S155" s="32">
        <v>-7.9000000000000001E-4</v>
      </c>
      <c r="T155" s="32" t="s">
        <v>139</v>
      </c>
      <c r="U155" s="32">
        <v>1.8519999999999999E-3</v>
      </c>
      <c r="V155" s="32">
        <v>7.5310000000000004E-3</v>
      </c>
      <c r="W155" s="32">
        <v>7.247E-3</v>
      </c>
      <c r="X155" s="32">
        <v>-2.2729999999999998E-3</v>
      </c>
      <c r="Y155" s="32">
        <v>-1.1310000000000001E-2</v>
      </c>
      <c r="Z155" s="32">
        <v>7.3105000000000003E-2</v>
      </c>
      <c r="AA155" s="32">
        <v>0.14978</v>
      </c>
      <c r="AB155" s="32">
        <v>9.1148999999999994E-2</v>
      </c>
    </row>
    <row r="156" spans="1:28" ht="15.6" customHeight="1" x14ac:dyDescent="0.25">
      <c r="A156" s="24" t="s">
        <v>318</v>
      </c>
      <c r="B156" s="50">
        <v>3687</v>
      </c>
      <c r="C156" s="25" t="s">
        <v>319</v>
      </c>
      <c r="D156" s="25" t="s">
        <v>316</v>
      </c>
      <c r="E156" s="25" t="s">
        <v>194</v>
      </c>
      <c r="F156" s="25" t="s">
        <v>128</v>
      </c>
      <c r="G156" s="26" t="s">
        <v>275</v>
      </c>
      <c r="H156" s="27" t="s">
        <v>130</v>
      </c>
      <c r="I156" s="24" t="s">
        <v>106</v>
      </c>
      <c r="J156" s="24" t="s">
        <v>107</v>
      </c>
      <c r="K156" s="28" t="s">
        <v>108</v>
      </c>
      <c r="L156" s="29">
        <v>0.02</v>
      </c>
      <c r="M156" s="29">
        <v>0.02</v>
      </c>
      <c r="N156" s="29">
        <v>0.02</v>
      </c>
      <c r="O156" s="27" t="s">
        <v>166</v>
      </c>
      <c r="P156" s="30" t="s">
        <v>316</v>
      </c>
      <c r="Q156" s="31">
        <v>1641627017.3900001</v>
      </c>
      <c r="R156" s="31">
        <v>1601.86</v>
      </c>
      <c r="S156" s="32">
        <v>1.5951E-2</v>
      </c>
      <c r="T156" s="32" t="s">
        <v>139</v>
      </c>
      <c r="U156" s="32">
        <v>6.6200000000000005E-4</v>
      </c>
      <c r="V156" s="32">
        <v>2.052E-3</v>
      </c>
      <c r="W156" s="32">
        <v>6.2880000000000002E-3</v>
      </c>
      <c r="X156" s="32">
        <v>1.2522E-2</v>
      </c>
      <c r="Y156" s="32">
        <v>2.2585999999999998E-2</v>
      </c>
      <c r="Z156" s="32">
        <v>5.8388000000000002E-2</v>
      </c>
      <c r="AA156" s="32">
        <v>0.100776</v>
      </c>
      <c r="AB156" s="32">
        <v>0.143508</v>
      </c>
    </row>
    <row r="157" spans="1:28" ht="15.6" customHeight="1" x14ac:dyDescent="0.25">
      <c r="A157" s="24" t="s">
        <v>1214</v>
      </c>
      <c r="B157" s="50">
        <v>3689</v>
      </c>
      <c r="C157" s="25" t="s">
        <v>1215</v>
      </c>
      <c r="D157" s="25" t="s">
        <v>101</v>
      </c>
      <c r="E157" s="25" t="s">
        <v>194</v>
      </c>
      <c r="F157" s="25" t="s">
        <v>128</v>
      </c>
      <c r="G157" s="26" t="s">
        <v>250</v>
      </c>
      <c r="H157" s="27" t="s">
        <v>130</v>
      </c>
      <c r="I157" s="24" t="s">
        <v>998</v>
      </c>
      <c r="J157" s="24" t="s">
        <v>121</v>
      </c>
      <c r="K157" s="28" t="s">
        <v>108</v>
      </c>
      <c r="L157" s="29">
        <v>0.03</v>
      </c>
      <c r="M157" s="29">
        <v>1.4999999999999999E-2</v>
      </c>
      <c r="N157" s="29">
        <v>0.02</v>
      </c>
      <c r="O157" s="27" t="s">
        <v>262</v>
      </c>
      <c r="P157" s="30" t="s">
        <v>101</v>
      </c>
      <c r="Q157" s="31">
        <v>1291316085.8499999</v>
      </c>
      <c r="R157" s="31">
        <v>150485.5</v>
      </c>
      <c r="S157" s="32">
        <v>1.4023000000000001E-2</v>
      </c>
      <c r="T157" s="32" t="s">
        <v>139</v>
      </c>
      <c r="U157" s="32">
        <v>5.6400000000000005E-4</v>
      </c>
      <c r="V157" s="32">
        <v>1.81E-3</v>
      </c>
      <c r="W157" s="32">
        <v>5.9760000000000004E-3</v>
      </c>
      <c r="X157" s="32">
        <v>1.1332E-2</v>
      </c>
      <c r="Y157" s="32">
        <v>2.0285000000000001E-2</v>
      </c>
      <c r="Z157" s="32">
        <v>4.5319999999999999E-2</v>
      </c>
      <c r="AA157" s="32">
        <v>6.9044999999999995E-2</v>
      </c>
      <c r="AB157" s="32">
        <v>9.0745000000000006E-2</v>
      </c>
    </row>
    <row r="158" spans="1:28" ht="15.6" customHeight="1" x14ac:dyDescent="0.25">
      <c r="A158" s="24" t="s">
        <v>320</v>
      </c>
      <c r="B158" s="50">
        <v>3690</v>
      </c>
      <c r="C158" s="25" t="s">
        <v>321</v>
      </c>
      <c r="D158" s="25" t="s">
        <v>322</v>
      </c>
      <c r="E158" s="25" t="s">
        <v>194</v>
      </c>
      <c r="F158" s="25" t="s">
        <v>103</v>
      </c>
      <c r="G158" s="26" t="s">
        <v>216</v>
      </c>
      <c r="H158" s="27" t="s">
        <v>323</v>
      </c>
      <c r="I158" s="24" t="s">
        <v>106</v>
      </c>
      <c r="J158" s="24" t="s">
        <v>107</v>
      </c>
      <c r="K158" s="28" t="s">
        <v>108</v>
      </c>
      <c r="L158" s="29">
        <v>0.03</v>
      </c>
      <c r="M158" s="29">
        <v>1.4999999999999999E-2</v>
      </c>
      <c r="N158" s="29">
        <v>0.02</v>
      </c>
      <c r="O158" s="27" t="s">
        <v>166</v>
      </c>
      <c r="P158" s="30" t="s">
        <v>322</v>
      </c>
      <c r="Q158" s="31">
        <v>231895596.05000001</v>
      </c>
      <c r="R158" s="31">
        <v>158.78</v>
      </c>
      <c r="S158" s="32">
        <v>2.4056999999999999E-2</v>
      </c>
      <c r="T158" s="32" t="s">
        <v>139</v>
      </c>
      <c r="U158" s="32">
        <v>3.1500000000000001E-4</v>
      </c>
      <c r="V158" s="32">
        <v>9.4600000000000001E-4</v>
      </c>
      <c r="W158" s="32">
        <v>1.9061999999999999E-2</v>
      </c>
      <c r="X158" s="32">
        <v>2.2342000000000001E-2</v>
      </c>
      <c r="Y158" s="32">
        <v>3.2849999999999997E-2</v>
      </c>
      <c r="Z158" s="32">
        <v>4.6947000000000003E-2</v>
      </c>
      <c r="AA158" s="32">
        <v>7.2764999999999996E-2</v>
      </c>
      <c r="AB158" s="32">
        <v>0.114872</v>
      </c>
    </row>
    <row r="159" spans="1:28" ht="15.6" customHeight="1" x14ac:dyDescent="0.25">
      <c r="A159" s="24" t="s">
        <v>324</v>
      </c>
      <c r="B159" s="50">
        <v>3691</v>
      </c>
      <c r="C159" s="25" t="s">
        <v>325</v>
      </c>
      <c r="D159" s="25" t="s">
        <v>322</v>
      </c>
      <c r="E159" s="25" t="s">
        <v>194</v>
      </c>
      <c r="F159" s="25" t="s">
        <v>113</v>
      </c>
      <c r="G159" s="26" t="s">
        <v>326</v>
      </c>
      <c r="H159" s="27" t="s">
        <v>327</v>
      </c>
      <c r="I159" s="24" t="s">
        <v>106</v>
      </c>
      <c r="J159" s="24" t="s">
        <v>107</v>
      </c>
      <c r="K159" s="28" t="s">
        <v>108</v>
      </c>
      <c r="L159" s="29">
        <v>0.03</v>
      </c>
      <c r="M159" s="29">
        <v>1.4999999999999999E-2</v>
      </c>
      <c r="N159" s="29">
        <v>0.02</v>
      </c>
      <c r="O159" s="27" t="s">
        <v>166</v>
      </c>
      <c r="P159" s="30" t="s">
        <v>322</v>
      </c>
      <c r="Q159" s="31">
        <v>1445623726.9400001</v>
      </c>
      <c r="R159" s="31">
        <v>165.47</v>
      </c>
      <c r="S159" s="32">
        <v>-1.0227999999999999E-2</v>
      </c>
      <c r="T159" s="32" t="s">
        <v>139</v>
      </c>
      <c r="U159" s="32">
        <v>1.3309999999999999E-3</v>
      </c>
      <c r="V159" s="32">
        <v>5.2240000000000003E-3</v>
      </c>
      <c r="W159" s="32">
        <v>1.2099999999999999E-3</v>
      </c>
      <c r="X159" s="32">
        <v>-8.1519999999999995E-3</v>
      </c>
      <c r="Y159" s="32">
        <v>-2.0192000000000002E-2</v>
      </c>
      <c r="Z159" s="32">
        <v>7.1280999999999997E-2</v>
      </c>
      <c r="AA159" s="32">
        <v>0.15818599999999999</v>
      </c>
      <c r="AB159" s="32">
        <v>-2.4120000000000001E-3</v>
      </c>
    </row>
    <row r="160" spans="1:28" ht="15.6" customHeight="1" x14ac:dyDescent="0.25">
      <c r="A160" s="24" t="s">
        <v>328</v>
      </c>
      <c r="B160" s="50">
        <v>3692</v>
      </c>
      <c r="C160" s="25" t="s">
        <v>329</v>
      </c>
      <c r="D160" s="25" t="s">
        <v>322</v>
      </c>
      <c r="E160" s="25" t="s">
        <v>194</v>
      </c>
      <c r="F160" s="25" t="s">
        <v>155</v>
      </c>
      <c r="G160" s="26" t="s">
        <v>139</v>
      </c>
      <c r="H160" s="27" t="s">
        <v>330</v>
      </c>
      <c r="I160" s="24" t="s">
        <v>106</v>
      </c>
      <c r="J160" s="24" t="s">
        <v>107</v>
      </c>
      <c r="K160" s="28" t="s">
        <v>108</v>
      </c>
      <c r="L160" s="29">
        <v>0.03</v>
      </c>
      <c r="M160" s="29">
        <v>1.4999999999999999E-2</v>
      </c>
      <c r="N160" s="29">
        <v>0.02</v>
      </c>
      <c r="O160" s="27" t="s">
        <v>166</v>
      </c>
      <c r="P160" s="30" t="s">
        <v>322</v>
      </c>
      <c r="Q160" s="31">
        <v>1614428683.2</v>
      </c>
      <c r="R160" s="31">
        <v>266.10000000000002</v>
      </c>
      <c r="S160" s="32">
        <v>1.3559999999999999E-2</v>
      </c>
      <c r="T160" s="32" t="s">
        <v>139</v>
      </c>
      <c r="U160" s="32">
        <v>1.4718999999999999E-2</v>
      </c>
      <c r="V160" s="32">
        <v>7.5412000000000007E-2</v>
      </c>
      <c r="W160" s="32">
        <v>5.6833000000000002E-2</v>
      </c>
      <c r="X160" s="32">
        <v>1.7474E-2</v>
      </c>
      <c r="Y160" s="32">
        <v>-8.8136999999999993E-2</v>
      </c>
      <c r="Z160" s="32">
        <v>0.34618300000000002</v>
      </c>
      <c r="AA160" s="32">
        <v>0.61546900000000004</v>
      </c>
      <c r="AB160" s="32">
        <v>0.47513699999999998</v>
      </c>
    </row>
    <row r="161" spans="1:28" ht="15.6" customHeight="1" x14ac:dyDescent="0.25">
      <c r="A161" s="24" t="s">
        <v>1216</v>
      </c>
      <c r="B161" s="50">
        <v>3693</v>
      </c>
      <c r="C161" s="25" t="s">
        <v>1217</v>
      </c>
      <c r="D161" s="25" t="s">
        <v>145</v>
      </c>
      <c r="E161" s="25" t="s">
        <v>194</v>
      </c>
      <c r="F161" s="25" t="s">
        <v>155</v>
      </c>
      <c r="G161" s="26" t="s">
        <v>139</v>
      </c>
      <c r="H161" s="27" t="s">
        <v>1218</v>
      </c>
      <c r="I161" s="24" t="s">
        <v>998</v>
      </c>
      <c r="J161" s="24" t="s">
        <v>121</v>
      </c>
      <c r="K161" s="28" t="s">
        <v>108</v>
      </c>
      <c r="L161" s="29">
        <v>0</v>
      </c>
      <c r="M161" s="29">
        <v>0</v>
      </c>
      <c r="N161" s="29">
        <v>0.01</v>
      </c>
      <c r="O161" s="27" t="s">
        <v>148</v>
      </c>
      <c r="P161" s="30" t="s">
        <v>145</v>
      </c>
      <c r="Q161" s="31">
        <v>864070669.88999999</v>
      </c>
      <c r="R161" s="31">
        <v>2873.56</v>
      </c>
      <c r="S161" s="32">
        <v>3.4324E-2</v>
      </c>
      <c r="T161" s="32" t="s">
        <v>139</v>
      </c>
      <c r="U161" s="32">
        <v>1.4749999999999999E-2</v>
      </c>
      <c r="V161" s="32">
        <v>7.9417000000000001E-2</v>
      </c>
      <c r="W161" s="32">
        <v>6.1663000000000003E-2</v>
      </c>
      <c r="X161" s="32">
        <v>3.1002999999999999E-2</v>
      </c>
      <c r="Y161" s="32">
        <v>-7.4668999999999999E-2</v>
      </c>
      <c r="Z161" s="32">
        <v>0.44583800000000001</v>
      </c>
      <c r="AA161" s="32">
        <v>0.77163700000000002</v>
      </c>
      <c r="AB161" s="32">
        <v>0.73726599999999998</v>
      </c>
    </row>
    <row r="162" spans="1:28" ht="15.6" customHeight="1" x14ac:dyDescent="0.25">
      <c r="A162" s="24" t="s">
        <v>331</v>
      </c>
      <c r="B162" s="50">
        <v>3697</v>
      </c>
      <c r="C162" s="25" t="s">
        <v>332</v>
      </c>
      <c r="D162" s="25" t="s">
        <v>137</v>
      </c>
      <c r="E162" s="25" t="s">
        <v>194</v>
      </c>
      <c r="F162" s="25" t="s">
        <v>113</v>
      </c>
      <c r="G162" s="26" t="s">
        <v>333</v>
      </c>
      <c r="H162" s="27" t="s">
        <v>115</v>
      </c>
      <c r="I162" s="24" t="s">
        <v>106</v>
      </c>
      <c r="J162" s="24" t="s">
        <v>107</v>
      </c>
      <c r="K162" s="28" t="s">
        <v>108</v>
      </c>
      <c r="L162" s="29">
        <v>0.03</v>
      </c>
      <c r="M162" s="29">
        <v>1.4999999999999999E-2</v>
      </c>
      <c r="N162" s="29">
        <v>0.02</v>
      </c>
      <c r="O162" s="27" t="s">
        <v>141</v>
      </c>
      <c r="P162" s="30" t="s">
        <v>137</v>
      </c>
      <c r="Q162" s="31">
        <v>628500299.55709195</v>
      </c>
      <c r="R162" s="31">
        <v>164.1</v>
      </c>
      <c r="S162" s="32">
        <v>1.1100000000000001E-3</v>
      </c>
      <c r="T162" s="32" t="s">
        <v>139</v>
      </c>
      <c r="U162" s="32">
        <v>1.0369999999999999E-3</v>
      </c>
      <c r="V162" s="32">
        <v>3.3019999999999998E-3</v>
      </c>
      <c r="W162" s="32">
        <v>3.1180000000000001E-3</v>
      </c>
      <c r="X162" s="32">
        <v>6.3699999999999998E-4</v>
      </c>
      <c r="Y162" s="32">
        <v>-5.6509999999999998E-3</v>
      </c>
      <c r="Z162" s="32">
        <v>8.967E-2</v>
      </c>
      <c r="AA162" s="32">
        <v>0.187638</v>
      </c>
      <c r="AB162" s="32">
        <v>0.16051699999999999</v>
      </c>
    </row>
    <row r="163" spans="1:28" ht="15.6" customHeight="1" x14ac:dyDescent="0.25">
      <c r="A163" s="24" t="s">
        <v>1219</v>
      </c>
      <c r="B163" s="50">
        <v>3699</v>
      </c>
      <c r="C163" s="25" t="s">
        <v>1220</v>
      </c>
      <c r="D163" s="25" t="s">
        <v>127</v>
      </c>
      <c r="E163" s="25" t="s">
        <v>194</v>
      </c>
      <c r="F163" s="25" t="s">
        <v>113</v>
      </c>
      <c r="G163" s="26" t="s">
        <v>531</v>
      </c>
      <c r="H163" s="27" t="s">
        <v>115</v>
      </c>
      <c r="I163" s="24" t="s">
        <v>998</v>
      </c>
      <c r="J163" s="24" t="s">
        <v>107</v>
      </c>
      <c r="K163" s="28" t="s">
        <v>108</v>
      </c>
      <c r="L163" s="29">
        <v>0.03</v>
      </c>
      <c r="M163" s="29">
        <v>0.03</v>
      </c>
      <c r="N163" s="29">
        <v>0.02</v>
      </c>
      <c r="O163" s="27" t="s">
        <v>131</v>
      </c>
      <c r="P163" s="30" t="s">
        <v>131</v>
      </c>
      <c r="Q163" s="31">
        <v>205464323</v>
      </c>
      <c r="R163" s="31">
        <v>18364.7</v>
      </c>
      <c r="S163" s="32">
        <v>-7.5440000000000004E-3</v>
      </c>
      <c r="T163" s="32" t="s">
        <v>139</v>
      </c>
      <c r="U163" s="32">
        <v>1.506E-3</v>
      </c>
      <c r="V163" s="32">
        <v>5.6569999999999997E-3</v>
      </c>
      <c r="W163" s="32">
        <v>4.9199999999999999E-3</v>
      </c>
      <c r="X163" s="32">
        <v>-7.6550000000000003E-3</v>
      </c>
      <c r="Y163" s="32">
        <v>-2.1673000000000001E-2</v>
      </c>
      <c r="Z163" s="32">
        <v>8.2766000000000006E-2</v>
      </c>
      <c r="AA163" s="32">
        <v>0.18234600000000001</v>
      </c>
      <c r="AB163" s="32">
        <v>0.15744900000000001</v>
      </c>
    </row>
    <row r="164" spans="1:28" ht="15.6" customHeight="1" x14ac:dyDescent="0.25">
      <c r="A164" s="24" t="s">
        <v>1221</v>
      </c>
      <c r="B164" s="50">
        <v>3700</v>
      </c>
      <c r="C164" s="25" t="s">
        <v>1222</v>
      </c>
      <c r="D164" s="25" t="s">
        <v>101</v>
      </c>
      <c r="E164" s="25" t="s">
        <v>194</v>
      </c>
      <c r="F164" s="25" t="s">
        <v>155</v>
      </c>
      <c r="G164" s="26" t="s">
        <v>139</v>
      </c>
      <c r="H164" s="27" t="s">
        <v>156</v>
      </c>
      <c r="I164" s="24" t="s">
        <v>998</v>
      </c>
      <c r="J164" s="24" t="s">
        <v>121</v>
      </c>
      <c r="K164" s="28" t="s">
        <v>227</v>
      </c>
      <c r="L164" s="29">
        <v>0.03</v>
      </c>
      <c r="M164" s="29">
        <v>1.4999999999999999E-2</v>
      </c>
      <c r="N164" s="29">
        <v>0.02</v>
      </c>
      <c r="O164" s="27" t="s">
        <v>109</v>
      </c>
      <c r="P164" s="30" t="s">
        <v>101</v>
      </c>
      <c r="Q164" s="31">
        <v>101372614.89</v>
      </c>
      <c r="R164" s="31">
        <v>221821.91</v>
      </c>
      <c r="S164" s="32">
        <v>5.3534999999999999E-2</v>
      </c>
      <c r="T164" s="32" t="s">
        <v>139</v>
      </c>
      <c r="U164" s="32">
        <v>1.5751000000000001E-2</v>
      </c>
      <c r="V164" s="32">
        <v>7.9868999999999996E-2</v>
      </c>
      <c r="W164" s="32">
        <v>5.3795999999999997E-2</v>
      </c>
      <c r="X164" s="32">
        <v>4.4669E-2</v>
      </c>
      <c r="Y164" s="32">
        <v>-5.1622000000000001E-2</v>
      </c>
      <c r="Z164" s="32">
        <v>0.42952099999999999</v>
      </c>
      <c r="AA164" s="32">
        <v>0.70017499999999999</v>
      </c>
      <c r="AB164" s="32">
        <v>0.666771</v>
      </c>
    </row>
    <row r="165" spans="1:28" ht="15.6" customHeight="1" x14ac:dyDescent="0.25">
      <c r="A165" s="24" t="s">
        <v>1223</v>
      </c>
      <c r="B165" s="50">
        <v>3703</v>
      </c>
      <c r="C165" s="25" t="s">
        <v>1224</v>
      </c>
      <c r="D165" s="25" t="s">
        <v>137</v>
      </c>
      <c r="E165" s="25" t="s">
        <v>194</v>
      </c>
      <c r="F165" s="25" t="s">
        <v>113</v>
      </c>
      <c r="G165" s="26" t="s">
        <v>114</v>
      </c>
      <c r="H165" s="27" t="s">
        <v>1110</v>
      </c>
      <c r="I165" s="24" t="s">
        <v>998</v>
      </c>
      <c r="J165" s="24" t="s">
        <v>107</v>
      </c>
      <c r="K165" s="28" t="s">
        <v>108</v>
      </c>
      <c r="L165" s="29">
        <v>0</v>
      </c>
      <c r="M165" s="29">
        <v>0</v>
      </c>
      <c r="N165" s="29">
        <v>0.02</v>
      </c>
      <c r="O165" s="27" t="s">
        <v>141</v>
      </c>
      <c r="P165" s="30" t="s">
        <v>137</v>
      </c>
      <c r="Q165" s="31">
        <v>37872638.388480999</v>
      </c>
      <c r="R165" s="31">
        <v>166.53</v>
      </c>
      <c r="S165" s="32">
        <v>-3.5899999999999999E-3</v>
      </c>
      <c r="T165" s="32" t="s">
        <v>139</v>
      </c>
      <c r="U165" s="32">
        <v>6.0099999999999997E-4</v>
      </c>
      <c r="V165" s="32">
        <v>2.408E-3</v>
      </c>
      <c r="W165" s="32">
        <v>7.8100000000000001E-4</v>
      </c>
      <c r="X165" s="32">
        <v>-1.6789999999999999E-3</v>
      </c>
      <c r="Y165" s="32">
        <v>-4.9589999999999999E-3</v>
      </c>
      <c r="Z165" s="32">
        <v>7.7096999999999999E-2</v>
      </c>
      <c r="AA165" s="32">
        <v>0.145481</v>
      </c>
      <c r="AB165" s="32">
        <v>0.10548299999999999</v>
      </c>
    </row>
    <row r="166" spans="1:28" ht="15.6" customHeight="1" x14ac:dyDescent="0.25">
      <c r="A166" s="24" t="s">
        <v>334</v>
      </c>
      <c r="B166" s="50">
        <v>3704</v>
      </c>
      <c r="C166" s="25" t="s">
        <v>335</v>
      </c>
      <c r="D166" s="25" t="s">
        <v>101</v>
      </c>
      <c r="E166" s="25" t="s">
        <v>194</v>
      </c>
      <c r="F166" s="25" t="s">
        <v>103</v>
      </c>
      <c r="G166" s="26" t="s">
        <v>336</v>
      </c>
      <c r="H166" s="27" t="s">
        <v>337</v>
      </c>
      <c r="I166" s="24" t="s">
        <v>106</v>
      </c>
      <c r="J166" s="24" t="s">
        <v>121</v>
      </c>
      <c r="K166" s="28" t="s">
        <v>108</v>
      </c>
      <c r="L166" s="29">
        <v>0</v>
      </c>
      <c r="M166" s="29">
        <v>0</v>
      </c>
      <c r="N166" s="29">
        <v>0.02</v>
      </c>
      <c r="O166" s="27" t="s">
        <v>109</v>
      </c>
      <c r="P166" s="30" t="s">
        <v>101</v>
      </c>
      <c r="Q166" s="31">
        <v>554504249.17999995</v>
      </c>
      <c r="R166" s="31">
        <v>159937.76999999999</v>
      </c>
      <c r="S166" s="32">
        <v>1.4656000000000001E-2</v>
      </c>
      <c r="T166" s="32" t="s">
        <v>139</v>
      </c>
      <c r="U166" s="32">
        <v>4.8099999999999998E-4</v>
      </c>
      <c r="V166" s="32">
        <v>1.8220000000000001E-3</v>
      </c>
      <c r="W166" s="32">
        <v>5.7099999999999998E-3</v>
      </c>
      <c r="X166" s="32">
        <v>1.1356E-2</v>
      </c>
      <c r="Y166" s="32">
        <v>2.1703E-2</v>
      </c>
      <c r="Z166" s="32">
        <v>4.8115999999999999E-2</v>
      </c>
      <c r="AA166" s="32">
        <v>8.1379000000000007E-2</v>
      </c>
      <c r="AB166" s="32">
        <v>0.121463</v>
      </c>
    </row>
    <row r="167" spans="1:28" ht="15.6" customHeight="1" x14ac:dyDescent="0.25">
      <c r="A167" s="24" t="s">
        <v>338</v>
      </c>
      <c r="B167" s="50">
        <v>3706</v>
      </c>
      <c r="C167" s="25" t="s">
        <v>339</v>
      </c>
      <c r="D167" s="25" t="s">
        <v>145</v>
      </c>
      <c r="E167" s="25" t="s">
        <v>194</v>
      </c>
      <c r="F167" s="25" t="s">
        <v>113</v>
      </c>
      <c r="G167" s="26" t="s">
        <v>198</v>
      </c>
      <c r="H167" s="27" t="s">
        <v>120</v>
      </c>
      <c r="I167" s="24" t="s">
        <v>106</v>
      </c>
      <c r="J167" s="24" t="s">
        <v>107</v>
      </c>
      <c r="K167" s="28" t="s">
        <v>108</v>
      </c>
      <c r="L167" s="29">
        <v>0.02</v>
      </c>
      <c r="M167" s="29">
        <v>0.02</v>
      </c>
      <c r="N167" s="29">
        <v>0.02</v>
      </c>
      <c r="O167" s="27" t="s">
        <v>148</v>
      </c>
      <c r="P167" s="30" t="s">
        <v>145</v>
      </c>
      <c r="Q167" s="31">
        <v>2627141944.8899999</v>
      </c>
      <c r="R167" s="31">
        <v>1664</v>
      </c>
      <c r="S167" s="32">
        <v>-1.4999999999999999E-4</v>
      </c>
      <c r="T167" s="32" t="s">
        <v>139</v>
      </c>
      <c r="U167" s="32">
        <v>6.8599999999999998E-4</v>
      </c>
      <c r="V167" s="32">
        <v>1.0529999999999999E-3</v>
      </c>
      <c r="W167" s="32">
        <v>5.1590000000000004E-3</v>
      </c>
      <c r="X167" s="32">
        <v>-3.3180000000000002E-3</v>
      </c>
      <c r="Y167" s="32">
        <v>-1.0089000000000001E-2</v>
      </c>
      <c r="Z167" s="32">
        <v>6.0393000000000002E-2</v>
      </c>
      <c r="AA167" s="32">
        <v>0.13222700000000001</v>
      </c>
      <c r="AB167" s="32">
        <v>0.169961</v>
      </c>
    </row>
    <row r="168" spans="1:28" ht="15.6" customHeight="1" x14ac:dyDescent="0.25">
      <c r="A168" s="24" t="s">
        <v>1225</v>
      </c>
      <c r="B168" s="50">
        <v>3707</v>
      </c>
      <c r="C168" s="25" t="s">
        <v>13</v>
      </c>
      <c r="D168" s="25" t="s">
        <v>342</v>
      </c>
      <c r="E168" s="25" t="s">
        <v>194</v>
      </c>
      <c r="F168" s="25" t="s">
        <v>155</v>
      </c>
      <c r="G168" s="26" t="s">
        <v>139</v>
      </c>
      <c r="H168" s="27" t="s">
        <v>156</v>
      </c>
      <c r="I168" s="24" t="s">
        <v>998</v>
      </c>
      <c r="J168" s="24" t="s">
        <v>107</v>
      </c>
      <c r="K168" s="28" t="s">
        <v>108</v>
      </c>
      <c r="L168" s="29">
        <v>0.03</v>
      </c>
      <c r="M168" s="29">
        <v>0.03</v>
      </c>
      <c r="N168" s="29">
        <v>0.02</v>
      </c>
      <c r="O168" s="27" t="s">
        <v>166</v>
      </c>
      <c r="P168" s="30" t="s">
        <v>344</v>
      </c>
      <c r="Q168" s="31">
        <v>2122967472.8099999</v>
      </c>
      <c r="R168" s="31">
        <v>2271.62</v>
      </c>
      <c r="S168" s="32">
        <v>-3.5327999999999998E-2</v>
      </c>
      <c r="T168" s="32" t="s">
        <v>139</v>
      </c>
      <c r="U168" s="32">
        <v>7.1599999999999997E-3</v>
      </c>
      <c r="V168" s="32">
        <v>4.6299E-2</v>
      </c>
      <c r="W168" s="32">
        <v>4.0424000000000002E-2</v>
      </c>
      <c r="X168" s="32">
        <v>-3.2426999999999997E-2</v>
      </c>
      <c r="Y168" s="32">
        <v>-0.12737100000000001</v>
      </c>
      <c r="Z168" s="32">
        <v>0.39711200000000002</v>
      </c>
      <c r="AA168" s="32">
        <v>0.78363499999999997</v>
      </c>
      <c r="AB168" s="32">
        <v>0.74525200000000003</v>
      </c>
    </row>
    <row r="169" spans="1:28" ht="15.6" customHeight="1" x14ac:dyDescent="0.25">
      <c r="A169" s="24" t="s">
        <v>1226</v>
      </c>
      <c r="B169" s="50">
        <v>3708</v>
      </c>
      <c r="C169" s="25" t="s">
        <v>1227</v>
      </c>
      <c r="D169" s="25" t="s">
        <v>342</v>
      </c>
      <c r="E169" s="25" t="s">
        <v>194</v>
      </c>
      <c r="F169" s="25" t="s">
        <v>113</v>
      </c>
      <c r="G169" s="26" t="s">
        <v>1160</v>
      </c>
      <c r="H169" s="27" t="s">
        <v>327</v>
      </c>
      <c r="I169" s="24" t="s">
        <v>998</v>
      </c>
      <c r="J169" s="24" t="s">
        <v>107</v>
      </c>
      <c r="K169" s="28" t="s">
        <v>108</v>
      </c>
      <c r="L169" s="29">
        <v>0.03</v>
      </c>
      <c r="M169" s="29">
        <v>0.03</v>
      </c>
      <c r="N169" s="29">
        <v>0.02</v>
      </c>
      <c r="O169" s="27" t="s">
        <v>166</v>
      </c>
      <c r="P169" s="30" t="s">
        <v>344</v>
      </c>
      <c r="Q169" s="31">
        <v>1114961314.3800001</v>
      </c>
      <c r="R169" s="31">
        <v>1779.54</v>
      </c>
      <c r="S169" s="32">
        <v>3.7230000000000002E-3</v>
      </c>
      <c r="T169" s="32" t="s">
        <v>139</v>
      </c>
      <c r="U169" s="32">
        <v>1.9880000000000002E-3</v>
      </c>
      <c r="V169" s="32">
        <v>8.6669999999999994E-3</v>
      </c>
      <c r="W169" s="32">
        <v>8.9119999999999998E-3</v>
      </c>
      <c r="X169" s="32">
        <v>2.3040000000000001E-3</v>
      </c>
      <c r="Y169" s="32">
        <v>-7.8890000000000002E-3</v>
      </c>
      <c r="Z169" s="32">
        <v>9.6140000000000003E-2</v>
      </c>
      <c r="AA169" s="32">
        <v>0.19428200000000001</v>
      </c>
      <c r="AB169" s="32">
        <v>0.123043</v>
      </c>
    </row>
    <row r="170" spans="1:28" ht="15.6" customHeight="1" x14ac:dyDescent="0.25">
      <c r="A170" s="24" t="s">
        <v>340</v>
      </c>
      <c r="B170" s="50">
        <v>3709</v>
      </c>
      <c r="C170" s="25" t="s">
        <v>341</v>
      </c>
      <c r="D170" s="25" t="s">
        <v>342</v>
      </c>
      <c r="E170" s="25" t="s">
        <v>194</v>
      </c>
      <c r="F170" s="25" t="s">
        <v>103</v>
      </c>
      <c r="G170" s="26" t="s">
        <v>343</v>
      </c>
      <c r="H170" s="27" t="s">
        <v>130</v>
      </c>
      <c r="I170" s="24" t="s">
        <v>106</v>
      </c>
      <c r="J170" s="24" t="s">
        <v>107</v>
      </c>
      <c r="K170" s="28" t="s">
        <v>108</v>
      </c>
      <c r="L170" s="29">
        <v>0.03</v>
      </c>
      <c r="M170" s="29">
        <v>0.03</v>
      </c>
      <c r="N170" s="29">
        <v>0.02</v>
      </c>
      <c r="O170" s="27" t="s">
        <v>166</v>
      </c>
      <c r="P170" s="30" t="s">
        <v>344</v>
      </c>
      <c r="Q170" s="31">
        <v>2630712149.3200002</v>
      </c>
      <c r="R170" s="31">
        <v>1591.6</v>
      </c>
      <c r="S170" s="32">
        <v>1.7491E-2</v>
      </c>
      <c r="T170" s="32" t="s">
        <v>139</v>
      </c>
      <c r="U170" s="32">
        <v>5.5900000000000004E-4</v>
      </c>
      <c r="V170" s="32">
        <v>2.0209999999999998E-3</v>
      </c>
      <c r="W170" s="32">
        <v>6.9150000000000001E-3</v>
      </c>
      <c r="X170" s="32">
        <v>1.3461000000000001E-2</v>
      </c>
      <c r="Y170" s="32">
        <v>2.6084E-2</v>
      </c>
      <c r="Z170" s="32">
        <v>5.8842999999999999E-2</v>
      </c>
      <c r="AA170" s="32">
        <v>9.6944000000000002E-2</v>
      </c>
      <c r="AB170" s="32">
        <v>0.147703</v>
      </c>
    </row>
    <row r="171" spans="1:28" ht="15.6" customHeight="1" x14ac:dyDescent="0.25">
      <c r="A171" s="24" t="s">
        <v>1228</v>
      </c>
      <c r="B171" s="50">
        <v>3710</v>
      </c>
      <c r="C171" s="25" t="s">
        <v>1229</v>
      </c>
      <c r="D171" s="25" t="s">
        <v>322</v>
      </c>
      <c r="E171" s="25" t="s">
        <v>194</v>
      </c>
      <c r="F171" s="25" t="s">
        <v>155</v>
      </c>
      <c r="G171" s="26" t="s">
        <v>139</v>
      </c>
      <c r="H171" s="27" t="s">
        <v>588</v>
      </c>
      <c r="I171" s="24" t="s">
        <v>998</v>
      </c>
      <c r="J171" s="24" t="s">
        <v>121</v>
      </c>
      <c r="K171" s="28" t="s">
        <v>180</v>
      </c>
      <c r="L171" s="29">
        <v>0</v>
      </c>
      <c r="M171" s="29">
        <v>0</v>
      </c>
      <c r="N171" s="29">
        <v>0.02</v>
      </c>
      <c r="O171" s="27" t="s">
        <v>166</v>
      </c>
      <c r="P171" s="30" t="s">
        <v>322</v>
      </c>
      <c r="Q171" s="31">
        <v>279332486.18000001</v>
      </c>
      <c r="R171" s="31">
        <v>110.31</v>
      </c>
      <c r="S171" s="32">
        <v>5.2776999999999998E-2</v>
      </c>
      <c r="T171" s="32" t="s">
        <v>139</v>
      </c>
      <c r="U171" s="32">
        <v>1.5278E-2</v>
      </c>
      <c r="V171" s="32">
        <v>8.0835000000000004E-2</v>
      </c>
      <c r="W171" s="32">
        <v>6.8687999999999999E-2</v>
      </c>
      <c r="X171" s="32">
        <v>4.5989000000000002E-2</v>
      </c>
      <c r="Y171" s="32">
        <v>-4.4082000000000003E-2</v>
      </c>
      <c r="Z171" s="32">
        <v>0.43862099999999998</v>
      </c>
      <c r="AA171" s="32">
        <v>0.73335399999999995</v>
      </c>
      <c r="AB171" s="32">
        <v>0.69261799999999996</v>
      </c>
    </row>
    <row r="172" spans="1:28" ht="15.6" customHeight="1" x14ac:dyDescent="0.25">
      <c r="A172" s="24" t="s">
        <v>1230</v>
      </c>
      <c r="B172" s="50">
        <v>3714</v>
      </c>
      <c r="C172" s="25" t="s">
        <v>1231</v>
      </c>
      <c r="D172" s="25" t="s">
        <v>127</v>
      </c>
      <c r="E172" s="25" t="s">
        <v>194</v>
      </c>
      <c r="F172" s="25" t="s">
        <v>138</v>
      </c>
      <c r="G172" s="26" t="s">
        <v>139</v>
      </c>
      <c r="H172" s="27" t="s">
        <v>1232</v>
      </c>
      <c r="I172" s="24" t="s">
        <v>998</v>
      </c>
      <c r="J172" s="24" t="s">
        <v>121</v>
      </c>
      <c r="K172" s="28" t="s">
        <v>108</v>
      </c>
      <c r="L172" s="29">
        <v>0.03</v>
      </c>
      <c r="M172" s="29">
        <v>1.4999999999999999E-2</v>
      </c>
      <c r="N172" s="29">
        <v>0.02</v>
      </c>
      <c r="O172" s="27" t="s">
        <v>131</v>
      </c>
      <c r="P172" s="30" t="s">
        <v>131</v>
      </c>
      <c r="Q172" s="31">
        <v>188459013</v>
      </c>
      <c r="R172" s="31">
        <v>22011.09</v>
      </c>
      <c r="S172" s="32">
        <v>1.8162999999999999E-2</v>
      </c>
      <c r="T172" s="32" t="s">
        <v>139</v>
      </c>
      <c r="U172" s="32">
        <v>7.4380000000000002E-3</v>
      </c>
      <c r="V172" s="32">
        <v>3.5687000000000003E-2</v>
      </c>
      <c r="W172" s="32">
        <v>2.4261000000000001E-2</v>
      </c>
      <c r="X172" s="32">
        <v>1.3547999999999999E-2</v>
      </c>
      <c r="Y172" s="32">
        <v>-3.5342999999999999E-2</v>
      </c>
      <c r="Z172" s="32">
        <v>0.214476</v>
      </c>
      <c r="AA172" s="32">
        <v>0.39622600000000002</v>
      </c>
      <c r="AB172" s="32">
        <v>0.37721199999999999</v>
      </c>
    </row>
    <row r="173" spans="1:28" ht="15.6" customHeight="1" x14ac:dyDescent="0.25">
      <c r="A173" s="24" t="s">
        <v>1233</v>
      </c>
      <c r="B173" s="50">
        <v>3715</v>
      </c>
      <c r="C173" s="25" t="s">
        <v>1234</v>
      </c>
      <c r="D173" s="25" t="s">
        <v>322</v>
      </c>
      <c r="E173" s="25" t="s">
        <v>194</v>
      </c>
      <c r="F173" s="25" t="s">
        <v>113</v>
      </c>
      <c r="G173" s="26" t="s">
        <v>1072</v>
      </c>
      <c r="H173" s="27" t="s">
        <v>115</v>
      </c>
      <c r="I173" s="24" t="s">
        <v>998</v>
      </c>
      <c r="J173" s="24" t="s">
        <v>107</v>
      </c>
      <c r="K173" s="28" t="s">
        <v>108</v>
      </c>
      <c r="L173" s="29">
        <v>0.03</v>
      </c>
      <c r="M173" s="29">
        <v>1.4999999999999999E-2</v>
      </c>
      <c r="N173" s="29">
        <v>0.02</v>
      </c>
      <c r="O173" s="27" t="s">
        <v>166</v>
      </c>
      <c r="P173" s="30" t="s">
        <v>322</v>
      </c>
      <c r="Q173" s="31">
        <v>1088250181.6500001</v>
      </c>
      <c r="R173" s="31">
        <v>155.41</v>
      </c>
      <c r="S173" s="32">
        <v>-9.6860000000000002E-3</v>
      </c>
      <c r="T173" s="32" t="s">
        <v>139</v>
      </c>
      <c r="U173" s="32">
        <v>1.224E-3</v>
      </c>
      <c r="V173" s="32">
        <v>4.1999999999999997E-3</v>
      </c>
      <c r="W173" s="32">
        <v>2.2569999999999999E-3</v>
      </c>
      <c r="X173" s="32">
        <v>-4.3559999999999996E-3</v>
      </c>
      <c r="Y173" s="32">
        <v>-1.6018999999999999E-2</v>
      </c>
      <c r="Z173" s="32">
        <v>6.9726999999999997E-2</v>
      </c>
      <c r="AA173" s="32">
        <v>0.13595499999999999</v>
      </c>
      <c r="AB173" s="32">
        <v>8.9755000000000001E-2</v>
      </c>
    </row>
    <row r="174" spans="1:28" ht="15.6" customHeight="1" x14ac:dyDescent="0.25">
      <c r="A174" s="24" t="s">
        <v>1235</v>
      </c>
      <c r="B174" s="50">
        <v>3717</v>
      </c>
      <c r="C174" s="25" t="s">
        <v>1236</v>
      </c>
      <c r="D174" s="25" t="s">
        <v>241</v>
      </c>
      <c r="E174" s="25" t="s">
        <v>194</v>
      </c>
      <c r="F174" s="25" t="s">
        <v>113</v>
      </c>
      <c r="G174" s="26" t="s">
        <v>114</v>
      </c>
      <c r="H174" s="27" t="s">
        <v>115</v>
      </c>
      <c r="I174" s="24" t="s">
        <v>998</v>
      </c>
      <c r="J174" s="24" t="s">
        <v>121</v>
      </c>
      <c r="K174" s="28" t="s">
        <v>108</v>
      </c>
      <c r="L174" s="29">
        <v>0.03</v>
      </c>
      <c r="M174" s="29">
        <v>1.4999999999999999E-2</v>
      </c>
      <c r="N174" s="29">
        <v>0.02</v>
      </c>
      <c r="O174" s="27" t="s">
        <v>166</v>
      </c>
      <c r="P174" s="30" t="s">
        <v>241</v>
      </c>
      <c r="Q174" s="31">
        <v>474538022.70999998</v>
      </c>
      <c r="R174" s="31">
        <v>1898.24</v>
      </c>
      <c r="S174" s="32">
        <v>1.0562E-2</v>
      </c>
      <c r="T174" s="32" t="s">
        <v>139</v>
      </c>
      <c r="U174" s="32">
        <v>1.5560000000000001E-3</v>
      </c>
      <c r="V174" s="32">
        <v>5.4660000000000004E-3</v>
      </c>
      <c r="W174" s="32">
        <v>1.1575E-2</v>
      </c>
      <c r="X174" s="32">
        <v>1.0127000000000001E-2</v>
      </c>
      <c r="Y174" s="32">
        <v>6.8900000000000003E-3</v>
      </c>
      <c r="Z174" s="32">
        <v>9.7965999999999998E-2</v>
      </c>
      <c r="AA174" s="32">
        <v>0.19736300000000001</v>
      </c>
      <c r="AB174" s="32">
        <v>0.15836800000000001</v>
      </c>
    </row>
    <row r="175" spans="1:28" ht="15.6" customHeight="1" x14ac:dyDescent="0.25">
      <c r="A175" s="24" t="s">
        <v>345</v>
      </c>
      <c r="B175" s="50">
        <v>3718</v>
      </c>
      <c r="C175" s="25" t="s">
        <v>346</v>
      </c>
      <c r="D175" s="25" t="s">
        <v>164</v>
      </c>
      <c r="E175" s="25" t="s">
        <v>102</v>
      </c>
      <c r="F175" s="25" t="s">
        <v>113</v>
      </c>
      <c r="G175" s="26" t="s">
        <v>347</v>
      </c>
      <c r="H175" s="27" t="s">
        <v>199</v>
      </c>
      <c r="I175" s="24" t="s">
        <v>106</v>
      </c>
      <c r="J175" s="24" t="s">
        <v>121</v>
      </c>
      <c r="K175" s="28" t="s">
        <v>108</v>
      </c>
      <c r="L175" s="29">
        <v>0.03</v>
      </c>
      <c r="M175" s="29">
        <v>1.4999999999999999E-2</v>
      </c>
      <c r="N175" s="29">
        <v>0.02</v>
      </c>
      <c r="O175" s="27" t="s">
        <v>166</v>
      </c>
      <c r="P175" s="30" t="s">
        <v>164</v>
      </c>
      <c r="Q175" s="31">
        <v>3152543400.02</v>
      </c>
      <c r="R175" s="31">
        <v>1849.95</v>
      </c>
      <c r="S175" s="32">
        <v>6.3759999999999997E-3</v>
      </c>
      <c r="T175" s="32" t="s">
        <v>139</v>
      </c>
      <c r="U175" s="32">
        <v>1.0989999999999999E-3</v>
      </c>
      <c r="V175" s="32">
        <v>3.2699999999999999E-3</v>
      </c>
      <c r="W175" s="32">
        <v>6.8690000000000001E-3</v>
      </c>
      <c r="X175" s="32">
        <v>5.6259999999999999E-3</v>
      </c>
      <c r="Y175" s="32">
        <v>8.0979999999999993E-3</v>
      </c>
      <c r="Z175" s="32">
        <v>9.2943999999999999E-2</v>
      </c>
      <c r="AA175" s="32">
        <v>0.180395</v>
      </c>
      <c r="AB175" s="32">
        <v>0.192608</v>
      </c>
    </row>
    <row r="176" spans="1:28" ht="15.6" customHeight="1" x14ac:dyDescent="0.25">
      <c r="A176" s="24" t="s">
        <v>1237</v>
      </c>
      <c r="B176" s="50">
        <v>3719</v>
      </c>
      <c r="C176" s="25" t="s">
        <v>1238</v>
      </c>
      <c r="D176" s="25" t="s">
        <v>350</v>
      </c>
      <c r="E176" s="25" t="s">
        <v>194</v>
      </c>
      <c r="F176" s="25" t="s">
        <v>155</v>
      </c>
      <c r="G176" s="26" t="s">
        <v>139</v>
      </c>
      <c r="H176" s="27" t="s">
        <v>156</v>
      </c>
      <c r="I176" s="24" t="s">
        <v>998</v>
      </c>
      <c r="J176" s="24" t="s">
        <v>107</v>
      </c>
      <c r="K176" s="28" t="s">
        <v>108</v>
      </c>
      <c r="L176" s="29">
        <v>0.03</v>
      </c>
      <c r="M176" s="29">
        <v>1.4999999999999999E-2</v>
      </c>
      <c r="N176" s="29">
        <v>0.02</v>
      </c>
      <c r="O176" s="27" t="s">
        <v>166</v>
      </c>
      <c r="P176" s="30" t="s">
        <v>350</v>
      </c>
      <c r="Q176" s="31">
        <v>1198213.28</v>
      </c>
      <c r="R176" s="31">
        <v>223.13</v>
      </c>
      <c r="S176" s="32">
        <v>5.5188000000000001E-2</v>
      </c>
      <c r="T176" s="32" t="s">
        <v>139</v>
      </c>
      <c r="U176" s="32">
        <v>1.1010000000000001E-2</v>
      </c>
      <c r="V176" s="32">
        <v>6.5924999999999997E-2</v>
      </c>
      <c r="W176" s="32">
        <v>5.9798999999999998E-2</v>
      </c>
      <c r="X176" s="32">
        <v>4.7362000000000001E-2</v>
      </c>
      <c r="Y176" s="32">
        <v>-4.6820000000000001E-2</v>
      </c>
      <c r="Z176" s="32">
        <v>0.46132699999999999</v>
      </c>
      <c r="AA176" s="32">
        <v>0.71125099999999997</v>
      </c>
      <c r="AB176" s="32">
        <v>0.66440399999999999</v>
      </c>
    </row>
    <row r="177" spans="1:28" ht="15.6" customHeight="1" x14ac:dyDescent="0.25">
      <c r="A177" s="24" t="s">
        <v>348</v>
      </c>
      <c r="B177" s="50">
        <v>3720</v>
      </c>
      <c r="C177" s="25" t="s">
        <v>349</v>
      </c>
      <c r="D177" s="25" t="s">
        <v>350</v>
      </c>
      <c r="E177" s="25" t="s">
        <v>194</v>
      </c>
      <c r="F177" s="25" t="s">
        <v>128</v>
      </c>
      <c r="G177" s="26" t="s">
        <v>275</v>
      </c>
      <c r="H177" s="27" t="s">
        <v>130</v>
      </c>
      <c r="I177" s="24" t="s">
        <v>106</v>
      </c>
      <c r="J177" s="24" t="s">
        <v>107</v>
      </c>
      <c r="K177" s="28" t="s">
        <v>108</v>
      </c>
      <c r="L177" s="29">
        <v>5.0000000000000001E-3</v>
      </c>
      <c r="M177" s="29">
        <v>5.0000000000000001E-3</v>
      </c>
      <c r="N177" s="29">
        <v>7.4999999999999997E-3</v>
      </c>
      <c r="O177" s="27" t="s">
        <v>166</v>
      </c>
      <c r="P177" s="30" t="s">
        <v>350</v>
      </c>
      <c r="Q177" s="31">
        <v>313375558.45999998</v>
      </c>
      <c r="R177" s="31">
        <v>146.68</v>
      </c>
      <c r="S177" s="32">
        <v>1.8964999999999999E-2</v>
      </c>
      <c r="T177" s="32" t="s">
        <v>139</v>
      </c>
      <c r="U177" s="32">
        <v>7.5000000000000002E-4</v>
      </c>
      <c r="V177" s="32">
        <v>2.2550000000000001E-3</v>
      </c>
      <c r="W177" s="32">
        <v>7.2789999999999999E-3</v>
      </c>
      <c r="X177" s="32">
        <v>1.4664999999999999E-2</v>
      </c>
      <c r="Y177" s="32">
        <v>2.7243E-2</v>
      </c>
      <c r="Z177" s="32">
        <v>6.1975000000000002E-2</v>
      </c>
      <c r="AA177" s="32">
        <v>0.103106</v>
      </c>
      <c r="AB177" s="32">
        <v>0.150702</v>
      </c>
    </row>
    <row r="178" spans="1:28" ht="15.6" customHeight="1" x14ac:dyDescent="0.25">
      <c r="A178" s="24" t="s">
        <v>1239</v>
      </c>
      <c r="B178" s="50">
        <v>3721</v>
      </c>
      <c r="C178" s="25" t="s">
        <v>1240</v>
      </c>
      <c r="D178" s="25" t="s">
        <v>350</v>
      </c>
      <c r="E178" s="25" t="s">
        <v>194</v>
      </c>
      <c r="F178" s="25" t="s">
        <v>113</v>
      </c>
      <c r="G178" s="26" t="s">
        <v>685</v>
      </c>
      <c r="H178" s="27" t="s">
        <v>839</v>
      </c>
      <c r="I178" s="24" t="s">
        <v>998</v>
      </c>
      <c r="J178" s="24" t="s">
        <v>107</v>
      </c>
      <c r="K178" s="28" t="s">
        <v>108</v>
      </c>
      <c r="L178" s="29">
        <v>0.01</v>
      </c>
      <c r="M178" s="29">
        <v>5.0000000000000001E-3</v>
      </c>
      <c r="N178" s="29">
        <v>0.01</v>
      </c>
      <c r="O178" s="27" t="s">
        <v>166</v>
      </c>
      <c r="P178" s="30" t="s">
        <v>350</v>
      </c>
      <c r="Q178" s="31">
        <v>197562675.02000001</v>
      </c>
      <c r="R178" s="31">
        <v>177.41</v>
      </c>
      <c r="S178" s="32">
        <v>-8.6060000000000008E-3</v>
      </c>
      <c r="T178" s="32" t="s">
        <v>139</v>
      </c>
      <c r="U178" s="32">
        <v>1.242E-3</v>
      </c>
      <c r="V178" s="32">
        <v>4.4159999999999998E-3</v>
      </c>
      <c r="W178" s="32">
        <v>2.6559999999999999E-3</v>
      </c>
      <c r="X178" s="32">
        <v>-5.9950000000000003E-3</v>
      </c>
      <c r="Y178" s="32">
        <v>-9.6019999999999994E-3</v>
      </c>
      <c r="Z178" s="32">
        <v>0.13980100000000001</v>
      </c>
      <c r="AA178" s="32">
        <v>0.22284300000000001</v>
      </c>
      <c r="AB178" s="32">
        <v>0.20074500000000001</v>
      </c>
    </row>
    <row r="179" spans="1:28" ht="15.6" customHeight="1" x14ac:dyDescent="0.25">
      <c r="A179" s="24" t="s">
        <v>351</v>
      </c>
      <c r="B179" s="50">
        <v>3725</v>
      </c>
      <c r="C179" s="25" t="s">
        <v>352</v>
      </c>
      <c r="D179" s="25" t="s">
        <v>261</v>
      </c>
      <c r="E179" s="25" t="s">
        <v>194</v>
      </c>
      <c r="F179" s="25" t="s">
        <v>103</v>
      </c>
      <c r="G179" s="26" t="s">
        <v>244</v>
      </c>
      <c r="H179" s="27" t="s">
        <v>217</v>
      </c>
      <c r="I179" s="24" t="s">
        <v>106</v>
      </c>
      <c r="J179" s="24" t="s">
        <v>107</v>
      </c>
      <c r="K179" s="28" t="s">
        <v>108</v>
      </c>
      <c r="L179" s="29">
        <v>0</v>
      </c>
      <c r="M179" s="29">
        <v>0</v>
      </c>
      <c r="N179" s="29">
        <v>0.02</v>
      </c>
      <c r="O179" s="27" t="s">
        <v>166</v>
      </c>
      <c r="P179" s="30" t="s">
        <v>261</v>
      </c>
      <c r="Q179" s="31">
        <v>94372292.260000005</v>
      </c>
      <c r="R179" s="31">
        <v>138.49</v>
      </c>
      <c r="S179" s="32">
        <v>2.7297999999999999E-2</v>
      </c>
      <c r="T179" s="32" t="s">
        <v>139</v>
      </c>
      <c r="U179" s="32">
        <v>5.0600000000000005E-4</v>
      </c>
      <c r="V179" s="32">
        <v>4.934E-3</v>
      </c>
      <c r="W179" s="32">
        <v>1.1688E-2</v>
      </c>
      <c r="X179" s="32">
        <v>1.8009000000000001E-2</v>
      </c>
      <c r="Y179" s="32">
        <v>3.5825999999999997E-2</v>
      </c>
      <c r="Z179" s="32">
        <v>6.6210000000000005E-2</v>
      </c>
      <c r="AA179" s="32">
        <v>0.100437</v>
      </c>
      <c r="AB179" s="32">
        <v>0.14596600000000001</v>
      </c>
    </row>
    <row r="180" spans="1:28" ht="15.6" customHeight="1" x14ac:dyDescent="0.25">
      <c r="A180" s="24" t="s">
        <v>1241</v>
      </c>
      <c r="B180" s="50">
        <v>3730</v>
      </c>
      <c r="C180" s="25" t="s">
        <v>1242</v>
      </c>
      <c r="D180" s="25" t="s">
        <v>127</v>
      </c>
      <c r="E180" s="25" t="s">
        <v>194</v>
      </c>
      <c r="F180" s="25" t="s">
        <v>113</v>
      </c>
      <c r="G180" s="26" t="s">
        <v>531</v>
      </c>
      <c r="H180" s="27" t="s">
        <v>115</v>
      </c>
      <c r="I180" s="24" t="s">
        <v>998</v>
      </c>
      <c r="J180" s="24" t="s">
        <v>121</v>
      </c>
      <c r="K180" s="28" t="s">
        <v>108</v>
      </c>
      <c r="L180" s="29">
        <v>0.03</v>
      </c>
      <c r="M180" s="29">
        <v>1.4999999999999999E-2</v>
      </c>
      <c r="N180" s="29">
        <v>0.02</v>
      </c>
      <c r="O180" s="27" t="s">
        <v>131</v>
      </c>
      <c r="P180" s="30" t="s">
        <v>131</v>
      </c>
      <c r="Q180" s="31">
        <v>3730562719.2199998</v>
      </c>
      <c r="R180" s="31">
        <v>2026.35</v>
      </c>
      <c r="S180" s="32">
        <v>-4.2160000000000001E-3</v>
      </c>
      <c r="T180" s="32" t="s">
        <v>139</v>
      </c>
      <c r="U180" s="32">
        <v>1.7049999999999999E-3</v>
      </c>
      <c r="V180" s="32">
        <v>6.5269999999999998E-3</v>
      </c>
      <c r="W180" s="32">
        <v>5.254E-3</v>
      </c>
      <c r="X180" s="32">
        <v>-4.4070000000000003E-3</v>
      </c>
      <c r="Y180" s="32">
        <v>-1.5910000000000001E-2</v>
      </c>
      <c r="Z180" s="32">
        <v>7.3102E-2</v>
      </c>
      <c r="AA180" s="32">
        <v>0.173594</v>
      </c>
      <c r="AB180" s="32">
        <v>0.29408800000000002</v>
      </c>
    </row>
    <row r="181" spans="1:28" ht="15.6" customHeight="1" x14ac:dyDescent="0.25">
      <c r="A181" s="24" t="s">
        <v>1243</v>
      </c>
      <c r="B181" s="50">
        <v>3731</v>
      </c>
      <c r="C181" s="25" t="s">
        <v>1244</v>
      </c>
      <c r="D181" s="25" t="s">
        <v>355</v>
      </c>
      <c r="E181" s="25" t="s">
        <v>194</v>
      </c>
      <c r="F181" s="25" t="s">
        <v>113</v>
      </c>
      <c r="G181" s="26" t="s">
        <v>1160</v>
      </c>
      <c r="H181" s="27" t="s">
        <v>120</v>
      </c>
      <c r="I181" s="24" t="s">
        <v>998</v>
      </c>
      <c r="J181" s="24" t="s">
        <v>107</v>
      </c>
      <c r="K181" s="28" t="s">
        <v>108</v>
      </c>
      <c r="L181" s="29">
        <v>0.02</v>
      </c>
      <c r="M181" s="29">
        <v>1.4999999999999999E-2</v>
      </c>
      <c r="N181" s="29">
        <v>0.02</v>
      </c>
      <c r="O181" s="27" t="s">
        <v>109</v>
      </c>
      <c r="P181" s="30" t="s">
        <v>355</v>
      </c>
      <c r="Q181" s="31">
        <v>403121950.25999999</v>
      </c>
      <c r="R181" s="31">
        <v>1645.69</v>
      </c>
      <c r="S181" s="32">
        <v>-8.0110000000000008E-3</v>
      </c>
      <c r="T181" s="32" t="s">
        <v>139</v>
      </c>
      <c r="U181" s="32">
        <v>9.1200000000000005E-4</v>
      </c>
      <c r="V181" s="32">
        <v>2.9069999999999999E-3</v>
      </c>
      <c r="W181" s="32">
        <v>6.9300000000000004E-4</v>
      </c>
      <c r="X181" s="32">
        <v>-5.5770000000000004E-3</v>
      </c>
      <c r="Y181" s="32">
        <v>-1.507E-2</v>
      </c>
      <c r="Z181" s="32">
        <v>5.5490999999999999E-2</v>
      </c>
      <c r="AA181" s="32">
        <v>0.126051</v>
      </c>
      <c r="AB181" s="32">
        <v>0.105365</v>
      </c>
    </row>
    <row r="182" spans="1:28" ht="15.6" customHeight="1" x14ac:dyDescent="0.25">
      <c r="A182" s="24" t="s">
        <v>353</v>
      </c>
      <c r="B182" s="50">
        <v>3732</v>
      </c>
      <c r="C182" s="25" t="s">
        <v>354</v>
      </c>
      <c r="D182" s="25" t="s">
        <v>355</v>
      </c>
      <c r="E182" s="25" t="s">
        <v>194</v>
      </c>
      <c r="F182" s="25" t="s">
        <v>103</v>
      </c>
      <c r="G182" s="26" t="s">
        <v>356</v>
      </c>
      <c r="H182" s="27" t="s">
        <v>147</v>
      </c>
      <c r="I182" s="24" t="s">
        <v>106</v>
      </c>
      <c r="J182" s="24" t="s">
        <v>107</v>
      </c>
      <c r="K182" s="28" t="s">
        <v>108</v>
      </c>
      <c r="L182" s="29">
        <v>0</v>
      </c>
      <c r="M182" s="29">
        <v>0</v>
      </c>
      <c r="N182" s="29">
        <v>0.02</v>
      </c>
      <c r="O182" s="27" t="s">
        <v>109</v>
      </c>
      <c r="P182" s="30" t="s">
        <v>355</v>
      </c>
      <c r="Q182" s="31">
        <v>29515113.870000001</v>
      </c>
      <c r="R182" s="31">
        <v>1448.67</v>
      </c>
      <c r="S182" s="32">
        <v>1.2037000000000001E-2</v>
      </c>
      <c r="T182" s="32" t="s">
        <v>139</v>
      </c>
      <c r="U182" s="32">
        <v>3.6600000000000001E-4</v>
      </c>
      <c r="V182" s="32">
        <v>1.2229999999999999E-3</v>
      </c>
      <c r="W182" s="32">
        <v>5.1479999999999998E-3</v>
      </c>
      <c r="X182" s="32">
        <v>9.1389999999999996E-3</v>
      </c>
      <c r="Y182" s="32">
        <v>2.8840999999999999E-2</v>
      </c>
      <c r="Z182" s="32">
        <v>4.6523000000000002E-2</v>
      </c>
      <c r="AA182" s="32">
        <v>7.3724999999999999E-2</v>
      </c>
      <c r="AB182" s="32">
        <v>0.111489</v>
      </c>
    </row>
    <row r="183" spans="1:28" ht="15.6" customHeight="1" x14ac:dyDescent="0.25">
      <c r="A183" s="24" t="s">
        <v>357</v>
      </c>
      <c r="B183" s="50">
        <v>3733</v>
      </c>
      <c r="C183" s="25" t="s">
        <v>358</v>
      </c>
      <c r="D183" s="25" t="s">
        <v>164</v>
      </c>
      <c r="E183" s="25" t="s">
        <v>194</v>
      </c>
      <c r="F183" s="25" t="s">
        <v>155</v>
      </c>
      <c r="G183" s="26" t="s">
        <v>139</v>
      </c>
      <c r="H183" s="27" t="s">
        <v>156</v>
      </c>
      <c r="I183" s="24" t="s">
        <v>106</v>
      </c>
      <c r="J183" s="24" t="s">
        <v>121</v>
      </c>
      <c r="K183" s="28" t="s">
        <v>227</v>
      </c>
      <c r="L183" s="29">
        <v>0.03</v>
      </c>
      <c r="M183" s="29">
        <v>1.4999999999999999E-2</v>
      </c>
      <c r="N183" s="29">
        <v>0.02</v>
      </c>
      <c r="O183" s="27" t="s">
        <v>166</v>
      </c>
      <c r="P183" s="30" t="s">
        <v>164</v>
      </c>
      <c r="Q183" s="31">
        <v>1737913074.96</v>
      </c>
      <c r="R183" s="31">
        <v>310896.78999999998</v>
      </c>
      <c r="S183" s="32">
        <v>9.146E-2</v>
      </c>
      <c r="T183" s="32" t="s">
        <v>139</v>
      </c>
      <c r="U183" s="32">
        <v>1.6789999999999999E-2</v>
      </c>
      <c r="V183" s="32">
        <v>8.6310999999999999E-2</v>
      </c>
      <c r="W183" s="32">
        <v>7.3538999999999993E-2</v>
      </c>
      <c r="X183" s="32">
        <v>7.3039999999999994E-2</v>
      </c>
      <c r="Y183" s="32">
        <v>-1.0344000000000001E-2</v>
      </c>
      <c r="Z183" s="32">
        <v>0.442774</v>
      </c>
      <c r="AA183" s="32">
        <v>0.69510099999999997</v>
      </c>
      <c r="AB183" s="32">
        <v>0.71100600000000003</v>
      </c>
    </row>
    <row r="184" spans="1:28" ht="15.6" customHeight="1" x14ac:dyDescent="0.25">
      <c r="A184" s="24" t="s">
        <v>1245</v>
      </c>
      <c r="B184" s="50">
        <v>3734</v>
      </c>
      <c r="C184" s="25" t="s">
        <v>1246</v>
      </c>
      <c r="D184" s="25" t="s">
        <v>159</v>
      </c>
      <c r="E184" s="25" t="s">
        <v>194</v>
      </c>
      <c r="F184" s="25" t="s">
        <v>113</v>
      </c>
      <c r="G184" s="26" t="s">
        <v>638</v>
      </c>
      <c r="H184" s="27" t="s">
        <v>115</v>
      </c>
      <c r="I184" s="24" t="s">
        <v>998</v>
      </c>
      <c r="J184" s="24" t="s">
        <v>107</v>
      </c>
      <c r="K184" s="28" t="s">
        <v>108</v>
      </c>
      <c r="L184" s="29">
        <v>0</v>
      </c>
      <c r="M184" s="29">
        <v>0</v>
      </c>
      <c r="N184" s="29">
        <v>0.02</v>
      </c>
      <c r="O184" s="27" t="s">
        <v>161</v>
      </c>
      <c r="P184" s="30" t="s">
        <v>159</v>
      </c>
      <c r="Q184" s="31">
        <v>822955.56</v>
      </c>
      <c r="R184" s="31">
        <v>12858.68</v>
      </c>
      <c r="S184" s="32">
        <v>6.3829999999999998E-3</v>
      </c>
      <c r="T184" s="32" t="s">
        <v>139</v>
      </c>
      <c r="U184" s="32">
        <v>9.8299999999999993E-4</v>
      </c>
      <c r="V184" s="32">
        <v>2.3240000000000001E-3</v>
      </c>
      <c r="W184" s="32">
        <v>4.5599999999999998E-3</v>
      </c>
      <c r="X184" s="32">
        <v>3.643E-3</v>
      </c>
      <c r="Y184" s="32">
        <v>4.2230000000000002E-3</v>
      </c>
      <c r="Z184" s="32">
        <v>5.8361000000000003E-2</v>
      </c>
      <c r="AA184" s="32">
        <v>0.12512799999999999</v>
      </c>
      <c r="AB184" s="32">
        <v>8.9665999999999996E-2</v>
      </c>
    </row>
    <row r="185" spans="1:28" ht="15.6" customHeight="1" x14ac:dyDescent="0.25">
      <c r="A185" s="24" t="s">
        <v>359</v>
      </c>
      <c r="B185" s="50">
        <v>3735</v>
      </c>
      <c r="C185" s="25" t="s">
        <v>360</v>
      </c>
      <c r="D185" s="25" t="s">
        <v>159</v>
      </c>
      <c r="E185" s="25" t="s">
        <v>194</v>
      </c>
      <c r="F185" s="25" t="s">
        <v>361</v>
      </c>
      <c r="G185" s="26" t="s">
        <v>139</v>
      </c>
      <c r="H185" s="27" t="s">
        <v>217</v>
      </c>
      <c r="I185" s="24" t="s">
        <v>106</v>
      </c>
      <c r="J185" s="24" t="s">
        <v>107</v>
      </c>
      <c r="K185" s="28" t="s">
        <v>108</v>
      </c>
      <c r="L185" s="29">
        <v>0</v>
      </c>
      <c r="M185" s="29">
        <v>0</v>
      </c>
      <c r="N185" s="29">
        <v>0.02</v>
      </c>
      <c r="O185" s="27" t="s">
        <v>161</v>
      </c>
      <c r="P185" s="30" t="s">
        <v>159</v>
      </c>
      <c r="Q185" s="31">
        <v>4077679183.8499999</v>
      </c>
      <c r="R185" s="31">
        <v>13232.26</v>
      </c>
      <c r="S185" s="32">
        <v>1.3176E-2</v>
      </c>
      <c r="T185" s="32" t="s">
        <v>139</v>
      </c>
      <c r="U185" s="32">
        <v>3.79E-4</v>
      </c>
      <c r="V185" s="32">
        <v>1.6720000000000001E-3</v>
      </c>
      <c r="W185" s="32">
        <v>5.0990000000000002E-3</v>
      </c>
      <c r="X185" s="32">
        <v>1.0071999999999999E-2</v>
      </c>
      <c r="Y185" s="32">
        <v>2.0223999999999999E-2</v>
      </c>
      <c r="Z185" s="32">
        <v>4.3076000000000003E-2</v>
      </c>
      <c r="AA185" s="32">
        <v>7.1553000000000005E-2</v>
      </c>
      <c r="AB185" s="32">
        <v>0.10796600000000001</v>
      </c>
    </row>
    <row r="186" spans="1:28" ht="15.6" customHeight="1" x14ac:dyDescent="0.25">
      <c r="A186" s="24" t="s">
        <v>362</v>
      </c>
      <c r="B186" s="50">
        <v>3736</v>
      </c>
      <c r="C186" s="25" t="s">
        <v>363</v>
      </c>
      <c r="D186" s="25" t="s">
        <v>159</v>
      </c>
      <c r="E186" s="25" t="s">
        <v>194</v>
      </c>
      <c r="F186" s="25" t="s">
        <v>113</v>
      </c>
      <c r="G186" s="26" t="s">
        <v>198</v>
      </c>
      <c r="H186" s="27" t="s">
        <v>115</v>
      </c>
      <c r="I186" s="24" t="s">
        <v>106</v>
      </c>
      <c r="J186" s="24" t="s">
        <v>121</v>
      </c>
      <c r="K186" s="28" t="s">
        <v>108</v>
      </c>
      <c r="L186" s="29">
        <v>0</v>
      </c>
      <c r="M186" s="29">
        <v>0</v>
      </c>
      <c r="N186" s="29">
        <v>0.02</v>
      </c>
      <c r="O186" s="27" t="s">
        <v>161</v>
      </c>
      <c r="P186" s="30" t="s">
        <v>159</v>
      </c>
      <c r="Q186" s="31">
        <v>10997537343.82</v>
      </c>
      <c r="R186" s="31">
        <v>16295.11</v>
      </c>
      <c r="S186" s="32">
        <v>6.0280000000000004E-3</v>
      </c>
      <c r="T186" s="32" t="s">
        <v>139</v>
      </c>
      <c r="U186" s="32">
        <v>9.4499999999999998E-4</v>
      </c>
      <c r="V186" s="32">
        <v>2.7420000000000001E-3</v>
      </c>
      <c r="W186" s="32">
        <v>5.9680000000000002E-3</v>
      </c>
      <c r="X186" s="32">
        <v>5.6259999999999999E-3</v>
      </c>
      <c r="Y186" s="32">
        <v>7.5129999999999997E-3</v>
      </c>
      <c r="Z186" s="32">
        <v>7.3235999999999996E-2</v>
      </c>
      <c r="AA186" s="32">
        <v>0.13622300000000001</v>
      </c>
      <c r="AB186" s="32">
        <v>0.13500400000000001</v>
      </c>
    </row>
    <row r="187" spans="1:28" ht="15.6" customHeight="1" x14ac:dyDescent="0.25">
      <c r="A187" s="24" t="s">
        <v>364</v>
      </c>
      <c r="B187" s="50">
        <v>3737</v>
      </c>
      <c r="C187" s="25" t="s">
        <v>365</v>
      </c>
      <c r="D187" s="25" t="s">
        <v>159</v>
      </c>
      <c r="E187" s="25" t="s">
        <v>194</v>
      </c>
      <c r="F187" s="25" t="s">
        <v>113</v>
      </c>
      <c r="G187" s="26" t="s">
        <v>366</v>
      </c>
      <c r="H187" s="27" t="s">
        <v>367</v>
      </c>
      <c r="I187" s="24" t="s">
        <v>106</v>
      </c>
      <c r="J187" s="24" t="s">
        <v>121</v>
      </c>
      <c r="K187" s="28" t="s">
        <v>108</v>
      </c>
      <c r="L187" s="29">
        <v>0</v>
      </c>
      <c r="M187" s="29">
        <v>0</v>
      </c>
      <c r="N187" s="29">
        <v>0.02</v>
      </c>
      <c r="O187" s="27" t="s">
        <v>161</v>
      </c>
      <c r="P187" s="30" t="s">
        <v>159</v>
      </c>
      <c r="Q187" s="31">
        <v>2765000572.5100002</v>
      </c>
      <c r="R187" s="31">
        <v>1808.62</v>
      </c>
      <c r="S187" s="32">
        <v>1.3295E-2</v>
      </c>
      <c r="T187" s="32" t="s">
        <v>139</v>
      </c>
      <c r="U187" s="32">
        <v>8.8500000000000004E-4</v>
      </c>
      <c r="V187" s="32">
        <v>2.4780000000000002E-3</v>
      </c>
      <c r="W187" s="32">
        <v>6.9540000000000001E-3</v>
      </c>
      <c r="X187" s="32">
        <v>1.0351000000000001E-2</v>
      </c>
      <c r="Y187" s="32">
        <v>1.5651000000000002E-2</v>
      </c>
      <c r="Z187" s="32">
        <v>9.4978999999999994E-2</v>
      </c>
      <c r="AA187" s="32">
        <v>0.196161</v>
      </c>
      <c r="AB187" s="32">
        <v>0.187421</v>
      </c>
    </row>
    <row r="188" spans="1:28" ht="15.6" customHeight="1" x14ac:dyDescent="0.25">
      <c r="A188" s="24" t="s">
        <v>368</v>
      </c>
      <c r="B188" s="50">
        <v>3738</v>
      </c>
      <c r="C188" s="25" t="s">
        <v>369</v>
      </c>
      <c r="D188" s="25" t="s">
        <v>159</v>
      </c>
      <c r="E188" s="25" t="s">
        <v>194</v>
      </c>
      <c r="F188" s="25" t="s">
        <v>138</v>
      </c>
      <c r="G188" s="26" t="s">
        <v>139</v>
      </c>
      <c r="H188" s="27" t="s">
        <v>370</v>
      </c>
      <c r="I188" s="24" t="s">
        <v>106</v>
      </c>
      <c r="J188" s="24" t="s">
        <v>121</v>
      </c>
      <c r="K188" s="28" t="s">
        <v>108</v>
      </c>
      <c r="L188" s="29">
        <v>0</v>
      </c>
      <c r="M188" s="29">
        <v>0</v>
      </c>
      <c r="N188" s="29">
        <v>0.02</v>
      </c>
      <c r="O188" s="27" t="s">
        <v>161</v>
      </c>
      <c r="P188" s="30" t="s">
        <v>159</v>
      </c>
      <c r="Q188" s="31">
        <v>2226764752.9200001</v>
      </c>
      <c r="R188" s="31">
        <v>20118.22</v>
      </c>
      <c r="S188" s="32">
        <v>1.5176E-2</v>
      </c>
      <c r="T188" s="32" t="s">
        <v>139</v>
      </c>
      <c r="U188" s="32">
        <v>4.2290000000000001E-3</v>
      </c>
      <c r="V188" s="32">
        <v>2.2948E-2</v>
      </c>
      <c r="W188" s="32">
        <v>1.9217999999999999E-2</v>
      </c>
      <c r="X188" s="32">
        <v>1.0825E-2</v>
      </c>
      <c r="Y188" s="32">
        <v>-1.7138E-2</v>
      </c>
      <c r="Z188" s="32">
        <v>0.18779399999999999</v>
      </c>
      <c r="AA188" s="32">
        <v>0.321079</v>
      </c>
      <c r="AB188" s="32">
        <v>0.26523799999999997</v>
      </c>
    </row>
    <row r="189" spans="1:28" ht="15.6" customHeight="1" x14ac:dyDescent="0.25">
      <c r="A189" s="24" t="s">
        <v>371</v>
      </c>
      <c r="B189" s="50">
        <v>3739</v>
      </c>
      <c r="C189" s="25" t="s">
        <v>372</v>
      </c>
      <c r="D189" s="25" t="s">
        <v>145</v>
      </c>
      <c r="E189" s="25" t="s">
        <v>194</v>
      </c>
      <c r="F189" s="25" t="s">
        <v>128</v>
      </c>
      <c r="G189" s="26" t="s">
        <v>129</v>
      </c>
      <c r="H189" s="27" t="s">
        <v>373</v>
      </c>
      <c r="I189" s="24" t="s">
        <v>106</v>
      </c>
      <c r="J189" s="24" t="s">
        <v>107</v>
      </c>
      <c r="K189" s="28" t="s">
        <v>108</v>
      </c>
      <c r="L189" s="29">
        <v>0.01</v>
      </c>
      <c r="M189" s="29">
        <v>0.01</v>
      </c>
      <c r="N189" s="29">
        <v>0.01</v>
      </c>
      <c r="O189" s="27" t="s">
        <v>148</v>
      </c>
      <c r="P189" s="30" t="s">
        <v>145</v>
      </c>
      <c r="Q189" s="31">
        <v>1097020743.0699999</v>
      </c>
      <c r="R189" s="31">
        <v>1516.16</v>
      </c>
      <c r="S189" s="32">
        <v>1.7113E-2</v>
      </c>
      <c r="T189" s="32" t="s">
        <v>139</v>
      </c>
      <c r="U189" s="32">
        <v>6.5300000000000004E-4</v>
      </c>
      <c r="V189" s="32">
        <v>2.2409999999999999E-3</v>
      </c>
      <c r="W189" s="32">
        <v>7.3280000000000003E-3</v>
      </c>
      <c r="X189" s="32">
        <v>1.3821999999999999E-2</v>
      </c>
      <c r="Y189" s="32">
        <v>2.4563999999999999E-2</v>
      </c>
      <c r="Z189" s="32">
        <v>5.9888999999999998E-2</v>
      </c>
      <c r="AA189" s="32">
        <v>0.102927</v>
      </c>
      <c r="AB189" s="32">
        <v>0.145179</v>
      </c>
    </row>
    <row r="190" spans="1:28" ht="15.6" customHeight="1" x14ac:dyDescent="0.25">
      <c r="A190" s="24" t="s">
        <v>374</v>
      </c>
      <c r="B190" s="50">
        <v>3740</v>
      </c>
      <c r="C190" s="25" t="s">
        <v>375</v>
      </c>
      <c r="D190" s="25" t="s">
        <v>137</v>
      </c>
      <c r="E190" s="25" t="s">
        <v>194</v>
      </c>
      <c r="F190" s="25" t="s">
        <v>155</v>
      </c>
      <c r="G190" s="26" t="s">
        <v>139</v>
      </c>
      <c r="H190" s="27" t="s">
        <v>139</v>
      </c>
      <c r="I190" s="24" t="s">
        <v>106</v>
      </c>
      <c r="J190" s="24" t="s">
        <v>107</v>
      </c>
      <c r="K190" s="28" t="s">
        <v>108</v>
      </c>
      <c r="L190" s="29">
        <v>2E-3</v>
      </c>
      <c r="M190" s="29">
        <v>2E-3</v>
      </c>
      <c r="N190" s="29">
        <v>0.02</v>
      </c>
      <c r="O190" s="27" t="s">
        <v>141</v>
      </c>
      <c r="P190" s="30" t="s">
        <v>142</v>
      </c>
      <c r="Q190" s="31">
        <v>25731837.714279</v>
      </c>
      <c r="R190" s="31">
        <v>229.15</v>
      </c>
      <c r="S190" s="32">
        <v>-8.5522000000000001E-2</v>
      </c>
      <c r="T190" s="32" t="s">
        <v>139</v>
      </c>
      <c r="U190" s="32">
        <v>9.1699999999999995E-4</v>
      </c>
      <c r="V190" s="32">
        <v>4.8022000000000002E-2</v>
      </c>
      <c r="W190" s="32">
        <v>1.6140999999999999E-2</v>
      </c>
      <c r="X190" s="32">
        <v>-8.0974000000000004E-2</v>
      </c>
      <c r="Y190" s="32">
        <v>-0.185418</v>
      </c>
      <c r="Z190" s="32">
        <v>0.24504200000000001</v>
      </c>
      <c r="AA190" s="32">
        <v>0.50489300000000004</v>
      </c>
      <c r="AB190" s="32">
        <v>0.51714800000000005</v>
      </c>
    </row>
    <row r="191" spans="1:28" ht="15.6" customHeight="1" x14ac:dyDescent="0.25">
      <c r="A191" s="24" t="s">
        <v>1247</v>
      </c>
      <c r="B191" s="50">
        <v>3742</v>
      </c>
      <c r="C191" s="25" t="s">
        <v>1248</v>
      </c>
      <c r="D191" s="25" t="s">
        <v>159</v>
      </c>
      <c r="E191" s="25" t="s">
        <v>194</v>
      </c>
      <c r="F191" s="25" t="s">
        <v>155</v>
      </c>
      <c r="G191" s="26" t="s">
        <v>139</v>
      </c>
      <c r="H191" s="27" t="s">
        <v>588</v>
      </c>
      <c r="I191" s="24" t="s">
        <v>998</v>
      </c>
      <c r="J191" s="24" t="s">
        <v>121</v>
      </c>
      <c r="K191" s="28" t="s">
        <v>108</v>
      </c>
      <c r="L191" s="29">
        <v>0</v>
      </c>
      <c r="M191" s="29">
        <v>0</v>
      </c>
      <c r="N191" s="29">
        <v>0.02</v>
      </c>
      <c r="O191" s="27" t="s">
        <v>161</v>
      </c>
      <c r="P191" s="30" t="s">
        <v>159</v>
      </c>
      <c r="Q191" s="31">
        <v>1507922615.1500001</v>
      </c>
      <c r="R191" s="31">
        <v>3467.95</v>
      </c>
      <c r="S191" s="32">
        <v>3.8970999999999999E-2</v>
      </c>
      <c r="T191" s="32" t="s">
        <v>139</v>
      </c>
      <c r="U191" s="32">
        <v>1.3416000000000001E-2</v>
      </c>
      <c r="V191" s="32">
        <v>7.5029999999999999E-2</v>
      </c>
      <c r="W191" s="32">
        <v>6.0956999999999997E-2</v>
      </c>
      <c r="X191" s="32">
        <v>2.8815E-2</v>
      </c>
      <c r="Y191" s="32">
        <v>-7.2205000000000005E-2</v>
      </c>
      <c r="Z191" s="32">
        <v>0.45481700000000003</v>
      </c>
      <c r="AA191" s="32">
        <v>0.76660399999999995</v>
      </c>
      <c r="AB191" s="32">
        <v>0.77185700000000002</v>
      </c>
    </row>
    <row r="192" spans="1:28" ht="15.6" customHeight="1" x14ac:dyDescent="0.25">
      <c r="A192" s="24" t="s">
        <v>1249</v>
      </c>
      <c r="B192" s="50">
        <v>3743</v>
      </c>
      <c r="C192" s="25" t="s">
        <v>1250</v>
      </c>
      <c r="D192" s="25" t="s">
        <v>350</v>
      </c>
      <c r="E192" s="25" t="s">
        <v>194</v>
      </c>
      <c r="F192" s="25" t="s">
        <v>155</v>
      </c>
      <c r="G192" s="26" t="s">
        <v>139</v>
      </c>
      <c r="H192" s="27" t="s">
        <v>156</v>
      </c>
      <c r="I192" s="24" t="s">
        <v>998</v>
      </c>
      <c r="J192" s="24" t="s">
        <v>107</v>
      </c>
      <c r="K192" s="28" t="s">
        <v>108</v>
      </c>
      <c r="L192" s="29">
        <v>0.03</v>
      </c>
      <c r="M192" s="29">
        <v>1.4999999999999999E-2</v>
      </c>
      <c r="N192" s="29">
        <v>0.02</v>
      </c>
      <c r="O192" s="27" t="s">
        <v>166</v>
      </c>
      <c r="P192" s="30" t="s">
        <v>350</v>
      </c>
      <c r="Q192" s="31">
        <v>2933267.9</v>
      </c>
      <c r="R192" s="31">
        <v>295.27</v>
      </c>
      <c r="S192" s="32">
        <v>7.6410000000000006E-2</v>
      </c>
      <c r="T192" s="32" t="s">
        <v>139</v>
      </c>
      <c r="U192" s="32">
        <v>1.5755999999999999E-2</v>
      </c>
      <c r="V192" s="32">
        <v>8.1377000000000005E-2</v>
      </c>
      <c r="W192" s="32">
        <v>6.8425E-2</v>
      </c>
      <c r="X192" s="32">
        <v>6.5494999999999998E-2</v>
      </c>
      <c r="Y192" s="32">
        <v>-2.5285999999999999E-2</v>
      </c>
      <c r="Z192" s="32">
        <v>0.45675700000000002</v>
      </c>
      <c r="AA192" s="32">
        <v>0.71389599999999998</v>
      </c>
      <c r="AB192" s="32">
        <v>0.65612199999999998</v>
      </c>
    </row>
    <row r="193" spans="1:28" ht="15.6" customHeight="1" x14ac:dyDescent="0.25">
      <c r="A193" s="24" t="s">
        <v>376</v>
      </c>
      <c r="B193" s="50">
        <v>3744</v>
      </c>
      <c r="C193" s="25" t="s">
        <v>377</v>
      </c>
      <c r="D193" s="25" t="s">
        <v>145</v>
      </c>
      <c r="E193" s="25" t="s">
        <v>194</v>
      </c>
      <c r="F193" s="25" t="s">
        <v>103</v>
      </c>
      <c r="G193" s="26" t="s">
        <v>378</v>
      </c>
      <c r="H193" s="27" t="s">
        <v>379</v>
      </c>
      <c r="I193" s="24" t="s">
        <v>106</v>
      </c>
      <c r="J193" s="24" t="s">
        <v>107</v>
      </c>
      <c r="K193" s="28" t="s">
        <v>108</v>
      </c>
      <c r="L193" s="29">
        <v>0.01</v>
      </c>
      <c r="M193" s="29">
        <v>0.01</v>
      </c>
      <c r="N193" s="29">
        <v>0.01</v>
      </c>
      <c r="O193" s="27" t="s">
        <v>148</v>
      </c>
      <c r="P193" s="30" t="s">
        <v>145</v>
      </c>
      <c r="Q193" s="31">
        <v>7901192852.46</v>
      </c>
      <c r="R193" s="31">
        <v>145542.16</v>
      </c>
      <c r="S193" s="32">
        <v>1.8563E-2</v>
      </c>
      <c r="T193" s="32" t="s">
        <v>139</v>
      </c>
      <c r="U193" s="32">
        <v>5.6800000000000004E-4</v>
      </c>
      <c r="V193" s="32">
        <v>2.0950000000000001E-3</v>
      </c>
      <c r="W193" s="32">
        <v>7.7019999999999996E-3</v>
      </c>
      <c r="X193" s="32">
        <v>1.4494E-2</v>
      </c>
      <c r="Y193" s="32">
        <v>2.7519999999999999E-2</v>
      </c>
      <c r="Z193" s="32">
        <v>6.0929999999999998E-2</v>
      </c>
      <c r="AA193" s="32">
        <v>9.8266000000000006E-2</v>
      </c>
      <c r="AB193" s="32">
        <v>0.144649</v>
      </c>
    </row>
    <row r="194" spans="1:28" ht="15.6" customHeight="1" x14ac:dyDescent="0.25">
      <c r="A194" s="24" t="s">
        <v>380</v>
      </c>
      <c r="B194" s="50">
        <v>3745</v>
      </c>
      <c r="C194" s="25" t="s">
        <v>381</v>
      </c>
      <c r="D194" s="25" t="s">
        <v>127</v>
      </c>
      <c r="E194" s="25" t="s">
        <v>194</v>
      </c>
      <c r="F194" s="25" t="s">
        <v>128</v>
      </c>
      <c r="G194" s="26" t="s">
        <v>250</v>
      </c>
      <c r="H194" s="27" t="s">
        <v>130</v>
      </c>
      <c r="I194" s="24" t="s">
        <v>106</v>
      </c>
      <c r="J194" s="24" t="s">
        <v>121</v>
      </c>
      <c r="K194" s="28" t="s">
        <v>180</v>
      </c>
      <c r="L194" s="29">
        <v>0</v>
      </c>
      <c r="M194" s="29">
        <v>0</v>
      </c>
      <c r="N194" s="29">
        <v>0.02</v>
      </c>
      <c r="O194" s="27" t="s">
        <v>131</v>
      </c>
      <c r="P194" s="30" t="s">
        <v>131</v>
      </c>
      <c r="Q194" s="31">
        <v>5736967</v>
      </c>
      <c r="R194" s="31">
        <v>1126.44</v>
      </c>
      <c r="S194" s="32">
        <v>1.4710000000000001E-2</v>
      </c>
      <c r="T194" s="32" t="s">
        <v>139</v>
      </c>
      <c r="U194" s="32">
        <v>6.5700000000000003E-4</v>
      </c>
      <c r="V194" s="32">
        <v>1.9750000000000002E-3</v>
      </c>
      <c r="W194" s="32">
        <v>5.9659999999999999E-3</v>
      </c>
      <c r="X194" s="32">
        <v>1.1412E-2</v>
      </c>
      <c r="Y194" s="32">
        <v>2.0761000000000002E-2</v>
      </c>
      <c r="Z194" s="32">
        <v>4.9432999999999998E-2</v>
      </c>
      <c r="AA194" s="32">
        <v>8.5579000000000002E-2</v>
      </c>
      <c r="AB194" s="32">
        <v>0.12443899999999999</v>
      </c>
    </row>
    <row r="195" spans="1:28" ht="15.6" customHeight="1" x14ac:dyDescent="0.25">
      <c r="A195" s="24" t="s">
        <v>1251</v>
      </c>
      <c r="B195" s="50">
        <v>3746</v>
      </c>
      <c r="C195" s="25" t="s">
        <v>1252</v>
      </c>
      <c r="D195" s="25" t="s">
        <v>261</v>
      </c>
      <c r="E195" s="25" t="s">
        <v>194</v>
      </c>
      <c r="F195" s="25" t="s">
        <v>155</v>
      </c>
      <c r="G195" s="26" t="s">
        <v>139</v>
      </c>
      <c r="H195" s="27" t="s">
        <v>156</v>
      </c>
      <c r="I195" s="24" t="s">
        <v>998</v>
      </c>
      <c r="J195" s="24" t="s">
        <v>107</v>
      </c>
      <c r="K195" s="28" t="s">
        <v>108</v>
      </c>
      <c r="L195" s="29">
        <v>0.02</v>
      </c>
      <c r="M195" s="29">
        <v>0.02</v>
      </c>
      <c r="N195" s="29">
        <v>0.02</v>
      </c>
      <c r="O195" s="27" t="s">
        <v>262</v>
      </c>
      <c r="P195" s="30" t="s">
        <v>261</v>
      </c>
      <c r="Q195" s="31">
        <v>3922144.2</v>
      </c>
      <c r="R195" s="31">
        <v>323.13</v>
      </c>
      <c r="S195" s="32">
        <v>-6.2658000000000005E-2</v>
      </c>
      <c r="T195" s="32" t="s">
        <v>139</v>
      </c>
      <c r="U195" s="32">
        <v>6.4790000000000004E-3</v>
      </c>
      <c r="V195" s="32">
        <v>5.5256E-2</v>
      </c>
      <c r="W195" s="32">
        <v>4.4139999999999999E-2</v>
      </c>
      <c r="X195" s="32">
        <v>-5.5258000000000002E-2</v>
      </c>
      <c r="Y195" s="32">
        <v>-0.15704499999999999</v>
      </c>
      <c r="Z195" s="32">
        <v>0.18592900000000001</v>
      </c>
      <c r="AA195" s="32">
        <v>0.42322900000000002</v>
      </c>
      <c r="AB195" s="32">
        <v>0.39352300000000001</v>
      </c>
    </row>
    <row r="196" spans="1:28" ht="15.6" customHeight="1" x14ac:dyDescent="0.25">
      <c r="A196" s="24" t="s">
        <v>1253</v>
      </c>
      <c r="B196" s="50">
        <v>3747</v>
      </c>
      <c r="C196" s="25" t="s">
        <v>1254</v>
      </c>
      <c r="D196" s="25" t="s">
        <v>241</v>
      </c>
      <c r="E196" s="25" t="s">
        <v>194</v>
      </c>
      <c r="F196" s="25" t="s">
        <v>113</v>
      </c>
      <c r="G196" s="26" t="s">
        <v>1134</v>
      </c>
      <c r="H196" s="27" t="s">
        <v>115</v>
      </c>
      <c r="I196" s="24" t="s">
        <v>998</v>
      </c>
      <c r="J196" s="24" t="s">
        <v>107</v>
      </c>
      <c r="K196" s="28" t="s">
        <v>108</v>
      </c>
      <c r="L196" s="29">
        <v>0.03</v>
      </c>
      <c r="M196" s="29">
        <v>1.4999999999999999E-2</v>
      </c>
      <c r="N196" s="29">
        <v>0.02</v>
      </c>
      <c r="O196" s="27" t="s">
        <v>116</v>
      </c>
      <c r="P196" s="30" t="s">
        <v>241</v>
      </c>
      <c r="Q196" s="31">
        <v>1154779923.77</v>
      </c>
      <c r="R196" s="31">
        <v>1694.55</v>
      </c>
      <c r="S196" s="32">
        <v>-5.9659999999999999E-3</v>
      </c>
      <c r="T196" s="32" t="s">
        <v>139</v>
      </c>
      <c r="U196" s="32">
        <v>1.335E-3</v>
      </c>
      <c r="V196" s="32">
        <v>5.7450000000000001E-3</v>
      </c>
      <c r="W196" s="32">
        <v>3.405E-3</v>
      </c>
      <c r="X196" s="32">
        <v>-3.6600000000000001E-4</v>
      </c>
      <c r="Y196" s="32">
        <v>-1.1998999999999999E-2</v>
      </c>
      <c r="Z196" s="32">
        <v>7.0109000000000005E-2</v>
      </c>
      <c r="AA196" s="32">
        <v>0.156224</v>
      </c>
      <c r="AB196" s="32">
        <v>8.8574E-2</v>
      </c>
    </row>
    <row r="197" spans="1:28" ht="15.6" customHeight="1" x14ac:dyDescent="0.25">
      <c r="A197" s="24" t="s">
        <v>382</v>
      </c>
      <c r="B197" s="50">
        <v>3748</v>
      </c>
      <c r="C197" s="25" t="s">
        <v>383</v>
      </c>
      <c r="D197" s="25" t="s">
        <v>355</v>
      </c>
      <c r="E197" s="25" t="s">
        <v>194</v>
      </c>
      <c r="F197" s="25" t="s">
        <v>128</v>
      </c>
      <c r="G197" s="26" t="s">
        <v>250</v>
      </c>
      <c r="H197" s="27" t="s">
        <v>130</v>
      </c>
      <c r="I197" s="24" t="s">
        <v>106</v>
      </c>
      <c r="J197" s="24" t="s">
        <v>107</v>
      </c>
      <c r="K197" s="28" t="s">
        <v>108</v>
      </c>
      <c r="L197" s="29">
        <v>0.02</v>
      </c>
      <c r="M197" s="29">
        <v>1.4999999999999999E-2</v>
      </c>
      <c r="N197" s="29">
        <v>0.02</v>
      </c>
      <c r="O197" s="27" t="s">
        <v>109</v>
      </c>
      <c r="P197" s="30" t="s">
        <v>355</v>
      </c>
      <c r="Q197" s="31">
        <v>650155120.84000003</v>
      </c>
      <c r="R197" s="31">
        <v>1458.33</v>
      </c>
      <c r="S197" s="32">
        <v>1.5606999999999999E-2</v>
      </c>
      <c r="T197" s="32" t="s">
        <v>139</v>
      </c>
      <c r="U197" s="32">
        <v>5.7600000000000001E-4</v>
      </c>
      <c r="V197" s="32">
        <v>1.882E-3</v>
      </c>
      <c r="W197" s="32">
        <v>6.7029999999999998E-3</v>
      </c>
      <c r="X197" s="32">
        <v>1.2019E-2</v>
      </c>
      <c r="Y197" s="32">
        <v>2.3245999999999999E-2</v>
      </c>
      <c r="Z197" s="32">
        <v>5.5483999999999999E-2</v>
      </c>
      <c r="AA197" s="32">
        <v>9.3413999999999997E-2</v>
      </c>
      <c r="AB197" s="32">
        <v>0.134631</v>
      </c>
    </row>
    <row r="198" spans="1:28" ht="15.6" customHeight="1" x14ac:dyDescent="0.25">
      <c r="A198" s="24" t="s">
        <v>1255</v>
      </c>
      <c r="B198" s="50">
        <v>3749</v>
      </c>
      <c r="C198" s="25" t="s">
        <v>1256</v>
      </c>
      <c r="D198" s="25" t="s">
        <v>101</v>
      </c>
      <c r="E198" s="25" t="s">
        <v>194</v>
      </c>
      <c r="F198" s="25" t="s">
        <v>113</v>
      </c>
      <c r="G198" s="26" t="s">
        <v>1257</v>
      </c>
      <c r="H198" s="27" t="s">
        <v>120</v>
      </c>
      <c r="I198" s="24" t="s">
        <v>998</v>
      </c>
      <c r="J198" s="24" t="s">
        <v>107</v>
      </c>
      <c r="K198" s="28" t="s">
        <v>108</v>
      </c>
      <c r="L198" s="29">
        <v>0</v>
      </c>
      <c r="M198" s="29">
        <v>0</v>
      </c>
      <c r="N198" s="29">
        <v>0.02</v>
      </c>
      <c r="O198" s="27" t="s">
        <v>109</v>
      </c>
      <c r="P198" s="30" t="s">
        <v>101</v>
      </c>
      <c r="Q198" s="31">
        <v>180419584.5</v>
      </c>
      <c r="R198" s="31">
        <v>1462.7</v>
      </c>
      <c r="S198" s="32">
        <v>3.003E-3</v>
      </c>
      <c r="T198" s="32" t="s">
        <v>139</v>
      </c>
      <c r="U198" s="32">
        <v>9.1699999999999995E-4</v>
      </c>
      <c r="V198" s="32">
        <v>2.7420000000000001E-3</v>
      </c>
      <c r="W198" s="32">
        <v>3.0929999999999998E-3</v>
      </c>
      <c r="X198" s="32">
        <v>1.884E-3</v>
      </c>
      <c r="Y198" s="32">
        <v>1.554E-3</v>
      </c>
      <c r="Z198" s="32">
        <v>6.8897E-2</v>
      </c>
      <c r="AA198" s="32">
        <v>0.12962899999999999</v>
      </c>
      <c r="AB198" s="32">
        <v>0.148477</v>
      </c>
    </row>
    <row r="199" spans="1:28" ht="15.6" customHeight="1" x14ac:dyDescent="0.25">
      <c r="A199" s="24" t="s">
        <v>1258</v>
      </c>
      <c r="B199" s="50">
        <v>3750</v>
      </c>
      <c r="C199" s="25" t="s">
        <v>1259</v>
      </c>
      <c r="D199" s="25" t="s">
        <v>101</v>
      </c>
      <c r="E199" s="25" t="s">
        <v>194</v>
      </c>
      <c r="F199" s="25" t="s">
        <v>113</v>
      </c>
      <c r="G199" s="26" t="s">
        <v>1160</v>
      </c>
      <c r="H199" s="27" t="s">
        <v>839</v>
      </c>
      <c r="I199" s="24" t="s">
        <v>998</v>
      </c>
      <c r="J199" s="24" t="s">
        <v>107</v>
      </c>
      <c r="K199" s="28" t="s">
        <v>108</v>
      </c>
      <c r="L199" s="29">
        <v>0.03</v>
      </c>
      <c r="M199" s="29">
        <v>1.4999999999999999E-2</v>
      </c>
      <c r="N199" s="29">
        <v>0.02</v>
      </c>
      <c r="O199" s="27" t="s">
        <v>109</v>
      </c>
      <c r="P199" s="30" t="s">
        <v>101</v>
      </c>
      <c r="Q199" s="31">
        <v>151704573.19999999</v>
      </c>
      <c r="R199" s="31">
        <v>1273.95</v>
      </c>
      <c r="S199" s="32">
        <v>6.0730000000000003E-3</v>
      </c>
      <c r="T199" s="32" t="s">
        <v>139</v>
      </c>
      <c r="U199" s="32">
        <v>9.8999999999999999E-4</v>
      </c>
      <c r="V199" s="32">
        <v>2.826E-3</v>
      </c>
      <c r="W199" s="32">
        <v>4.019E-3</v>
      </c>
      <c r="X199" s="32">
        <v>6.8840000000000004E-3</v>
      </c>
      <c r="Y199" s="32">
        <v>-2.5017999999999999E-2</v>
      </c>
      <c r="Z199" s="32">
        <v>-8.2749999999999994E-3</v>
      </c>
      <c r="AA199" s="32">
        <v>1.247E-2</v>
      </c>
      <c r="AB199" s="32">
        <v>1.6833000000000001E-2</v>
      </c>
    </row>
    <row r="200" spans="1:28" ht="15.6" customHeight="1" x14ac:dyDescent="0.25">
      <c r="A200" s="24" t="s">
        <v>384</v>
      </c>
      <c r="B200" s="50">
        <v>3751</v>
      </c>
      <c r="C200" s="25" t="s">
        <v>385</v>
      </c>
      <c r="D200" s="25" t="s">
        <v>137</v>
      </c>
      <c r="E200" s="25" t="s">
        <v>194</v>
      </c>
      <c r="F200" s="25" t="s">
        <v>103</v>
      </c>
      <c r="G200" s="26" t="s">
        <v>343</v>
      </c>
      <c r="H200" s="27" t="s">
        <v>386</v>
      </c>
      <c r="I200" s="24" t="s">
        <v>106</v>
      </c>
      <c r="J200" s="24" t="s">
        <v>107</v>
      </c>
      <c r="K200" s="28" t="s">
        <v>108</v>
      </c>
      <c r="L200" s="29">
        <v>5.0000000000000001E-3</v>
      </c>
      <c r="M200" s="29">
        <v>5.0000000000000001E-3</v>
      </c>
      <c r="N200" s="29">
        <v>4.0000000000000001E-3</v>
      </c>
      <c r="O200" s="27" t="s">
        <v>141</v>
      </c>
      <c r="P200" s="30" t="s">
        <v>142</v>
      </c>
      <c r="Q200" s="31">
        <v>136180190.33981699</v>
      </c>
      <c r="R200" s="31">
        <v>2431789.11</v>
      </c>
      <c r="S200" s="32">
        <v>8.2559999999999995E-3</v>
      </c>
      <c r="T200" s="32" t="s">
        <v>139</v>
      </c>
      <c r="U200" s="32">
        <v>2.8299999999999999E-4</v>
      </c>
      <c r="V200" s="32">
        <v>1.008E-3</v>
      </c>
      <c r="W200" s="32">
        <v>3.333E-3</v>
      </c>
      <c r="X200" s="32">
        <v>6.1269999999999996E-3</v>
      </c>
      <c r="Y200" s="32">
        <v>5.3545000000000002E-2</v>
      </c>
      <c r="Z200" s="32">
        <v>5.0040000000000001E-2</v>
      </c>
      <c r="AA200" s="32">
        <v>3.9609999999999999E-2</v>
      </c>
      <c r="AB200" s="32">
        <v>2.1468999999999999E-2</v>
      </c>
    </row>
    <row r="201" spans="1:28" ht="15.6" customHeight="1" x14ac:dyDescent="0.25">
      <c r="A201" s="24" t="s">
        <v>1260</v>
      </c>
      <c r="B201" s="50">
        <v>3754</v>
      </c>
      <c r="C201" s="25" t="s">
        <v>1261</v>
      </c>
      <c r="D201" s="25" t="s">
        <v>137</v>
      </c>
      <c r="E201" s="25" t="s">
        <v>194</v>
      </c>
      <c r="F201" s="25" t="s">
        <v>155</v>
      </c>
      <c r="G201" s="26" t="s">
        <v>139</v>
      </c>
      <c r="H201" s="27" t="s">
        <v>202</v>
      </c>
      <c r="I201" s="24" t="s">
        <v>998</v>
      </c>
      <c r="J201" s="24" t="s">
        <v>107</v>
      </c>
      <c r="K201" s="28" t="s">
        <v>180</v>
      </c>
      <c r="L201" s="29">
        <v>4.5000000000000014E-3</v>
      </c>
      <c r="M201" s="29">
        <v>4.5000000000000014E-3</v>
      </c>
      <c r="N201" s="29">
        <v>0.02</v>
      </c>
      <c r="O201" s="27" t="s">
        <v>141</v>
      </c>
      <c r="P201" s="30" t="s">
        <v>142</v>
      </c>
      <c r="Q201" s="31">
        <v>448764770.03909802</v>
      </c>
      <c r="R201" s="31">
        <v>172.06</v>
      </c>
      <c r="S201" s="32">
        <v>-3.7484999999999997E-2</v>
      </c>
      <c r="T201" s="32" t="s">
        <v>139</v>
      </c>
      <c r="U201" s="32">
        <v>7.3769999999999999E-3</v>
      </c>
      <c r="V201" s="32">
        <v>4.8507000000000002E-2</v>
      </c>
      <c r="W201" s="32">
        <v>4.2226E-2</v>
      </c>
      <c r="X201" s="32">
        <v>-3.6463000000000002E-2</v>
      </c>
      <c r="Y201" s="32">
        <v>-0.12939300000000001</v>
      </c>
      <c r="Z201" s="32">
        <v>0.211059</v>
      </c>
      <c r="AA201" s="32">
        <v>0.404304</v>
      </c>
      <c r="AB201" s="32">
        <v>0.35121400000000003</v>
      </c>
    </row>
    <row r="202" spans="1:28" ht="15.6" customHeight="1" x14ac:dyDescent="0.25">
      <c r="A202" s="24" t="s">
        <v>387</v>
      </c>
      <c r="B202" s="50">
        <v>3755</v>
      </c>
      <c r="C202" s="25" t="s">
        <v>388</v>
      </c>
      <c r="D202" s="25" t="s">
        <v>159</v>
      </c>
      <c r="E202" s="25" t="s">
        <v>194</v>
      </c>
      <c r="F202" s="25" t="s">
        <v>128</v>
      </c>
      <c r="G202" s="26" t="s">
        <v>389</v>
      </c>
      <c r="H202" s="27" t="s">
        <v>130</v>
      </c>
      <c r="I202" s="24" t="s">
        <v>106</v>
      </c>
      <c r="J202" s="24" t="s">
        <v>121</v>
      </c>
      <c r="K202" s="28" t="s">
        <v>108</v>
      </c>
      <c r="L202" s="29">
        <v>0</v>
      </c>
      <c r="M202" s="29">
        <v>0</v>
      </c>
      <c r="N202" s="29">
        <v>0.02</v>
      </c>
      <c r="O202" s="27" t="s">
        <v>161</v>
      </c>
      <c r="P202" s="30" t="s">
        <v>159</v>
      </c>
      <c r="Q202" s="31">
        <v>397047763.98000002</v>
      </c>
      <c r="R202" s="31">
        <v>1407.87</v>
      </c>
      <c r="S202" s="32">
        <v>1.6181999999999998E-2</v>
      </c>
      <c r="T202" s="32" t="s">
        <v>139</v>
      </c>
      <c r="U202" s="32">
        <v>6.11E-4</v>
      </c>
      <c r="V202" s="32">
        <v>1.9430000000000001E-3</v>
      </c>
      <c r="W202" s="32">
        <v>6.5269999999999998E-3</v>
      </c>
      <c r="X202" s="32">
        <v>1.2871E-2</v>
      </c>
      <c r="Y202" s="32">
        <v>2.3019999999999999E-2</v>
      </c>
      <c r="Z202" s="32">
        <v>5.3724000000000001E-2</v>
      </c>
      <c r="AA202" s="32">
        <v>9.1127E-2</v>
      </c>
      <c r="AB202" s="32">
        <v>0.131746</v>
      </c>
    </row>
    <row r="203" spans="1:28" ht="15.6" customHeight="1" x14ac:dyDescent="0.25">
      <c r="A203" s="24" t="s">
        <v>390</v>
      </c>
      <c r="B203" s="50">
        <v>3756</v>
      </c>
      <c r="C203" s="25" t="s">
        <v>391</v>
      </c>
      <c r="D203" s="25" t="s">
        <v>101</v>
      </c>
      <c r="E203" s="25" t="s">
        <v>194</v>
      </c>
      <c r="F203" s="25" t="s">
        <v>103</v>
      </c>
      <c r="G203" s="26" t="s">
        <v>392</v>
      </c>
      <c r="H203" s="27" t="s">
        <v>337</v>
      </c>
      <c r="I203" s="24" t="s">
        <v>106</v>
      </c>
      <c r="J203" s="24" t="s">
        <v>121</v>
      </c>
      <c r="K203" s="28" t="s">
        <v>108</v>
      </c>
      <c r="L203" s="29">
        <v>0</v>
      </c>
      <c r="M203" s="29">
        <v>0</v>
      </c>
      <c r="N203" s="29">
        <v>0.02</v>
      </c>
      <c r="O203" s="27" t="s">
        <v>109</v>
      </c>
      <c r="P203" s="30" t="s">
        <v>101</v>
      </c>
      <c r="Q203" s="31">
        <v>29071985.829999998</v>
      </c>
      <c r="R203" s="31">
        <v>130954.89</v>
      </c>
      <c r="S203" s="32">
        <v>1.3299999999999999E-2</v>
      </c>
      <c r="T203" s="32" t="s">
        <v>139</v>
      </c>
      <c r="U203" s="32">
        <v>4.2900000000000002E-4</v>
      </c>
      <c r="V203" s="32">
        <v>1.7149999999999999E-3</v>
      </c>
      <c r="W203" s="32">
        <v>5.2469999999999999E-3</v>
      </c>
      <c r="X203" s="32">
        <v>1.0349000000000001E-2</v>
      </c>
      <c r="Y203" s="32">
        <v>1.9702000000000001E-2</v>
      </c>
      <c r="Z203" s="32">
        <v>4.3781E-2</v>
      </c>
      <c r="AA203" s="32">
        <v>7.7335000000000001E-2</v>
      </c>
      <c r="AB203" s="32">
        <v>0.12049799999999999</v>
      </c>
    </row>
    <row r="204" spans="1:28" ht="15.6" customHeight="1" x14ac:dyDescent="0.25">
      <c r="A204" s="24" t="s">
        <v>1262</v>
      </c>
      <c r="B204" s="50">
        <v>3757</v>
      </c>
      <c r="C204" s="25" t="s">
        <v>1263</v>
      </c>
      <c r="D204" s="25" t="s">
        <v>159</v>
      </c>
      <c r="E204" s="25" t="s">
        <v>194</v>
      </c>
      <c r="F204" s="25" t="s">
        <v>113</v>
      </c>
      <c r="G204" s="26" t="s">
        <v>531</v>
      </c>
      <c r="H204" s="27" t="s">
        <v>1264</v>
      </c>
      <c r="I204" s="24" t="s">
        <v>998</v>
      </c>
      <c r="J204" s="24" t="s">
        <v>121</v>
      </c>
      <c r="K204" s="28" t="s">
        <v>108</v>
      </c>
      <c r="L204" s="29">
        <v>0</v>
      </c>
      <c r="M204" s="29">
        <v>0</v>
      </c>
      <c r="N204" s="29">
        <v>0.02</v>
      </c>
      <c r="O204" s="27" t="s">
        <v>161</v>
      </c>
      <c r="P204" s="30" t="s">
        <v>159</v>
      </c>
      <c r="Q204" s="31">
        <v>2716535366.73</v>
      </c>
      <c r="R204" s="31">
        <v>1670.47</v>
      </c>
      <c r="S204" s="32">
        <v>7.2230000000000003E-3</v>
      </c>
      <c r="T204" s="32" t="s">
        <v>139</v>
      </c>
      <c r="U204" s="32">
        <v>1.763E-3</v>
      </c>
      <c r="V204" s="32">
        <v>7.3080000000000003E-3</v>
      </c>
      <c r="W204" s="32">
        <v>9.3600000000000003E-3</v>
      </c>
      <c r="X204" s="32">
        <v>5.1079999999999997E-3</v>
      </c>
      <c r="Y204" s="32">
        <v>-1.279E-3</v>
      </c>
      <c r="Z204" s="32">
        <v>0.10098500000000001</v>
      </c>
      <c r="AA204" s="32">
        <v>0.197796</v>
      </c>
      <c r="AB204" s="32">
        <v>0.22357199999999999</v>
      </c>
    </row>
    <row r="205" spans="1:28" ht="15.6" customHeight="1" x14ac:dyDescent="0.25">
      <c r="A205" s="24" t="s">
        <v>1265</v>
      </c>
      <c r="B205" s="50">
        <v>3758</v>
      </c>
      <c r="C205" s="25" t="s">
        <v>1266</v>
      </c>
      <c r="D205" s="25" t="s">
        <v>145</v>
      </c>
      <c r="E205" s="25" t="s">
        <v>194</v>
      </c>
      <c r="F205" s="25" t="s">
        <v>113</v>
      </c>
      <c r="G205" s="26" t="s">
        <v>347</v>
      </c>
      <c r="H205" s="27" t="s">
        <v>1267</v>
      </c>
      <c r="I205" s="24" t="s">
        <v>998</v>
      </c>
      <c r="J205" s="24" t="s">
        <v>121</v>
      </c>
      <c r="K205" s="28" t="s">
        <v>108</v>
      </c>
      <c r="L205" s="29">
        <v>0.03</v>
      </c>
      <c r="M205" s="29">
        <v>0.03</v>
      </c>
      <c r="N205" s="29">
        <v>0.02</v>
      </c>
      <c r="O205" s="27" t="s">
        <v>148</v>
      </c>
      <c r="P205" s="30" t="s">
        <v>145</v>
      </c>
      <c r="Q205" s="31">
        <v>3815955006.29</v>
      </c>
      <c r="R205" s="31">
        <v>1695.42</v>
      </c>
      <c r="S205" s="32">
        <v>1.8910000000000001E-3</v>
      </c>
      <c r="T205" s="32" t="s">
        <v>139</v>
      </c>
      <c r="U205" s="32">
        <v>1.116E-3</v>
      </c>
      <c r="V205" s="32">
        <v>5.7780000000000001E-3</v>
      </c>
      <c r="W205" s="32">
        <v>8.8120000000000004E-3</v>
      </c>
      <c r="X205" s="32">
        <v>4.5399999999999998E-4</v>
      </c>
      <c r="Y205" s="32">
        <v>-8.2129999999999998E-3</v>
      </c>
      <c r="Z205" s="32">
        <v>9.5863000000000004E-2</v>
      </c>
      <c r="AA205" s="32">
        <v>0.20108799999999999</v>
      </c>
      <c r="AB205" s="32">
        <v>0.226991</v>
      </c>
    </row>
    <row r="206" spans="1:28" ht="15.6" customHeight="1" x14ac:dyDescent="0.25">
      <c r="A206" s="24" t="s">
        <v>1268</v>
      </c>
      <c r="B206" s="50">
        <v>3759</v>
      </c>
      <c r="C206" s="25" t="s">
        <v>1269</v>
      </c>
      <c r="D206" s="25" t="s">
        <v>127</v>
      </c>
      <c r="E206" s="25" t="s">
        <v>194</v>
      </c>
      <c r="F206" s="25" t="s">
        <v>113</v>
      </c>
      <c r="G206" s="26" t="s">
        <v>347</v>
      </c>
      <c r="H206" s="27" t="s">
        <v>1270</v>
      </c>
      <c r="I206" s="24" t="s">
        <v>998</v>
      </c>
      <c r="J206" s="24" t="s">
        <v>121</v>
      </c>
      <c r="K206" s="28" t="s">
        <v>108</v>
      </c>
      <c r="L206" s="29">
        <v>0.03</v>
      </c>
      <c r="M206" s="29">
        <v>0.03</v>
      </c>
      <c r="N206" s="29">
        <v>0.02</v>
      </c>
      <c r="O206" s="27" t="s">
        <v>131</v>
      </c>
      <c r="P206" s="30" t="s">
        <v>131</v>
      </c>
      <c r="Q206" s="31">
        <v>2935541010.8200002</v>
      </c>
      <c r="R206" s="31">
        <v>1607.04</v>
      </c>
      <c r="S206" s="32">
        <v>3.7659999999999998E-3</v>
      </c>
      <c r="T206" s="32" t="s">
        <v>139</v>
      </c>
      <c r="U206" s="32">
        <v>1.539E-3</v>
      </c>
      <c r="V206" s="32">
        <v>6.2170000000000003E-3</v>
      </c>
      <c r="W206" s="32">
        <v>8.763E-3</v>
      </c>
      <c r="X206" s="32">
        <v>1.5770000000000001E-3</v>
      </c>
      <c r="Y206" s="32">
        <v>-8.4469999999999996E-3</v>
      </c>
      <c r="Z206" s="32">
        <v>8.6623000000000006E-2</v>
      </c>
      <c r="AA206" s="32">
        <v>0.17801800000000001</v>
      </c>
      <c r="AB206" s="32">
        <v>0.21559400000000001</v>
      </c>
    </row>
    <row r="207" spans="1:28" ht="15.6" customHeight="1" x14ac:dyDescent="0.25">
      <c r="A207" s="24" t="s">
        <v>393</v>
      </c>
      <c r="B207" s="50">
        <v>3761</v>
      </c>
      <c r="C207" s="25" t="s">
        <v>394</v>
      </c>
      <c r="D207" s="25" t="s">
        <v>241</v>
      </c>
      <c r="E207" s="25" t="s">
        <v>194</v>
      </c>
      <c r="F207" s="25" t="s">
        <v>128</v>
      </c>
      <c r="G207" s="26" t="s">
        <v>289</v>
      </c>
      <c r="H207" s="27" t="s">
        <v>130</v>
      </c>
      <c r="I207" s="24" t="s">
        <v>106</v>
      </c>
      <c r="J207" s="24" t="s">
        <v>107</v>
      </c>
      <c r="K207" s="28" t="s">
        <v>108</v>
      </c>
      <c r="L207" s="29">
        <v>0</v>
      </c>
      <c r="M207" s="29">
        <v>0</v>
      </c>
      <c r="N207" s="29">
        <v>0.02</v>
      </c>
      <c r="O207" s="27" t="s">
        <v>148</v>
      </c>
      <c r="P207" s="30" t="s">
        <v>241</v>
      </c>
      <c r="Q207" s="31">
        <v>4844504811.6700001</v>
      </c>
      <c r="R207" s="31">
        <v>1438.54</v>
      </c>
      <c r="S207" s="32">
        <v>1.9229E-2</v>
      </c>
      <c r="T207" s="32" t="s">
        <v>139</v>
      </c>
      <c r="U207" s="32">
        <v>6.8199999999999999E-4</v>
      </c>
      <c r="V207" s="32">
        <v>2.4529999999999999E-3</v>
      </c>
      <c r="W207" s="32">
        <v>7.7549999999999997E-3</v>
      </c>
      <c r="X207" s="32">
        <v>1.5094E-2</v>
      </c>
      <c r="Y207" s="32">
        <v>2.8021000000000001E-2</v>
      </c>
      <c r="Z207" s="32">
        <v>6.7046999999999995E-2</v>
      </c>
      <c r="AA207" s="32">
        <v>0.111133</v>
      </c>
      <c r="AB207" s="32">
        <v>0.16004699999999999</v>
      </c>
    </row>
    <row r="208" spans="1:28" ht="15.6" customHeight="1" x14ac:dyDescent="0.25">
      <c r="A208" s="24" t="s">
        <v>395</v>
      </c>
      <c r="B208" s="50">
        <v>3762</v>
      </c>
      <c r="C208" s="25" t="s">
        <v>396</v>
      </c>
      <c r="D208" s="25" t="s">
        <v>342</v>
      </c>
      <c r="E208" s="25" t="s">
        <v>194</v>
      </c>
      <c r="F208" s="25" t="s">
        <v>128</v>
      </c>
      <c r="G208" s="26" t="s">
        <v>289</v>
      </c>
      <c r="H208" s="27" t="s">
        <v>130</v>
      </c>
      <c r="I208" s="24" t="s">
        <v>106</v>
      </c>
      <c r="J208" s="24" t="s">
        <v>107</v>
      </c>
      <c r="K208" s="28" t="s">
        <v>108</v>
      </c>
      <c r="L208" s="29">
        <v>0.03</v>
      </c>
      <c r="M208" s="29">
        <v>0.03</v>
      </c>
      <c r="N208" s="29">
        <v>0.02</v>
      </c>
      <c r="O208" s="27" t="s">
        <v>148</v>
      </c>
      <c r="P208" s="30" t="s">
        <v>344</v>
      </c>
      <c r="Q208" s="31">
        <v>2505516261.8000002</v>
      </c>
      <c r="R208" s="31">
        <v>1372.57</v>
      </c>
      <c r="S208" s="32">
        <v>1.9687E-2</v>
      </c>
      <c r="T208" s="32" t="s">
        <v>139</v>
      </c>
      <c r="U208" s="32">
        <v>7.5799999999999999E-4</v>
      </c>
      <c r="V208" s="32">
        <v>2.4320000000000001E-3</v>
      </c>
      <c r="W208" s="32">
        <v>8.0569999999999999E-3</v>
      </c>
      <c r="X208" s="32">
        <v>1.5304999999999999E-2</v>
      </c>
      <c r="Y208" s="32">
        <v>2.7896000000000001E-2</v>
      </c>
      <c r="Z208" s="32">
        <v>6.6778000000000004E-2</v>
      </c>
      <c r="AA208" s="32">
        <v>0.113566</v>
      </c>
      <c r="AB208" s="32">
        <v>0.15440000000000001</v>
      </c>
    </row>
    <row r="209" spans="1:28" ht="15.6" customHeight="1" x14ac:dyDescent="0.25">
      <c r="A209" s="24" t="s">
        <v>397</v>
      </c>
      <c r="B209" s="50">
        <v>3763</v>
      </c>
      <c r="C209" s="25" t="s">
        <v>398</v>
      </c>
      <c r="D209" s="25" t="s">
        <v>342</v>
      </c>
      <c r="E209" s="25" t="s">
        <v>194</v>
      </c>
      <c r="F209" s="25" t="s">
        <v>103</v>
      </c>
      <c r="G209" s="26" t="s">
        <v>244</v>
      </c>
      <c r="H209" s="27" t="s">
        <v>130</v>
      </c>
      <c r="I209" s="24" t="s">
        <v>106</v>
      </c>
      <c r="J209" s="24" t="s">
        <v>107</v>
      </c>
      <c r="K209" s="28" t="s">
        <v>108</v>
      </c>
      <c r="L209" s="29">
        <v>0.03</v>
      </c>
      <c r="M209" s="29">
        <v>0.03</v>
      </c>
      <c r="N209" s="29">
        <v>0.02</v>
      </c>
      <c r="O209" s="27" t="s">
        <v>148</v>
      </c>
      <c r="P209" s="30" t="s">
        <v>344</v>
      </c>
      <c r="Q209" s="31">
        <v>550423781.75999999</v>
      </c>
      <c r="R209" s="31">
        <v>1303.1400000000001</v>
      </c>
      <c r="S209" s="32">
        <v>1.6752E-2</v>
      </c>
      <c r="T209" s="32" t="s">
        <v>139</v>
      </c>
      <c r="U209" s="32">
        <v>5.5999999999999995E-4</v>
      </c>
      <c r="V209" s="32">
        <v>2.176E-3</v>
      </c>
      <c r="W209" s="32">
        <v>6.6280000000000002E-3</v>
      </c>
      <c r="X209" s="32">
        <v>1.2895E-2</v>
      </c>
      <c r="Y209" s="32">
        <v>2.4256E-2</v>
      </c>
      <c r="Z209" s="32">
        <v>5.6543000000000003E-2</v>
      </c>
      <c r="AA209" s="32">
        <v>9.2285000000000006E-2</v>
      </c>
      <c r="AB209" s="32">
        <v>0.13564399999999999</v>
      </c>
    </row>
    <row r="210" spans="1:28" ht="15.6" customHeight="1" x14ac:dyDescent="0.25">
      <c r="A210" s="24" t="s">
        <v>1271</v>
      </c>
      <c r="B210" s="50">
        <v>3764</v>
      </c>
      <c r="C210" s="25" t="s">
        <v>1272</v>
      </c>
      <c r="D210" s="25" t="s">
        <v>342</v>
      </c>
      <c r="E210" s="25" t="s">
        <v>194</v>
      </c>
      <c r="F210" s="25" t="s">
        <v>138</v>
      </c>
      <c r="G210" s="26" t="s">
        <v>139</v>
      </c>
      <c r="H210" s="27" t="s">
        <v>1273</v>
      </c>
      <c r="I210" s="24" t="s">
        <v>998</v>
      </c>
      <c r="J210" s="24" t="s">
        <v>107</v>
      </c>
      <c r="K210" s="28" t="s">
        <v>108</v>
      </c>
      <c r="L210" s="29">
        <v>0.03</v>
      </c>
      <c r="M210" s="29">
        <v>0.03</v>
      </c>
      <c r="N210" s="29">
        <v>0.02</v>
      </c>
      <c r="O210" s="27" t="s">
        <v>148</v>
      </c>
      <c r="P210" s="30" t="s">
        <v>344</v>
      </c>
      <c r="Q210" s="31">
        <v>1465867214.1800001</v>
      </c>
      <c r="R210" s="31">
        <v>1389.14</v>
      </c>
      <c r="S210" s="32">
        <v>-1.2980999999999999E-2</v>
      </c>
      <c r="T210" s="32" t="s">
        <v>139</v>
      </c>
      <c r="U210" s="32">
        <v>8.0260000000000001E-3</v>
      </c>
      <c r="V210" s="32">
        <v>4.4498000000000003E-2</v>
      </c>
      <c r="W210" s="32">
        <v>3.2626000000000002E-2</v>
      </c>
      <c r="X210" s="32">
        <v>-1.6601000000000001E-2</v>
      </c>
      <c r="Y210" s="32">
        <v>-0.100548</v>
      </c>
      <c r="Z210" s="32">
        <v>0.19595699999999999</v>
      </c>
      <c r="AA210" s="32">
        <v>0.42677799999999999</v>
      </c>
      <c r="AB210" s="32">
        <v>0.286574</v>
      </c>
    </row>
    <row r="211" spans="1:28" ht="15.6" customHeight="1" x14ac:dyDescent="0.25">
      <c r="A211" s="24" t="s">
        <v>1274</v>
      </c>
      <c r="B211" s="50">
        <v>3765</v>
      </c>
      <c r="C211" s="25" t="s">
        <v>1275</v>
      </c>
      <c r="D211" s="25" t="s">
        <v>355</v>
      </c>
      <c r="E211" s="25" t="s">
        <v>194</v>
      </c>
      <c r="F211" s="25" t="s">
        <v>155</v>
      </c>
      <c r="G211" s="26" t="s">
        <v>139</v>
      </c>
      <c r="H211" s="27" t="s">
        <v>156</v>
      </c>
      <c r="I211" s="24" t="s">
        <v>998</v>
      </c>
      <c r="J211" s="24" t="s">
        <v>107</v>
      </c>
      <c r="K211" s="28" t="s">
        <v>108</v>
      </c>
      <c r="L211" s="29">
        <v>0.02</v>
      </c>
      <c r="M211" s="29">
        <v>1.4999999999999999E-2</v>
      </c>
      <c r="N211" s="29">
        <v>0.02</v>
      </c>
      <c r="O211" s="27" t="s">
        <v>109</v>
      </c>
      <c r="P211" s="30" t="s">
        <v>355</v>
      </c>
      <c r="Q211" s="31">
        <v>1435066715.9300001</v>
      </c>
      <c r="R211" s="31">
        <v>2407.25</v>
      </c>
      <c r="S211" s="32">
        <v>-9.6559999999999997E-3</v>
      </c>
      <c r="T211" s="32" t="s">
        <v>139</v>
      </c>
      <c r="U211" s="32">
        <v>1.1977E-2</v>
      </c>
      <c r="V211" s="32">
        <v>6.5536999999999998E-2</v>
      </c>
      <c r="W211" s="32">
        <v>4.9327000000000003E-2</v>
      </c>
      <c r="X211" s="32">
        <v>-7.4339999999999996E-3</v>
      </c>
      <c r="Y211" s="32">
        <v>-0.12189</v>
      </c>
      <c r="Z211" s="32">
        <v>0.28528599999999998</v>
      </c>
      <c r="AA211" s="32">
        <v>0.55371599999999999</v>
      </c>
      <c r="AB211" s="32">
        <v>0.483375</v>
      </c>
    </row>
    <row r="212" spans="1:28" ht="15.6" customHeight="1" x14ac:dyDescent="0.25">
      <c r="A212" s="24" t="s">
        <v>1276</v>
      </c>
      <c r="B212" s="50">
        <v>3766</v>
      </c>
      <c r="C212" s="25" t="s">
        <v>1277</v>
      </c>
      <c r="D212" s="25" t="s">
        <v>908</v>
      </c>
      <c r="E212" s="25" t="s">
        <v>194</v>
      </c>
      <c r="F212" s="25" t="s">
        <v>138</v>
      </c>
      <c r="G212" s="26" t="s">
        <v>139</v>
      </c>
      <c r="H212" s="27" t="s">
        <v>757</v>
      </c>
      <c r="I212" s="24" t="s">
        <v>998</v>
      </c>
      <c r="J212" s="24" t="s">
        <v>121</v>
      </c>
      <c r="K212" s="28" t="s">
        <v>108</v>
      </c>
      <c r="L212" s="29">
        <v>5.0000000000000001E-3</v>
      </c>
      <c r="M212" s="29">
        <v>2.5000000000000001E-3</v>
      </c>
      <c r="N212" s="29">
        <v>0.02</v>
      </c>
      <c r="O212" s="27" t="s">
        <v>262</v>
      </c>
      <c r="P212" s="30" t="s">
        <v>908</v>
      </c>
      <c r="Q212" s="31">
        <v>662272089.77999997</v>
      </c>
      <c r="R212" s="31">
        <v>1815.45</v>
      </c>
      <c r="S212" s="32">
        <v>6.2523999999999996E-2</v>
      </c>
      <c r="T212" s="32" t="s">
        <v>139</v>
      </c>
      <c r="U212" s="32">
        <v>7.7879999999999998E-3</v>
      </c>
      <c r="V212" s="32">
        <v>3.9734999999999999E-2</v>
      </c>
      <c r="W212" s="32">
        <v>4.1644E-2</v>
      </c>
      <c r="X212" s="32">
        <v>4.6695E-2</v>
      </c>
      <c r="Y212" s="32">
        <v>2.1458999999999999E-2</v>
      </c>
      <c r="Z212" s="32">
        <v>0.28655900000000001</v>
      </c>
      <c r="AA212" s="32">
        <v>0.46685300000000002</v>
      </c>
      <c r="AB212" s="32">
        <v>0.47554400000000002</v>
      </c>
    </row>
    <row r="213" spans="1:28" ht="15.6" customHeight="1" x14ac:dyDescent="0.25">
      <c r="A213" s="24" t="s">
        <v>399</v>
      </c>
      <c r="B213" s="50">
        <v>3767</v>
      </c>
      <c r="C213" s="25" t="s">
        <v>400</v>
      </c>
      <c r="D213" s="25" t="s">
        <v>145</v>
      </c>
      <c r="E213" s="25" t="s">
        <v>194</v>
      </c>
      <c r="F213" s="25" t="s">
        <v>103</v>
      </c>
      <c r="G213" s="26" t="s">
        <v>401</v>
      </c>
      <c r="H213" s="27" t="s">
        <v>379</v>
      </c>
      <c r="I213" s="24" t="s">
        <v>106</v>
      </c>
      <c r="J213" s="24" t="s">
        <v>107</v>
      </c>
      <c r="K213" s="28" t="s">
        <v>108</v>
      </c>
      <c r="L213" s="29">
        <v>0.01</v>
      </c>
      <c r="M213" s="29">
        <v>5.0000000000000001E-3</v>
      </c>
      <c r="N213" s="29">
        <v>4.0000000000000001E-3</v>
      </c>
      <c r="O213" s="27" t="s">
        <v>148</v>
      </c>
      <c r="P213" s="30" t="s">
        <v>145</v>
      </c>
      <c r="Q213" s="31">
        <v>184839920.30000001</v>
      </c>
      <c r="R213" s="31">
        <v>1293.31</v>
      </c>
      <c r="S213" s="32">
        <v>1.5173000000000001E-2</v>
      </c>
      <c r="T213" s="32" t="s">
        <v>139</v>
      </c>
      <c r="U213" s="32">
        <v>4.3300000000000001E-4</v>
      </c>
      <c r="V213" s="32">
        <v>1.6260000000000001E-3</v>
      </c>
      <c r="W213" s="32">
        <v>7.2589999999999998E-3</v>
      </c>
      <c r="X213" s="32">
        <v>1.2225E-2</v>
      </c>
      <c r="Y213" s="32">
        <v>2.2072000000000001E-2</v>
      </c>
      <c r="Z213" s="32">
        <v>4.6671999999999998E-2</v>
      </c>
      <c r="AA213" s="32">
        <v>7.6564999999999994E-2</v>
      </c>
      <c r="AB213" s="32">
        <v>0.11732099999999999</v>
      </c>
    </row>
    <row r="214" spans="1:28" ht="15.6" customHeight="1" x14ac:dyDescent="0.25">
      <c r="A214" s="24" t="s">
        <v>1278</v>
      </c>
      <c r="B214" s="50">
        <v>3768</v>
      </c>
      <c r="C214" s="25" t="s">
        <v>1279</v>
      </c>
      <c r="D214" s="25" t="s">
        <v>145</v>
      </c>
      <c r="E214" s="25" t="s">
        <v>194</v>
      </c>
      <c r="F214" s="25" t="s">
        <v>113</v>
      </c>
      <c r="G214" s="26" t="s">
        <v>347</v>
      </c>
      <c r="H214" s="27" t="s">
        <v>115</v>
      </c>
      <c r="I214" s="24" t="s">
        <v>998</v>
      </c>
      <c r="J214" s="24" t="s">
        <v>121</v>
      </c>
      <c r="K214" s="28" t="s">
        <v>108</v>
      </c>
      <c r="L214" s="29">
        <v>0</v>
      </c>
      <c r="M214" s="29">
        <v>0</v>
      </c>
      <c r="N214" s="29">
        <v>0.01</v>
      </c>
      <c r="O214" s="27" t="s">
        <v>148</v>
      </c>
      <c r="P214" s="30" t="s">
        <v>145</v>
      </c>
      <c r="Q214" s="31">
        <v>200838759.12</v>
      </c>
      <c r="R214" s="31">
        <v>1370.66</v>
      </c>
      <c r="S214" s="32">
        <v>4.7939999999999997E-3</v>
      </c>
      <c r="T214" s="32" t="s">
        <v>139</v>
      </c>
      <c r="U214" s="32">
        <v>1.6000000000000001E-3</v>
      </c>
      <c r="V214" s="32">
        <v>5.2810000000000001E-3</v>
      </c>
      <c r="W214" s="32">
        <v>3.7269999999999998E-3</v>
      </c>
      <c r="X214" s="32">
        <v>-2.33E-4</v>
      </c>
      <c r="Y214" s="32">
        <v>-2.5270000000000002E-3</v>
      </c>
      <c r="Z214" s="32">
        <v>0.113664</v>
      </c>
      <c r="AA214" s="32">
        <v>0.238594</v>
      </c>
      <c r="AB214" s="32">
        <v>0.18155199999999999</v>
      </c>
    </row>
    <row r="215" spans="1:28" ht="15.6" customHeight="1" x14ac:dyDescent="0.25">
      <c r="A215" s="24" t="s">
        <v>1280</v>
      </c>
      <c r="B215" s="50">
        <v>3770</v>
      </c>
      <c r="C215" s="25" t="s">
        <v>1281</v>
      </c>
      <c r="D215" s="25" t="s">
        <v>101</v>
      </c>
      <c r="E215" s="25" t="s">
        <v>194</v>
      </c>
      <c r="F215" s="25" t="s">
        <v>138</v>
      </c>
      <c r="G215" s="26" t="s">
        <v>139</v>
      </c>
      <c r="H215" s="27" t="s">
        <v>1282</v>
      </c>
      <c r="I215" s="24" t="s">
        <v>998</v>
      </c>
      <c r="J215" s="24" t="s">
        <v>107</v>
      </c>
      <c r="K215" s="28" t="s">
        <v>108</v>
      </c>
      <c r="L215" s="29">
        <v>2E-3</v>
      </c>
      <c r="M215" s="29">
        <v>1E-3</v>
      </c>
      <c r="N215" s="29">
        <v>0.02</v>
      </c>
      <c r="O215" s="27" t="s">
        <v>109</v>
      </c>
      <c r="P215" s="30" t="s">
        <v>101</v>
      </c>
      <c r="Q215" s="31">
        <v>1268986.47</v>
      </c>
      <c r="R215" s="31">
        <v>126.9</v>
      </c>
      <c r="S215" s="32">
        <v>1.8159999999999999E-3</v>
      </c>
      <c r="T215" s="32" t="s">
        <v>139</v>
      </c>
      <c r="U215" s="32">
        <v>2.7659999999999998E-3</v>
      </c>
      <c r="V215" s="32">
        <v>1.2769000000000001E-2</v>
      </c>
      <c r="W215" s="32">
        <v>2.3883000000000001E-2</v>
      </c>
      <c r="X215" s="32">
        <v>-3.846E-3</v>
      </c>
      <c r="Y215" s="32">
        <v>-3.2701000000000001E-2</v>
      </c>
      <c r="Z215" s="32">
        <v>8.3226999999999995E-2</v>
      </c>
      <c r="AA215" s="32">
        <v>0.116586</v>
      </c>
      <c r="AB215" s="32">
        <v>0.123506</v>
      </c>
    </row>
    <row r="216" spans="1:28" ht="15.6" customHeight="1" x14ac:dyDescent="0.25">
      <c r="A216" s="24" t="s">
        <v>402</v>
      </c>
      <c r="B216" s="50">
        <v>3771</v>
      </c>
      <c r="C216" s="25" t="s">
        <v>403</v>
      </c>
      <c r="D216" s="25" t="s">
        <v>145</v>
      </c>
      <c r="E216" s="25" t="s">
        <v>194</v>
      </c>
      <c r="F216" s="25" t="s">
        <v>128</v>
      </c>
      <c r="G216" s="26" t="s">
        <v>129</v>
      </c>
      <c r="H216" s="27" t="s">
        <v>130</v>
      </c>
      <c r="I216" s="24" t="s">
        <v>106</v>
      </c>
      <c r="J216" s="24" t="s">
        <v>107</v>
      </c>
      <c r="K216" s="28" t="s">
        <v>108</v>
      </c>
      <c r="L216" s="29">
        <v>0.03</v>
      </c>
      <c r="M216" s="29">
        <v>1.4999999999999999E-2</v>
      </c>
      <c r="N216" s="29">
        <v>0.01</v>
      </c>
      <c r="O216" s="27" t="s">
        <v>148</v>
      </c>
      <c r="P216" s="30" t="s">
        <v>145</v>
      </c>
      <c r="Q216" s="31">
        <v>5833109418.3500004</v>
      </c>
      <c r="R216" s="31">
        <v>2586.04</v>
      </c>
      <c r="S216" s="32">
        <v>1.9675999999999999E-2</v>
      </c>
      <c r="T216" s="32" t="s">
        <v>139</v>
      </c>
      <c r="U216" s="32">
        <v>7.5100000000000004E-4</v>
      </c>
      <c r="V216" s="32">
        <v>2.4269999999999999E-3</v>
      </c>
      <c r="W216" s="32">
        <v>8.5920000000000007E-3</v>
      </c>
      <c r="X216" s="32">
        <v>1.5710999999999999E-2</v>
      </c>
      <c r="Y216" s="32">
        <v>2.7699000000000001E-2</v>
      </c>
      <c r="Z216" s="32">
        <v>6.7183000000000007E-2</v>
      </c>
      <c r="AA216" s="32">
        <v>0.110718</v>
      </c>
      <c r="AB216" s="32">
        <v>0.15221899999999999</v>
      </c>
    </row>
    <row r="217" spans="1:28" ht="15.6" customHeight="1" x14ac:dyDescent="0.25">
      <c r="A217" s="24" t="s">
        <v>404</v>
      </c>
      <c r="B217" s="50">
        <v>3772</v>
      </c>
      <c r="C217" s="25" t="s">
        <v>405</v>
      </c>
      <c r="D217" s="25" t="s">
        <v>145</v>
      </c>
      <c r="E217" s="25" t="s">
        <v>194</v>
      </c>
      <c r="F217" s="25" t="s">
        <v>113</v>
      </c>
      <c r="G217" s="26" t="s">
        <v>406</v>
      </c>
      <c r="H217" s="27" t="s">
        <v>407</v>
      </c>
      <c r="I217" s="24" t="s">
        <v>106</v>
      </c>
      <c r="J217" s="24" t="s">
        <v>107</v>
      </c>
      <c r="K217" s="28" t="s">
        <v>108</v>
      </c>
      <c r="L217" s="29">
        <v>0.01</v>
      </c>
      <c r="M217" s="29">
        <v>5.0000000000000001E-3</v>
      </c>
      <c r="N217" s="29">
        <v>0.01</v>
      </c>
      <c r="O217" s="27" t="s">
        <v>148</v>
      </c>
      <c r="P217" s="30" t="s">
        <v>145</v>
      </c>
      <c r="Q217" s="31">
        <v>1194898258.0999999</v>
      </c>
      <c r="R217" s="31">
        <v>152585.65</v>
      </c>
      <c r="S217" s="32">
        <v>6.6119999999999998E-3</v>
      </c>
      <c r="T217" s="32" t="s">
        <v>139</v>
      </c>
      <c r="U217" s="32">
        <v>1.3290000000000001E-3</v>
      </c>
      <c r="V217" s="32">
        <v>5.535E-3</v>
      </c>
      <c r="W217" s="32">
        <v>7.0390000000000001E-3</v>
      </c>
      <c r="X217" s="32">
        <v>3.4269999999999999E-3</v>
      </c>
      <c r="Y217" s="32">
        <v>1.2979999999999999E-3</v>
      </c>
      <c r="Z217" s="32">
        <v>0.10109799999999999</v>
      </c>
      <c r="AA217" s="32">
        <v>0.17918200000000001</v>
      </c>
      <c r="AB217" s="32">
        <v>0.17905799999999999</v>
      </c>
    </row>
    <row r="218" spans="1:28" ht="15.6" customHeight="1" x14ac:dyDescent="0.25">
      <c r="A218" s="24" t="s">
        <v>408</v>
      </c>
      <c r="B218" s="50">
        <v>3774</v>
      </c>
      <c r="C218" s="25" t="s">
        <v>409</v>
      </c>
      <c r="D218" s="25" t="s">
        <v>145</v>
      </c>
      <c r="E218" s="25" t="s">
        <v>194</v>
      </c>
      <c r="F218" s="25" t="s">
        <v>138</v>
      </c>
      <c r="G218" s="26" t="s">
        <v>139</v>
      </c>
      <c r="H218" s="27" t="s">
        <v>283</v>
      </c>
      <c r="I218" s="24" t="s">
        <v>106</v>
      </c>
      <c r="J218" s="24" t="s">
        <v>107</v>
      </c>
      <c r="K218" s="28" t="s">
        <v>108</v>
      </c>
      <c r="L218" s="29">
        <v>0.01</v>
      </c>
      <c r="M218" s="29">
        <v>5.0000000000000001E-3</v>
      </c>
      <c r="N218" s="29">
        <v>0.02</v>
      </c>
      <c r="O218" s="27" t="s">
        <v>148</v>
      </c>
      <c r="P218" s="30" t="s">
        <v>145</v>
      </c>
      <c r="Q218" s="31">
        <v>30105829.73</v>
      </c>
      <c r="R218" s="31">
        <v>162734.21</v>
      </c>
      <c r="S218" s="32">
        <v>-8.8999999999999995E-4</v>
      </c>
      <c r="T218" s="32" t="s">
        <v>139</v>
      </c>
      <c r="U218" s="32">
        <v>4.1830000000000001E-3</v>
      </c>
      <c r="V218" s="32">
        <v>2.0052E-2</v>
      </c>
      <c r="W218" s="32">
        <v>1.304E-2</v>
      </c>
      <c r="X218" s="32">
        <v>1.1640000000000001E-3</v>
      </c>
      <c r="Y218" s="32">
        <v>-3.2293000000000002E-2</v>
      </c>
      <c r="Z218" s="32">
        <v>0.135071</v>
      </c>
      <c r="AA218" s="32">
        <v>0.25433</v>
      </c>
      <c r="AB218" s="32">
        <v>0.17169499999999999</v>
      </c>
    </row>
    <row r="219" spans="1:28" ht="15.6" customHeight="1" x14ac:dyDescent="0.25">
      <c r="A219" s="24" t="s">
        <v>410</v>
      </c>
      <c r="B219" s="50">
        <v>3775</v>
      </c>
      <c r="C219" s="25" t="s">
        <v>411</v>
      </c>
      <c r="D219" s="25" t="s">
        <v>145</v>
      </c>
      <c r="E219" s="25" t="s">
        <v>194</v>
      </c>
      <c r="F219" s="25" t="s">
        <v>155</v>
      </c>
      <c r="G219" s="26" t="s">
        <v>139</v>
      </c>
      <c r="H219" s="27" t="s">
        <v>156</v>
      </c>
      <c r="I219" s="24" t="s">
        <v>106</v>
      </c>
      <c r="J219" s="24" t="s">
        <v>107</v>
      </c>
      <c r="K219" s="28" t="s">
        <v>108</v>
      </c>
      <c r="L219" s="29">
        <v>0.02</v>
      </c>
      <c r="M219" s="29">
        <v>0.01</v>
      </c>
      <c r="N219" s="29">
        <v>0.02</v>
      </c>
      <c r="O219" s="27" t="s">
        <v>148</v>
      </c>
      <c r="P219" s="30" t="s">
        <v>145</v>
      </c>
      <c r="Q219" s="31">
        <v>4741524.47</v>
      </c>
      <c r="R219" s="31">
        <v>2177</v>
      </c>
      <c r="S219" s="32">
        <v>2.7653E-2</v>
      </c>
      <c r="T219" s="32" t="s">
        <v>139</v>
      </c>
      <c r="U219" s="32">
        <v>1.4086E-2</v>
      </c>
      <c r="V219" s="32">
        <v>7.6065999999999995E-2</v>
      </c>
      <c r="W219" s="32">
        <v>5.8980999999999999E-2</v>
      </c>
      <c r="X219" s="32">
        <v>2.2242999999999999E-2</v>
      </c>
      <c r="Y219" s="32">
        <v>-6.2119000000000001E-2</v>
      </c>
      <c r="Z219" s="32">
        <v>0.47868899999999998</v>
      </c>
      <c r="AA219" s="32">
        <v>0.83098099999999997</v>
      </c>
      <c r="AB219" s="32">
        <v>0.72872400000000004</v>
      </c>
    </row>
    <row r="220" spans="1:28" ht="15.6" customHeight="1" x14ac:dyDescent="0.25">
      <c r="A220" s="24" t="s">
        <v>412</v>
      </c>
      <c r="B220" s="50">
        <v>3779</v>
      </c>
      <c r="C220" s="25" t="s">
        <v>413</v>
      </c>
      <c r="D220" s="25" t="s">
        <v>164</v>
      </c>
      <c r="E220" s="25" t="s">
        <v>194</v>
      </c>
      <c r="F220" s="25" t="s">
        <v>128</v>
      </c>
      <c r="G220" s="26" t="s">
        <v>129</v>
      </c>
      <c r="H220" s="27" t="s">
        <v>130</v>
      </c>
      <c r="I220" s="24" t="s">
        <v>106</v>
      </c>
      <c r="J220" s="24" t="s">
        <v>107</v>
      </c>
      <c r="K220" s="28" t="s">
        <v>108</v>
      </c>
      <c r="L220" s="29">
        <v>0.03</v>
      </c>
      <c r="M220" s="29">
        <v>1.4999999999999999E-2</v>
      </c>
      <c r="N220" s="29">
        <v>0.02</v>
      </c>
      <c r="O220" s="27" t="s">
        <v>173</v>
      </c>
      <c r="P220" s="30" t="s">
        <v>414</v>
      </c>
      <c r="Q220" s="31">
        <v>3143604955.6500001</v>
      </c>
      <c r="R220" s="31">
        <v>2792.32</v>
      </c>
      <c r="S220" s="32">
        <v>1.7475999999999998E-2</v>
      </c>
      <c r="T220" s="32" t="s">
        <v>139</v>
      </c>
      <c r="U220" s="32">
        <v>7.0600000000000003E-4</v>
      </c>
      <c r="V220" s="32">
        <v>2.1459999999999999E-3</v>
      </c>
      <c r="W220" s="32">
        <v>7.1419999999999999E-3</v>
      </c>
      <c r="X220" s="32">
        <v>1.3546000000000001E-2</v>
      </c>
      <c r="Y220" s="32">
        <v>2.4787E-2</v>
      </c>
      <c r="Z220" s="32">
        <v>5.9209999999999999E-2</v>
      </c>
      <c r="AA220" s="32">
        <v>0.100825</v>
      </c>
      <c r="AB220" s="32">
        <v>0.145924</v>
      </c>
    </row>
    <row r="221" spans="1:28" ht="15.6" customHeight="1" x14ac:dyDescent="0.25">
      <c r="A221" s="24" t="s">
        <v>1283</v>
      </c>
      <c r="B221" s="50">
        <v>3780</v>
      </c>
      <c r="C221" s="25" t="s">
        <v>1284</v>
      </c>
      <c r="D221" s="25" t="s">
        <v>241</v>
      </c>
      <c r="E221" s="25" t="s">
        <v>194</v>
      </c>
      <c r="F221" s="25" t="s">
        <v>113</v>
      </c>
      <c r="G221" s="26" t="s">
        <v>676</v>
      </c>
      <c r="H221" s="27" t="s">
        <v>115</v>
      </c>
      <c r="I221" s="24" t="s">
        <v>998</v>
      </c>
      <c r="J221" s="24" t="s">
        <v>121</v>
      </c>
      <c r="K221" s="28" t="s">
        <v>108</v>
      </c>
      <c r="L221" s="29">
        <v>0</v>
      </c>
      <c r="M221" s="29">
        <v>0</v>
      </c>
      <c r="N221" s="29">
        <v>0.02</v>
      </c>
      <c r="O221" s="27" t="s">
        <v>166</v>
      </c>
      <c r="P221" s="30" t="s">
        <v>241</v>
      </c>
      <c r="Q221" s="31">
        <v>654945069.08000004</v>
      </c>
      <c r="R221" s="31">
        <v>1358.97</v>
      </c>
      <c r="S221" s="32">
        <v>5.3410000000000003E-3</v>
      </c>
      <c r="T221" s="32" t="s">
        <v>139</v>
      </c>
      <c r="U221" s="32">
        <v>1.5399999999999999E-3</v>
      </c>
      <c r="V221" s="32">
        <v>6.13E-3</v>
      </c>
      <c r="W221" s="32">
        <v>7.1520000000000004E-3</v>
      </c>
      <c r="X221" s="32">
        <v>4.516E-3</v>
      </c>
      <c r="Y221" s="32">
        <v>-2.4629999999999999E-3</v>
      </c>
      <c r="Z221" s="32">
        <v>9.9913000000000002E-2</v>
      </c>
      <c r="AA221" s="32">
        <v>0.20489099999999999</v>
      </c>
      <c r="AB221" s="32">
        <v>0.178926</v>
      </c>
    </row>
    <row r="222" spans="1:28" ht="15.6" customHeight="1" x14ac:dyDescent="0.25">
      <c r="A222" s="24" t="s">
        <v>415</v>
      </c>
      <c r="B222" s="50">
        <v>3781</v>
      </c>
      <c r="C222" s="25" t="s">
        <v>416</v>
      </c>
      <c r="D222" s="25" t="s">
        <v>137</v>
      </c>
      <c r="E222" s="25" t="s">
        <v>194</v>
      </c>
      <c r="F222" s="25" t="s">
        <v>103</v>
      </c>
      <c r="G222" s="26" t="s">
        <v>216</v>
      </c>
      <c r="H222" s="27" t="s">
        <v>386</v>
      </c>
      <c r="I222" s="24" t="s">
        <v>106</v>
      </c>
      <c r="J222" s="24" t="s">
        <v>107</v>
      </c>
      <c r="K222" s="28" t="s">
        <v>108</v>
      </c>
      <c r="L222" s="29">
        <v>5.0000000000000001E-3</v>
      </c>
      <c r="M222" s="29">
        <v>5.0000000000000001E-3</v>
      </c>
      <c r="N222" s="29">
        <v>6.0000000000000001E-3</v>
      </c>
      <c r="O222" s="27" t="s">
        <v>141</v>
      </c>
      <c r="P222" s="30" t="s">
        <v>142</v>
      </c>
      <c r="Q222" s="31">
        <v>97862595.354197994</v>
      </c>
      <c r="R222" s="31">
        <v>1256.55</v>
      </c>
      <c r="S222" s="32">
        <v>1.4607E-2</v>
      </c>
      <c r="T222" s="32" t="s">
        <v>139</v>
      </c>
      <c r="U222" s="32">
        <v>5.1800000000000001E-4</v>
      </c>
      <c r="V222" s="32">
        <v>1.7780000000000001E-3</v>
      </c>
      <c r="W222" s="32">
        <v>5.7710000000000001E-3</v>
      </c>
      <c r="X222" s="32">
        <v>1.1454000000000001E-2</v>
      </c>
      <c r="Y222" s="32">
        <v>2.1170000000000001E-2</v>
      </c>
      <c r="Z222" s="32">
        <v>4.7780000000000003E-2</v>
      </c>
      <c r="AA222" s="32">
        <v>8.0596000000000001E-2</v>
      </c>
      <c r="AB222" s="32">
        <v>0.121749</v>
      </c>
    </row>
    <row r="223" spans="1:28" ht="15.6" customHeight="1" x14ac:dyDescent="0.25">
      <c r="A223" s="24" t="s">
        <v>1285</v>
      </c>
      <c r="B223" s="50">
        <v>3782</v>
      </c>
      <c r="C223" s="25" t="s">
        <v>1286</v>
      </c>
      <c r="D223" s="25" t="s">
        <v>137</v>
      </c>
      <c r="E223" s="25" t="s">
        <v>194</v>
      </c>
      <c r="F223" s="25" t="s">
        <v>113</v>
      </c>
      <c r="G223" s="26" t="s">
        <v>198</v>
      </c>
      <c r="H223" s="27" t="s">
        <v>1287</v>
      </c>
      <c r="I223" s="24" t="s">
        <v>998</v>
      </c>
      <c r="J223" s="24" t="s">
        <v>121</v>
      </c>
      <c r="K223" s="28" t="s">
        <v>108</v>
      </c>
      <c r="L223" s="29">
        <v>0.02</v>
      </c>
      <c r="M223" s="29">
        <v>0.02</v>
      </c>
      <c r="N223" s="29">
        <v>0.02</v>
      </c>
      <c r="O223" s="27" t="s">
        <v>148</v>
      </c>
      <c r="P223" s="30" t="s">
        <v>1288</v>
      </c>
      <c r="Q223" s="31">
        <v>53421457.998778</v>
      </c>
      <c r="R223" s="31">
        <v>1034.24</v>
      </c>
      <c r="S223" s="32">
        <v>-3.421E-3</v>
      </c>
      <c r="T223" s="32" t="s">
        <v>139</v>
      </c>
      <c r="U223" s="32">
        <v>3.77E-4</v>
      </c>
      <c r="V223" s="32">
        <v>3.68E-4</v>
      </c>
      <c r="W223" s="32">
        <v>1.026E-3</v>
      </c>
      <c r="X223" s="32">
        <v>-4.8000000000000001E-5</v>
      </c>
      <c r="Y223" s="32">
        <v>-7.5519999999999997E-3</v>
      </c>
      <c r="Z223" s="32">
        <v>1.1878E-2</v>
      </c>
      <c r="AA223" s="32">
        <v>3.6686999999999997E-2</v>
      </c>
      <c r="AB223" s="32">
        <v>2.1996000000000002E-2</v>
      </c>
    </row>
    <row r="224" spans="1:28" ht="15.6" customHeight="1" x14ac:dyDescent="0.25">
      <c r="A224" s="24" t="s">
        <v>1289</v>
      </c>
      <c r="B224" s="50">
        <v>3783</v>
      </c>
      <c r="C224" s="25" t="s">
        <v>1290</v>
      </c>
      <c r="D224" s="25" t="s">
        <v>355</v>
      </c>
      <c r="E224" s="25" t="s">
        <v>194</v>
      </c>
      <c r="F224" s="25" t="s">
        <v>113</v>
      </c>
      <c r="G224" s="26" t="s">
        <v>198</v>
      </c>
      <c r="H224" s="27" t="s">
        <v>120</v>
      </c>
      <c r="I224" s="24" t="s">
        <v>998</v>
      </c>
      <c r="J224" s="24" t="s">
        <v>107</v>
      </c>
      <c r="K224" s="28" t="s">
        <v>108</v>
      </c>
      <c r="L224" s="29">
        <v>0.02</v>
      </c>
      <c r="M224" s="29">
        <v>1.4999999999999999E-2</v>
      </c>
      <c r="N224" s="29">
        <v>0.02</v>
      </c>
      <c r="O224" s="27" t="s">
        <v>109</v>
      </c>
      <c r="P224" s="30" t="s">
        <v>355</v>
      </c>
      <c r="Q224" s="31">
        <v>1218445475.71</v>
      </c>
      <c r="R224" s="31">
        <v>1246.33</v>
      </c>
      <c r="S224" s="32">
        <v>-1.0119E-2</v>
      </c>
      <c r="T224" s="32" t="s">
        <v>139</v>
      </c>
      <c r="U224" s="32">
        <v>1.446E-3</v>
      </c>
      <c r="V224" s="32">
        <v>5.4130000000000003E-3</v>
      </c>
      <c r="W224" s="32">
        <v>1.044E-3</v>
      </c>
      <c r="X224" s="32">
        <v>-8.4410000000000006E-3</v>
      </c>
      <c r="Y224" s="32">
        <v>-2.4819000000000001E-2</v>
      </c>
      <c r="Z224" s="32">
        <v>4.7187E-2</v>
      </c>
      <c r="AA224" s="32">
        <v>0.10487299999999999</v>
      </c>
      <c r="AB224" s="32">
        <v>4.1959999999999997E-2</v>
      </c>
    </row>
    <row r="225" spans="1:28" ht="15.6" customHeight="1" x14ac:dyDescent="0.25">
      <c r="A225" s="24" t="s">
        <v>1291</v>
      </c>
      <c r="B225" s="50">
        <v>3787</v>
      </c>
      <c r="C225" s="25" t="s">
        <v>1292</v>
      </c>
      <c r="D225" s="25" t="s">
        <v>322</v>
      </c>
      <c r="E225" s="25" t="s">
        <v>194</v>
      </c>
      <c r="F225" s="25" t="s">
        <v>113</v>
      </c>
      <c r="G225" s="26" t="s">
        <v>1293</v>
      </c>
      <c r="H225" s="27" t="s">
        <v>115</v>
      </c>
      <c r="I225" s="24" t="s">
        <v>998</v>
      </c>
      <c r="J225" s="24" t="s">
        <v>107</v>
      </c>
      <c r="K225" s="28" t="s">
        <v>108</v>
      </c>
      <c r="L225" s="29">
        <v>0.03</v>
      </c>
      <c r="M225" s="29">
        <v>1.4999999999999999E-2</v>
      </c>
      <c r="N225" s="29">
        <v>0.02</v>
      </c>
      <c r="O225" s="27" t="s">
        <v>166</v>
      </c>
      <c r="P225" s="30" t="s">
        <v>322</v>
      </c>
      <c r="Q225" s="31">
        <v>558850332.85000002</v>
      </c>
      <c r="R225" s="31">
        <v>126.84</v>
      </c>
      <c r="S225" s="32">
        <v>-3.614E-3</v>
      </c>
      <c r="T225" s="32" t="s">
        <v>139</v>
      </c>
      <c r="U225" s="32">
        <v>7.8899999999999999E-4</v>
      </c>
      <c r="V225" s="32">
        <v>2.6080000000000001E-3</v>
      </c>
      <c r="W225" s="32">
        <v>1.9750000000000002E-3</v>
      </c>
      <c r="X225" s="32">
        <v>-1.4959999999999999E-3</v>
      </c>
      <c r="Y225" s="32">
        <v>-8.1329999999999996E-3</v>
      </c>
      <c r="Z225" s="32">
        <v>5.5329000000000003E-2</v>
      </c>
      <c r="AA225" s="32">
        <v>0.124767</v>
      </c>
      <c r="AB225" s="32">
        <v>4.4380000000000003E-2</v>
      </c>
    </row>
    <row r="226" spans="1:28" ht="15.6" customHeight="1" x14ac:dyDescent="0.25">
      <c r="A226" s="24" t="s">
        <v>417</v>
      </c>
      <c r="B226" s="50">
        <v>3788</v>
      </c>
      <c r="C226" s="25" t="s">
        <v>418</v>
      </c>
      <c r="D226" s="25" t="s">
        <v>322</v>
      </c>
      <c r="E226" s="25" t="s">
        <v>194</v>
      </c>
      <c r="F226" s="25" t="s">
        <v>128</v>
      </c>
      <c r="G226" s="26" t="s">
        <v>289</v>
      </c>
      <c r="H226" s="27" t="s">
        <v>130</v>
      </c>
      <c r="I226" s="24" t="s">
        <v>106</v>
      </c>
      <c r="J226" s="24" t="s">
        <v>107</v>
      </c>
      <c r="K226" s="28" t="s">
        <v>108</v>
      </c>
      <c r="L226" s="29">
        <v>0.03</v>
      </c>
      <c r="M226" s="29">
        <v>1.4999999999999999E-2</v>
      </c>
      <c r="N226" s="29">
        <v>0.02</v>
      </c>
      <c r="O226" s="27" t="s">
        <v>148</v>
      </c>
      <c r="P226" s="30" t="s">
        <v>322</v>
      </c>
      <c r="Q226" s="31">
        <v>2661018483.1700001</v>
      </c>
      <c r="R226" s="31">
        <v>133.21</v>
      </c>
      <c r="S226" s="32">
        <v>2.0532000000000002E-2</v>
      </c>
      <c r="T226" s="32" t="s">
        <v>139</v>
      </c>
      <c r="U226" s="32">
        <v>7.5100000000000004E-4</v>
      </c>
      <c r="V226" s="32">
        <v>2.333E-3</v>
      </c>
      <c r="W226" s="32">
        <v>8.097E-3</v>
      </c>
      <c r="X226" s="32">
        <v>1.5474999999999999E-2</v>
      </c>
      <c r="Y226" s="32">
        <v>2.9444000000000001E-2</v>
      </c>
      <c r="Z226" s="32">
        <v>6.7729999999999999E-2</v>
      </c>
      <c r="AA226" s="32">
        <v>0.109621</v>
      </c>
      <c r="AB226" s="32">
        <v>0.151141</v>
      </c>
    </row>
    <row r="227" spans="1:28" ht="15.6" customHeight="1" x14ac:dyDescent="0.25">
      <c r="A227" s="24" t="s">
        <v>1294</v>
      </c>
      <c r="B227" s="50">
        <v>3793</v>
      </c>
      <c r="C227" s="25" t="s">
        <v>1295</v>
      </c>
      <c r="D227" s="25" t="s">
        <v>164</v>
      </c>
      <c r="E227" s="25" t="s">
        <v>194</v>
      </c>
      <c r="F227" s="25" t="s">
        <v>138</v>
      </c>
      <c r="G227" s="26" t="s">
        <v>139</v>
      </c>
      <c r="H227" s="27" t="s">
        <v>1296</v>
      </c>
      <c r="I227" s="24" t="s">
        <v>998</v>
      </c>
      <c r="J227" s="24" t="s">
        <v>107</v>
      </c>
      <c r="K227" s="28" t="s">
        <v>227</v>
      </c>
      <c r="L227" s="29">
        <v>0</v>
      </c>
      <c r="M227" s="29">
        <v>0</v>
      </c>
      <c r="N227" s="29">
        <v>0.02</v>
      </c>
      <c r="O227" s="27" t="s">
        <v>166</v>
      </c>
      <c r="P227" s="30" t="s">
        <v>164</v>
      </c>
      <c r="Q227" s="31">
        <v>419501265.00999999</v>
      </c>
      <c r="R227" s="31">
        <v>546937.76</v>
      </c>
      <c r="S227" s="32">
        <v>6.0005999999999997E-2</v>
      </c>
      <c r="T227" s="32" t="s">
        <v>139</v>
      </c>
      <c r="U227" s="32">
        <v>8.9250000000000006E-3</v>
      </c>
      <c r="V227" s="32">
        <v>6.0090999999999999E-2</v>
      </c>
      <c r="W227" s="32">
        <v>4.0224000000000003E-2</v>
      </c>
      <c r="X227" s="32">
        <v>4.6850000000000003E-2</v>
      </c>
      <c r="Y227" s="32">
        <v>2.6953999999999999E-2</v>
      </c>
      <c r="Z227" s="32">
        <v>0.41980099999999998</v>
      </c>
      <c r="AA227" s="32">
        <v>0.62263999999999997</v>
      </c>
      <c r="AB227" s="32">
        <v>0.59626800000000002</v>
      </c>
    </row>
    <row r="228" spans="1:28" ht="15.6" customHeight="1" x14ac:dyDescent="0.25">
      <c r="A228" s="24" t="s">
        <v>419</v>
      </c>
      <c r="B228" s="50">
        <v>3794</v>
      </c>
      <c r="C228" s="25" t="s">
        <v>420</v>
      </c>
      <c r="D228" s="25" t="s">
        <v>145</v>
      </c>
      <c r="E228" s="25" t="s">
        <v>194</v>
      </c>
      <c r="F228" s="25" t="s">
        <v>138</v>
      </c>
      <c r="G228" s="26" t="s">
        <v>139</v>
      </c>
      <c r="H228" s="27" t="s">
        <v>421</v>
      </c>
      <c r="I228" s="24" t="s">
        <v>106</v>
      </c>
      <c r="J228" s="24" t="s">
        <v>107</v>
      </c>
      <c r="K228" s="28" t="s">
        <v>108</v>
      </c>
      <c r="L228" s="29">
        <v>0.01</v>
      </c>
      <c r="M228" s="29">
        <v>5.0000000000000001E-3</v>
      </c>
      <c r="N228" s="29">
        <v>0.02</v>
      </c>
      <c r="O228" s="27" t="s">
        <v>148</v>
      </c>
      <c r="P228" s="30" t="s">
        <v>145</v>
      </c>
      <c r="Q228" s="31">
        <v>1965622.65</v>
      </c>
      <c r="R228" s="31">
        <v>1414.11</v>
      </c>
      <c r="S228" s="32">
        <v>-8.7200000000000003E-3</v>
      </c>
      <c r="T228" s="32" t="s">
        <v>139</v>
      </c>
      <c r="U228" s="32">
        <v>3.4000000000000002E-4</v>
      </c>
      <c r="V228" s="32">
        <v>8.6949999999999996E-3</v>
      </c>
      <c r="W228" s="32">
        <v>5.8329999999999996E-3</v>
      </c>
      <c r="X228" s="32">
        <v>-7.0219999999999996E-3</v>
      </c>
      <c r="Y228" s="32">
        <v>-3.7908999999999998E-2</v>
      </c>
      <c r="Z228" s="32">
        <v>0.12271</v>
      </c>
      <c r="AA228" s="32">
        <v>0.209478</v>
      </c>
      <c r="AB228" s="32">
        <v>0.240426</v>
      </c>
    </row>
    <row r="229" spans="1:28" ht="15.6" customHeight="1" x14ac:dyDescent="0.25">
      <c r="A229" s="24" t="s">
        <v>422</v>
      </c>
      <c r="B229" s="50">
        <v>3795</v>
      </c>
      <c r="C229" s="25" t="s">
        <v>423</v>
      </c>
      <c r="D229" s="25" t="s">
        <v>355</v>
      </c>
      <c r="E229" s="25" t="s">
        <v>194</v>
      </c>
      <c r="F229" s="25" t="s">
        <v>103</v>
      </c>
      <c r="G229" s="26" t="s">
        <v>392</v>
      </c>
      <c r="H229" s="27" t="s">
        <v>424</v>
      </c>
      <c r="I229" s="24" t="s">
        <v>106</v>
      </c>
      <c r="J229" s="24" t="s">
        <v>107</v>
      </c>
      <c r="K229" s="28" t="s">
        <v>108</v>
      </c>
      <c r="L229" s="29">
        <v>0.02</v>
      </c>
      <c r="M229" s="29">
        <v>1.4999999999999999E-2</v>
      </c>
      <c r="N229" s="29">
        <v>0.02</v>
      </c>
      <c r="O229" s="27" t="s">
        <v>166</v>
      </c>
      <c r="P229" s="30" t="s">
        <v>355</v>
      </c>
      <c r="Q229" s="31">
        <v>1815621382.2</v>
      </c>
      <c r="R229" s="31">
        <v>1287.02</v>
      </c>
      <c r="S229" s="32">
        <v>1.8364999999999999E-2</v>
      </c>
      <c r="T229" s="32" t="s">
        <v>139</v>
      </c>
      <c r="U229" s="32">
        <v>5.5199999999999997E-4</v>
      </c>
      <c r="V229" s="32">
        <v>2.1099999999999999E-3</v>
      </c>
      <c r="W229" s="32">
        <v>7.5620000000000001E-3</v>
      </c>
      <c r="X229" s="32">
        <v>1.4527999999999999E-2</v>
      </c>
      <c r="Y229" s="32">
        <v>2.6610000000000002E-2</v>
      </c>
      <c r="Z229" s="32">
        <v>5.8457000000000002E-2</v>
      </c>
      <c r="AA229" s="32">
        <v>9.4284000000000007E-2</v>
      </c>
      <c r="AB229" s="32">
        <v>0.144262</v>
      </c>
    </row>
    <row r="230" spans="1:28" ht="15.6" customHeight="1" x14ac:dyDescent="0.25">
      <c r="A230" s="24" t="s">
        <v>425</v>
      </c>
      <c r="B230" s="50">
        <v>3796</v>
      </c>
      <c r="C230" s="25" t="s">
        <v>426</v>
      </c>
      <c r="D230" s="25" t="s">
        <v>355</v>
      </c>
      <c r="E230" s="25" t="s">
        <v>194</v>
      </c>
      <c r="F230" s="25" t="s">
        <v>128</v>
      </c>
      <c r="G230" s="26" t="s">
        <v>289</v>
      </c>
      <c r="H230" s="27" t="s">
        <v>130</v>
      </c>
      <c r="I230" s="24" t="s">
        <v>106</v>
      </c>
      <c r="J230" s="24" t="s">
        <v>107</v>
      </c>
      <c r="K230" s="28" t="s">
        <v>108</v>
      </c>
      <c r="L230" s="29">
        <v>0.02</v>
      </c>
      <c r="M230" s="29">
        <v>1.4999999999999999E-2</v>
      </c>
      <c r="N230" s="29">
        <v>0.02</v>
      </c>
      <c r="O230" s="27" t="s">
        <v>166</v>
      </c>
      <c r="P230" s="30" t="s">
        <v>355</v>
      </c>
      <c r="Q230" s="31">
        <v>3857768057.1500001</v>
      </c>
      <c r="R230" s="31">
        <v>1309.4100000000001</v>
      </c>
      <c r="S230" s="32">
        <v>2.0187E-2</v>
      </c>
      <c r="T230" s="32" t="s">
        <v>139</v>
      </c>
      <c r="U230" s="32">
        <v>7.18E-4</v>
      </c>
      <c r="V230" s="32">
        <v>2.3730000000000001E-3</v>
      </c>
      <c r="W230" s="32">
        <v>8.4100000000000008E-3</v>
      </c>
      <c r="X230" s="32">
        <v>1.6E-2</v>
      </c>
      <c r="Y230" s="32">
        <v>2.8941000000000001E-2</v>
      </c>
      <c r="Z230" s="32">
        <v>6.7207000000000003E-2</v>
      </c>
      <c r="AA230" s="32">
        <v>0.111827</v>
      </c>
      <c r="AB230" s="32">
        <v>0.144619</v>
      </c>
    </row>
    <row r="231" spans="1:28" ht="15.6" customHeight="1" x14ac:dyDescent="0.25">
      <c r="A231" s="24" t="s">
        <v>1297</v>
      </c>
      <c r="B231" s="50">
        <v>3798</v>
      </c>
      <c r="C231" s="25" t="s">
        <v>1298</v>
      </c>
      <c r="D231" s="25" t="s">
        <v>355</v>
      </c>
      <c r="E231" s="25" t="s">
        <v>194</v>
      </c>
      <c r="F231" s="25" t="s">
        <v>138</v>
      </c>
      <c r="G231" s="26" t="s">
        <v>139</v>
      </c>
      <c r="H231" s="27" t="s">
        <v>577</v>
      </c>
      <c r="I231" s="24" t="s">
        <v>998</v>
      </c>
      <c r="J231" s="24" t="s">
        <v>107</v>
      </c>
      <c r="K231" s="28" t="s">
        <v>108</v>
      </c>
      <c r="L231" s="29">
        <v>0.02</v>
      </c>
      <c r="M231" s="29">
        <v>1.4999999999999999E-2</v>
      </c>
      <c r="N231" s="29">
        <v>0.02</v>
      </c>
      <c r="O231" s="27" t="s">
        <v>161</v>
      </c>
      <c r="P231" s="30" t="s">
        <v>355</v>
      </c>
      <c r="Q231" s="31">
        <v>862562968.75</v>
      </c>
      <c r="R231" s="31">
        <v>1394.95</v>
      </c>
      <c r="S231" s="32">
        <v>-2.1987E-2</v>
      </c>
      <c r="T231" s="32" t="s">
        <v>139</v>
      </c>
      <c r="U231" s="32">
        <v>6.2690000000000003E-3</v>
      </c>
      <c r="V231" s="32">
        <v>3.7491999999999998E-2</v>
      </c>
      <c r="W231" s="32">
        <v>2.3959000000000001E-2</v>
      </c>
      <c r="X231" s="32">
        <v>-1.8436000000000001E-2</v>
      </c>
      <c r="Y231" s="32">
        <v>-9.8456000000000002E-2</v>
      </c>
      <c r="Z231" s="32">
        <v>0.147116</v>
      </c>
      <c r="AA231" s="32">
        <v>0.29729</v>
      </c>
      <c r="AB231" s="32">
        <v>0.18171999999999999</v>
      </c>
    </row>
    <row r="232" spans="1:28" ht="15.6" customHeight="1" x14ac:dyDescent="0.25">
      <c r="A232" s="24" t="s">
        <v>1299</v>
      </c>
      <c r="B232" s="50">
        <v>3799</v>
      </c>
      <c r="C232" s="25" t="s">
        <v>1300</v>
      </c>
      <c r="D232" s="25" t="s">
        <v>355</v>
      </c>
      <c r="E232" s="25" t="s">
        <v>194</v>
      </c>
      <c r="F232" s="25" t="s">
        <v>113</v>
      </c>
      <c r="G232" s="26" t="s">
        <v>151</v>
      </c>
      <c r="H232" s="27" t="s">
        <v>115</v>
      </c>
      <c r="I232" s="24" t="s">
        <v>998</v>
      </c>
      <c r="J232" s="24" t="s">
        <v>107</v>
      </c>
      <c r="K232" s="28" t="s">
        <v>108</v>
      </c>
      <c r="L232" s="29">
        <v>0.02</v>
      </c>
      <c r="M232" s="29">
        <v>1.4999999999999999E-2</v>
      </c>
      <c r="N232" s="29">
        <v>0.02</v>
      </c>
      <c r="O232" s="27" t="s">
        <v>161</v>
      </c>
      <c r="P232" s="30" t="s">
        <v>355</v>
      </c>
      <c r="Q232" s="31">
        <v>1124322.21</v>
      </c>
      <c r="R232" s="31">
        <v>1201.2</v>
      </c>
      <c r="S232" s="32">
        <v>3.4169999999999999E-3</v>
      </c>
      <c r="T232" s="32" t="s">
        <v>139</v>
      </c>
      <c r="U232" s="32">
        <v>7.0799999999999997E-4</v>
      </c>
      <c r="V232" s="32">
        <v>1.6590000000000001E-3</v>
      </c>
      <c r="W232" s="32">
        <v>3.408E-3</v>
      </c>
      <c r="X232" s="32">
        <v>5.6849999999999999E-3</v>
      </c>
      <c r="Y232" s="32">
        <v>6.2500000000000001E-4</v>
      </c>
      <c r="Z232" s="32">
        <v>4.9055000000000001E-2</v>
      </c>
      <c r="AA232" s="32">
        <v>0.11540300000000001</v>
      </c>
      <c r="AB232" s="32">
        <v>2.1568E-2</v>
      </c>
    </row>
    <row r="233" spans="1:28" ht="15.6" customHeight="1" x14ac:dyDescent="0.25">
      <c r="A233" s="24" t="s">
        <v>427</v>
      </c>
      <c r="B233" s="50">
        <v>3800</v>
      </c>
      <c r="C233" s="25" t="s">
        <v>428</v>
      </c>
      <c r="D233" s="25" t="s">
        <v>137</v>
      </c>
      <c r="E233" s="25" t="s">
        <v>194</v>
      </c>
      <c r="F233" s="25" t="s">
        <v>128</v>
      </c>
      <c r="G233" s="26" t="s">
        <v>250</v>
      </c>
      <c r="H233" s="27" t="s">
        <v>210</v>
      </c>
      <c r="I233" s="24" t="s">
        <v>106</v>
      </c>
      <c r="J233" s="24" t="s">
        <v>107</v>
      </c>
      <c r="K233" s="28" t="s">
        <v>108</v>
      </c>
      <c r="L233" s="29">
        <v>0</v>
      </c>
      <c r="M233" s="29">
        <v>0</v>
      </c>
      <c r="N233" s="29">
        <v>0.01</v>
      </c>
      <c r="O233" s="27" t="s">
        <v>141</v>
      </c>
      <c r="P233" s="30" t="s">
        <v>137</v>
      </c>
      <c r="Q233" s="31">
        <v>2159863696.5511642</v>
      </c>
      <c r="R233" s="31">
        <v>1292557.57</v>
      </c>
      <c r="S233" s="32">
        <v>1.9335000000000001E-2</v>
      </c>
      <c r="T233" s="32" t="s">
        <v>139</v>
      </c>
      <c r="U233" s="32">
        <v>7.0899999999999999E-4</v>
      </c>
      <c r="V233" s="32">
        <v>2.3050000000000002E-3</v>
      </c>
      <c r="W233" s="32">
        <v>7.8840000000000004E-3</v>
      </c>
      <c r="X233" s="32">
        <v>1.5402000000000001E-2</v>
      </c>
      <c r="Y233" s="32">
        <v>2.8417999999999999E-2</v>
      </c>
      <c r="Z233" s="32">
        <v>6.9861999999999994E-2</v>
      </c>
      <c r="AA233" s="32">
        <v>0.115555</v>
      </c>
      <c r="AB233" s="32">
        <v>0.162713</v>
      </c>
    </row>
    <row r="234" spans="1:28" ht="15.6" customHeight="1" x14ac:dyDescent="0.25">
      <c r="A234" s="24" t="s">
        <v>429</v>
      </c>
      <c r="B234" s="50">
        <v>3805</v>
      </c>
      <c r="C234" s="25" t="s">
        <v>430</v>
      </c>
      <c r="D234" s="25" t="s">
        <v>355</v>
      </c>
      <c r="E234" s="25" t="s">
        <v>194</v>
      </c>
      <c r="F234" s="25" t="s">
        <v>113</v>
      </c>
      <c r="G234" s="26" t="s">
        <v>431</v>
      </c>
      <c r="H234" s="27" t="s">
        <v>432</v>
      </c>
      <c r="I234" s="24" t="s">
        <v>106</v>
      </c>
      <c r="J234" s="24" t="s">
        <v>107</v>
      </c>
      <c r="K234" s="28" t="s">
        <v>108</v>
      </c>
      <c r="L234" s="29">
        <v>0.03</v>
      </c>
      <c r="M234" s="29">
        <v>1.4999999999999999E-2</v>
      </c>
      <c r="N234" s="29">
        <v>0.02</v>
      </c>
      <c r="O234" s="27" t="s">
        <v>166</v>
      </c>
      <c r="P234" s="30" t="s">
        <v>433</v>
      </c>
      <c r="Q234" s="31">
        <v>752640641.98000002</v>
      </c>
      <c r="R234" s="31">
        <v>1342.42</v>
      </c>
      <c r="S234" s="32">
        <v>2.9148E-2</v>
      </c>
      <c r="T234" s="32" t="s">
        <v>139</v>
      </c>
      <c r="U234" s="32">
        <v>6.78E-4</v>
      </c>
      <c r="V234" s="32">
        <v>2.1570000000000001E-3</v>
      </c>
      <c r="W234" s="32">
        <v>1.3743999999999999E-2</v>
      </c>
      <c r="X234" s="32">
        <v>2.5648000000000001E-2</v>
      </c>
      <c r="Y234" s="32">
        <v>3.4437000000000002E-2</v>
      </c>
      <c r="Z234" s="32">
        <v>0.103383</v>
      </c>
      <c r="AA234" s="32">
        <v>0.230381</v>
      </c>
      <c r="AB234" s="32">
        <v>0.198129</v>
      </c>
    </row>
    <row r="235" spans="1:28" ht="15.6" customHeight="1" x14ac:dyDescent="0.25">
      <c r="A235" s="24" t="s">
        <v>1301</v>
      </c>
      <c r="B235" s="50">
        <v>3806</v>
      </c>
      <c r="C235" s="25" t="s">
        <v>1302</v>
      </c>
      <c r="D235" s="25" t="s">
        <v>355</v>
      </c>
      <c r="E235" s="25" t="s">
        <v>194</v>
      </c>
      <c r="F235" s="25" t="s">
        <v>155</v>
      </c>
      <c r="G235" s="26" t="s">
        <v>139</v>
      </c>
      <c r="H235" s="27" t="s">
        <v>588</v>
      </c>
      <c r="I235" s="24" t="s">
        <v>998</v>
      </c>
      <c r="J235" s="24" t="s">
        <v>121</v>
      </c>
      <c r="K235" s="28" t="s">
        <v>180</v>
      </c>
      <c r="L235" s="29">
        <v>0</v>
      </c>
      <c r="M235" s="29">
        <v>0</v>
      </c>
      <c r="N235" s="29">
        <v>0.02</v>
      </c>
      <c r="O235" s="27" t="s">
        <v>166</v>
      </c>
      <c r="P235" s="30" t="s">
        <v>355</v>
      </c>
      <c r="Q235" s="31">
        <v>251484600.03</v>
      </c>
      <c r="R235" s="31">
        <v>1760</v>
      </c>
      <c r="S235" s="32">
        <v>4.8760999999999999E-2</v>
      </c>
      <c r="T235" s="32" t="s">
        <v>139</v>
      </c>
      <c r="U235" s="32">
        <v>1.2449E-2</v>
      </c>
      <c r="V235" s="32">
        <v>6.8707000000000004E-2</v>
      </c>
      <c r="W235" s="32">
        <v>5.7444000000000002E-2</v>
      </c>
      <c r="X235" s="32">
        <v>2.9666999999999999E-2</v>
      </c>
      <c r="Y235" s="32">
        <v>-8.6031999999999997E-2</v>
      </c>
      <c r="Z235" s="32">
        <v>0.38403799999999999</v>
      </c>
      <c r="AA235" s="32">
        <v>0.71692</v>
      </c>
      <c r="AB235" s="32">
        <v>0.72216800000000003</v>
      </c>
    </row>
    <row r="236" spans="1:28" ht="15.6" customHeight="1" x14ac:dyDescent="0.25">
      <c r="A236" s="24" t="s">
        <v>434</v>
      </c>
      <c r="B236" s="50">
        <v>3807</v>
      </c>
      <c r="C236" s="25" t="s">
        <v>435</v>
      </c>
      <c r="D236" s="25" t="s">
        <v>355</v>
      </c>
      <c r="E236" s="25" t="s">
        <v>194</v>
      </c>
      <c r="F236" s="25" t="s">
        <v>138</v>
      </c>
      <c r="G236" s="26" t="s">
        <v>139</v>
      </c>
      <c r="H236" s="27" t="s">
        <v>436</v>
      </c>
      <c r="I236" s="24" t="s">
        <v>106</v>
      </c>
      <c r="J236" s="24" t="s">
        <v>107</v>
      </c>
      <c r="K236" s="28" t="s">
        <v>108</v>
      </c>
      <c r="L236" s="29">
        <v>0.03</v>
      </c>
      <c r="M236" s="29">
        <v>1.4999999999999999E-2</v>
      </c>
      <c r="N236" s="29">
        <v>0.02</v>
      </c>
      <c r="O236" s="27" t="s">
        <v>166</v>
      </c>
      <c r="P236" s="30" t="s">
        <v>355</v>
      </c>
      <c r="Q236" s="31">
        <v>1111581479.53</v>
      </c>
      <c r="R236" s="31">
        <v>1236.0899999999999</v>
      </c>
      <c r="S236" s="32">
        <v>-2.5326999999999999E-2</v>
      </c>
      <c r="T236" s="32" t="s">
        <v>139</v>
      </c>
      <c r="U236" s="32">
        <v>7.417E-3</v>
      </c>
      <c r="V236" s="32">
        <v>3.9114999999999997E-2</v>
      </c>
      <c r="W236" s="32">
        <v>2.333E-2</v>
      </c>
      <c r="X236" s="32">
        <v>-1.8088E-2</v>
      </c>
      <c r="Y236" s="32">
        <v>-9.4088000000000005E-2</v>
      </c>
      <c r="Z236" s="32">
        <v>0.144178</v>
      </c>
      <c r="AA236" s="32">
        <v>0.28347600000000001</v>
      </c>
      <c r="AB236" s="32">
        <v>0.16376199999999999</v>
      </c>
    </row>
    <row r="237" spans="1:28" ht="15.6" customHeight="1" x14ac:dyDescent="0.25">
      <c r="A237" s="24" t="s">
        <v>1303</v>
      </c>
      <c r="B237" s="50">
        <v>3809</v>
      </c>
      <c r="C237" s="25" t="s">
        <v>1304</v>
      </c>
      <c r="D237" s="25" t="s">
        <v>241</v>
      </c>
      <c r="E237" s="25" t="s">
        <v>194</v>
      </c>
      <c r="F237" s="25" t="s">
        <v>138</v>
      </c>
      <c r="G237" s="26" t="s">
        <v>139</v>
      </c>
      <c r="H237" s="27" t="s">
        <v>283</v>
      </c>
      <c r="I237" s="24" t="s">
        <v>998</v>
      </c>
      <c r="J237" s="24" t="s">
        <v>107</v>
      </c>
      <c r="K237" s="28" t="s">
        <v>108</v>
      </c>
      <c r="L237" s="29">
        <v>0.03</v>
      </c>
      <c r="M237" s="29">
        <v>1.4999999999999999E-2</v>
      </c>
      <c r="N237" s="29">
        <v>0.02</v>
      </c>
      <c r="O237" s="27" t="s">
        <v>148</v>
      </c>
      <c r="P237" s="30" t="s">
        <v>241</v>
      </c>
      <c r="Q237" s="31">
        <v>972600672.51999998</v>
      </c>
      <c r="R237" s="31">
        <v>1316.7</v>
      </c>
      <c r="S237" s="32">
        <v>5.1840000000000002E-3</v>
      </c>
      <c r="T237" s="32" t="s">
        <v>139</v>
      </c>
      <c r="U237" s="32">
        <v>6.0049999999999999E-3</v>
      </c>
      <c r="V237" s="32">
        <v>3.1322999999999997E-2</v>
      </c>
      <c r="W237" s="32">
        <v>2.6803E-2</v>
      </c>
      <c r="X237" s="32">
        <v>3.98E-3</v>
      </c>
      <c r="Y237" s="32">
        <v>-5.0226E-2</v>
      </c>
      <c r="Z237" s="32">
        <v>0.221942</v>
      </c>
      <c r="AA237" s="32">
        <v>0.43001499999999998</v>
      </c>
      <c r="AB237" s="32">
        <v>0.35179100000000002</v>
      </c>
    </row>
    <row r="238" spans="1:28" ht="15.6" customHeight="1" x14ac:dyDescent="0.25">
      <c r="A238" s="24" t="s">
        <v>437</v>
      </c>
      <c r="B238" s="50">
        <v>3810</v>
      </c>
      <c r="C238" s="25" t="s">
        <v>438</v>
      </c>
      <c r="D238" s="25" t="s">
        <v>241</v>
      </c>
      <c r="E238" s="25" t="s">
        <v>194</v>
      </c>
      <c r="F238" s="25" t="s">
        <v>113</v>
      </c>
      <c r="G238" s="26" t="s">
        <v>439</v>
      </c>
      <c r="H238" s="27" t="s">
        <v>440</v>
      </c>
      <c r="I238" s="24" t="s">
        <v>106</v>
      </c>
      <c r="J238" s="24" t="s">
        <v>121</v>
      </c>
      <c r="K238" s="28" t="s">
        <v>108</v>
      </c>
      <c r="L238" s="29">
        <v>0.03</v>
      </c>
      <c r="M238" s="29">
        <v>1.4999999999999999E-2</v>
      </c>
      <c r="N238" s="29">
        <v>0.02</v>
      </c>
      <c r="O238" s="27" t="s">
        <v>116</v>
      </c>
      <c r="P238" s="30" t="s">
        <v>241</v>
      </c>
      <c r="Q238" s="31">
        <v>3820740745.2600002</v>
      </c>
      <c r="R238" s="31">
        <v>1375.66</v>
      </c>
      <c r="S238" s="32">
        <v>7.2709999999999997E-3</v>
      </c>
      <c r="T238" s="32" t="s">
        <v>139</v>
      </c>
      <c r="U238" s="32">
        <v>1.0480000000000001E-3</v>
      </c>
      <c r="V238" s="32">
        <v>3.0620000000000001E-3</v>
      </c>
      <c r="W238" s="32">
        <v>5.9969999999999997E-3</v>
      </c>
      <c r="X238" s="32">
        <v>6.6889999999999996E-3</v>
      </c>
      <c r="Y238" s="32">
        <v>7.404E-3</v>
      </c>
      <c r="Z238" s="32">
        <v>9.0676999999999994E-2</v>
      </c>
      <c r="AA238" s="32">
        <v>0.18573999999999999</v>
      </c>
      <c r="AB238" s="32">
        <v>0.188085</v>
      </c>
    </row>
    <row r="239" spans="1:28" ht="15.6" customHeight="1" x14ac:dyDescent="0.25">
      <c r="A239" s="24" t="s">
        <v>441</v>
      </c>
      <c r="B239" s="50">
        <v>3811</v>
      </c>
      <c r="C239" s="25" t="s">
        <v>442</v>
      </c>
      <c r="D239" s="25" t="s">
        <v>241</v>
      </c>
      <c r="E239" s="25" t="s">
        <v>194</v>
      </c>
      <c r="F239" s="25" t="s">
        <v>128</v>
      </c>
      <c r="G239" s="26" t="s">
        <v>289</v>
      </c>
      <c r="H239" s="27" t="s">
        <v>130</v>
      </c>
      <c r="I239" s="24" t="s">
        <v>106</v>
      </c>
      <c r="J239" s="24" t="s">
        <v>107</v>
      </c>
      <c r="K239" s="28" t="s">
        <v>108</v>
      </c>
      <c r="L239" s="29">
        <v>0.03</v>
      </c>
      <c r="M239" s="29">
        <v>1.4999999999999999E-2</v>
      </c>
      <c r="N239" s="29">
        <v>0.02</v>
      </c>
      <c r="O239" s="27" t="s">
        <v>161</v>
      </c>
      <c r="P239" s="30" t="s">
        <v>241</v>
      </c>
      <c r="Q239" s="31">
        <v>55937416.57</v>
      </c>
      <c r="R239" s="31">
        <v>1213.6500000000001</v>
      </c>
      <c r="S239" s="32">
        <v>1.3622E-2</v>
      </c>
      <c r="T239" s="32" t="s">
        <v>139</v>
      </c>
      <c r="U239" s="32">
        <v>5.3600000000000002E-4</v>
      </c>
      <c r="V239" s="32">
        <v>1.634E-3</v>
      </c>
      <c r="W239" s="32">
        <v>5.7260000000000002E-3</v>
      </c>
      <c r="X239" s="32">
        <v>1.0895E-2</v>
      </c>
      <c r="Y239" s="32">
        <v>1.9942999999999999E-2</v>
      </c>
      <c r="Z239" s="32">
        <v>4.8166E-2</v>
      </c>
      <c r="AA239" s="32">
        <v>8.1848000000000004E-2</v>
      </c>
      <c r="AB239" s="32">
        <v>0.116411</v>
      </c>
    </row>
    <row r="240" spans="1:28" ht="15.6" customHeight="1" x14ac:dyDescent="0.25">
      <c r="A240" s="24" t="s">
        <v>443</v>
      </c>
      <c r="B240" s="50">
        <v>3812</v>
      </c>
      <c r="C240" s="25" t="s">
        <v>444</v>
      </c>
      <c r="D240" s="25" t="s">
        <v>241</v>
      </c>
      <c r="E240" s="25" t="s">
        <v>194</v>
      </c>
      <c r="F240" s="25" t="s">
        <v>103</v>
      </c>
      <c r="G240" s="26" t="s">
        <v>445</v>
      </c>
      <c r="H240" s="27" t="s">
        <v>446</v>
      </c>
      <c r="I240" s="24" t="s">
        <v>106</v>
      </c>
      <c r="J240" s="24" t="s">
        <v>107</v>
      </c>
      <c r="K240" s="28" t="s">
        <v>108</v>
      </c>
      <c r="L240" s="29">
        <v>0</v>
      </c>
      <c r="M240" s="29">
        <v>0</v>
      </c>
      <c r="N240" s="29">
        <v>0.02</v>
      </c>
      <c r="O240" s="27" t="s">
        <v>161</v>
      </c>
      <c r="P240" s="30" t="s">
        <v>241</v>
      </c>
      <c r="Q240" s="31">
        <v>514947605.62</v>
      </c>
      <c r="R240" s="31">
        <v>1176.4100000000001</v>
      </c>
      <c r="S240" s="32">
        <v>1.2043999999999999E-2</v>
      </c>
      <c r="T240" s="32" t="s">
        <v>139</v>
      </c>
      <c r="U240" s="32">
        <v>4.8500000000000003E-4</v>
      </c>
      <c r="V240" s="32">
        <v>1.686E-3</v>
      </c>
      <c r="W240" s="32">
        <v>4.5430000000000002E-3</v>
      </c>
      <c r="X240" s="32">
        <v>9.2479999999999993E-3</v>
      </c>
      <c r="Y240" s="32">
        <v>1.8907E-2</v>
      </c>
      <c r="Z240" s="32">
        <v>4.3508999999999999E-2</v>
      </c>
      <c r="AA240" s="32">
        <v>7.4013999999999996E-2</v>
      </c>
      <c r="AB240" s="32">
        <v>0.110711</v>
      </c>
    </row>
    <row r="241" spans="1:28" ht="15.6" customHeight="1" x14ac:dyDescent="0.25">
      <c r="A241" s="24" t="s">
        <v>1305</v>
      </c>
      <c r="B241" s="50">
        <v>3813</v>
      </c>
      <c r="C241" s="25" t="s">
        <v>1306</v>
      </c>
      <c r="D241" s="25" t="s">
        <v>145</v>
      </c>
      <c r="E241" s="25" t="s">
        <v>194</v>
      </c>
      <c r="F241" s="25" t="s">
        <v>138</v>
      </c>
      <c r="G241" s="26" t="s">
        <v>139</v>
      </c>
      <c r="H241" s="27" t="s">
        <v>1307</v>
      </c>
      <c r="I241" s="24" t="s">
        <v>998</v>
      </c>
      <c r="J241" s="24" t="s">
        <v>121</v>
      </c>
      <c r="K241" s="28" t="s">
        <v>108</v>
      </c>
      <c r="L241" s="29">
        <v>0.03</v>
      </c>
      <c r="M241" s="29">
        <v>0.03</v>
      </c>
      <c r="N241" s="29">
        <v>0.02</v>
      </c>
      <c r="O241" s="27" t="s">
        <v>148</v>
      </c>
      <c r="P241" s="30" t="s">
        <v>145</v>
      </c>
      <c r="Q241" s="31">
        <v>637908640.36000001</v>
      </c>
      <c r="R241" s="31">
        <v>1424.31</v>
      </c>
      <c r="S241" s="32">
        <v>4.9810000000000002E-3</v>
      </c>
      <c r="T241" s="32" t="s">
        <v>139</v>
      </c>
      <c r="U241" s="32">
        <v>4.5919999999999997E-3</v>
      </c>
      <c r="V241" s="32">
        <v>2.6166999999999999E-2</v>
      </c>
      <c r="W241" s="32">
        <v>2.0271999999999998E-2</v>
      </c>
      <c r="X241" s="32">
        <v>5.5490000000000001E-3</v>
      </c>
      <c r="Y241" s="32">
        <v>-3.8643999999999998E-2</v>
      </c>
      <c r="Z241" s="32">
        <v>0.19453699999999999</v>
      </c>
      <c r="AA241" s="32">
        <v>0.367979</v>
      </c>
      <c r="AB241" s="32">
        <v>0.28437099999999998</v>
      </c>
    </row>
    <row r="242" spans="1:28" ht="15.6" customHeight="1" x14ac:dyDescent="0.25">
      <c r="A242" s="24" t="s">
        <v>447</v>
      </c>
      <c r="B242" s="50">
        <v>3814</v>
      </c>
      <c r="C242" s="25" t="s">
        <v>448</v>
      </c>
      <c r="D242" s="25" t="s">
        <v>137</v>
      </c>
      <c r="E242" s="25" t="s">
        <v>194</v>
      </c>
      <c r="F242" s="25" t="s">
        <v>138</v>
      </c>
      <c r="G242" s="26" t="s">
        <v>139</v>
      </c>
      <c r="H242" s="27" t="s">
        <v>449</v>
      </c>
      <c r="I242" s="24" t="s">
        <v>106</v>
      </c>
      <c r="J242" s="24" t="s">
        <v>107</v>
      </c>
      <c r="K242" s="28" t="s">
        <v>108</v>
      </c>
      <c r="L242" s="29">
        <v>2E-3</v>
      </c>
      <c r="M242" s="29">
        <v>1E-3</v>
      </c>
      <c r="N242" s="29">
        <v>0.02</v>
      </c>
      <c r="O242" s="27" t="s">
        <v>141</v>
      </c>
      <c r="P242" s="30" t="s">
        <v>142</v>
      </c>
      <c r="Q242" s="31">
        <v>44628609.475216001</v>
      </c>
      <c r="R242" s="31">
        <v>1384.82</v>
      </c>
      <c r="S242" s="32">
        <v>3.173E-3</v>
      </c>
      <c r="T242" s="32" t="s">
        <v>139</v>
      </c>
      <c r="U242" s="32">
        <v>2.3739999999999998E-3</v>
      </c>
      <c r="V242" s="32">
        <v>1.4884E-2</v>
      </c>
      <c r="W242" s="32">
        <v>1.5904000000000001E-2</v>
      </c>
      <c r="X242" s="32">
        <v>1.0120000000000001E-3</v>
      </c>
      <c r="Y242" s="32">
        <v>-2.4067000000000002E-2</v>
      </c>
      <c r="Z242" s="32">
        <v>0.13089000000000001</v>
      </c>
      <c r="AA242" s="32">
        <v>0.211757</v>
      </c>
      <c r="AB242" s="32">
        <v>0.26051999999999997</v>
      </c>
    </row>
    <row r="243" spans="1:28" ht="15.6" customHeight="1" x14ac:dyDescent="0.25">
      <c r="A243" s="24" t="s">
        <v>450</v>
      </c>
      <c r="B243" s="50">
        <v>3815</v>
      </c>
      <c r="C243" s="25" t="s">
        <v>451</v>
      </c>
      <c r="D243" s="25" t="s">
        <v>137</v>
      </c>
      <c r="E243" s="25" t="s">
        <v>194</v>
      </c>
      <c r="F243" s="25" t="s">
        <v>155</v>
      </c>
      <c r="G243" s="26" t="s">
        <v>139</v>
      </c>
      <c r="H243" s="27" t="s">
        <v>452</v>
      </c>
      <c r="I243" s="24" t="s">
        <v>106</v>
      </c>
      <c r="J243" s="24" t="s">
        <v>107</v>
      </c>
      <c r="K243" s="28" t="s">
        <v>108</v>
      </c>
      <c r="L243" s="29">
        <v>2.5000000000000001E-3</v>
      </c>
      <c r="M243" s="29">
        <v>2.5000000000000001E-3</v>
      </c>
      <c r="N243" s="29">
        <v>0.02</v>
      </c>
      <c r="O243" s="27" t="s">
        <v>141</v>
      </c>
      <c r="P243" s="30" t="s">
        <v>142</v>
      </c>
      <c r="Q243" s="31">
        <v>41486113.330114</v>
      </c>
      <c r="R243" s="31">
        <v>1705.63</v>
      </c>
      <c r="S243" s="32">
        <v>-1.1606999999999999E-2</v>
      </c>
      <c r="T243" s="32" t="s">
        <v>139</v>
      </c>
      <c r="U243" s="32">
        <v>1.2093E-2</v>
      </c>
      <c r="V243" s="32">
        <v>6.9361000000000006E-2</v>
      </c>
      <c r="W243" s="32">
        <v>4.4227000000000002E-2</v>
      </c>
      <c r="X243" s="32">
        <v>-1.9144000000000001E-2</v>
      </c>
      <c r="Y243" s="32">
        <v>-0.112488</v>
      </c>
      <c r="Z243" s="32">
        <v>0.28201399999999999</v>
      </c>
      <c r="AA243" s="32">
        <v>0.49294500000000002</v>
      </c>
      <c r="AB243" s="32">
        <v>0.54979800000000001</v>
      </c>
    </row>
    <row r="244" spans="1:28" ht="15.6" customHeight="1" x14ac:dyDescent="0.25">
      <c r="A244" s="24" t="s">
        <v>453</v>
      </c>
      <c r="B244" s="50">
        <v>3816</v>
      </c>
      <c r="C244" s="25" t="s">
        <v>454</v>
      </c>
      <c r="D244" s="25" t="s">
        <v>137</v>
      </c>
      <c r="E244" s="25" t="s">
        <v>194</v>
      </c>
      <c r="F244" s="25" t="s">
        <v>113</v>
      </c>
      <c r="G244" s="26" t="s">
        <v>455</v>
      </c>
      <c r="H244" s="27" t="s">
        <v>456</v>
      </c>
      <c r="I244" s="24" t="s">
        <v>106</v>
      </c>
      <c r="J244" s="24" t="s">
        <v>107</v>
      </c>
      <c r="K244" s="28" t="s">
        <v>108</v>
      </c>
      <c r="L244" s="29">
        <v>0</v>
      </c>
      <c r="M244" s="29">
        <v>0</v>
      </c>
      <c r="N244" s="29">
        <v>0.02</v>
      </c>
      <c r="O244" s="27" t="s">
        <v>141</v>
      </c>
      <c r="P244" s="30" t="s">
        <v>142</v>
      </c>
      <c r="Q244" s="31">
        <v>31659961.316755001</v>
      </c>
      <c r="R244" s="31">
        <v>1178.26</v>
      </c>
      <c r="S244" s="32">
        <v>7.1299999999999998E-4</v>
      </c>
      <c r="T244" s="32" t="s">
        <v>139</v>
      </c>
      <c r="U244" s="32">
        <v>-1.5300000000000001E-4</v>
      </c>
      <c r="V244" s="32">
        <v>3.0219999999999999E-3</v>
      </c>
      <c r="W244" s="32">
        <v>3.065E-3</v>
      </c>
      <c r="X244" s="32">
        <v>1.82E-3</v>
      </c>
      <c r="Y244" s="32">
        <v>-7.1370000000000001E-3</v>
      </c>
      <c r="Z244" s="32">
        <v>5.8862999999999999E-2</v>
      </c>
      <c r="AA244" s="32">
        <v>0.107075</v>
      </c>
      <c r="AB244" s="32">
        <v>0.10835599999999999</v>
      </c>
    </row>
    <row r="245" spans="1:28" ht="15.6" customHeight="1" x14ac:dyDescent="0.25">
      <c r="A245" s="24" t="s">
        <v>457</v>
      </c>
      <c r="B245" s="50">
        <v>3817</v>
      </c>
      <c r="C245" s="25" t="s">
        <v>458</v>
      </c>
      <c r="D245" s="25" t="s">
        <v>137</v>
      </c>
      <c r="E245" s="25" t="s">
        <v>194</v>
      </c>
      <c r="F245" s="25" t="s">
        <v>113</v>
      </c>
      <c r="G245" s="26" t="s">
        <v>459</v>
      </c>
      <c r="H245" s="27" t="s">
        <v>407</v>
      </c>
      <c r="I245" s="24" t="s">
        <v>106</v>
      </c>
      <c r="J245" s="24" t="s">
        <v>107</v>
      </c>
      <c r="K245" s="28" t="s">
        <v>108</v>
      </c>
      <c r="L245" s="29">
        <v>0</v>
      </c>
      <c r="M245" s="29">
        <v>0</v>
      </c>
      <c r="N245" s="29">
        <v>0.02</v>
      </c>
      <c r="O245" s="27" t="s">
        <v>141</v>
      </c>
      <c r="P245" s="30" t="s">
        <v>142</v>
      </c>
      <c r="Q245" s="31">
        <v>102953435.154331</v>
      </c>
      <c r="R245" s="31">
        <v>1179.3599999999999</v>
      </c>
      <c r="S245" s="32">
        <v>1.5263000000000001E-2</v>
      </c>
      <c r="T245" s="32" t="s">
        <v>139</v>
      </c>
      <c r="U245" s="32">
        <v>6.87E-4</v>
      </c>
      <c r="V245" s="32">
        <v>1.8860000000000001E-3</v>
      </c>
      <c r="W245" s="32">
        <v>6.4339999999999996E-3</v>
      </c>
      <c r="X245" s="32">
        <v>1.2005E-2</v>
      </c>
      <c r="Y245" s="32">
        <v>2.0057999999999999E-2</v>
      </c>
      <c r="Z245" s="32">
        <v>5.0103000000000002E-2</v>
      </c>
      <c r="AA245" s="32">
        <v>8.6736999999999995E-2</v>
      </c>
      <c r="AB245" s="32">
        <v>0.10889</v>
      </c>
    </row>
    <row r="246" spans="1:28" ht="15.6" customHeight="1" x14ac:dyDescent="0.25">
      <c r="A246" s="24" t="s">
        <v>460</v>
      </c>
      <c r="B246" s="50">
        <v>3818</v>
      </c>
      <c r="C246" s="25" t="s">
        <v>461</v>
      </c>
      <c r="D246" s="25" t="s">
        <v>137</v>
      </c>
      <c r="E246" s="25" t="s">
        <v>194</v>
      </c>
      <c r="F246" s="25" t="s">
        <v>138</v>
      </c>
      <c r="G246" s="26" t="s">
        <v>139</v>
      </c>
      <c r="H246" s="27" t="s">
        <v>462</v>
      </c>
      <c r="I246" s="24" t="s">
        <v>106</v>
      </c>
      <c r="J246" s="24" t="s">
        <v>107</v>
      </c>
      <c r="K246" s="28" t="s">
        <v>108</v>
      </c>
      <c r="L246" s="29">
        <v>2E-3</v>
      </c>
      <c r="M246" s="29">
        <v>2E-3</v>
      </c>
      <c r="N246" s="29">
        <v>0.02</v>
      </c>
      <c r="O246" s="27" t="s">
        <v>141</v>
      </c>
      <c r="P246" s="30" t="s">
        <v>142</v>
      </c>
      <c r="Q246" s="31">
        <v>15783624.979839001</v>
      </c>
      <c r="R246" s="31">
        <v>1410.13</v>
      </c>
      <c r="S246" s="32">
        <v>-1.6296000000000001E-2</v>
      </c>
      <c r="T246" s="32" t="s">
        <v>139</v>
      </c>
      <c r="U246" s="32">
        <v>3.7799999999999999E-3</v>
      </c>
      <c r="V246" s="32">
        <v>2.4476000000000001E-2</v>
      </c>
      <c r="W246" s="32">
        <v>2.1204000000000001E-2</v>
      </c>
      <c r="X246" s="32">
        <v>-1.7351999999999999E-2</v>
      </c>
      <c r="Y246" s="32">
        <v>-5.4130999999999999E-2</v>
      </c>
      <c r="Z246" s="32">
        <v>0.17716799999999999</v>
      </c>
      <c r="AA246" s="32">
        <v>0.29986299999999999</v>
      </c>
      <c r="AB246" s="32">
        <v>0.28377999999999998</v>
      </c>
    </row>
    <row r="247" spans="1:28" ht="15.6" customHeight="1" x14ac:dyDescent="0.25">
      <c r="A247" s="24" t="s">
        <v>463</v>
      </c>
      <c r="B247" s="50">
        <v>3820</v>
      </c>
      <c r="C247" s="25" t="s">
        <v>464</v>
      </c>
      <c r="D247" s="25" t="s">
        <v>241</v>
      </c>
      <c r="E247" s="25" t="s">
        <v>194</v>
      </c>
      <c r="F247" s="25" t="s">
        <v>113</v>
      </c>
      <c r="G247" s="26" t="s">
        <v>465</v>
      </c>
      <c r="H247" s="27" t="s">
        <v>115</v>
      </c>
      <c r="I247" s="24" t="s">
        <v>106</v>
      </c>
      <c r="J247" s="24" t="s">
        <v>107</v>
      </c>
      <c r="K247" s="28" t="s">
        <v>108</v>
      </c>
      <c r="L247" s="29">
        <v>0.03</v>
      </c>
      <c r="M247" s="29">
        <v>1.4999999999999999E-2</v>
      </c>
      <c r="N247" s="29">
        <v>0.02</v>
      </c>
      <c r="O247" s="27" t="s">
        <v>161</v>
      </c>
      <c r="P247" s="30" t="s">
        <v>466</v>
      </c>
      <c r="Q247" s="31">
        <v>2228629002.3699999</v>
      </c>
      <c r="R247" s="31">
        <v>1208.9000000000001</v>
      </c>
      <c r="S247" s="32">
        <v>-1.544E-3</v>
      </c>
      <c r="T247" s="32" t="s">
        <v>139</v>
      </c>
      <c r="U247" s="32">
        <v>1.325E-3</v>
      </c>
      <c r="V247" s="32">
        <v>5.5729999999999998E-3</v>
      </c>
      <c r="W247" s="32">
        <v>4.1700000000000001E-3</v>
      </c>
      <c r="X247" s="32">
        <v>8.1099999999999998E-4</v>
      </c>
      <c r="Y247" s="32">
        <v>-8.4069999999999995E-3</v>
      </c>
      <c r="Z247" s="32">
        <v>7.1282999999999999E-2</v>
      </c>
      <c r="AA247" s="32">
        <v>0.148817</v>
      </c>
      <c r="AB247" s="32">
        <v>9.7045000000000006E-2</v>
      </c>
    </row>
    <row r="248" spans="1:28" ht="15.6" customHeight="1" x14ac:dyDescent="0.25">
      <c r="A248" s="24" t="s">
        <v>467</v>
      </c>
      <c r="B248" s="50">
        <v>3821</v>
      </c>
      <c r="C248" s="25" t="s">
        <v>468</v>
      </c>
      <c r="D248" s="25" t="s">
        <v>241</v>
      </c>
      <c r="E248" s="25" t="s">
        <v>194</v>
      </c>
      <c r="F248" s="25" t="s">
        <v>155</v>
      </c>
      <c r="G248" s="26" t="s">
        <v>139</v>
      </c>
      <c r="H248" s="27" t="s">
        <v>156</v>
      </c>
      <c r="I248" s="24" t="s">
        <v>106</v>
      </c>
      <c r="J248" s="24" t="s">
        <v>121</v>
      </c>
      <c r="K248" s="28" t="s">
        <v>108</v>
      </c>
      <c r="L248" s="29">
        <v>0</v>
      </c>
      <c r="M248" s="29">
        <v>0</v>
      </c>
      <c r="N248" s="29">
        <v>0.02</v>
      </c>
      <c r="O248" s="27" t="s">
        <v>161</v>
      </c>
      <c r="P248" s="30" t="s">
        <v>466</v>
      </c>
      <c r="Q248" s="31">
        <v>2173139898.77</v>
      </c>
      <c r="R248" s="31">
        <v>2152.8200000000002</v>
      </c>
      <c r="S248" s="32">
        <v>4.9224999999999998E-2</v>
      </c>
      <c r="T248" s="32" t="s">
        <v>139</v>
      </c>
      <c r="U248" s="32">
        <v>1.4113000000000001E-2</v>
      </c>
      <c r="V248" s="32">
        <v>7.6615000000000003E-2</v>
      </c>
      <c r="W248" s="32">
        <v>6.7919999999999994E-2</v>
      </c>
      <c r="X248" s="32">
        <v>4.2109000000000001E-2</v>
      </c>
      <c r="Y248" s="32">
        <v>-4.8528000000000002E-2</v>
      </c>
      <c r="Z248" s="32">
        <v>0.47475600000000001</v>
      </c>
      <c r="AA248" s="32">
        <v>0.825569</v>
      </c>
      <c r="AB248" s="32">
        <v>0.83296700000000001</v>
      </c>
    </row>
    <row r="249" spans="1:28" ht="15.6" customHeight="1" x14ac:dyDescent="0.25">
      <c r="A249" s="24" t="s">
        <v>1308</v>
      </c>
      <c r="B249" s="50">
        <v>3822</v>
      </c>
      <c r="C249" s="25" t="s">
        <v>1309</v>
      </c>
      <c r="D249" s="25" t="s">
        <v>159</v>
      </c>
      <c r="E249" s="25" t="s">
        <v>194</v>
      </c>
      <c r="F249" s="25" t="s">
        <v>138</v>
      </c>
      <c r="G249" s="26" t="s">
        <v>139</v>
      </c>
      <c r="H249" s="27" t="s">
        <v>1310</v>
      </c>
      <c r="I249" s="24" t="s">
        <v>998</v>
      </c>
      <c r="J249" s="24" t="s">
        <v>121</v>
      </c>
      <c r="K249" s="28" t="s">
        <v>227</v>
      </c>
      <c r="L249" s="29">
        <v>0</v>
      </c>
      <c r="M249" s="29">
        <v>0</v>
      </c>
      <c r="N249" s="29">
        <v>0.02</v>
      </c>
      <c r="O249" s="27" t="s">
        <v>161</v>
      </c>
      <c r="P249" s="30" t="s">
        <v>159</v>
      </c>
      <c r="Q249" s="31">
        <v>302805194.45999998</v>
      </c>
      <c r="R249" s="31">
        <v>1520.36</v>
      </c>
      <c r="S249" s="32">
        <v>1.0139E-2</v>
      </c>
      <c r="T249" s="32" t="s">
        <v>139</v>
      </c>
      <c r="U249" s="32">
        <v>2.222E-3</v>
      </c>
      <c r="V249" s="32">
        <v>1.0407E-2</v>
      </c>
      <c r="W249" s="32">
        <v>1.0851E-2</v>
      </c>
      <c r="X249" s="32">
        <v>6.894E-3</v>
      </c>
      <c r="Y249" s="32">
        <v>-1.0709999999999999E-3</v>
      </c>
      <c r="Z249" s="32">
        <v>0.141231</v>
      </c>
      <c r="AA249" s="32">
        <v>0.27654099999999998</v>
      </c>
      <c r="AB249" s="32">
        <v>0.26207599999999998</v>
      </c>
    </row>
    <row r="250" spans="1:28" ht="15.6" customHeight="1" x14ac:dyDescent="0.25">
      <c r="A250" s="24" t="s">
        <v>469</v>
      </c>
      <c r="B250" s="50">
        <v>3823</v>
      </c>
      <c r="C250" s="25" t="s">
        <v>470</v>
      </c>
      <c r="D250" s="25" t="s">
        <v>145</v>
      </c>
      <c r="E250" s="25" t="s">
        <v>194</v>
      </c>
      <c r="F250" s="25" t="s">
        <v>113</v>
      </c>
      <c r="G250" s="26" t="s">
        <v>439</v>
      </c>
      <c r="H250" s="27" t="s">
        <v>471</v>
      </c>
      <c r="I250" s="24" t="s">
        <v>106</v>
      </c>
      <c r="J250" s="24" t="s">
        <v>121</v>
      </c>
      <c r="K250" s="28" t="s">
        <v>108</v>
      </c>
      <c r="L250" s="29">
        <v>0.03</v>
      </c>
      <c r="M250" s="29">
        <v>0.03</v>
      </c>
      <c r="N250" s="29">
        <v>0.02</v>
      </c>
      <c r="O250" s="27" t="s">
        <v>148</v>
      </c>
      <c r="P250" s="30" t="s">
        <v>145</v>
      </c>
      <c r="Q250" s="31">
        <v>3444503338.6100001</v>
      </c>
      <c r="R250" s="31">
        <v>1323.58</v>
      </c>
      <c r="S250" s="32">
        <v>6.5550000000000001E-3</v>
      </c>
      <c r="T250" s="32" t="s">
        <v>139</v>
      </c>
      <c r="U250" s="32">
        <v>1.021E-3</v>
      </c>
      <c r="V250" s="32">
        <v>3.2520000000000001E-3</v>
      </c>
      <c r="W250" s="32">
        <v>5.7369999999999999E-3</v>
      </c>
      <c r="X250" s="32">
        <v>4.836E-3</v>
      </c>
      <c r="Y250" s="32">
        <v>6.4330000000000003E-3</v>
      </c>
      <c r="Z250" s="32">
        <v>9.0721999999999997E-2</v>
      </c>
      <c r="AA250" s="32">
        <v>0.18632199999999999</v>
      </c>
      <c r="AB250" s="32">
        <v>0.18296100000000001</v>
      </c>
    </row>
    <row r="251" spans="1:28" ht="15.6" customHeight="1" x14ac:dyDescent="0.25">
      <c r="A251" s="24" t="s">
        <v>1311</v>
      </c>
      <c r="B251" s="50">
        <v>3824</v>
      </c>
      <c r="C251" s="25" t="s">
        <v>1312</v>
      </c>
      <c r="D251" s="25" t="s">
        <v>145</v>
      </c>
      <c r="E251" s="25" t="s">
        <v>194</v>
      </c>
      <c r="F251" s="25" t="s">
        <v>138</v>
      </c>
      <c r="G251" s="26" t="s">
        <v>139</v>
      </c>
      <c r="H251" s="27" t="s">
        <v>1313</v>
      </c>
      <c r="I251" s="24" t="s">
        <v>998</v>
      </c>
      <c r="J251" s="24" t="s">
        <v>121</v>
      </c>
      <c r="K251" s="28" t="s">
        <v>108</v>
      </c>
      <c r="L251" s="29">
        <v>0</v>
      </c>
      <c r="M251" s="29">
        <v>0</v>
      </c>
      <c r="N251" s="29">
        <v>0.02</v>
      </c>
      <c r="O251" s="27" t="s">
        <v>148</v>
      </c>
      <c r="P251" s="30" t="s">
        <v>145</v>
      </c>
      <c r="Q251" s="31">
        <v>309327160.06999999</v>
      </c>
      <c r="R251" s="31">
        <v>1551.14</v>
      </c>
      <c r="S251" s="32">
        <v>1.7148E-2</v>
      </c>
      <c r="T251" s="32" t="s">
        <v>139</v>
      </c>
      <c r="U251" s="32">
        <v>2.398E-3</v>
      </c>
      <c r="V251" s="32">
        <v>1.1502999999999999E-2</v>
      </c>
      <c r="W251" s="32">
        <v>1.289E-2</v>
      </c>
      <c r="X251" s="32">
        <v>9.8899999999999995E-3</v>
      </c>
      <c r="Y251" s="32">
        <v>1.776E-3</v>
      </c>
      <c r="Z251" s="32">
        <v>0.164904</v>
      </c>
      <c r="AA251" s="32">
        <v>0.299319</v>
      </c>
      <c r="AB251" s="32">
        <v>0.28574899999999998</v>
      </c>
    </row>
    <row r="252" spans="1:28" ht="15.6" customHeight="1" x14ac:dyDescent="0.25">
      <c r="A252" s="24" t="s">
        <v>472</v>
      </c>
      <c r="B252" s="50">
        <v>3825</v>
      </c>
      <c r="C252" s="25" t="s">
        <v>473</v>
      </c>
      <c r="D252" s="25" t="s">
        <v>355</v>
      </c>
      <c r="E252" s="25" t="s">
        <v>194</v>
      </c>
      <c r="F252" s="25" t="s">
        <v>138</v>
      </c>
      <c r="G252" s="26" t="s">
        <v>139</v>
      </c>
      <c r="H252" s="27" t="s">
        <v>474</v>
      </c>
      <c r="I252" s="24" t="s">
        <v>106</v>
      </c>
      <c r="J252" s="24" t="s">
        <v>107</v>
      </c>
      <c r="K252" s="28" t="s">
        <v>108</v>
      </c>
      <c r="L252" s="29">
        <v>0.03</v>
      </c>
      <c r="M252" s="29">
        <v>1.4999999999999999E-2</v>
      </c>
      <c r="N252" s="29">
        <v>0.02</v>
      </c>
      <c r="O252" s="27" t="s">
        <v>109</v>
      </c>
      <c r="P252" s="30" t="s">
        <v>475</v>
      </c>
      <c r="Q252" s="31">
        <v>1550287022.6400001</v>
      </c>
      <c r="R252" s="31">
        <v>1318.27</v>
      </c>
      <c r="S252" s="32">
        <v>-1.5996E-2</v>
      </c>
      <c r="T252" s="32" t="s">
        <v>139</v>
      </c>
      <c r="U252" s="32">
        <v>7.0359999999999997E-3</v>
      </c>
      <c r="V252" s="32">
        <v>3.6033999999999997E-2</v>
      </c>
      <c r="W252" s="32">
        <v>2.3987000000000001E-2</v>
      </c>
      <c r="X252" s="32">
        <v>-1.0983E-2</v>
      </c>
      <c r="Y252" s="32">
        <v>-7.6123999999999997E-2</v>
      </c>
      <c r="Z252" s="32">
        <v>0.15205199999999999</v>
      </c>
      <c r="AA252" s="32">
        <v>0.28858099999999998</v>
      </c>
      <c r="AB252" s="32">
        <v>0.17411199999999999</v>
      </c>
    </row>
    <row r="253" spans="1:28" ht="15.6" customHeight="1" x14ac:dyDescent="0.25">
      <c r="A253" s="24" t="s">
        <v>476</v>
      </c>
      <c r="B253" s="50">
        <v>3826</v>
      </c>
      <c r="C253" s="25" t="s">
        <v>477</v>
      </c>
      <c r="D253" s="25" t="s">
        <v>355</v>
      </c>
      <c r="E253" s="25" t="s">
        <v>194</v>
      </c>
      <c r="F253" s="25" t="s">
        <v>113</v>
      </c>
      <c r="G253" s="26" t="s">
        <v>465</v>
      </c>
      <c r="H253" s="27" t="s">
        <v>478</v>
      </c>
      <c r="I253" s="24" t="s">
        <v>106</v>
      </c>
      <c r="J253" s="24" t="s">
        <v>107</v>
      </c>
      <c r="K253" s="28" t="s">
        <v>108</v>
      </c>
      <c r="L253" s="29">
        <v>0.03</v>
      </c>
      <c r="M253" s="29">
        <v>1.4999999999999999E-2</v>
      </c>
      <c r="N253" s="29">
        <v>0.02</v>
      </c>
      <c r="O253" s="27" t="s">
        <v>109</v>
      </c>
      <c r="P253" s="30" t="s">
        <v>475</v>
      </c>
      <c r="Q253" s="31">
        <v>1268818451.2</v>
      </c>
      <c r="R253" s="31">
        <v>1200.8399999999999</v>
      </c>
      <c r="S253" s="32">
        <v>-1.588E-3</v>
      </c>
      <c r="T253" s="32" t="s">
        <v>139</v>
      </c>
      <c r="U253" s="32">
        <v>1.668E-3</v>
      </c>
      <c r="V253" s="32">
        <v>6.3689999999999997E-3</v>
      </c>
      <c r="W253" s="32">
        <v>7.6610000000000003E-3</v>
      </c>
      <c r="X253" s="32">
        <v>5.9999999999999995E-4</v>
      </c>
      <c r="Y253" s="32">
        <v>-1.5544000000000001E-2</v>
      </c>
      <c r="Z253" s="32">
        <v>6.2756000000000006E-2</v>
      </c>
      <c r="AA253" s="32">
        <v>0.13706199999999999</v>
      </c>
      <c r="AB253" s="32">
        <v>8.2335000000000005E-2</v>
      </c>
    </row>
    <row r="254" spans="1:28" ht="15.6" customHeight="1" x14ac:dyDescent="0.25">
      <c r="A254" s="24" t="s">
        <v>1314</v>
      </c>
      <c r="B254" s="50">
        <v>3827</v>
      </c>
      <c r="C254" s="25" t="s">
        <v>1315</v>
      </c>
      <c r="D254" s="25" t="s">
        <v>355</v>
      </c>
      <c r="E254" s="25" t="s">
        <v>194</v>
      </c>
      <c r="F254" s="25" t="s">
        <v>138</v>
      </c>
      <c r="G254" s="26" t="s">
        <v>139</v>
      </c>
      <c r="H254" s="27" t="s">
        <v>1316</v>
      </c>
      <c r="I254" s="24" t="s">
        <v>998</v>
      </c>
      <c r="J254" s="24" t="s">
        <v>121</v>
      </c>
      <c r="K254" s="28" t="s">
        <v>227</v>
      </c>
      <c r="L254" s="29">
        <v>0</v>
      </c>
      <c r="M254" s="29">
        <v>0</v>
      </c>
      <c r="N254" s="29">
        <v>0.02</v>
      </c>
      <c r="O254" s="27" t="s">
        <v>109</v>
      </c>
      <c r="P254" s="30" t="s">
        <v>355</v>
      </c>
      <c r="Q254" s="31">
        <v>420961795.89999998</v>
      </c>
      <c r="R254" s="31">
        <v>1265.67</v>
      </c>
      <c r="S254" s="32">
        <v>-1.0515E-2</v>
      </c>
      <c r="T254" s="32" t="s">
        <v>139</v>
      </c>
      <c r="U254" s="32">
        <v>6.025E-3</v>
      </c>
      <c r="V254" s="32">
        <v>3.0641999999999999E-2</v>
      </c>
      <c r="W254" s="32">
        <v>1.7829000000000001E-2</v>
      </c>
      <c r="X254" s="32">
        <v>-1.0500000000000001E-2</v>
      </c>
      <c r="Y254" s="32">
        <v>-9.6130999999999994E-2</v>
      </c>
      <c r="Z254" s="32">
        <v>0.15271199999999999</v>
      </c>
      <c r="AA254" s="32">
        <v>0.31749899999999998</v>
      </c>
      <c r="AB254" s="32">
        <v>0.27257399999999998</v>
      </c>
    </row>
    <row r="255" spans="1:28" ht="15.6" customHeight="1" x14ac:dyDescent="0.25">
      <c r="A255" s="24" t="s">
        <v>479</v>
      </c>
      <c r="B255" s="50">
        <v>3828</v>
      </c>
      <c r="C255" s="25" t="s">
        <v>480</v>
      </c>
      <c r="D255" s="25" t="s">
        <v>355</v>
      </c>
      <c r="E255" s="25" t="s">
        <v>194</v>
      </c>
      <c r="F255" s="25" t="s">
        <v>113</v>
      </c>
      <c r="G255" s="26" t="s">
        <v>465</v>
      </c>
      <c r="H255" s="27" t="s">
        <v>309</v>
      </c>
      <c r="I255" s="24" t="s">
        <v>106</v>
      </c>
      <c r="J255" s="24" t="s">
        <v>107</v>
      </c>
      <c r="K255" s="28" t="s">
        <v>108</v>
      </c>
      <c r="L255" s="29">
        <v>0.03</v>
      </c>
      <c r="M255" s="29">
        <v>1.4999999999999999E-2</v>
      </c>
      <c r="N255" s="29">
        <v>0.02</v>
      </c>
      <c r="O255" s="27" t="s">
        <v>109</v>
      </c>
      <c r="P255" s="30" t="s">
        <v>475</v>
      </c>
      <c r="Q255" s="31">
        <v>1141939.52</v>
      </c>
      <c r="R255" s="31">
        <v>1092.77</v>
      </c>
      <c r="S255" s="32">
        <v>6.6049999999999998E-3</v>
      </c>
      <c r="T255" s="32" t="s">
        <v>139</v>
      </c>
      <c r="U255" s="32">
        <v>7.8799999999999996E-4</v>
      </c>
      <c r="V255" s="32">
        <v>1.879E-3</v>
      </c>
      <c r="W255" s="32">
        <v>4.4120000000000001E-3</v>
      </c>
      <c r="X255" s="32">
        <v>5.1419999999999999E-3</v>
      </c>
      <c r="Y255" s="32">
        <v>5.1970000000000002E-3</v>
      </c>
      <c r="Z255" s="32">
        <v>4.5793E-2</v>
      </c>
      <c r="AA255" s="32">
        <v>9.7323999999999994E-2</v>
      </c>
      <c r="AB255" s="32">
        <v>-8.3490000000000005E-3</v>
      </c>
    </row>
    <row r="256" spans="1:28" ht="15.6" customHeight="1" x14ac:dyDescent="0.25">
      <c r="A256" s="24" t="s">
        <v>1317</v>
      </c>
      <c r="B256" s="50">
        <v>3829</v>
      </c>
      <c r="C256" s="25" t="s">
        <v>1318</v>
      </c>
      <c r="D256" s="25" t="s">
        <v>350</v>
      </c>
      <c r="E256" s="25" t="s">
        <v>194</v>
      </c>
      <c r="F256" s="25" t="s">
        <v>138</v>
      </c>
      <c r="G256" s="26" t="s">
        <v>139</v>
      </c>
      <c r="H256" s="27" t="s">
        <v>1319</v>
      </c>
      <c r="I256" s="24" t="s">
        <v>998</v>
      </c>
      <c r="J256" s="24" t="s">
        <v>107</v>
      </c>
      <c r="K256" s="28" t="s">
        <v>227</v>
      </c>
      <c r="L256" s="29">
        <v>0.03</v>
      </c>
      <c r="M256" s="29">
        <v>0.03</v>
      </c>
      <c r="N256" s="29">
        <v>0.02</v>
      </c>
      <c r="O256" s="27" t="s">
        <v>262</v>
      </c>
      <c r="P256" s="30" t="s">
        <v>350</v>
      </c>
      <c r="Q256" s="31">
        <v>604516787.86000001</v>
      </c>
      <c r="R256" s="31">
        <v>1202.0999999999999</v>
      </c>
      <c r="S256" s="32">
        <v>-1.1800000000000001E-3</v>
      </c>
      <c r="T256" s="32" t="s">
        <v>139</v>
      </c>
      <c r="U256" s="32">
        <v>-2.6435E-2</v>
      </c>
      <c r="V256" s="32">
        <v>5.3860000000000002E-3</v>
      </c>
      <c r="W256" s="32">
        <v>1.0024E-2</v>
      </c>
      <c r="X256" s="32">
        <v>-1.8270000000000001E-3</v>
      </c>
      <c r="Y256" s="32">
        <v>-4.6785E-2</v>
      </c>
      <c r="Z256" s="32">
        <v>0.13921500000000001</v>
      </c>
      <c r="AA256" s="32">
        <v>0.24338000000000001</v>
      </c>
      <c r="AB256" s="32">
        <v>0.21091499999999999</v>
      </c>
    </row>
    <row r="257" spans="1:28" ht="15.6" customHeight="1" x14ac:dyDescent="0.25">
      <c r="A257" s="24" t="s">
        <v>481</v>
      </c>
      <c r="B257" s="50">
        <v>3830</v>
      </c>
      <c r="C257" s="25" t="s">
        <v>482</v>
      </c>
      <c r="D257" s="25" t="s">
        <v>137</v>
      </c>
      <c r="E257" s="25" t="s">
        <v>194</v>
      </c>
      <c r="F257" s="25" t="s">
        <v>113</v>
      </c>
      <c r="G257" s="26" t="s">
        <v>238</v>
      </c>
      <c r="H257" s="27" t="s">
        <v>115</v>
      </c>
      <c r="I257" s="24" t="s">
        <v>106</v>
      </c>
      <c r="J257" s="24" t="s">
        <v>107</v>
      </c>
      <c r="K257" s="28" t="s">
        <v>108</v>
      </c>
      <c r="L257" s="29">
        <v>0</v>
      </c>
      <c r="M257" s="29">
        <v>0</v>
      </c>
      <c r="N257" s="29">
        <v>0.02</v>
      </c>
      <c r="O257" s="27" t="s">
        <v>141</v>
      </c>
      <c r="P257" s="30" t="s">
        <v>142</v>
      </c>
      <c r="Q257" s="31">
        <v>1595564198.627075</v>
      </c>
      <c r="R257" s="31">
        <v>1672.6</v>
      </c>
      <c r="S257" s="32">
        <v>-4.84E-4</v>
      </c>
      <c r="T257" s="32" t="s">
        <v>139</v>
      </c>
      <c r="U257" s="32">
        <v>1.9469999999999999E-3</v>
      </c>
      <c r="V257" s="32">
        <v>9.0130000000000002E-3</v>
      </c>
      <c r="W257" s="32">
        <v>6.4749999999999999E-3</v>
      </c>
      <c r="X257" s="32">
        <v>8.6200000000000003E-4</v>
      </c>
      <c r="Y257" s="32">
        <v>-7.4999999999999997E-3</v>
      </c>
      <c r="Z257" s="32">
        <v>7.9521999999999995E-2</v>
      </c>
      <c r="AA257" s="32">
        <v>0.17354900000000001</v>
      </c>
      <c r="AB257" s="32">
        <v>0.215977</v>
      </c>
    </row>
    <row r="258" spans="1:28" ht="15.6" customHeight="1" x14ac:dyDescent="0.25">
      <c r="A258" s="24" t="s">
        <v>483</v>
      </c>
      <c r="B258" s="50">
        <v>3831</v>
      </c>
      <c r="C258" s="25" t="s">
        <v>484</v>
      </c>
      <c r="D258" s="25" t="s">
        <v>137</v>
      </c>
      <c r="E258" s="25" t="s">
        <v>194</v>
      </c>
      <c r="F258" s="25" t="s">
        <v>113</v>
      </c>
      <c r="G258" s="26" t="s">
        <v>238</v>
      </c>
      <c r="H258" s="27" t="s">
        <v>115</v>
      </c>
      <c r="I258" s="24" t="s">
        <v>106</v>
      </c>
      <c r="J258" s="24" t="s">
        <v>107</v>
      </c>
      <c r="K258" s="28" t="s">
        <v>108</v>
      </c>
      <c r="L258" s="29">
        <v>0</v>
      </c>
      <c r="M258" s="29">
        <v>0</v>
      </c>
      <c r="N258" s="29">
        <v>0.02</v>
      </c>
      <c r="O258" s="27" t="s">
        <v>141</v>
      </c>
      <c r="P258" s="30" t="s">
        <v>142</v>
      </c>
      <c r="Q258" s="31">
        <v>239119471.138217</v>
      </c>
      <c r="R258" s="31">
        <v>1493.35</v>
      </c>
      <c r="S258" s="32">
        <v>-3.5430000000000001E-3</v>
      </c>
      <c r="T258" s="32" t="s">
        <v>139</v>
      </c>
      <c r="U258" s="32">
        <v>8.1800000000000004E-4</v>
      </c>
      <c r="V258" s="32">
        <v>3.2650000000000001E-3</v>
      </c>
      <c r="W258" s="32">
        <v>1.879E-3</v>
      </c>
      <c r="X258" s="32">
        <v>-4.4200000000000003E-3</v>
      </c>
      <c r="Y258" s="32">
        <v>-4.8979999999999996E-3</v>
      </c>
      <c r="Z258" s="32">
        <v>8.6364999999999997E-2</v>
      </c>
      <c r="AA258" s="32">
        <v>0.18362999999999999</v>
      </c>
      <c r="AB258" s="32">
        <v>0.11498899999999999</v>
      </c>
    </row>
    <row r="259" spans="1:28" ht="15.6" customHeight="1" x14ac:dyDescent="0.25">
      <c r="A259" s="24" t="s">
        <v>485</v>
      </c>
      <c r="B259" s="50">
        <v>3833</v>
      </c>
      <c r="C259" s="25" t="s">
        <v>486</v>
      </c>
      <c r="D259" s="25" t="s">
        <v>322</v>
      </c>
      <c r="E259" s="25" t="s">
        <v>194</v>
      </c>
      <c r="F259" s="25" t="s">
        <v>103</v>
      </c>
      <c r="G259" s="26" t="s">
        <v>487</v>
      </c>
      <c r="H259" s="27" t="s">
        <v>188</v>
      </c>
      <c r="I259" s="24" t="s">
        <v>106</v>
      </c>
      <c r="J259" s="24" t="s">
        <v>107</v>
      </c>
      <c r="K259" s="28" t="s">
        <v>108</v>
      </c>
      <c r="L259" s="29">
        <v>0.03</v>
      </c>
      <c r="M259" s="29">
        <v>1.4999999999999999E-2</v>
      </c>
      <c r="N259" s="29">
        <v>0.02</v>
      </c>
      <c r="O259" s="27" t="s">
        <v>166</v>
      </c>
      <c r="P259" s="30" t="s">
        <v>322</v>
      </c>
      <c r="Q259" s="31">
        <v>504959225.24000001</v>
      </c>
      <c r="R259" s="31">
        <v>119.77</v>
      </c>
      <c r="S259" s="32">
        <v>1.8020000000000001E-2</v>
      </c>
      <c r="T259" s="32" t="s">
        <v>139</v>
      </c>
      <c r="U259" s="32">
        <v>5.0100000000000003E-4</v>
      </c>
      <c r="V259" s="32">
        <v>1.9239999999999999E-3</v>
      </c>
      <c r="W259" s="32">
        <v>7.4019999999999997E-3</v>
      </c>
      <c r="X259" s="32">
        <v>1.4742E-2</v>
      </c>
      <c r="Y259" s="32">
        <v>2.6483E-2</v>
      </c>
      <c r="Z259" s="32">
        <v>7.8911999999999996E-2</v>
      </c>
      <c r="AA259" s="32">
        <v>0.19067500000000001</v>
      </c>
      <c r="AB259" s="32">
        <v>0.13354199999999999</v>
      </c>
    </row>
    <row r="260" spans="1:28" ht="15.6" customHeight="1" x14ac:dyDescent="0.25">
      <c r="A260" s="24" t="s">
        <v>1320</v>
      </c>
      <c r="B260" s="50">
        <v>3834</v>
      </c>
      <c r="C260" s="25" t="s">
        <v>1321</v>
      </c>
      <c r="D260" s="25" t="s">
        <v>322</v>
      </c>
      <c r="E260" s="25" t="s">
        <v>194</v>
      </c>
      <c r="F260" s="25" t="s">
        <v>113</v>
      </c>
      <c r="G260" s="26" t="s">
        <v>1322</v>
      </c>
      <c r="H260" s="27" t="s">
        <v>115</v>
      </c>
      <c r="I260" s="24" t="s">
        <v>998</v>
      </c>
      <c r="J260" s="24" t="s">
        <v>107</v>
      </c>
      <c r="K260" s="28" t="s">
        <v>108</v>
      </c>
      <c r="L260" s="29">
        <v>0.03</v>
      </c>
      <c r="M260" s="29">
        <v>1.4999999999999999E-2</v>
      </c>
      <c r="N260" s="29">
        <v>0.02</v>
      </c>
      <c r="O260" s="27" t="s">
        <v>116</v>
      </c>
      <c r="P260" s="30" t="s">
        <v>322</v>
      </c>
      <c r="Q260" s="31">
        <v>956630.75</v>
      </c>
      <c r="R260" s="31">
        <v>128.18</v>
      </c>
      <c r="S260" s="32">
        <v>1.1720000000000001E-3</v>
      </c>
      <c r="T260" s="32" t="s">
        <v>139</v>
      </c>
      <c r="U260" s="32">
        <v>7.8100000000000001E-4</v>
      </c>
      <c r="V260" s="32">
        <v>1.719E-3</v>
      </c>
      <c r="W260" s="32">
        <v>3.209E-3</v>
      </c>
      <c r="X260" s="32">
        <v>1.0150000000000001E-3</v>
      </c>
      <c r="Y260" s="32">
        <v>-4.0400000000000002E-3</v>
      </c>
      <c r="Z260" s="32">
        <v>8.6362999999999995E-2</v>
      </c>
      <c r="AA260" s="32">
        <v>0.18641199999999999</v>
      </c>
      <c r="AB260" s="32">
        <v>0.205266</v>
      </c>
    </row>
    <row r="261" spans="1:28" ht="15.6" customHeight="1" x14ac:dyDescent="0.25">
      <c r="A261" s="24" t="s">
        <v>488</v>
      </c>
      <c r="B261" s="50">
        <v>3835</v>
      </c>
      <c r="C261" s="25" t="s">
        <v>489</v>
      </c>
      <c r="D261" s="25" t="s">
        <v>322</v>
      </c>
      <c r="E261" s="25" t="s">
        <v>194</v>
      </c>
      <c r="F261" s="25" t="s">
        <v>138</v>
      </c>
      <c r="G261" s="26" t="s">
        <v>139</v>
      </c>
      <c r="H261" s="27" t="s">
        <v>490</v>
      </c>
      <c r="I261" s="24" t="s">
        <v>106</v>
      </c>
      <c r="J261" s="24" t="s">
        <v>107</v>
      </c>
      <c r="K261" s="28" t="s">
        <v>108</v>
      </c>
      <c r="L261" s="29">
        <v>0.03</v>
      </c>
      <c r="M261" s="29">
        <v>1.4999999999999999E-2</v>
      </c>
      <c r="N261" s="29">
        <v>0.02</v>
      </c>
      <c r="O261" s="27" t="s">
        <v>166</v>
      </c>
      <c r="P261" s="30" t="s">
        <v>322</v>
      </c>
      <c r="Q261" s="31">
        <v>3109996542.1500001</v>
      </c>
      <c r="R261" s="31">
        <v>125.27</v>
      </c>
      <c r="S261" s="32">
        <v>-7.0549999999999996E-3</v>
      </c>
      <c r="T261" s="32" t="s">
        <v>139</v>
      </c>
      <c r="U261" s="32">
        <v>7.2360000000000002E-3</v>
      </c>
      <c r="V261" s="32">
        <v>3.6659999999999998E-2</v>
      </c>
      <c r="W261" s="32">
        <v>2.5374000000000001E-2</v>
      </c>
      <c r="X261" s="32">
        <v>-2.31E-3</v>
      </c>
      <c r="Y261" s="32">
        <v>-7.6725000000000002E-2</v>
      </c>
      <c r="Z261" s="32">
        <v>0.192139</v>
      </c>
      <c r="AA261" s="32">
        <v>0.35105700000000001</v>
      </c>
      <c r="AB261" s="32">
        <v>0.20905299999999999</v>
      </c>
    </row>
    <row r="262" spans="1:28" ht="15.6" customHeight="1" x14ac:dyDescent="0.25">
      <c r="A262" s="24" t="s">
        <v>491</v>
      </c>
      <c r="B262" s="50">
        <v>3836</v>
      </c>
      <c r="C262" s="25" t="s">
        <v>492</v>
      </c>
      <c r="D262" s="25" t="s">
        <v>145</v>
      </c>
      <c r="E262" s="25" t="s">
        <v>194</v>
      </c>
      <c r="F262" s="25" t="s">
        <v>113</v>
      </c>
      <c r="G262" s="26" t="s">
        <v>493</v>
      </c>
      <c r="H262" s="27" t="s">
        <v>115</v>
      </c>
      <c r="I262" s="24" t="s">
        <v>106</v>
      </c>
      <c r="J262" s="24" t="s">
        <v>107</v>
      </c>
      <c r="K262" s="28" t="s">
        <v>108</v>
      </c>
      <c r="L262" s="29">
        <v>0.02</v>
      </c>
      <c r="M262" s="29">
        <v>0.02</v>
      </c>
      <c r="N262" s="29">
        <v>0.01</v>
      </c>
      <c r="O262" s="27" t="s">
        <v>148</v>
      </c>
      <c r="P262" s="30" t="s">
        <v>494</v>
      </c>
      <c r="Q262" s="31">
        <v>4159775754.3499999</v>
      </c>
      <c r="R262" s="31">
        <v>1244.1400000000001</v>
      </c>
      <c r="S262" s="32">
        <v>1.82E-3</v>
      </c>
      <c r="T262" s="32" t="s">
        <v>139</v>
      </c>
      <c r="U262" s="32">
        <v>1.1429999999999999E-3</v>
      </c>
      <c r="V262" s="32">
        <v>3.6219999999999998E-3</v>
      </c>
      <c r="W262" s="32">
        <v>3.8570000000000002E-3</v>
      </c>
      <c r="X262" s="32">
        <v>1.191E-3</v>
      </c>
      <c r="Y262" s="32">
        <v>-4.7399999999999997E-4</v>
      </c>
      <c r="Z262" s="32">
        <v>8.9983999999999995E-2</v>
      </c>
      <c r="AA262" s="32">
        <v>0.19081500000000001</v>
      </c>
      <c r="AB262" s="32">
        <v>0.13824900000000001</v>
      </c>
    </row>
    <row r="263" spans="1:28" ht="15.6" customHeight="1" x14ac:dyDescent="0.25">
      <c r="A263" s="24" t="s">
        <v>495</v>
      </c>
      <c r="B263" s="50">
        <v>3837</v>
      </c>
      <c r="C263" s="25" t="s">
        <v>496</v>
      </c>
      <c r="D263" s="25" t="s">
        <v>145</v>
      </c>
      <c r="E263" s="25" t="s">
        <v>194</v>
      </c>
      <c r="F263" s="25" t="s">
        <v>138</v>
      </c>
      <c r="G263" s="26" t="s">
        <v>139</v>
      </c>
      <c r="H263" s="27" t="s">
        <v>497</v>
      </c>
      <c r="I263" s="24" t="s">
        <v>106</v>
      </c>
      <c r="J263" s="24" t="s">
        <v>107</v>
      </c>
      <c r="K263" s="28" t="s">
        <v>108</v>
      </c>
      <c r="L263" s="29">
        <v>0.03</v>
      </c>
      <c r="M263" s="29">
        <v>0.03</v>
      </c>
      <c r="N263" s="29">
        <v>0.02</v>
      </c>
      <c r="O263" s="27" t="s">
        <v>148</v>
      </c>
      <c r="P263" s="30" t="s">
        <v>494</v>
      </c>
      <c r="Q263" s="31">
        <v>1292381.8799999999</v>
      </c>
      <c r="R263" s="31">
        <v>1309.4000000000001</v>
      </c>
      <c r="S263" s="32">
        <v>-1.7513000000000001E-2</v>
      </c>
      <c r="T263" s="32" t="s">
        <v>139</v>
      </c>
      <c r="U263" s="32">
        <v>7.0299999999999996E-4</v>
      </c>
      <c r="V263" s="32">
        <v>9.1559999999999992E-3</v>
      </c>
      <c r="W263" s="32">
        <v>3.7490000000000002E-3</v>
      </c>
      <c r="X263" s="32">
        <v>-1.5407000000000001E-2</v>
      </c>
      <c r="Y263" s="32">
        <v>-5.2738E-2</v>
      </c>
      <c r="Z263" s="32">
        <v>0.12425700000000001</v>
      </c>
      <c r="AA263" s="32">
        <v>0.25676700000000002</v>
      </c>
      <c r="AB263" s="32">
        <v>0.25076399999999999</v>
      </c>
    </row>
    <row r="264" spans="1:28" ht="15.6" customHeight="1" x14ac:dyDescent="0.25">
      <c r="A264" s="24" t="s">
        <v>498</v>
      </c>
      <c r="B264" s="50">
        <v>3838</v>
      </c>
      <c r="C264" s="25" t="s">
        <v>499</v>
      </c>
      <c r="D264" s="25" t="s">
        <v>145</v>
      </c>
      <c r="E264" s="25" t="s">
        <v>194</v>
      </c>
      <c r="F264" s="25" t="s">
        <v>128</v>
      </c>
      <c r="G264" s="26" t="s">
        <v>289</v>
      </c>
      <c r="H264" s="27" t="s">
        <v>373</v>
      </c>
      <c r="I264" s="24" t="s">
        <v>106</v>
      </c>
      <c r="J264" s="24" t="s">
        <v>107</v>
      </c>
      <c r="K264" s="28" t="s">
        <v>108</v>
      </c>
      <c r="L264" s="29">
        <v>0.01</v>
      </c>
      <c r="M264" s="29">
        <v>0.01</v>
      </c>
      <c r="N264" s="29">
        <v>0.01</v>
      </c>
      <c r="O264" s="27" t="s">
        <v>148</v>
      </c>
      <c r="P264" s="30" t="s">
        <v>494</v>
      </c>
      <c r="Q264" s="31">
        <v>3448807088.1199999</v>
      </c>
      <c r="R264" s="31">
        <v>1239.07</v>
      </c>
      <c r="S264" s="32">
        <v>2.1038000000000001E-2</v>
      </c>
      <c r="T264" s="32" t="s">
        <v>139</v>
      </c>
      <c r="U264" s="32">
        <v>6.6200000000000005E-4</v>
      </c>
      <c r="V264" s="32">
        <v>2.2569999999999999E-3</v>
      </c>
      <c r="W264" s="32">
        <v>7.9889999999999996E-3</v>
      </c>
      <c r="X264" s="32">
        <v>1.5956000000000001E-2</v>
      </c>
      <c r="Y264" s="32">
        <v>2.9555000000000001E-2</v>
      </c>
      <c r="Z264" s="32">
        <v>6.8744E-2</v>
      </c>
      <c r="AA264" s="32">
        <v>0.111433</v>
      </c>
      <c r="AB264" s="32">
        <v>0.170126</v>
      </c>
    </row>
    <row r="265" spans="1:28" ht="15.6" customHeight="1" x14ac:dyDescent="0.25">
      <c r="A265" s="24" t="s">
        <v>500</v>
      </c>
      <c r="B265" s="50">
        <v>3839</v>
      </c>
      <c r="C265" s="25" t="s">
        <v>501</v>
      </c>
      <c r="D265" s="25" t="s">
        <v>145</v>
      </c>
      <c r="E265" s="25" t="s">
        <v>194</v>
      </c>
      <c r="F265" s="25" t="s">
        <v>138</v>
      </c>
      <c r="G265" s="26" t="s">
        <v>139</v>
      </c>
      <c r="H265" s="27" t="s">
        <v>497</v>
      </c>
      <c r="I265" s="24" t="s">
        <v>106</v>
      </c>
      <c r="J265" s="24" t="s">
        <v>107</v>
      </c>
      <c r="K265" s="28" t="s">
        <v>108</v>
      </c>
      <c r="L265" s="29">
        <v>0.03</v>
      </c>
      <c r="M265" s="29">
        <v>0.03</v>
      </c>
      <c r="N265" s="29">
        <v>0.02</v>
      </c>
      <c r="O265" s="27" t="s">
        <v>148</v>
      </c>
      <c r="P265" s="30" t="s">
        <v>494</v>
      </c>
      <c r="Q265" s="31">
        <v>1122050.33</v>
      </c>
      <c r="R265" s="31">
        <v>1122.05</v>
      </c>
      <c r="S265" s="32">
        <v>-1.3140000000000001E-2</v>
      </c>
      <c r="T265" s="32" t="s">
        <v>139</v>
      </c>
      <c r="U265" s="32">
        <v>8.4699999999999999E-4</v>
      </c>
      <c r="V265" s="32">
        <v>8.6390000000000008E-3</v>
      </c>
      <c r="W265" s="32">
        <v>3.7390000000000001E-3</v>
      </c>
      <c r="X265" s="32">
        <v>-1.4751999999999999E-2</v>
      </c>
      <c r="Y265" s="32">
        <v>-4.7842999999999997E-2</v>
      </c>
      <c r="Z265" s="32">
        <v>5.5281999999999998E-2</v>
      </c>
      <c r="AA265" s="32">
        <v>0.100664</v>
      </c>
      <c r="AB265" s="32">
        <v>0.107323</v>
      </c>
    </row>
    <row r="266" spans="1:28" ht="15.6" customHeight="1" x14ac:dyDescent="0.25">
      <c r="A266" s="24" t="s">
        <v>1323</v>
      </c>
      <c r="B266" s="50">
        <v>3840</v>
      </c>
      <c r="C266" s="25" t="s">
        <v>1324</v>
      </c>
      <c r="D266" s="25" t="s">
        <v>504</v>
      </c>
      <c r="E266" s="25" t="s">
        <v>194</v>
      </c>
      <c r="F266" s="25" t="s">
        <v>138</v>
      </c>
      <c r="G266" s="26" t="s">
        <v>139</v>
      </c>
      <c r="H266" s="27" t="s">
        <v>577</v>
      </c>
      <c r="I266" s="24" t="s">
        <v>998</v>
      </c>
      <c r="J266" s="24" t="s">
        <v>107</v>
      </c>
      <c r="K266" s="28" t="s">
        <v>108</v>
      </c>
      <c r="L266" s="29">
        <v>0.02</v>
      </c>
      <c r="M266" s="29">
        <v>0.02</v>
      </c>
      <c r="N266" s="29">
        <v>0.02</v>
      </c>
      <c r="O266" s="27" t="s">
        <v>161</v>
      </c>
      <c r="P266" s="30" t="s">
        <v>504</v>
      </c>
      <c r="Q266" s="31">
        <v>2939914833.4200001</v>
      </c>
      <c r="R266" s="31">
        <v>1341.33</v>
      </c>
      <c r="S266" s="32">
        <v>-1.8540999999999998E-2</v>
      </c>
      <c r="T266" s="32" t="s">
        <v>139</v>
      </c>
      <c r="U266" s="32">
        <v>5.457E-3</v>
      </c>
      <c r="V266" s="32">
        <v>2.9732999999999999E-2</v>
      </c>
      <c r="W266" s="32">
        <v>1.8689999999999998E-2</v>
      </c>
      <c r="X266" s="32">
        <v>-1.3299999999999999E-2</v>
      </c>
      <c r="Y266" s="32">
        <v>-7.6740000000000003E-2</v>
      </c>
      <c r="Z266" s="32">
        <v>0.17292199999999999</v>
      </c>
      <c r="AA266" s="32">
        <v>0.31901200000000002</v>
      </c>
      <c r="AB266" s="32">
        <v>0.26219100000000001</v>
      </c>
    </row>
    <row r="267" spans="1:28" ht="15.6" customHeight="1" x14ac:dyDescent="0.25">
      <c r="A267" s="24" t="s">
        <v>502</v>
      </c>
      <c r="B267" s="50">
        <v>3841</v>
      </c>
      <c r="C267" s="25" t="s">
        <v>503</v>
      </c>
      <c r="D267" s="25" t="s">
        <v>504</v>
      </c>
      <c r="E267" s="25" t="s">
        <v>194</v>
      </c>
      <c r="F267" s="25" t="s">
        <v>128</v>
      </c>
      <c r="G267" s="26" t="s">
        <v>289</v>
      </c>
      <c r="H267" s="27" t="s">
        <v>130</v>
      </c>
      <c r="I267" s="24" t="s">
        <v>106</v>
      </c>
      <c r="J267" s="24" t="s">
        <v>107</v>
      </c>
      <c r="K267" s="28" t="s">
        <v>108</v>
      </c>
      <c r="L267" s="29">
        <v>0.02</v>
      </c>
      <c r="M267" s="29">
        <v>0.02</v>
      </c>
      <c r="N267" s="29">
        <v>0.02</v>
      </c>
      <c r="O267" s="27" t="s">
        <v>148</v>
      </c>
      <c r="P267" s="30" t="s">
        <v>504</v>
      </c>
      <c r="Q267" s="31">
        <v>2904345749.3200002</v>
      </c>
      <c r="R267" s="31">
        <v>1191.17</v>
      </c>
      <c r="S267" s="32">
        <v>1.7311E-2</v>
      </c>
      <c r="T267" s="32" t="s">
        <v>139</v>
      </c>
      <c r="U267" s="32">
        <v>6.7199999999999996E-4</v>
      </c>
      <c r="V267" s="32">
        <v>2.1789999999999999E-3</v>
      </c>
      <c r="W267" s="32">
        <v>7.1789999999999996E-3</v>
      </c>
      <c r="X267" s="32">
        <v>1.3943000000000001E-2</v>
      </c>
      <c r="Y267" s="32">
        <v>2.4398E-2</v>
      </c>
      <c r="Z267" s="32">
        <v>5.9006000000000003E-2</v>
      </c>
      <c r="AA267" s="32">
        <v>0.102435</v>
      </c>
      <c r="AB267" s="32">
        <v>0.13788300000000001</v>
      </c>
    </row>
    <row r="268" spans="1:28" ht="15.6" customHeight="1" x14ac:dyDescent="0.25">
      <c r="A268" s="24" t="s">
        <v>1325</v>
      </c>
      <c r="B268" s="50">
        <v>3842</v>
      </c>
      <c r="C268" s="25" t="s">
        <v>1326</v>
      </c>
      <c r="D268" s="25" t="s">
        <v>316</v>
      </c>
      <c r="E268" s="25" t="s">
        <v>194</v>
      </c>
      <c r="F268" s="25" t="s">
        <v>138</v>
      </c>
      <c r="G268" s="26" t="s">
        <v>139</v>
      </c>
      <c r="H268" s="27" t="s">
        <v>1327</v>
      </c>
      <c r="I268" s="24" t="s">
        <v>998</v>
      </c>
      <c r="J268" s="24" t="s">
        <v>107</v>
      </c>
      <c r="K268" s="28" t="s">
        <v>108</v>
      </c>
      <c r="L268" s="29">
        <v>0.03</v>
      </c>
      <c r="M268" s="29">
        <v>0.03</v>
      </c>
      <c r="N268" s="29">
        <v>0.02</v>
      </c>
      <c r="O268" s="27" t="s">
        <v>166</v>
      </c>
      <c r="P268" s="30" t="s">
        <v>316</v>
      </c>
      <c r="Q268" s="31">
        <v>346999665.69999999</v>
      </c>
      <c r="R268" s="31">
        <v>1195.3699999999999</v>
      </c>
      <c r="S268" s="32">
        <v>8.6490000000000004E-3</v>
      </c>
      <c r="T268" s="32" t="s">
        <v>139</v>
      </c>
      <c r="U268" s="32">
        <v>7.2129999999999998E-3</v>
      </c>
      <c r="V268" s="32">
        <v>3.9009000000000002E-2</v>
      </c>
      <c r="W268" s="32">
        <v>3.4254E-2</v>
      </c>
      <c r="X268" s="32">
        <v>6.3049999999999998E-3</v>
      </c>
      <c r="Y268" s="32">
        <v>-5.9194999999999998E-2</v>
      </c>
      <c r="Z268" s="32">
        <v>0.20692199999999999</v>
      </c>
      <c r="AA268" s="32">
        <v>0.37828600000000001</v>
      </c>
      <c r="AB268" s="32">
        <v>0.23490800000000001</v>
      </c>
    </row>
    <row r="269" spans="1:28" ht="15.6" customHeight="1" x14ac:dyDescent="0.25">
      <c r="A269" s="24" t="s">
        <v>505</v>
      </c>
      <c r="B269" s="50">
        <v>3843</v>
      </c>
      <c r="C269" s="25" t="s">
        <v>506</v>
      </c>
      <c r="D269" s="25" t="s">
        <v>316</v>
      </c>
      <c r="E269" s="25" t="s">
        <v>194</v>
      </c>
      <c r="F269" s="25" t="s">
        <v>128</v>
      </c>
      <c r="G269" s="26" t="s">
        <v>289</v>
      </c>
      <c r="H269" s="27" t="s">
        <v>130</v>
      </c>
      <c r="I269" s="24" t="s">
        <v>106</v>
      </c>
      <c r="J269" s="24" t="s">
        <v>107</v>
      </c>
      <c r="K269" s="28" t="s">
        <v>108</v>
      </c>
      <c r="L269" s="29">
        <v>0.03</v>
      </c>
      <c r="M269" s="29">
        <v>0.03</v>
      </c>
      <c r="N269" s="29">
        <v>0.02</v>
      </c>
      <c r="O269" s="27" t="s">
        <v>161</v>
      </c>
      <c r="P269" s="30" t="s">
        <v>316</v>
      </c>
      <c r="Q269" s="31">
        <v>1536969204.8</v>
      </c>
      <c r="R269" s="31">
        <v>119916.46</v>
      </c>
      <c r="S269" s="32">
        <v>1.6095999999999999E-2</v>
      </c>
      <c r="T269" s="32" t="s">
        <v>139</v>
      </c>
      <c r="U269" s="32">
        <v>6.7000000000000002E-4</v>
      </c>
      <c r="V269" s="32">
        <v>2.0530000000000001E-3</v>
      </c>
      <c r="W269" s="32">
        <v>6.143E-3</v>
      </c>
      <c r="X269" s="32">
        <v>1.2218E-2</v>
      </c>
      <c r="Y269" s="32">
        <v>2.2703000000000001E-2</v>
      </c>
      <c r="Z269" s="32">
        <v>5.9124999999999997E-2</v>
      </c>
      <c r="AA269" s="32">
        <v>0.101908</v>
      </c>
      <c r="AB269" s="32">
        <v>0.14144899999999999</v>
      </c>
    </row>
    <row r="270" spans="1:28" ht="15.6" customHeight="1" x14ac:dyDescent="0.25">
      <c r="A270" s="24" t="s">
        <v>507</v>
      </c>
      <c r="B270" s="50">
        <v>3844</v>
      </c>
      <c r="C270" s="25" t="s">
        <v>508</v>
      </c>
      <c r="D270" s="25" t="s">
        <v>504</v>
      </c>
      <c r="E270" s="25" t="s">
        <v>194</v>
      </c>
      <c r="F270" s="25" t="s">
        <v>103</v>
      </c>
      <c r="G270" s="26" t="s">
        <v>216</v>
      </c>
      <c r="H270" s="27" t="s">
        <v>509</v>
      </c>
      <c r="I270" s="24" t="s">
        <v>106</v>
      </c>
      <c r="J270" s="24" t="s">
        <v>107</v>
      </c>
      <c r="K270" s="28" t="s">
        <v>108</v>
      </c>
      <c r="L270" s="29">
        <v>0.02</v>
      </c>
      <c r="M270" s="29">
        <v>0.02</v>
      </c>
      <c r="N270" s="29">
        <v>0.02</v>
      </c>
      <c r="O270" s="27" t="s">
        <v>161</v>
      </c>
      <c r="P270" s="30" t="s">
        <v>504</v>
      </c>
      <c r="Q270" s="31">
        <v>2298794406.4899998</v>
      </c>
      <c r="R270" s="31">
        <v>1174.6600000000001</v>
      </c>
      <c r="S270" s="32">
        <v>1.7364999999999998E-2</v>
      </c>
      <c r="T270" s="32" t="s">
        <v>139</v>
      </c>
      <c r="U270" s="32">
        <v>5.4500000000000002E-4</v>
      </c>
      <c r="V270" s="32">
        <v>2.0470000000000002E-3</v>
      </c>
      <c r="W270" s="32">
        <v>6.8739999999999999E-3</v>
      </c>
      <c r="X270" s="32">
        <v>1.3764999999999999E-2</v>
      </c>
      <c r="Y270" s="32">
        <v>2.6209E-2</v>
      </c>
      <c r="Z270" s="32">
        <v>5.8500000000000003E-2</v>
      </c>
      <c r="AA270" s="32">
        <v>9.554E-2</v>
      </c>
      <c r="AB270" s="32">
        <v>0.13950599999999999</v>
      </c>
    </row>
    <row r="271" spans="1:28" ht="15.6" customHeight="1" x14ac:dyDescent="0.25">
      <c r="A271" s="24" t="s">
        <v>1328</v>
      </c>
      <c r="B271" s="50">
        <v>3849</v>
      </c>
      <c r="C271" s="25" t="s">
        <v>1329</v>
      </c>
      <c r="D271" s="25" t="s">
        <v>159</v>
      </c>
      <c r="E271" s="25" t="s">
        <v>194</v>
      </c>
      <c r="F271" s="25" t="s">
        <v>113</v>
      </c>
      <c r="G271" s="26" t="s">
        <v>465</v>
      </c>
      <c r="H271" s="27" t="s">
        <v>120</v>
      </c>
      <c r="I271" s="24" t="s">
        <v>998</v>
      </c>
      <c r="J271" s="24" t="s">
        <v>107</v>
      </c>
      <c r="K271" s="28" t="s">
        <v>227</v>
      </c>
      <c r="L271" s="29">
        <v>0</v>
      </c>
      <c r="M271" s="29">
        <v>0</v>
      </c>
      <c r="N271" s="29">
        <v>0.02</v>
      </c>
      <c r="O271" s="27" t="s">
        <v>161</v>
      </c>
      <c r="P271" s="30" t="s">
        <v>513</v>
      </c>
      <c r="Q271" s="31">
        <v>2268927333.5599999</v>
      </c>
      <c r="R271" s="31">
        <v>1169.3599999999999</v>
      </c>
      <c r="S271" s="32">
        <v>3.63E-3</v>
      </c>
      <c r="T271" s="32" t="s">
        <v>139</v>
      </c>
      <c r="U271" s="32">
        <v>9.7599999999999998E-4</v>
      </c>
      <c r="V271" s="32">
        <v>2.6410000000000001E-3</v>
      </c>
      <c r="W271" s="32">
        <v>4.7260000000000002E-3</v>
      </c>
      <c r="X271" s="32">
        <v>2.5119999999999999E-3</v>
      </c>
      <c r="Y271" s="32">
        <v>4.7080000000000004E-3</v>
      </c>
      <c r="Z271" s="32">
        <v>6.8796999999999997E-2</v>
      </c>
      <c r="AA271" s="32">
        <v>0.14810899999999999</v>
      </c>
      <c r="AB271" s="32">
        <v>0.10574600000000001</v>
      </c>
    </row>
    <row r="272" spans="1:28" ht="15.6" customHeight="1" x14ac:dyDescent="0.25">
      <c r="A272" s="24" t="s">
        <v>510</v>
      </c>
      <c r="B272" s="50">
        <v>3850</v>
      </c>
      <c r="C272" s="25" t="s">
        <v>511</v>
      </c>
      <c r="D272" s="25" t="s">
        <v>159</v>
      </c>
      <c r="E272" s="25" t="s">
        <v>194</v>
      </c>
      <c r="F272" s="25" t="s">
        <v>128</v>
      </c>
      <c r="G272" s="26" t="s">
        <v>289</v>
      </c>
      <c r="H272" s="27" t="s">
        <v>512</v>
      </c>
      <c r="I272" s="24" t="s">
        <v>106</v>
      </c>
      <c r="J272" s="24" t="s">
        <v>121</v>
      </c>
      <c r="K272" s="28" t="s">
        <v>227</v>
      </c>
      <c r="L272" s="29">
        <v>0</v>
      </c>
      <c r="M272" s="29">
        <v>0</v>
      </c>
      <c r="N272" s="29">
        <v>0.02</v>
      </c>
      <c r="O272" s="27" t="s">
        <v>161</v>
      </c>
      <c r="P272" s="30" t="s">
        <v>513</v>
      </c>
      <c r="Q272" s="31">
        <v>1204997943.9300001</v>
      </c>
      <c r="R272" s="31">
        <v>1156.2</v>
      </c>
      <c r="S272" s="32">
        <v>1.5403999999999999E-2</v>
      </c>
      <c r="T272" s="32" t="s">
        <v>139</v>
      </c>
      <c r="U272" s="32">
        <v>5.8E-4</v>
      </c>
      <c r="V272" s="32">
        <v>1.9319999999999999E-3</v>
      </c>
      <c r="W272" s="32">
        <v>6.1789999999999996E-3</v>
      </c>
      <c r="X272" s="32">
        <v>1.2337000000000001E-2</v>
      </c>
      <c r="Y272" s="32">
        <v>2.1405E-2</v>
      </c>
      <c r="Z272" s="32">
        <v>5.1166999999999997E-2</v>
      </c>
      <c r="AA272" s="32">
        <v>8.7758000000000003E-2</v>
      </c>
      <c r="AB272" s="32">
        <v>0.124096</v>
      </c>
    </row>
    <row r="273" spans="1:28" ht="15.6" customHeight="1" x14ac:dyDescent="0.25">
      <c r="A273" s="24" t="s">
        <v>1330</v>
      </c>
      <c r="B273" s="50">
        <v>3851</v>
      </c>
      <c r="C273" s="25" t="s">
        <v>1331</v>
      </c>
      <c r="D273" s="25" t="s">
        <v>159</v>
      </c>
      <c r="E273" s="25" t="s">
        <v>194</v>
      </c>
      <c r="F273" s="25" t="s">
        <v>128</v>
      </c>
      <c r="G273" s="26" t="s">
        <v>289</v>
      </c>
      <c r="H273" s="27" t="s">
        <v>1332</v>
      </c>
      <c r="I273" s="24" t="s">
        <v>998</v>
      </c>
      <c r="J273" s="24" t="s">
        <v>107</v>
      </c>
      <c r="K273" s="28" t="s">
        <v>227</v>
      </c>
      <c r="L273" s="29">
        <v>0</v>
      </c>
      <c r="M273" s="29">
        <v>0</v>
      </c>
      <c r="N273" s="29">
        <v>0.02</v>
      </c>
      <c r="O273" s="27" t="s">
        <v>161</v>
      </c>
      <c r="P273" s="30" t="s">
        <v>513</v>
      </c>
      <c r="Q273" s="31">
        <v>1457272138.45</v>
      </c>
      <c r="R273" s="31">
        <v>1183.3900000000001</v>
      </c>
      <c r="S273" s="32">
        <v>2.1801999999999998E-2</v>
      </c>
      <c r="T273" s="32" t="s">
        <v>139</v>
      </c>
      <c r="U273" s="32">
        <v>8.3699999999999996E-4</v>
      </c>
      <c r="V273" s="32">
        <v>2.771E-3</v>
      </c>
      <c r="W273" s="32">
        <v>8.8920000000000006E-3</v>
      </c>
      <c r="X273" s="32">
        <v>1.7165E-2</v>
      </c>
      <c r="Y273" s="32">
        <v>3.0765000000000001E-2</v>
      </c>
      <c r="Z273" s="32">
        <v>6.5321000000000004E-2</v>
      </c>
      <c r="AA273" s="32">
        <v>0.105693</v>
      </c>
      <c r="AB273" s="32">
        <v>0.14826500000000001</v>
      </c>
    </row>
    <row r="274" spans="1:28" ht="15.6" customHeight="1" x14ac:dyDescent="0.25">
      <c r="A274" s="24" t="s">
        <v>514</v>
      </c>
      <c r="B274" s="50">
        <v>3852</v>
      </c>
      <c r="C274" s="25" t="s">
        <v>515</v>
      </c>
      <c r="D274" s="25" t="s">
        <v>355</v>
      </c>
      <c r="E274" s="25" t="s">
        <v>194</v>
      </c>
      <c r="F274" s="25" t="s">
        <v>113</v>
      </c>
      <c r="G274" s="26" t="s">
        <v>465</v>
      </c>
      <c r="H274" s="27" t="s">
        <v>309</v>
      </c>
      <c r="I274" s="24" t="s">
        <v>106</v>
      </c>
      <c r="J274" s="24" t="s">
        <v>107</v>
      </c>
      <c r="K274" s="28" t="s">
        <v>108</v>
      </c>
      <c r="L274" s="29">
        <v>0.03</v>
      </c>
      <c r="M274" s="29">
        <v>1.4999999999999999E-2</v>
      </c>
      <c r="N274" s="29">
        <v>0.02</v>
      </c>
      <c r="O274" s="27" t="s">
        <v>262</v>
      </c>
      <c r="P274" s="30" t="s">
        <v>516</v>
      </c>
      <c r="Q274" s="31">
        <v>609573723.52999997</v>
      </c>
      <c r="R274" s="31">
        <v>1202.07</v>
      </c>
      <c r="S274" s="32">
        <v>-3.3739999999999998E-3</v>
      </c>
      <c r="T274" s="32" t="s">
        <v>139</v>
      </c>
      <c r="U274" s="32">
        <v>6.3299999999999999E-4</v>
      </c>
      <c r="V274" s="32">
        <v>2.2850000000000001E-3</v>
      </c>
      <c r="W274" s="32">
        <v>-2.382E-3</v>
      </c>
      <c r="X274" s="32">
        <v>-1.454E-3</v>
      </c>
      <c r="Y274" s="32">
        <v>-6.587E-3</v>
      </c>
      <c r="Z274" s="32">
        <v>4.9549000000000003E-2</v>
      </c>
      <c r="AA274" s="32">
        <v>0.17075199999999999</v>
      </c>
      <c r="AB274" s="32">
        <v>0.144425</v>
      </c>
    </row>
    <row r="275" spans="1:28" ht="15.6" customHeight="1" x14ac:dyDescent="0.25">
      <c r="A275" s="24" t="s">
        <v>517</v>
      </c>
      <c r="B275" s="50">
        <v>3853</v>
      </c>
      <c r="C275" s="25" t="s">
        <v>518</v>
      </c>
      <c r="D275" s="25" t="s">
        <v>355</v>
      </c>
      <c r="E275" s="25" t="s">
        <v>194</v>
      </c>
      <c r="F275" s="25" t="s">
        <v>128</v>
      </c>
      <c r="G275" s="26" t="s">
        <v>289</v>
      </c>
      <c r="H275" s="27" t="s">
        <v>130</v>
      </c>
      <c r="I275" s="24" t="s">
        <v>106</v>
      </c>
      <c r="J275" s="24" t="s">
        <v>107</v>
      </c>
      <c r="K275" s="28" t="s">
        <v>108</v>
      </c>
      <c r="L275" s="29">
        <v>0.02</v>
      </c>
      <c r="M275" s="29">
        <v>1.4999999999999999E-2</v>
      </c>
      <c r="N275" s="29">
        <v>0.02</v>
      </c>
      <c r="O275" s="27" t="s">
        <v>262</v>
      </c>
      <c r="P275" s="30" t="s">
        <v>516</v>
      </c>
      <c r="Q275" s="31">
        <v>1057735.04</v>
      </c>
      <c r="R275" s="31">
        <v>1142.26</v>
      </c>
      <c r="S275" s="32">
        <v>9.1170000000000001E-3</v>
      </c>
      <c r="T275" s="32" t="s">
        <v>139</v>
      </c>
      <c r="U275" s="32">
        <v>4.2000000000000002E-4</v>
      </c>
      <c r="V275" s="32">
        <v>1.1919999999999999E-3</v>
      </c>
      <c r="W275" s="32">
        <v>4.7590000000000002E-3</v>
      </c>
      <c r="X275" s="32">
        <v>7.639E-3</v>
      </c>
      <c r="Y275" s="32">
        <v>1.2238000000000001E-2</v>
      </c>
      <c r="Z275" s="32">
        <v>3.3832000000000001E-2</v>
      </c>
      <c r="AA275" s="32">
        <v>6.2883999999999995E-2</v>
      </c>
      <c r="AB275" s="32">
        <v>0.111332</v>
      </c>
    </row>
    <row r="276" spans="1:28" ht="15.6" customHeight="1" x14ac:dyDescent="0.25">
      <c r="A276" s="24" t="s">
        <v>1333</v>
      </c>
      <c r="B276" s="50">
        <v>3854</v>
      </c>
      <c r="C276" s="25" t="s">
        <v>1334</v>
      </c>
      <c r="D276" s="25" t="s">
        <v>355</v>
      </c>
      <c r="E276" s="25" t="s">
        <v>194</v>
      </c>
      <c r="F276" s="25" t="s">
        <v>113</v>
      </c>
      <c r="G276" s="26" t="s">
        <v>531</v>
      </c>
      <c r="H276" s="27" t="s">
        <v>327</v>
      </c>
      <c r="I276" s="24" t="s">
        <v>998</v>
      </c>
      <c r="J276" s="24" t="s">
        <v>121</v>
      </c>
      <c r="K276" s="28" t="s">
        <v>227</v>
      </c>
      <c r="L276" s="29">
        <v>0</v>
      </c>
      <c r="M276" s="29">
        <v>0</v>
      </c>
      <c r="N276" s="29">
        <v>0.02</v>
      </c>
      <c r="O276" s="27" t="s">
        <v>161</v>
      </c>
      <c r="P276" s="30" t="s">
        <v>355</v>
      </c>
      <c r="Q276" s="31">
        <v>1021485072.02</v>
      </c>
      <c r="R276" s="31">
        <v>1179.8800000000001</v>
      </c>
      <c r="S276" s="32">
        <v>-1.2748000000000001E-2</v>
      </c>
      <c r="T276" s="32" t="s">
        <v>139</v>
      </c>
      <c r="U276" s="32">
        <v>1.366E-3</v>
      </c>
      <c r="V276" s="32">
        <v>4.6410000000000002E-3</v>
      </c>
      <c r="W276" s="32">
        <v>9.6699999999999998E-4</v>
      </c>
      <c r="X276" s="32">
        <v>-6.5120000000000004E-3</v>
      </c>
      <c r="Y276" s="32">
        <v>-3.0988000000000002E-2</v>
      </c>
      <c r="Z276" s="32">
        <v>0.123918</v>
      </c>
      <c r="AA276" s="32">
        <v>0.254695</v>
      </c>
      <c r="AB276" s="32">
        <v>0.19753499999999999</v>
      </c>
    </row>
    <row r="277" spans="1:28" ht="15.6" customHeight="1" x14ac:dyDescent="0.25">
      <c r="A277" s="24" t="s">
        <v>519</v>
      </c>
      <c r="B277" s="50">
        <v>3855</v>
      </c>
      <c r="C277" s="25" t="s">
        <v>520</v>
      </c>
      <c r="D277" s="25" t="s">
        <v>159</v>
      </c>
      <c r="E277" s="25" t="s">
        <v>194</v>
      </c>
      <c r="F277" s="25" t="s">
        <v>138</v>
      </c>
      <c r="G277" s="26" t="s">
        <v>139</v>
      </c>
      <c r="H277" s="27" t="s">
        <v>521</v>
      </c>
      <c r="I277" s="24" t="s">
        <v>106</v>
      </c>
      <c r="J277" s="24" t="s">
        <v>121</v>
      </c>
      <c r="K277" s="28" t="s">
        <v>227</v>
      </c>
      <c r="L277" s="29">
        <v>0</v>
      </c>
      <c r="M277" s="29">
        <v>0</v>
      </c>
      <c r="N277" s="29">
        <v>0.02</v>
      </c>
      <c r="O277" s="27" t="s">
        <v>161</v>
      </c>
      <c r="P277" s="30" t="s">
        <v>513</v>
      </c>
      <c r="Q277" s="31">
        <v>1243615462.71</v>
      </c>
      <c r="R277" s="31">
        <v>1292.2</v>
      </c>
      <c r="S277" s="32">
        <v>3.8609999999999998E-3</v>
      </c>
      <c r="T277" s="32" t="s">
        <v>139</v>
      </c>
      <c r="U277" s="32">
        <v>4.3449999999999999E-3</v>
      </c>
      <c r="V277" s="32">
        <v>2.2779000000000001E-2</v>
      </c>
      <c r="W277" s="32">
        <v>1.8121999999999999E-2</v>
      </c>
      <c r="X277" s="32">
        <v>6.3629999999999997E-3</v>
      </c>
      <c r="Y277" s="32">
        <v>-3.015E-2</v>
      </c>
      <c r="Z277" s="32">
        <v>0.20244500000000001</v>
      </c>
      <c r="AA277" s="32">
        <v>0.390098</v>
      </c>
      <c r="AB277" s="32">
        <v>0.36714400000000003</v>
      </c>
    </row>
    <row r="278" spans="1:28" ht="15.6" customHeight="1" x14ac:dyDescent="0.25">
      <c r="A278" s="24" t="s">
        <v>1335</v>
      </c>
      <c r="B278" s="50">
        <v>3856</v>
      </c>
      <c r="C278" s="25" t="s">
        <v>1336</v>
      </c>
      <c r="D278" s="25" t="s">
        <v>241</v>
      </c>
      <c r="E278" s="25" t="s">
        <v>194</v>
      </c>
      <c r="F278" s="25" t="s">
        <v>155</v>
      </c>
      <c r="G278" s="26" t="s">
        <v>139</v>
      </c>
      <c r="H278" s="27" t="s">
        <v>156</v>
      </c>
      <c r="I278" s="24" t="s">
        <v>998</v>
      </c>
      <c r="J278" s="24" t="s">
        <v>107</v>
      </c>
      <c r="K278" s="28" t="s">
        <v>108</v>
      </c>
      <c r="L278" s="29">
        <v>0.03</v>
      </c>
      <c r="M278" s="29">
        <v>1.4999999999999999E-2</v>
      </c>
      <c r="N278" s="29">
        <v>0.02</v>
      </c>
      <c r="O278" s="27" t="s">
        <v>166</v>
      </c>
      <c r="P278" s="30" t="s">
        <v>241</v>
      </c>
      <c r="Q278" s="31">
        <v>363903430.10000002</v>
      </c>
      <c r="R278" s="31">
        <v>2001.09</v>
      </c>
      <c r="S278" s="32">
        <v>2.5606E-2</v>
      </c>
      <c r="T278" s="32" t="s">
        <v>139</v>
      </c>
      <c r="U278" s="32">
        <v>1.4355E-2</v>
      </c>
      <c r="V278" s="32">
        <v>7.8737000000000001E-2</v>
      </c>
      <c r="W278" s="32">
        <v>5.2984000000000003E-2</v>
      </c>
      <c r="X278" s="32">
        <v>2.036E-2</v>
      </c>
      <c r="Y278" s="32">
        <v>-7.0669999999999997E-2</v>
      </c>
      <c r="Z278" s="32">
        <v>0.42554799999999998</v>
      </c>
      <c r="AA278" s="32">
        <v>0.73924999999999996</v>
      </c>
      <c r="AB278" s="32">
        <v>0.71400399999999997</v>
      </c>
    </row>
    <row r="279" spans="1:28" ht="15.6" customHeight="1" x14ac:dyDescent="0.25">
      <c r="A279" s="24" t="s">
        <v>1337</v>
      </c>
      <c r="B279" s="50">
        <v>3857</v>
      </c>
      <c r="C279" s="25" t="s">
        <v>1338</v>
      </c>
      <c r="D279" s="25" t="s">
        <v>241</v>
      </c>
      <c r="E279" s="25" t="s">
        <v>194</v>
      </c>
      <c r="F279" s="25" t="s">
        <v>138</v>
      </c>
      <c r="G279" s="26" t="s">
        <v>139</v>
      </c>
      <c r="H279" s="27" t="s">
        <v>283</v>
      </c>
      <c r="I279" s="24" t="s">
        <v>998</v>
      </c>
      <c r="J279" s="24" t="s">
        <v>107</v>
      </c>
      <c r="K279" s="28" t="s">
        <v>108</v>
      </c>
      <c r="L279" s="29">
        <v>0.03</v>
      </c>
      <c r="M279" s="29">
        <v>1.4999999999999999E-2</v>
      </c>
      <c r="N279" s="29">
        <v>0.02</v>
      </c>
      <c r="O279" s="27" t="s">
        <v>116</v>
      </c>
      <c r="P279" s="30" t="s">
        <v>241</v>
      </c>
      <c r="Q279" s="31">
        <v>1106462619.26</v>
      </c>
      <c r="R279" s="31">
        <v>1201.1199999999999</v>
      </c>
      <c r="S279" s="32">
        <v>-9.1199999999999996E-3</v>
      </c>
      <c r="T279" s="32" t="s">
        <v>139</v>
      </c>
      <c r="U279" s="32">
        <v>9.4800000000000006E-3</v>
      </c>
      <c r="V279" s="32">
        <v>4.8134000000000003E-2</v>
      </c>
      <c r="W279" s="32">
        <v>4.1861000000000002E-2</v>
      </c>
      <c r="X279" s="32">
        <v>8.5059999999999997E-3</v>
      </c>
      <c r="Y279" s="32">
        <v>-7.3467000000000005E-2</v>
      </c>
      <c r="Z279" s="32">
        <v>0.14688799999999999</v>
      </c>
      <c r="AA279" s="32">
        <v>0.23965700000000001</v>
      </c>
      <c r="AB279" s="32">
        <v>0.129469</v>
      </c>
    </row>
    <row r="280" spans="1:28" ht="15.6" customHeight="1" x14ac:dyDescent="0.25">
      <c r="A280" s="24" t="s">
        <v>1339</v>
      </c>
      <c r="B280" s="50">
        <v>3858</v>
      </c>
      <c r="C280" s="25" t="s">
        <v>1340</v>
      </c>
      <c r="D280" s="25" t="s">
        <v>355</v>
      </c>
      <c r="E280" s="25" t="s">
        <v>194</v>
      </c>
      <c r="F280" s="25" t="s">
        <v>138</v>
      </c>
      <c r="G280" s="26" t="s">
        <v>139</v>
      </c>
      <c r="H280" s="27" t="s">
        <v>1341</v>
      </c>
      <c r="I280" s="24" t="s">
        <v>998</v>
      </c>
      <c r="J280" s="24" t="s">
        <v>121</v>
      </c>
      <c r="K280" s="28" t="s">
        <v>227</v>
      </c>
      <c r="L280" s="29">
        <v>0</v>
      </c>
      <c r="M280" s="29">
        <v>0</v>
      </c>
      <c r="N280" s="29">
        <v>0.02</v>
      </c>
      <c r="O280" s="27" t="s">
        <v>166</v>
      </c>
      <c r="P280" s="30" t="s">
        <v>355</v>
      </c>
      <c r="Q280" s="31">
        <v>1206269971.1800001</v>
      </c>
      <c r="R280" s="31">
        <v>1383.52</v>
      </c>
      <c r="S280" s="32">
        <v>-6.8910000000000004E-3</v>
      </c>
      <c r="T280" s="32" t="s">
        <v>139</v>
      </c>
      <c r="U280" s="32">
        <v>7.0609999999999996E-3</v>
      </c>
      <c r="V280" s="32">
        <v>3.3743000000000002E-2</v>
      </c>
      <c r="W280" s="32">
        <v>2.5019E-2</v>
      </c>
      <c r="X280" s="32">
        <v>-2.1807E-2</v>
      </c>
      <c r="Y280" s="32">
        <v>-6.8498000000000003E-2</v>
      </c>
      <c r="Z280" s="32">
        <v>0.15862599999999999</v>
      </c>
      <c r="AA280" s="32">
        <v>0.36391099999999998</v>
      </c>
      <c r="AB280" s="32">
        <v>0.363089</v>
      </c>
    </row>
    <row r="281" spans="1:28" ht="15.6" customHeight="1" x14ac:dyDescent="0.25">
      <c r="A281" s="24" t="s">
        <v>1342</v>
      </c>
      <c r="B281" s="50">
        <v>3859</v>
      </c>
      <c r="C281" s="25" t="s">
        <v>1343</v>
      </c>
      <c r="D281" s="25" t="s">
        <v>159</v>
      </c>
      <c r="E281" s="25" t="s">
        <v>194</v>
      </c>
      <c r="F281" s="25" t="s">
        <v>113</v>
      </c>
      <c r="G281" s="26" t="s">
        <v>1344</v>
      </c>
      <c r="H281" s="27" t="s">
        <v>115</v>
      </c>
      <c r="I281" s="24" t="s">
        <v>998</v>
      </c>
      <c r="J281" s="24" t="s">
        <v>121</v>
      </c>
      <c r="K281" s="28" t="s">
        <v>227</v>
      </c>
      <c r="L281" s="29">
        <v>0</v>
      </c>
      <c r="M281" s="29">
        <v>0</v>
      </c>
      <c r="N281" s="29">
        <v>0.02</v>
      </c>
      <c r="O281" s="27" t="s">
        <v>161</v>
      </c>
      <c r="P281" s="30" t="s">
        <v>159</v>
      </c>
      <c r="Q281" s="31">
        <v>3163453028.8000002</v>
      </c>
      <c r="R281" s="31">
        <v>1222.95</v>
      </c>
      <c r="S281" s="32">
        <v>-8.0099999999999995E-4</v>
      </c>
      <c r="T281" s="32" t="s">
        <v>139</v>
      </c>
      <c r="U281" s="32">
        <v>1.0809999999999999E-3</v>
      </c>
      <c r="V281" s="32">
        <v>3.0509999999999999E-3</v>
      </c>
      <c r="W281" s="32">
        <v>2.8540000000000002E-3</v>
      </c>
      <c r="X281" s="32">
        <v>-2.3089999999999999E-3</v>
      </c>
      <c r="Y281" s="32">
        <v>-1.0460000000000001E-3</v>
      </c>
      <c r="Z281" s="32">
        <v>8.8600999999999999E-2</v>
      </c>
      <c r="AA281" s="32">
        <v>0.18482599999999999</v>
      </c>
      <c r="AB281" s="32">
        <v>0.178258</v>
      </c>
    </row>
    <row r="282" spans="1:28" ht="15.6" customHeight="1" x14ac:dyDescent="0.25">
      <c r="A282" s="24" t="s">
        <v>522</v>
      </c>
      <c r="B282" s="50">
        <v>3860</v>
      </c>
      <c r="C282" s="25" t="s">
        <v>523</v>
      </c>
      <c r="D282" s="25" t="s">
        <v>524</v>
      </c>
      <c r="E282" s="25" t="s">
        <v>194</v>
      </c>
      <c r="F282" s="25" t="s">
        <v>103</v>
      </c>
      <c r="G282" s="26" t="s">
        <v>392</v>
      </c>
      <c r="H282" s="27" t="s">
        <v>188</v>
      </c>
      <c r="I282" s="24" t="s">
        <v>106</v>
      </c>
      <c r="J282" s="24" t="s">
        <v>107</v>
      </c>
      <c r="K282" s="28" t="s">
        <v>108</v>
      </c>
      <c r="L282" s="29">
        <v>0</v>
      </c>
      <c r="M282" s="29">
        <v>0</v>
      </c>
      <c r="N282" s="29">
        <v>6.0000000000000001E-3</v>
      </c>
      <c r="O282" s="27" t="s">
        <v>141</v>
      </c>
      <c r="P282" s="30" t="s">
        <v>525</v>
      </c>
      <c r="Q282" s="31">
        <v>1189100857.72</v>
      </c>
      <c r="R282" s="31">
        <v>1165.9000000000001</v>
      </c>
      <c r="S282" s="32">
        <v>1.5998999999999999E-2</v>
      </c>
      <c r="T282" s="32" t="s">
        <v>139</v>
      </c>
      <c r="U282" s="32">
        <v>5.1500000000000005E-4</v>
      </c>
      <c r="V282" s="32">
        <v>1.8990000000000001E-3</v>
      </c>
      <c r="W282" s="32">
        <v>6.1789999999999996E-3</v>
      </c>
      <c r="X282" s="32">
        <v>1.247E-2</v>
      </c>
      <c r="Y282" s="32">
        <v>2.4427000000000001E-2</v>
      </c>
      <c r="Z282" s="32">
        <v>5.6605000000000003E-2</v>
      </c>
      <c r="AA282" s="32">
        <v>9.4525999999999999E-2</v>
      </c>
      <c r="AB282" s="32">
        <v>0.13955400000000001</v>
      </c>
    </row>
    <row r="283" spans="1:28" ht="15.6" customHeight="1" x14ac:dyDescent="0.25">
      <c r="A283" s="24" t="s">
        <v>1345</v>
      </c>
      <c r="B283" s="50">
        <v>3861</v>
      </c>
      <c r="C283" s="25" t="s">
        <v>1346</v>
      </c>
      <c r="D283" s="25" t="s">
        <v>524</v>
      </c>
      <c r="E283" s="25" t="s">
        <v>194</v>
      </c>
      <c r="F283" s="25" t="s">
        <v>113</v>
      </c>
      <c r="G283" s="26" t="s">
        <v>465</v>
      </c>
      <c r="H283" s="27" t="s">
        <v>120</v>
      </c>
      <c r="I283" s="24" t="s">
        <v>998</v>
      </c>
      <c r="J283" s="24" t="s">
        <v>107</v>
      </c>
      <c r="K283" s="28" t="s">
        <v>108</v>
      </c>
      <c r="L283" s="29">
        <v>0</v>
      </c>
      <c r="M283" s="29">
        <v>0</v>
      </c>
      <c r="N283" s="29">
        <v>0.01</v>
      </c>
      <c r="O283" s="27" t="s">
        <v>141</v>
      </c>
      <c r="P283" s="30" t="s">
        <v>525</v>
      </c>
      <c r="Q283" s="31">
        <v>190373469.90000001</v>
      </c>
      <c r="R283" s="31">
        <v>1171.5</v>
      </c>
      <c r="S283" s="32">
        <v>6.9100000000000003E-3</v>
      </c>
      <c r="T283" s="32" t="s">
        <v>139</v>
      </c>
      <c r="U283" s="32">
        <v>1.8990000000000001E-3</v>
      </c>
      <c r="V283" s="32">
        <v>8.6269999999999993E-3</v>
      </c>
      <c r="W283" s="32">
        <v>5.7089999999999997E-3</v>
      </c>
      <c r="X283" s="32">
        <v>7.4819999999999999E-3</v>
      </c>
      <c r="Y283" s="32">
        <v>-4.4190000000000002E-3</v>
      </c>
      <c r="Z283" s="32">
        <v>3.2904999999999997E-2</v>
      </c>
      <c r="AA283" s="32">
        <v>7.0694000000000007E-2</v>
      </c>
      <c r="AB283" s="32">
        <v>0.128743</v>
      </c>
    </row>
    <row r="284" spans="1:28" ht="15.6" customHeight="1" x14ac:dyDescent="0.25">
      <c r="A284" s="24" t="s">
        <v>1347</v>
      </c>
      <c r="B284" s="50">
        <v>3862</v>
      </c>
      <c r="C284" s="25" t="s">
        <v>1348</v>
      </c>
      <c r="D284" s="25" t="s">
        <v>355</v>
      </c>
      <c r="E284" s="25" t="s">
        <v>194</v>
      </c>
      <c r="F284" s="25" t="s">
        <v>113</v>
      </c>
      <c r="G284" s="26" t="s">
        <v>1349</v>
      </c>
      <c r="H284" s="27" t="s">
        <v>115</v>
      </c>
      <c r="I284" s="24" t="s">
        <v>998</v>
      </c>
      <c r="J284" s="24" t="s">
        <v>121</v>
      </c>
      <c r="K284" s="28" t="s">
        <v>108</v>
      </c>
      <c r="L284" s="29">
        <v>0</v>
      </c>
      <c r="M284" s="29">
        <v>0</v>
      </c>
      <c r="N284" s="29">
        <v>0.02</v>
      </c>
      <c r="O284" s="27" t="s">
        <v>548</v>
      </c>
      <c r="P284" s="30" t="s">
        <v>355</v>
      </c>
      <c r="Q284" s="31">
        <v>2546724769.73</v>
      </c>
      <c r="R284" s="31">
        <v>121203.35</v>
      </c>
      <c r="S284" s="32">
        <v>2.3969999999999998E-3</v>
      </c>
      <c r="T284" s="32" t="s">
        <v>139</v>
      </c>
      <c r="U284" s="32">
        <v>1.7589999999999999E-3</v>
      </c>
      <c r="V284" s="32">
        <v>7.5399999999999998E-3</v>
      </c>
      <c r="W284" s="32">
        <v>7.2899999999999996E-3</v>
      </c>
      <c r="X284" s="32">
        <v>1.645E-3</v>
      </c>
      <c r="Y284" s="32">
        <v>-9.5499999999999995E-3</v>
      </c>
      <c r="Z284" s="32">
        <v>0.105519</v>
      </c>
      <c r="AA284" s="32">
        <v>0.221557</v>
      </c>
      <c r="AB284" s="32">
        <v>0.16147900000000001</v>
      </c>
    </row>
    <row r="285" spans="1:28" ht="15.6" customHeight="1" x14ac:dyDescent="0.25">
      <c r="A285" s="24" t="s">
        <v>1350</v>
      </c>
      <c r="B285" s="50">
        <v>3863</v>
      </c>
      <c r="C285" s="25" t="s">
        <v>1351</v>
      </c>
      <c r="D285" s="25" t="s">
        <v>316</v>
      </c>
      <c r="E285" s="25" t="s">
        <v>194</v>
      </c>
      <c r="F285" s="25" t="s">
        <v>113</v>
      </c>
      <c r="G285" s="26" t="s">
        <v>1349</v>
      </c>
      <c r="H285" s="27" t="s">
        <v>115</v>
      </c>
      <c r="I285" s="24" t="s">
        <v>998</v>
      </c>
      <c r="J285" s="24" t="s">
        <v>121</v>
      </c>
      <c r="K285" s="28" t="s">
        <v>108</v>
      </c>
      <c r="L285" s="29">
        <v>0</v>
      </c>
      <c r="M285" s="29">
        <v>0</v>
      </c>
      <c r="N285" s="29">
        <v>0.02</v>
      </c>
      <c r="O285" s="27" t="s">
        <v>548</v>
      </c>
      <c r="P285" s="30" t="s">
        <v>316</v>
      </c>
      <c r="Q285" s="31">
        <v>3036745696.04</v>
      </c>
      <c r="R285" s="31">
        <v>1214.22</v>
      </c>
      <c r="S285" s="32">
        <v>-3.4629999999999999E-3</v>
      </c>
      <c r="T285" s="32" t="s">
        <v>139</v>
      </c>
      <c r="U285" s="32">
        <v>1.8649999999999999E-3</v>
      </c>
      <c r="V285" s="32">
        <v>7.7019999999999996E-3</v>
      </c>
      <c r="W285" s="32">
        <v>5.9820000000000003E-3</v>
      </c>
      <c r="X285" s="32">
        <v>-3.594E-3</v>
      </c>
      <c r="Y285" s="32">
        <v>-1.392E-2</v>
      </c>
      <c r="Z285" s="32">
        <v>9.6895999999999996E-2</v>
      </c>
      <c r="AA285" s="32">
        <v>0.20746999999999999</v>
      </c>
      <c r="AB285" s="32">
        <v>0.16527800000000001</v>
      </c>
    </row>
    <row r="286" spans="1:28" ht="15.6" customHeight="1" x14ac:dyDescent="0.25">
      <c r="A286" s="24" t="s">
        <v>1352</v>
      </c>
      <c r="B286" s="50">
        <v>3864</v>
      </c>
      <c r="C286" s="25" t="s">
        <v>1353</v>
      </c>
      <c r="D286" s="25" t="s">
        <v>504</v>
      </c>
      <c r="E286" s="25" t="s">
        <v>194</v>
      </c>
      <c r="F286" s="25" t="s">
        <v>113</v>
      </c>
      <c r="G286" s="26" t="s">
        <v>1349</v>
      </c>
      <c r="H286" s="27" t="s">
        <v>115</v>
      </c>
      <c r="I286" s="24" t="s">
        <v>998</v>
      </c>
      <c r="J286" s="24" t="s">
        <v>121</v>
      </c>
      <c r="K286" s="28" t="s">
        <v>108</v>
      </c>
      <c r="L286" s="29">
        <v>0</v>
      </c>
      <c r="M286" s="29">
        <v>0</v>
      </c>
      <c r="N286" s="29">
        <v>0.02</v>
      </c>
      <c r="O286" s="27" t="s">
        <v>548</v>
      </c>
      <c r="P286" s="30" t="s">
        <v>504</v>
      </c>
      <c r="Q286" s="31">
        <v>3023171761.23</v>
      </c>
      <c r="R286" s="31">
        <v>123043.21</v>
      </c>
      <c r="S286" s="32">
        <v>-2.7950000000000002E-3</v>
      </c>
      <c r="T286" s="32" t="s">
        <v>139</v>
      </c>
      <c r="U286" s="32">
        <v>1.7489999999999999E-3</v>
      </c>
      <c r="V286" s="32">
        <v>6.8209999999999998E-3</v>
      </c>
      <c r="W286" s="32">
        <v>4.7600000000000003E-3</v>
      </c>
      <c r="X286" s="32">
        <v>-2.405E-3</v>
      </c>
      <c r="Y286" s="32">
        <v>-1.3207999999999999E-2</v>
      </c>
      <c r="Z286" s="32">
        <v>0.102488</v>
      </c>
      <c r="AA286" s="32">
        <v>0.205432</v>
      </c>
      <c r="AB286" s="32">
        <v>0.18292</v>
      </c>
    </row>
    <row r="287" spans="1:28" ht="15.6" customHeight="1" x14ac:dyDescent="0.25">
      <c r="A287" s="24" t="s">
        <v>526</v>
      </c>
      <c r="B287" s="50">
        <v>3865</v>
      </c>
      <c r="C287" s="25" t="s">
        <v>527</v>
      </c>
      <c r="D287" s="25" t="s">
        <v>524</v>
      </c>
      <c r="E287" s="25" t="s">
        <v>194</v>
      </c>
      <c r="F287" s="25" t="s">
        <v>128</v>
      </c>
      <c r="G287" s="26" t="s">
        <v>289</v>
      </c>
      <c r="H287" s="27" t="s">
        <v>130</v>
      </c>
      <c r="I287" s="24" t="s">
        <v>106</v>
      </c>
      <c r="J287" s="24" t="s">
        <v>107</v>
      </c>
      <c r="K287" s="28" t="s">
        <v>108</v>
      </c>
      <c r="L287" s="29">
        <v>0</v>
      </c>
      <c r="M287" s="29">
        <v>0</v>
      </c>
      <c r="N287" s="29">
        <v>8.0000000000000002E-3</v>
      </c>
      <c r="O287" s="27" t="s">
        <v>262</v>
      </c>
      <c r="P287" s="30" t="s">
        <v>528</v>
      </c>
      <c r="Q287" s="31">
        <v>1139758448.49</v>
      </c>
      <c r="R287" s="31">
        <v>1189.3699999999999</v>
      </c>
      <c r="S287" s="32">
        <v>1.9212E-2</v>
      </c>
      <c r="T287" s="32" t="s">
        <v>139</v>
      </c>
      <c r="U287" s="32">
        <v>7.6599999999999997E-4</v>
      </c>
      <c r="V287" s="32">
        <v>2.4949999999999998E-3</v>
      </c>
      <c r="W287" s="32">
        <v>7.9410000000000001E-3</v>
      </c>
      <c r="X287" s="32">
        <v>1.5792E-2</v>
      </c>
      <c r="Y287" s="32">
        <v>2.7125E-2</v>
      </c>
      <c r="Z287" s="32">
        <v>6.8865999999999997E-2</v>
      </c>
      <c r="AA287" s="32">
        <v>0.110969</v>
      </c>
      <c r="AB287" s="32">
        <v>0.15850700000000001</v>
      </c>
    </row>
    <row r="288" spans="1:28" ht="15.6" customHeight="1" x14ac:dyDescent="0.25">
      <c r="A288" s="24" t="s">
        <v>1354</v>
      </c>
      <c r="B288" s="50">
        <v>3866</v>
      </c>
      <c r="C288" s="25" t="s">
        <v>1355</v>
      </c>
      <c r="D288" s="25" t="s">
        <v>322</v>
      </c>
      <c r="E288" s="25" t="s">
        <v>194</v>
      </c>
      <c r="F288" s="25" t="s">
        <v>113</v>
      </c>
      <c r="G288" s="26" t="s">
        <v>1349</v>
      </c>
      <c r="H288" s="27" t="s">
        <v>115</v>
      </c>
      <c r="I288" s="24" t="s">
        <v>998</v>
      </c>
      <c r="J288" s="24" t="s">
        <v>121</v>
      </c>
      <c r="K288" s="28" t="s">
        <v>108</v>
      </c>
      <c r="L288" s="29">
        <v>0</v>
      </c>
      <c r="M288" s="29">
        <v>0</v>
      </c>
      <c r="N288" s="29">
        <v>0.02</v>
      </c>
      <c r="O288" s="27" t="s">
        <v>548</v>
      </c>
      <c r="P288" s="30" t="s">
        <v>322</v>
      </c>
      <c r="Q288" s="31">
        <v>3328392222.7199998</v>
      </c>
      <c r="R288" s="31">
        <v>119.52</v>
      </c>
      <c r="S288" s="32">
        <v>-3.4190000000000002E-3</v>
      </c>
      <c r="T288" s="32" t="s">
        <v>139</v>
      </c>
      <c r="U288" s="32">
        <v>1.8439999999999999E-3</v>
      </c>
      <c r="V288" s="32">
        <v>8.182E-3</v>
      </c>
      <c r="W288" s="32">
        <v>6.1450000000000003E-3</v>
      </c>
      <c r="X288" s="32">
        <v>-1.5870000000000001E-3</v>
      </c>
      <c r="Y288" s="32">
        <v>-1.6296000000000001E-2</v>
      </c>
      <c r="Z288" s="32">
        <v>9.3504000000000004E-2</v>
      </c>
      <c r="AA288" s="32">
        <v>0.20483899999999999</v>
      </c>
      <c r="AB288" s="32">
        <v>0.146145</v>
      </c>
    </row>
    <row r="289" spans="1:28" ht="15.6" customHeight="1" x14ac:dyDescent="0.25">
      <c r="A289" s="24" t="s">
        <v>1356</v>
      </c>
      <c r="B289" s="50">
        <v>3867</v>
      </c>
      <c r="C289" s="25" t="s">
        <v>1357</v>
      </c>
      <c r="D289" s="25" t="s">
        <v>145</v>
      </c>
      <c r="E289" s="25" t="s">
        <v>194</v>
      </c>
      <c r="F289" s="25" t="s">
        <v>113</v>
      </c>
      <c r="G289" s="26" t="s">
        <v>1358</v>
      </c>
      <c r="H289" s="27" t="s">
        <v>120</v>
      </c>
      <c r="I289" s="24" t="s">
        <v>998</v>
      </c>
      <c r="J289" s="24" t="s">
        <v>121</v>
      </c>
      <c r="K289" s="28" t="s">
        <v>108</v>
      </c>
      <c r="L289" s="29">
        <v>0.02</v>
      </c>
      <c r="M289" s="29">
        <v>0.02</v>
      </c>
      <c r="N289" s="29">
        <v>0.02</v>
      </c>
      <c r="O289" s="27" t="s">
        <v>148</v>
      </c>
      <c r="P289" s="30" t="s">
        <v>145</v>
      </c>
      <c r="Q289" s="31">
        <v>11322002590.43</v>
      </c>
      <c r="R289" s="31">
        <v>1875.82</v>
      </c>
      <c r="S289" s="32">
        <v>1.1442000000000001E-2</v>
      </c>
      <c r="T289" s="32" t="s">
        <v>139</v>
      </c>
      <c r="U289" s="32">
        <v>8.9599999999999999E-4</v>
      </c>
      <c r="V289" s="32">
        <v>2.6670000000000001E-3</v>
      </c>
      <c r="W289" s="32">
        <v>6.6810000000000003E-3</v>
      </c>
      <c r="X289" s="32">
        <v>1.0173E-2</v>
      </c>
      <c r="Y289" s="32">
        <v>1.4246999999999999E-2</v>
      </c>
      <c r="Z289" s="32">
        <v>6.2444E-2</v>
      </c>
      <c r="AA289" s="32">
        <v>0.11567</v>
      </c>
      <c r="AB289" s="32">
        <v>0.13136200000000001</v>
      </c>
    </row>
    <row r="290" spans="1:28" ht="15.6" customHeight="1" x14ac:dyDescent="0.25">
      <c r="A290" s="24" t="s">
        <v>1359</v>
      </c>
      <c r="B290" s="50">
        <v>3868</v>
      </c>
      <c r="C290" s="25" t="s">
        <v>1360</v>
      </c>
      <c r="D290" s="25" t="s">
        <v>145</v>
      </c>
      <c r="E290" s="25" t="s">
        <v>194</v>
      </c>
      <c r="F290" s="25" t="s">
        <v>113</v>
      </c>
      <c r="G290" s="26" t="s">
        <v>198</v>
      </c>
      <c r="H290" s="27" t="s">
        <v>120</v>
      </c>
      <c r="I290" s="24" t="s">
        <v>998</v>
      </c>
      <c r="J290" s="24" t="s">
        <v>121</v>
      </c>
      <c r="K290" s="28" t="s">
        <v>108</v>
      </c>
      <c r="L290" s="29">
        <v>0.02</v>
      </c>
      <c r="M290" s="29">
        <v>0.02</v>
      </c>
      <c r="N290" s="29">
        <v>0.02</v>
      </c>
      <c r="O290" s="27" t="s">
        <v>148</v>
      </c>
      <c r="P290" s="30" t="s">
        <v>145</v>
      </c>
      <c r="Q290" s="31">
        <v>1168912504.3900001</v>
      </c>
      <c r="R290" s="31">
        <v>29.47</v>
      </c>
      <c r="S290" s="32">
        <v>1.0978E-2</v>
      </c>
      <c r="T290" s="32" t="s">
        <v>139</v>
      </c>
      <c r="U290" s="32">
        <v>1.0189999999999999E-3</v>
      </c>
      <c r="V290" s="32">
        <v>2.3809999999999999E-3</v>
      </c>
      <c r="W290" s="32">
        <v>6.1450000000000003E-3</v>
      </c>
      <c r="X290" s="32">
        <v>8.2109999999999995E-3</v>
      </c>
      <c r="Y290" s="32">
        <v>1.5157E-2</v>
      </c>
      <c r="Z290" s="32">
        <v>6.8915000000000004E-2</v>
      </c>
      <c r="AA290" s="32">
        <v>0.124809</v>
      </c>
      <c r="AB290" s="32">
        <v>0.14180599999999999</v>
      </c>
    </row>
    <row r="291" spans="1:28" ht="15.6" customHeight="1" x14ac:dyDescent="0.25">
      <c r="A291" s="24" t="s">
        <v>1361</v>
      </c>
      <c r="B291" s="50">
        <v>3869</v>
      </c>
      <c r="C291" s="25" t="s">
        <v>1362</v>
      </c>
      <c r="D291" s="25" t="s">
        <v>145</v>
      </c>
      <c r="E291" s="25" t="s">
        <v>194</v>
      </c>
      <c r="F291" s="25" t="s">
        <v>113</v>
      </c>
      <c r="G291" s="26" t="s">
        <v>198</v>
      </c>
      <c r="H291" s="27" t="s">
        <v>120</v>
      </c>
      <c r="I291" s="24" t="s">
        <v>998</v>
      </c>
      <c r="J291" s="24" t="s">
        <v>121</v>
      </c>
      <c r="K291" s="28" t="s">
        <v>108</v>
      </c>
      <c r="L291" s="29">
        <v>0.02</v>
      </c>
      <c r="M291" s="29">
        <v>0.02</v>
      </c>
      <c r="N291" s="29">
        <v>0.02</v>
      </c>
      <c r="O291" s="27" t="s">
        <v>148</v>
      </c>
      <c r="P291" s="30" t="s">
        <v>145</v>
      </c>
      <c r="Q291" s="31">
        <v>1648023883.3199999</v>
      </c>
      <c r="R291" s="31">
        <v>1602.09</v>
      </c>
      <c r="S291" s="32">
        <v>9.9860000000000001E-3</v>
      </c>
      <c r="T291" s="32" t="s">
        <v>139</v>
      </c>
      <c r="U291" s="32">
        <v>9.1200000000000005E-4</v>
      </c>
      <c r="V291" s="32">
        <v>2.823E-3</v>
      </c>
      <c r="W291" s="32">
        <v>5.757E-3</v>
      </c>
      <c r="X291" s="32">
        <v>7.502E-3</v>
      </c>
      <c r="Y291" s="32">
        <v>1.4585000000000001E-2</v>
      </c>
      <c r="Z291" s="32">
        <v>6.8723000000000006E-2</v>
      </c>
      <c r="AA291" s="32">
        <v>0.123627</v>
      </c>
      <c r="AB291" s="32">
        <v>0.126384</v>
      </c>
    </row>
    <row r="292" spans="1:28" ht="15.6" customHeight="1" x14ac:dyDescent="0.25">
      <c r="A292" s="24" t="s">
        <v>1363</v>
      </c>
      <c r="B292" s="50">
        <v>3870</v>
      </c>
      <c r="C292" s="25" t="s">
        <v>1364</v>
      </c>
      <c r="D292" s="25" t="s">
        <v>101</v>
      </c>
      <c r="E292" s="25" t="s">
        <v>194</v>
      </c>
      <c r="F292" s="25" t="s">
        <v>138</v>
      </c>
      <c r="G292" s="26" t="s">
        <v>139</v>
      </c>
      <c r="H292" s="27" t="s">
        <v>139</v>
      </c>
      <c r="I292" s="24" t="s">
        <v>998</v>
      </c>
      <c r="J292" s="24" t="s">
        <v>121</v>
      </c>
      <c r="K292" s="28" t="s">
        <v>108</v>
      </c>
      <c r="L292" s="29">
        <v>0</v>
      </c>
      <c r="M292" s="29">
        <v>0</v>
      </c>
      <c r="N292" s="29">
        <v>0.02</v>
      </c>
      <c r="O292" s="27" t="s">
        <v>109</v>
      </c>
      <c r="P292" s="30" t="s">
        <v>101</v>
      </c>
      <c r="Q292" s="31">
        <v>74783380.25</v>
      </c>
      <c r="R292" s="31">
        <v>612978.53</v>
      </c>
      <c r="S292" s="32">
        <v>-1.0697E-2</v>
      </c>
      <c r="T292" s="32" t="s">
        <v>139</v>
      </c>
      <c r="U292" s="32">
        <v>2.1459999999999999E-3</v>
      </c>
      <c r="V292" s="32">
        <v>1.6147000000000002E-2</v>
      </c>
      <c r="W292" s="32">
        <v>1.9247E-2</v>
      </c>
      <c r="X292" s="32">
        <v>-1.0392999999999999E-2</v>
      </c>
      <c r="Y292" s="32">
        <v>-3.7374999999999999E-2</v>
      </c>
      <c r="Z292" s="32">
        <v>9.2600000000000002E-2</v>
      </c>
      <c r="AA292" s="32">
        <v>0.20746300000000001</v>
      </c>
      <c r="AB292" s="32">
        <v>0.22373100000000001</v>
      </c>
    </row>
    <row r="293" spans="1:28" ht="15.6" customHeight="1" x14ac:dyDescent="0.25">
      <c r="A293" s="24" t="s">
        <v>1365</v>
      </c>
      <c r="B293" s="50">
        <v>3871</v>
      </c>
      <c r="C293" s="25" t="s">
        <v>1366</v>
      </c>
      <c r="D293" s="25" t="s">
        <v>350</v>
      </c>
      <c r="E293" s="25" t="s">
        <v>194</v>
      </c>
      <c r="F293" s="25" t="s">
        <v>113</v>
      </c>
      <c r="G293" s="26" t="s">
        <v>406</v>
      </c>
      <c r="H293" s="27" t="s">
        <v>839</v>
      </c>
      <c r="I293" s="24" t="s">
        <v>998</v>
      </c>
      <c r="J293" s="24" t="s">
        <v>107</v>
      </c>
      <c r="K293" s="28" t="s">
        <v>108</v>
      </c>
      <c r="L293" s="29">
        <v>0.03</v>
      </c>
      <c r="M293" s="29">
        <v>0.03</v>
      </c>
      <c r="N293" s="29">
        <v>0.02</v>
      </c>
      <c r="O293" s="27" t="s">
        <v>148</v>
      </c>
      <c r="P293" s="30" t="s">
        <v>350</v>
      </c>
      <c r="Q293" s="31">
        <v>92990027.200000003</v>
      </c>
      <c r="R293" s="31">
        <v>147.81</v>
      </c>
      <c r="S293" s="32">
        <v>4.4169999999999999E-3</v>
      </c>
      <c r="T293" s="32" t="s">
        <v>139</v>
      </c>
      <c r="U293" s="32">
        <v>1.016E-3</v>
      </c>
      <c r="V293" s="32">
        <v>3.8709999999999999E-3</v>
      </c>
      <c r="W293" s="32">
        <v>5.5100000000000001E-3</v>
      </c>
      <c r="X293" s="32">
        <v>4.28E-3</v>
      </c>
      <c r="Y293" s="32">
        <v>8.116E-3</v>
      </c>
      <c r="Z293" s="32">
        <v>0.15332399999999999</v>
      </c>
      <c r="AA293" s="32">
        <v>0.225825</v>
      </c>
      <c r="AB293" s="32">
        <v>0.19028800000000001</v>
      </c>
    </row>
    <row r="294" spans="1:28" ht="15.6" customHeight="1" x14ac:dyDescent="0.25">
      <c r="A294" s="24" t="s">
        <v>1367</v>
      </c>
      <c r="B294" s="50">
        <v>3872</v>
      </c>
      <c r="C294" s="25" t="s">
        <v>1368</v>
      </c>
      <c r="D294" s="25" t="s">
        <v>127</v>
      </c>
      <c r="E294" s="25" t="s">
        <v>194</v>
      </c>
      <c r="F294" s="25" t="s">
        <v>155</v>
      </c>
      <c r="G294" s="26" t="s">
        <v>139</v>
      </c>
      <c r="H294" s="27" t="s">
        <v>1218</v>
      </c>
      <c r="I294" s="24" t="s">
        <v>998</v>
      </c>
      <c r="J294" s="24" t="s">
        <v>121</v>
      </c>
      <c r="K294" s="28" t="s">
        <v>227</v>
      </c>
      <c r="L294" s="29">
        <v>0.03</v>
      </c>
      <c r="M294" s="29">
        <v>0.02</v>
      </c>
      <c r="N294" s="29">
        <v>0.02</v>
      </c>
      <c r="O294" s="27" t="s">
        <v>131</v>
      </c>
      <c r="P294" s="30" t="s">
        <v>131</v>
      </c>
      <c r="Q294" s="31">
        <v>630929058.04999995</v>
      </c>
      <c r="R294" s="31">
        <v>2000.09</v>
      </c>
      <c r="S294" s="32">
        <v>2.9186E-2</v>
      </c>
      <c r="T294" s="32" t="s">
        <v>139</v>
      </c>
      <c r="U294" s="32">
        <v>1.5862000000000001E-2</v>
      </c>
      <c r="V294" s="32">
        <v>7.7588000000000004E-2</v>
      </c>
      <c r="W294" s="32">
        <v>5.1709999999999999E-2</v>
      </c>
      <c r="X294" s="32">
        <v>2.5076999999999999E-2</v>
      </c>
      <c r="Y294" s="32">
        <v>-7.9067999999999999E-2</v>
      </c>
      <c r="Z294" s="32">
        <v>0.36502600000000002</v>
      </c>
      <c r="AA294" s="32">
        <v>0.68680099999999999</v>
      </c>
      <c r="AB294" s="32">
        <v>0.63696299999999995</v>
      </c>
    </row>
    <row r="295" spans="1:28" ht="15.6" customHeight="1" x14ac:dyDescent="0.25">
      <c r="A295" s="24" t="s">
        <v>529</v>
      </c>
      <c r="B295" s="50">
        <v>3873</v>
      </c>
      <c r="C295" s="25" t="s">
        <v>530</v>
      </c>
      <c r="D295" s="25" t="s">
        <v>127</v>
      </c>
      <c r="E295" s="25" t="s">
        <v>194</v>
      </c>
      <c r="F295" s="25" t="s">
        <v>113</v>
      </c>
      <c r="G295" s="26" t="s">
        <v>531</v>
      </c>
      <c r="H295" s="27" t="s">
        <v>309</v>
      </c>
      <c r="I295" s="24" t="s">
        <v>106</v>
      </c>
      <c r="J295" s="24" t="s">
        <v>121</v>
      </c>
      <c r="K295" s="28" t="s">
        <v>108</v>
      </c>
      <c r="L295" s="29">
        <v>0.03</v>
      </c>
      <c r="M295" s="29">
        <v>0.02</v>
      </c>
      <c r="N295" s="29">
        <v>0.02</v>
      </c>
      <c r="O295" s="27" t="s">
        <v>131</v>
      </c>
      <c r="P295" s="30" t="s">
        <v>131</v>
      </c>
      <c r="Q295" s="31">
        <v>2084332248.97</v>
      </c>
      <c r="R295" s="31">
        <v>1246.76</v>
      </c>
      <c r="S295" s="32">
        <v>6.9779999999999998E-3</v>
      </c>
      <c r="T295" s="32" t="s">
        <v>139</v>
      </c>
      <c r="U295" s="32">
        <v>1.052E-3</v>
      </c>
      <c r="V295" s="32">
        <v>3.3960000000000001E-3</v>
      </c>
      <c r="W295" s="32">
        <v>6.3119999999999999E-3</v>
      </c>
      <c r="X295" s="32">
        <v>7.0109999999999999E-3</v>
      </c>
      <c r="Y295" s="32">
        <v>9.4319999999999994E-3</v>
      </c>
      <c r="Z295" s="32">
        <v>8.8511999999999993E-2</v>
      </c>
      <c r="AA295" s="32">
        <v>0.18134900000000001</v>
      </c>
      <c r="AB295" s="32">
        <v>0.18452499999999999</v>
      </c>
    </row>
    <row r="296" spans="1:28" ht="15.6" customHeight="1" x14ac:dyDescent="0.25">
      <c r="A296" s="24" t="s">
        <v>532</v>
      </c>
      <c r="B296" s="50">
        <v>3875</v>
      </c>
      <c r="C296" s="25" t="s">
        <v>533</v>
      </c>
      <c r="D296" s="25" t="s">
        <v>241</v>
      </c>
      <c r="E296" s="25" t="s">
        <v>194</v>
      </c>
      <c r="F296" s="25" t="s">
        <v>128</v>
      </c>
      <c r="G296" s="26" t="s">
        <v>289</v>
      </c>
      <c r="H296" s="27" t="s">
        <v>130</v>
      </c>
      <c r="I296" s="24" t="s">
        <v>106</v>
      </c>
      <c r="J296" s="24" t="s">
        <v>107</v>
      </c>
      <c r="K296" s="28" t="s">
        <v>108</v>
      </c>
      <c r="L296" s="29">
        <v>0.03</v>
      </c>
      <c r="M296" s="29">
        <v>1.4999999999999999E-2</v>
      </c>
      <c r="N296" s="29">
        <v>0.02</v>
      </c>
      <c r="O296" s="27" t="s">
        <v>166</v>
      </c>
      <c r="P296" s="30" t="s">
        <v>534</v>
      </c>
      <c r="Q296" s="31">
        <v>3265264879.9200001</v>
      </c>
      <c r="R296" s="31">
        <v>1170.19</v>
      </c>
      <c r="S296" s="32">
        <v>1.8664E-2</v>
      </c>
      <c r="T296" s="32" t="s">
        <v>139</v>
      </c>
      <c r="U296" s="32">
        <v>7.18E-4</v>
      </c>
      <c r="V296" s="32">
        <v>2.2950000000000002E-3</v>
      </c>
      <c r="W296" s="32">
        <v>7.6470000000000002E-3</v>
      </c>
      <c r="X296" s="32">
        <v>1.4978999999999999E-2</v>
      </c>
      <c r="Y296" s="32">
        <v>2.7022999999999998E-2</v>
      </c>
      <c r="Z296" s="32">
        <v>6.3885999999999998E-2</v>
      </c>
      <c r="AA296" s="32">
        <v>0.107306</v>
      </c>
      <c r="AB296" s="32">
        <v>0.141704</v>
      </c>
    </row>
    <row r="297" spans="1:28" ht="15.6" customHeight="1" x14ac:dyDescent="0.25">
      <c r="A297" s="24" t="s">
        <v>535</v>
      </c>
      <c r="B297" s="50">
        <v>3876</v>
      </c>
      <c r="C297" s="25" t="s">
        <v>536</v>
      </c>
      <c r="D297" s="25" t="s">
        <v>241</v>
      </c>
      <c r="E297" s="25" t="s">
        <v>194</v>
      </c>
      <c r="F297" s="25" t="s">
        <v>103</v>
      </c>
      <c r="G297" s="26" t="s">
        <v>244</v>
      </c>
      <c r="H297" s="27" t="s">
        <v>188</v>
      </c>
      <c r="I297" s="24" t="s">
        <v>106</v>
      </c>
      <c r="J297" s="24" t="s">
        <v>107</v>
      </c>
      <c r="K297" s="28" t="s">
        <v>108</v>
      </c>
      <c r="L297" s="29">
        <v>0.03</v>
      </c>
      <c r="M297" s="29">
        <v>1.4999999999999999E-2</v>
      </c>
      <c r="N297" s="29">
        <v>0.02</v>
      </c>
      <c r="O297" s="27" t="s">
        <v>116</v>
      </c>
      <c r="P297" s="30" t="s">
        <v>534</v>
      </c>
      <c r="Q297" s="31">
        <v>1797702120.6700001</v>
      </c>
      <c r="R297" s="31">
        <v>1155.42</v>
      </c>
      <c r="S297" s="32">
        <v>1.6629999999999999E-2</v>
      </c>
      <c r="T297" s="32" t="s">
        <v>139</v>
      </c>
      <c r="U297" s="32">
        <v>5.4600000000000004E-4</v>
      </c>
      <c r="V297" s="32">
        <v>2.003E-3</v>
      </c>
      <c r="W297" s="32">
        <v>6.3489999999999996E-3</v>
      </c>
      <c r="X297" s="32">
        <v>1.2611000000000001E-2</v>
      </c>
      <c r="Y297" s="32">
        <v>2.5808999999999999E-2</v>
      </c>
      <c r="Z297" s="32">
        <v>5.8347999999999997E-2</v>
      </c>
      <c r="AA297" s="32">
        <v>9.6754999999999994E-2</v>
      </c>
      <c r="AB297" s="32">
        <v>0.142453</v>
      </c>
    </row>
    <row r="298" spans="1:28" ht="15.6" customHeight="1" x14ac:dyDescent="0.25">
      <c r="A298" s="24" t="s">
        <v>537</v>
      </c>
      <c r="B298" s="50">
        <v>3877</v>
      </c>
      <c r="C298" s="25" t="s">
        <v>538</v>
      </c>
      <c r="D298" s="25" t="s">
        <v>241</v>
      </c>
      <c r="E298" s="25" t="s">
        <v>194</v>
      </c>
      <c r="F298" s="25" t="s">
        <v>113</v>
      </c>
      <c r="G298" s="26" t="s">
        <v>531</v>
      </c>
      <c r="H298" s="27" t="s">
        <v>309</v>
      </c>
      <c r="I298" s="24" t="s">
        <v>106</v>
      </c>
      <c r="J298" s="24" t="s">
        <v>121</v>
      </c>
      <c r="K298" s="28" t="s">
        <v>108</v>
      </c>
      <c r="L298" s="29">
        <v>0.03</v>
      </c>
      <c r="M298" s="29">
        <v>1.4999999999999999E-2</v>
      </c>
      <c r="N298" s="29">
        <v>0.02</v>
      </c>
      <c r="O298" s="27" t="s">
        <v>262</v>
      </c>
      <c r="P298" s="30" t="s">
        <v>241</v>
      </c>
      <c r="Q298" s="31">
        <v>1294578678.8199999</v>
      </c>
      <c r="R298" s="31">
        <v>1160.3399999999999</v>
      </c>
      <c r="S298" s="32">
        <v>-3.1960000000000001E-3</v>
      </c>
      <c r="T298" s="32" t="s">
        <v>139</v>
      </c>
      <c r="U298" s="32">
        <v>1.6570000000000001E-3</v>
      </c>
      <c r="V298" s="32">
        <v>6.5059999999999996E-3</v>
      </c>
      <c r="W298" s="32">
        <v>1.008E-2</v>
      </c>
      <c r="X298" s="32">
        <v>1.882E-3</v>
      </c>
      <c r="Y298" s="32">
        <v>-9.5519999999999997E-3</v>
      </c>
      <c r="Z298" s="32">
        <v>8.702E-2</v>
      </c>
      <c r="AA298" s="32">
        <v>0.16603000000000001</v>
      </c>
      <c r="AB298" s="32">
        <v>0.120625</v>
      </c>
    </row>
    <row r="299" spans="1:28" ht="15.6" customHeight="1" x14ac:dyDescent="0.25">
      <c r="A299" s="24" t="s">
        <v>1369</v>
      </c>
      <c r="B299" s="50">
        <v>3878</v>
      </c>
      <c r="C299" s="25" t="s">
        <v>1370</v>
      </c>
      <c r="D299" s="25" t="s">
        <v>241</v>
      </c>
      <c r="E299" s="25" t="s">
        <v>194</v>
      </c>
      <c r="F299" s="25" t="s">
        <v>113</v>
      </c>
      <c r="G299" s="26" t="s">
        <v>531</v>
      </c>
      <c r="H299" s="27" t="s">
        <v>115</v>
      </c>
      <c r="I299" s="24" t="s">
        <v>998</v>
      </c>
      <c r="J299" s="24" t="s">
        <v>121</v>
      </c>
      <c r="K299" s="28" t="s">
        <v>108</v>
      </c>
      <c r="L299" s="29">
        <v>0.03</v>
      </c>
      <c r="M299" s="29">
        <v>1.4999999999999999E-2</v>
      </c>
      <c r="N299" s="29">
        <v>0.02</v>
      </c>
      <c r="O299" s="27" t="s">
        <v>262</v>
      </c>
      <c r="P299" s="30" t="s">
        <v>241</v>
      </c>
      <c r="Q299" s="31">
        <v>148950595.34</v>
      </c>
      <c r="R299" s="31">
        <v>1210.77</v>
      </c>
      <c r="S299" s="32">
        <v>6.4669999999999997E-3</v>
      </c>
      <c r="T299" s="32" t="s">
        <v>139</v>
      </c>
      <c r="U299" s="32">
        <v>1.1490000000000001E-3</v>
      </c>
      <c r="V299" s="32">
        <v>3.3059999999999999E-3</v>
      </c>
      <c r="W299" s="32">
        <v>5.4479999999999997E-3</v>
      </c>
      <c r="X299" s="32">
        <v>6.0829999999999999E-3</v>
      </c>
      <c r="Y299" s="32">
        <v>4.5129999999999997E-3</v>
      </c>
      <c r="Z299" s="32">
        <v>0.115907</v>
      </c>
      <c r="AA299" s="32">
        <v>0.232875</v>
      </c>
      <c r="AB299" s="32">
        <v>0.217919</v>
      </c>
    </row>
    <row r="300" spans="1:28" ht="15.6" customHeight="1" x14ac:dyDescent="0.25">
      <c r="A300" s="24" t="s">
        <v>1371</v>
      </c>
      <c r="B300" s="50">
        <v>3879</v>
      </c>
      <c r="C300" s="25" t="s">
        <v>1372</v>
      </c>
      <c r="D300" s="25" t="s">
        <v>159</v>
      </c>
      <c r="E300" s="25" t="s">
        <v>194</v>
      </c>
      <c r="F300" s="25" t="s">
        <v>113</v>
      </c>
      <c r="G300" s="26" t="s">
        <v>638</v>
      </c>
      <c r="H300" s="27" t="s">
        <v>1157</v>
      </c>
      <c r="I300" s="24" t="s">
        <v>998</v>
      </c>
      <c r="J300" s="24" t="s">
        <v>121</v>
      </c>
      <c r="K300" s="28" t="s">
        <v>227</v>
      </c>
      <c r="L300" s="29">
        <v>0</v>
      </c>
      <c r="M300" s="29">
        <v>0</v>
      </c>
      <c r="N300" s="29">
        <v>0.02</v>
      </c>
      <c r="O300" s="27" t="s">
        <v>161</v>
      </c>
      <c r="P300" s="30" t="s">
        <v>159</v>
      </c>
      <c r="Q300" s="31">
        <v>712781223.90999997</v>
      </c>
      <c r="R300" s="31">
        <v>1200.21</v>
      </c>
      <c r="S300" s="32">
        <v>4.4999999999999999E-4</v>
      </c>
      <c r="T300" s="32" t="s">
        <v>139</v>
      </c>
      <c r="U300" s="32">
        <v>1.786E-3</v>
      </c>
      <c r="V300" s="32">
        <v>7.2090000000000001E-3</v>
      </c>
      <c r="W300" s="32">
        <v>6.3220000000000004E-3</v>
      </c>
      <c r="X300" s="32">
        <v>-6.7000000000000002E-5</v>
      </c>
      <c r="Y300" s="32">
        <v>-1.0723999999999999E-2</v>
      </c>
      <c r="Z300" s="32">
        <v>0.111738</v>
      </c>
      <c r="AA300" s="32">
        <v>0.221029</v>
      </c>
      <c r="AB300" s="32">
        <v>0.19087399999999999</v>
      </c>
    </row>
    <row r="301" spans="1:28" ht="15.6" customHeight="1" x14ac:dyDescent="0.25">
      <c r="A301" s="24" t="s">
        <v>1373</v>
      </c>
      <c r="B301" s="50">
        <v>3880</v>
      </c>
      <c r="C301" s="25" t="s">
        <v>1374</v>
      </c>
      <c r="D301" s="25" t="s">
        <v>159</v>
      </c>
      <c r="E301" s="25" t="s">
        <v>194</v>
      </c>
      <c r="F301" s="25" t="s">
        <v>113</v>
      </c>
      <c r="G301" s="26" t="s">
        <v>1179</v>
      </c>
      <c r="H301" s="27" t="s">
        <v>309</v>
      </c>
      <c r="I301" s="24" t="s">
        <v>998</v>
      </c>
      <c r="J301" s="24" t="s">
        <v>121</v>
      </c>
      <c r="K301" s="28" t="s">
        <v>227</v>
      </c>
      <c r="L301" s="29">
        <v>0</v>
      </c>
      <c r="M301" s="29">
        <v>0</v>
      </c>
      <c r="N301" s="29">
        <v>0.02</v>
      </c>
      <c r="O301" s="27" t="s">
        <v>161</v>
      </c>
      <c r="P301" s="30" t="s">
        <v>159</v>
      </c>
      <c r="Q301" s="31">
        <v>603717173.85000002</v>
      </c>
      <c r="R301" s="31">
        <v>3103.94</v>
      </c>
      <c r="S301" s="32">
        <v>7.6550000000000003E-3</v>
      </c>
      <c r="T301" s="32" t="s">
        <v>139</v>
      </c>
      <c r="U301" s="32">
        <v>9.4200000000000002E-4</v>
      </c>
      <c r="V301" s="32">
        <v>1.727E-3</v>
      </c>
      <c r="W301" s="32">
        <v>5.3439999999999998E-3</v>
      </c>
      <c r="X301" s="32">
        <v>4.1599999999999996E-3</v>
      </c>
      <c r="Y301" s="32">
        <v>7.4460000000000004E-3</v>
      </c>
      <c r="Z301" s="32">
        <v>7.8524999999999998E-2</v>
      </c>
      <c r="AA301" s="32">
        <v>0.15162100000000001</v>
      </c>
      <c r="AB301" s="32">
        <v>2.0799470000000002</v>
      </c>
    </row>
    <row r="302" spans="1:28" ht="15.6" customHeight="1" x14ac:dyDescent="0.25">
      <c r="A302" s="24" t="s">
        <v>539</v>
      </c>
      <c r="B302" s="50">
        <v>3881</v>
      </c>
      <c r="C302" s="25" t="s">
        <v>540</v>
      </c>
      <c r="D302" s="25" t="s">
        <v>112</v>
      </c>
      <c r="E302" s="25" t="s">
        <v>194</v>
      </c>
      <c r="F302" s="25" t="s">
        <v>128</v>
      </c>
      <c r="G302" s="26" t="s">
        <v>289</v>
      </c>
      <c r="H302" s="27" t="s">
        <v>258</v>
      </c>
      <c r="I302" s="24" t="s">
        <v>106</v>
      </c>
      <c r="J302" s="24" t="s">
        <v>107</v>
      </c>
      <c r="K302" s="28" t="s">
        <v>108</v>
      </c>
      <c r="L302" s="29">
        <v>0.03</v>
      </c>
      <c r="M302" s="29">
        <v>1.4999999999999999E-2</v>
      </c>
      <c r="N302" s="29">
        <v>0.02</v>
      </c>
      <c r="O302" s="27" t="s">
        <v>116</v>
      </c>
      <c r="P302" s="30" t="s">
        <v>112</v>
      </c>
      <c r="Q302" s="31">
        <v>1103272.45</v>
      </c>
      <c r="R302" s="31">
        <v>1103.27</v>
      </c>
      <c r="S302" s="32">
        <v>1.2407E-2</v>
      </c>
      <c r="T302" s="32" t="s">
        <v>139</v>
      </c>
      <c r="U302" s="32">
        <v>4.6200000000000001E-4</v>
      </c>
      <c r="V302" s="32">
        <v>1.3979999999999999E-3</v>
      </c>
      <c r="W302" s="32">
        <v>4.8640000000000003E-3</v>
      </c>
      <c r="X302" s="32">
        <v>9.4420000000000007E-3</v>
      </c>
      <c r="Y302" s="32">
        <v>1.7242E-2</v>
      </c>
      <c r="Z302" s="32">
        <v>4.0978000000000001E-2</v>
      </c>
      <c r="AA302" s="32">
        <v>6.9039000000000003E-2</v>
      </c>
      <c r="AB302" s="32">
        <v>9.8513000000000003E-2</v>
      </c>
    </row>
    <row r="303" spans="1:28" ht="15.6" customHeight="1" x14ac:dyDescent="0.25">
      <c r="A303" s="24" t="s">
        <v>541</v>
      </c>
      <c r="B303" s="50">
        <v>3882</v>
      </c>
      <c r="C303" s="25" t="s">
        <v>542</v>
      </c>
      <c r="D303" s="25" t="s">
        <v>112</v>
      </c>
      <c r="E303" s="25" t="s">
        <v>194</v>
      </c>
      <c r="F303" s="25" t="s">
        <v>155</v>
      </c>
      <c r="G303" s="26" t="s">
        <v>139</v>
      </c>
      <c r="H303" s="27" t="s">
        <v>543</v>
      </c>
      <c r="I303" s="24" t="s">
        <v>106</v>
      </c>
      <c r="J303" s="24" t="s">
        <v>107</v>
      </c>
      <c r="K303" s="28" t="s">
        <v>108</v>
      </c>
      <c r="L303" s="29">
        <v>0.03</v>
      </c>
      <c r="M303" s="29">
        <v>1.4999999999999999E-2</v>
      </c>
      <c r="N303" s="29">
        <v>0.02</v>
      </c>
      <c r="O303" s="27" t="s">
        <v>116</v>
      </c>
      <c r="P303" s="30" t="s">
        <v>544</v>
      </c>
      <c r="Q303" s="31">
        <v>48112380.079999998</v>
      </c>
      <c r="R303" s="31">
        <v>1365.12</v>
      </c>
      <c r="S303" s="32">
        <v>-8.8163000000000005E-2</v>
      </c>
      <c r="T303" s="32" t="s">
        <v>139</v>
      </c>
      <c r="U303" s="32">
        <v>5.999E-3</v>
      </c>
      <c r="V303" s="32">
        <v>3.5640999999999999E-2</v>
      </c>
      <c r="W303" s="32">
        <v>9.1970000000000003E-3</v>
      </c>
      <c r="X303" s="32">
        <v>-6.6769999999999996E-2</v>
      </c>
      <c r="Y303" s="32">
        <v>-0.178539</v>
      </c>
      <c r="Z303" s="32">
        <v>0.17252200000000001</v>
      </c>
      <c r="AA303" s="32">
        <v>0.37182799999999999</v>
      </c>
      <c r="AB303" s="32">
        <v>0.269785</v>
      </c>
    </row>
    <row r="304" spans="1:28" ht="15.6" customHeight="1" x14ac:dyDescent="0.25">
      <c r="A304" s="24" t="s">
        <v>1375</v>
      </c>
      <c r="B304" s="50">
        <v>3883</v>
      </c>
      <c r="C304" s="25" t="s">
        <v>1376</v>
      </c>
      <c r="D304" s="25" t="s">
        <v>137</v>
      </c>
      <c r="E304" s="25" t="s">
        <v>194</v>
      </c>
      <c r="F304" s="25" t="s">
        <v>138</v>
      </c>
      <c r="G304" s="26" t="s">
        <v>139</v>
      </c>
      <c r="H304" s="27" t="s">
        <v>1377</v>
      </c>
      <c r="I304" s="24" t="s">
        <v>998</v>
      </c>
      <c r="J304" s="24" t="s">
        <v>121</v>
      </c>
      <c r="K304" s="28" t="s">
        <v>227</v>
      </c>
      <c r="L304" s="29">
        <v>0</v>
      </c>
      <c r="M304" s="29">
        <v>0</v>
      </c>
      <c r="N304" s="29">
        <v>0.02</v>
      </c>
      <c r="O304" s="27" t="s">
        <v>141</v>
      </c>
      <c r="P304" s="30" t="s">
        <v>137</v>
      </c>
      <c r="Q304" s="31">
        <v>838323208.55946803</v>
      </c>
      <c r="R304" s="31">
        <v>12028.28</v>
      </c>
      <c r="S304" s="32">
        <v>1.9680000000000001E-3</v>
      </c>
      <c r="T304" s="32" t="s">
        <v>139</v>
      </c>
      <c r="U304" s="32">
        <v>4.6410000000000002E-3</v>
      </c>
      <c r="V304" s="32">
        <v>2.3757E-2</v>
      </c>
      <c r="W304" s="32">
        <v>1.567E-2</v>
      </c>
      <c r="X304" s="32">
        <v>-3.7599999999999999E-3</v>
      </c>
      <c r="Y304" s="32">
        <v>-3.5205E-2</v>
      </c>
      <c r="Z304" s="32">
        <v>0.16092500000000001</v>
      </c>
      <c r="AA304" s="32">
        <v>0.27816999999999997</v>
      </c>
      <c r="AB304" s="32">
        <v>0.26271800000000001</v>
      </c>
    </row>
    <row r="305" spans="1:28" ht="15.6" customHeight="1" x14ac:dyDescent="0.25">
      <c r="A305" s="24" t="s">
        <v>545</v>
      </c>
      <c r="B305" s="50">
        <v>3884</v>
      </c>
      <c r="C305" s="25" t="s">
        <v>546</v>
      </c>
      <c r="D305" s="25" t="s">
        <v>159</v>
      </c>
      <c r="E305" s="25" t="s">
        <v>194</v>
      </c>
      <c r="F305" s="25" t="s">
        <v>138</v>
      </c>
      <c r="G305" s="26" t="s">
        <v>139</v>
      </c>
      <c r="H305" s="27" t="s">
        <v>547</v>
      </c>
      <c r="I305" s="24" t="s">
        <v>106</v>
      </c>
      <c r="J305" s="24" t="s">
        <v>121</v>
      </c>
      <c r="K305" s="28" t="s">
        <v>108</v>
      </c>
      <c r="L305" s="29">
        <v>0</v>
      </c>
      <c r="M305" s="29">
        <v>0</v>
      </c>
      <c r="N305" s="29">
        <v>0.02</v>
      </c>
      <c r="O305" s="27" t="s">
        <v>548</v>
      </c>
      <c r="P305" s="30" t="s">
        <v>159</v>
      </c>
      <c r="Q305" s="31">
        <v>5857540281.2799997</v>
      </c>
      <c r="R305" s="31">
        <v>1330.16</v>
      </c>
      <c r="S305" s="32">
        <v>9.9690000000000004E-3</v>
      </c>
      <c r="T305" s="32" t="s">
        <v>139</v>
      </c>
      <c r="U305" s="32">
        <v>4.5009999999999998E-3</v>
      </c>
      <c r="V305" s="32">
        <v>2.3720000000000001E-2</v>
      </c>
      <c r="W305" s="32">
        <v>2.0906999999999999E-2</v>
      </c>
      <c r="X305" s="32">
        <v>7.659E-3</v>
      </c>
      <c r="Y305" s="32">
        <v>-2.3814999999999999E-2</v>
      </c>
      <c r="Z305" s="32">
        <v>0.18185999999999999</v>
      </c>
      <c r="AA305" s="32">
        <v>0.330959</v>
      </c>
      <c r="AB305" s="32">
        <v>0.28622300000000001</v>
      </c>
    </row>
    <row r="306" spans="1:28" ht="15.6" customHeight="1" x14ac:dyDescent="0.25">
      <c r="A306" s="24" t="s">
        <v>549</v>
      </c>
      <c r="B306" s="50">
        <v>3885</v>
      </c>
      <c r="C306" s="25" t="s">
        <v>550</v>
      </c>
      <c r="D306" s="25" t="s">
        <v>322</v>
      </c>
      <c r="E306" s="25" t="s">
        <v>194</v>
      </c>
      <c r="F306" s="25" t="s">
        <v>138</v>
      </c>
      <c r="G306" s="26" t="s">
        <v>139</v>
      </c>
      <c r="H306" s="27" t="s">
        <v>551</v>
      </c>
      <c r="I306" s="24" t="s">
        <v>106</v>
      </c>
      <c r="J306" s="24" t="s">
        <v>121</v>
      </c>
      <c r="K306" s="28" t="s">
        <v>108</v>
      </c>
      <c r="L306" s="29">
        <v>0.03</v>
      </c>
      <c r="M306" s="29">
        <v>1.4999999999999999E-2</v>
      </c>
      <c r="N306" s="29">
        <v>0.02</v>
      </c>
      <c r="O306" s="27" t="s">
        <v>548</v>
      </c>
      <c r="P306" s="30" t="s">
        <v>322</v>
      </c>
      <c r="Q306" s="31">
        <v>1893184365.23</v>
      </c>
      <c r="R306" s="31">
        <v>1355.72</v>
      </c>
      <c r="S306" s="32">
        <v>2.4066000000000001E-2</v>
      </c>
      <c r="T306" s="32" t="s">
        <v>139</v>
      </c>
      <c r="U306" s="32">
        <v>7.0569999999999999E-3</v>
      </c>
      <c r="V306" s="32">
        <v>3.2426000000000003E-2</v>
      </c>
      <c r="W306" s="32">
        <v>3.0268E-2</v>
      </c>
      <c r="X306" s="32">
        <v>1.9990000000000001E-2</v>
      </c>
      <c r="Y306" s="32">
        <v>-1.0437999999999999E-2</v>
      </c>
      <c r="Z306" s="32">
        <v>0.185339</v>
      </c>
      <c r="AA306" s="32">
        <v>0.328148</v>
      </c>
      <c r="AB306" s="32">
        <v>0.30466799999999999</v>
      </c>
    </row>
    <row r="307" spans="1:28" ht="15.6" customHeight="1" x14ac:dyDescent="0.25">
      <c r="A307" s="24" t="s">
        <v>552</v>
      </c>
      <c r="B307" s="50">
        <v>3886</v>
      </c>
      <c r="C307" s="25" t="s">
        <v>553</v>
      </c>
      <c r="D307" s="25" t="s">
        <v>145</v>
      </c>
      <c r="E307" s="25" t="s">
        <v>194</v>
      </c>
      <c r="F307" s="25" t="s">
        <v>138</v>
      </c>
      <c r="G307" s="26" t="s">
        <v>139</v>
      </c>
      <c r="H307" s="27" t="s">
        <v>554</v>
      </c>
      <c r="I307" s="24" t="s">
        <v>106</v>
      </c>
      <c r="J307" s="24" t="s">
        <v>121</v>
      </c>
      <c r="K307" s="28" t="s">
        <v>108</v>
      </c>
      <c r="L307" s="29">
        <v>0.03</v>
      </c>
      <c r="M307" s="29">
        <v>1.4999999999999999E-2</v>
      </c>
      <c r="N307" s="29">
        <v>0.02</v>
      </c>
      <c r="O307" s="27" t="s">
        <v>548</v>
      </c>
      <c r="P307" s="30" t="s">
        <v>145</v>
      </c>
      <c r="Q307" s="31">
        <v>5836434386.5100002</v>
      </c>
      <c r="R307" s="31">
        <v>1330.63</v>
      </c>
      <c r="S307" s="32">
        <v>9.6900000000000007E-3</v>
      </c>
      <c r="T307" s="32" t="s">
        <v>139</v>
      </c>
      <c r="U307" s="32">
        <v>5.1749999999999999E-3</v>
      </c>
      <c r="V307" s="32">
        <v>2.5676000000000001E-2</v>
      </c>
      <c r="W307" s="32">
        <v>2.1996999999999999E-2</v>
      </c>
      <c r="X307" s="32">
        <v>8.6110000000000006E-3</v>
      </c>
      <c r="Y307" s="32">
        <v>-2.5408E-2</v>
      </c>
      <c r="Z307" s="32">
        <v>0.17376800000000001</v>
      </c>
      <c r="AA307" s="32">
        <v>0.32092100000000001</v>
      </c>
      <c r="AB307" s="32">
        <v>0.28234999999999999</v>
      </c>
    </row>
    <row r="308" spans="1:28" ht="15.6" customHeight="1" x14ac:dyDescent="0.25">
      <c r="A308" s="24" t="s">
        <v>555</v>
      </c>
      <c r="B308" s="50">
        <v>3887</v>
      </c>
      <c r="C308" s="25" t="s">
        <v>556</v>
      </c>
      <c r="D308" s="25" t="s">
        <v>137</v>
      </c>
      <c r="E308" s="25" t="s">
        <v>194</v>
      </c>
      <c r="F308" s="25" t="s">
        <v>138</v>
      </c>
      <c r="G308" s="26" t="s">
        <v>139</v>
      </c>
      <c r="H308" s="27" t="s">
        <v>557</v>
      </c>
      <c r="I308" s="24" t="s">
        <v>106</v>
      </c>
      <c r="J308" s="24" t="s">
        <v>121</v>
      </c>
      <c r="K308" s="28" t="s">
        <v>108</v>
      </c>
      <c r="L308" s="29">
        <v>0.03</v>
      </c>
      <c r="M308" s="29">
        <v>1.4999999999999999E-2</v>
      </c>
      <c r="N308" s="29">
        <v>0.02</v>
      </c>
      <c r="O308" s="27" t="s">
        <v>141</v>
      </c>
      <c r="P308" s="30" t="s">
        <v>137</v>
      </c>
      <c r="Q308" s="31">
        <v>2596266309.9425831</v>
      </c>
      <c r="R308" s="31">
        <v>1375.82</v>
      </c>
      <c r="S308" s="32">
        <v>9.7689999999999999E-3</v>
      </c>
      <c r="T308" s="32" t="s">
        <v>139</v>
      </c>
      <c r="U308" s="32">
        <v>4.6220000000000002E-3</v>
      </c>
      <c r="V308" s="32">
        <v>2.4621000000000001E-2</v>
      </c>
      <c r="W308" s="32">
        <v>1.8575000000000001E-2</v>
      </c>
      <c r="X308" s="32">
        <v>6.7980000000000002E-3</v>
      </c>
      <c r="Y308" s="32">
        <v>-2.5208999999999999E-2</v>
      </c>
      <c r="Z308" s="32">
        <v>0.180586</v>
      </c>
      <c r="AA308" s="32">
        <v>0.33334000000000003</v>
      </c>
      <c r="AB308" s="32">
        <v>0.32639800000000002</v>
      </c>
    </row>
    <row r="309" spans="1:28" ht="15.6" customHeight="1" x14ac:dyDescent="0.25">
      <c r="A309" s="24" t="s">
        <v>1378</v>
      </c>
      <c r="B309" s="50">
        <v>3888</v>
      </c>
      <c r="C309" s="25" t="s">
        <v>1379</v>
      </c>
      <c r="D309" s="25" t="s">
        <v>164</v>
      </c>
      <c r="E309" s="25" t="s">
        <v>194</v>
      </c>
      <c r="F309" s="25" t="s">
        <v>155</v>
      </c>
      <c r="G309" s="26" t="s">
        <v>139</v>
      </c>
      <c r="H309" s="27" t="s">
        <v>588</v>
      </c>
      <c r="I309" s="24" t="s">
        <v>998</v>
      </c>
      <c r="J309" s="24" t="s">
        <v>121</v>
      </c>
      <c r="K309" s="28" t="s">
        <v>227</v>
      </c>
      <c r="L309" s="29">
        <v>0.03</v>
      </c>
      <c r="M309" s="29">
        <v>1.4999999999999999E-2</v>
      </c>
      <c r="N309" s="29">
        <v>0.02</v>
      </c>
      <c r="O309" s="27" t="s">
        <v>166</v>
      </c>
      <c r="P309" s="30" t="s">
        <v>164</v>
      </c>
      <c r="Q309" s="31">
        <v>244716884.5</v>
      </c>
      <c r="R309" s="31">
        <v>19075.29</v>
      </c>
      <c r="S309" s="32">
        <v>8.7695999999999996E-2</v>
      </c>
      <c r="T309" s="32" t="s">
        <v>139</v>
      </c>
      <c r="U309" s="32">
        <v>1.5819E-2</v>
      </c>
      <c r="V309" s="32">
        <v>8.2850999999999994E-2</v>
      </c>
      <c r="W309" s="32">
        <v>7.2317999999999993E-2</v>
      </c>
      <c r="X309" s="32">
        <v>7.5110999999999997E-2</v>
      </c>
      <c r="Y309" s="32">
        <v>1.5481999999999999E-2</v>
      </c>
      <c r="Z309" s="32">
        <v>0.500529</v>
      </c>
      <c r="AA309" s="32">
        <v>0.78747699999999998</v>
      </c>
      <c r="AB309" s="32">
        <v>0.72234399999999999</v>
      </c>
    </row>
    <row r="310" spans="1:28" ht="15.6" customHeight="1" x14ac:dyDescent="0.25">
      <c r="A310" s="24" t="s">
        <v>558</v>
      </c>
      <c r="B310" s="50">
        <v>3889</v>
      </c>
      <c r="C310" s="25" t="s">
        <v>559</v>
      </c>
      <c r="D310" s="25" t="s">
        <v>137</v>
      </c>
      <c r="E310" s="25" t="s">
        <v>194</v>
      </c>
      <c r="F310" s="25" t="s">
        <v>103</v>
      </c>
      <c r="G310" s="26" t="s">
        <v>244</v>
      </c>
      <c r="H310" s="27" t="s">
        <v>217</v>
      </c>
      <c r="I310" s="24" t="s">
        <v>106</v>
      </c>
      <c r="J310" s="24" t="s">
        <v>107</v>
      </c>
      <c r="K310" s="28" t="s">
        <v>108</v>
      </c>
      <c r="L310" s="29">
        <v>5.0000000000000001E-3</v>
      </c>
      <c r="M310" s="29">
        <v>5.0000000000000001E-3</v>
      </c>
      <c r="N310" s="29">
        <v>0.02</v>
      </c>
      <c r="O310" s="27" t="s">
        <v>141</v>
      </c>
      <c r="P310" s="30" t="s">
        <v>142</v>
      </c>
      <c r="Q310" s="31">
        <v>5245499452.8716822</v>
      </c>
      <c r="R310" s="31">
        <v>1523.21</v>
      </c>
      <c r="S310" s="32">
        <v>1.7541999999999999E-2</v>
      </c>
      <c r="T310" s="32" t="s">
        <v>139</v>
      </c>
      <c r="U310" s="32">
        <v>5.8500000000000002E-4</v>
      </c>
      <c r="V310" s="32">
        <v>2.0990000000000002E-3</v>
      </c>
      <c r="W310" s="32">
        <v>6.9280000000000001E-3</v>
      </c>
      <c r="X310" s="32">
        <v>1.3723000000000001E-2</v>
      </c>
      <c r="Y310" s="32">
        <v>2.5682E-2</v>
      </c>
      <c r="Z310" s="32">
        <v>5.6743000000000002E-2</v>
      </c>
      <c r="AA310" s="32">
        <v>9.4456999999999999E-2</v>
      </c>
      <c r="AB310" s="32">
        <v>0.140204</v>
      </c>
    </row>
    <row r="311" spans="1:28" ht="15.6" customHeight="1" x14ac:dyDescent="0.25">
      <c r="A311" s="24" t="s">
        <v>560</v>
      </c>
      <c r="B311" s="50">
        <v>3890</v>
      </c>
      <c r="C311" s="25" t="s">
        <v>561</v>
      </c>
      <c r="D311" s="25" t="s">
        <v>355</v>
      </c>
      <c r="E311" s="25" t="s">
        <v>194</v>
      </c>
      <c r="F311" s="25" t="s">
        <v>113</v>
      </c>
      <c r="G311" s="26" t="s">
        <v>562</v>
      </c>
      <c r="H311" s="27" t="s">
        <v>309</v>
      </c>
      <c r="I311" s="24" t="s">
        <v>106</v>
      </c>
      <c r="J311" s="24" t="s">
        <v>121</v>
      </c>
      <c r="K311" s="28" t="s">
        <v>108</v>
      </c>
      <c r="L311" s="29">
        <v>0</v>
      </c>
      <c r="M311" s="29">
        <v>0</v>
      </c>
      <c r="N311" s="29">
        <v>0.02</v>
      </c>
      <c r="O311" s="27" t="s">
        <v>161</v>
      </c>
      <c r="P311" s="30" t="s">
        <v>355</v>
      </c>
      <c r="Q311" s="31">
        <v>1028571190.51</v>
      </c>
      <c r="R311" s="31">
        <v>1180.18</v>
      </c>
      <c r="S311" s="32">
        <v>3.5890000000000002E-3</v>
      </c>
      <c r="T311" s="32" t="s">
        <v>139</v>
      </c>
      <c r="U311" s="32">
        <v>1.774E-3</v>
      </c>
      <c r="V311" s="32">
        <v>6.9620000000000003E-3</v>
      </c>
      <c r="W311" s="32">
        <v>6.705E-3</v>
      </c>
      <c r="X311" s="32">
        <v>5.9299999999999999E-4</v>
      </c>
      <c r="Y311" s="32">
        <v>-7.718E-3</v>
      </c>
      <c r="Z311" s="32">
        <v>8.1295999999999993E-2</v>
      </c>
      <c r="AA311" s="32">
        <v>0.16846</v>
      </c>
      <c r="AB311" s="32">
        <v>0.17346800000000001</v>
      </c>
    </row>
    <row r="312" spans="1:28" ht="15.6" customHeight="1" x14ac:dyDescent="0.25">
      <c r="A312" s="24" t="s">
        <v>1380</v>
      </c>
      <c r="B312" s="50">
        <v>3891</v>
      </c>
      <c r="C312" s="25" t="s">
        <v>1381</v>
      </c>
      <c r="D312" s="25" t="s">
        <v>159</v>
      </c>
      <c r="E312" s="25" t="s">
        <v>194</v>
      </c>
      <c r="F312" s="25" t="s">
        <v>138</v>
      </c>
      <c r="G312" s="26" t="s">
        <v>139</v>
      </c>
      <c r="H312" s="27" t="s">
        <v>741</v>
      </c>
      <c r="I312" s="24" t="s">
        <v>998</v>
      </c>
      <c r="J312" s="24" t="s">
        <v>121</v>
      </c>
      <c r="K312" s="28" t="s">
        <v>227</v>
      </c>
      <c r="L312" s="29">
        <v>0</v>
      </c>
      <c r="M312" s="29">
        <v>0</v>
      </c>
      <c r="N312" s="29">
        <v>0.02</v>
      </c>
      <c r="O312" s="27" t="s">
        <v>161</v>
      </c>
      <c r="P312" s="30" t="s">
        <v>513</v>
      </c>
      <c r="Q312" s="31">
        <v>24438763.530000001</v>
      </c>
      <c r="R312" s="31">
        <v>1110.8499999999999</v>
      </c>
      <c r="S312" s="32">
        <v>-2.075E-3</v>
      </c>
      <c r="T312" s="32" t="s">
        <v>139</v>
      </c>
      <c r="U312" s="32">
        <v>1.181E-3</v>
      </c>
      <c r="V312" s="32">
        <v>6.8339999999999998E-3</v>
      </c>
      <c r="W312" s="32">
        <v>9.6889999999999997E-3</v>
      </c>
      <c r="X312" s="32">
        <v>-2.317E-3</v>
      </c>
      <c r="Y312" s="32">
        <v>-5.6930000000000001E-3</v>
      </c>
      <c r="Z312" s="32">
        <v>9.1636999999999996E-2</v>
      </c>
      <c r="AA312" s="32">
        <v>0.13334699999999999</v>
      </c>
      <c r="AB312" s="32">
        <v>0.109884</v>
      </c>
    </row>
    <row r="313" spans="1:28" ht="15.6" customHeight="1" x14ac:dyDescent="0.25">
      <c r="A313" s="24" t="s">
        <v>563</v>
      </c>
      <c r="B313" s="50">
        <v>3892</v>
      </c>
      <c r="C313" s="25" t="s">
        <v>564</v>
      </c>
      <c r="D313" s="25" t="s">
        <v>112</v>
      </c>
      <c r="E313" s="25" t="s">
        <v>194</v>
      </c>
      <c r="F313" s="25" t="s">
        <v>128</v>
      </c>
      <c r="G313" s="26" t="s">
        <v>289</v>
      </c>
      <c r="H313" s="27" t="s">
        <v>373</v>
      </c>
      <c r="I313" s="24" t="s">
        <v>106</v>
      </c>
      <c r="J313" s="24" t="s">
        <v>107</v>
      </c>
      <c r="K313" s="28" t="s">
        <v>108</v>
      </c>
      <c r="L313" s="29">
        <v>0.03</v>
      </c>
      <c r="M313" s="29">
        <v>1.4999999999999999E-2</v>
      </c>
      <c r="N313" s="29">
        <v>0.02</v>
      </c>
      <c r="O313" s="27" t="s">
        <v>166</v>
      </c>
      <c r="P313" s="30" t="s">
        <v>112</v>
      </c>
      <c r="Q313" s="31">
        <v>1120816.4099999999</v>
      </c>
      <c r="R313" s="31">
        <v>1120.81</v>
      </c>
      <c r="S313" s="32">
        <v>1.2814000000000001E-2</v>
      </c>
      <c r="T313" s="32" t="s">
        <v>139</v>
      </c>
      <c r="U313" s="32">
        <v>5.1800000000000001E-4</v>
      </c>
      <c r="V313" s="32">
        <v>1.7160000000000001E-3</v>
      </c>
      <c r="W313" s="32">
        <v>5.4180000000000001E-3</v>
      </c>
      <c r="X313" s="32">
        <v>1.0349000000000001E-2</v>
      </c>
      <c r="Y313" s="32">
        <v>1.8307E-2</v>
      </c>
      <c r="Z313" s="32">
        <v>4.2915000000000002E-2</v>
      </c>
      <c r="AA313" s="32">
        <v>7.3552000000000006E-2</v>
      </c>
      <c r="AB313" s="32">
        <v>0.116712</v>
      </c>
    </row>
    <row r="314" spans="1:28" ht="15.6" customHeight="1" x14ac:dyDescent="0.25">
      <c r="A314" s="24" t="s">
        <v>1382</v>
      </c>
      <c r="B314" s="50">
        <v>3893</v>
      </c>
      <c r="C314" s="25" t="s">
        <v>1383</v>
      </c>
      <c r="D314" s="25" t="s">
        <v>504</v>
      </c>
      <c r="E314" s="25" t="s">
        <v>194</v>
      </c>
      <c r="F314" s="25" t="s">
        <v>113</v>
      </c>
      <c r="G314" s="26" t="s">
        <v>493</v>
      </c>
      <c r="H314" s="27" t="s">
        <v>115</v>
      </c>
      <c r="I314" s="24" t="s">
        <v>998</v>
      </c>
      <c r="J314" s="24" t="s">
        <v>121</v>
      </c>
      <c r="K314" s="28" t="s">
        <v>227</v>
      </c>
      <c r="L314" s="29">
        <v>0</v>
      </c>
      <c r="M314" s="29">
        <v>0</v>
      </c>
      <c r="N314" s="29">
        <v>0.02</v>
      </c>
      <c r="O314" s="27" t="s">
        <v>161</v>
      </c>
      <c r="P314" s="30" t="s">
        <v>504</v>
      </c>
      <c r="Q314" s="31">
        <v>531188359.41000003</v>
      </c>
      <c r="R314" s="31">
        <v>1083.48</v>
      </c>
      <c r="S314" s="32">
        <v>-2.761E-3</v>
      </c>
      <c r="T314" s="32" t="s">
        <v>139</v>
      </c>
      <c r="U314" s="32">
        <v>1.2199999999999999E-3</v>
      </c>
      <c r="V314" s="32">
        <v>4.3200000000000001E-3</v>
      </c>
      <c r="W314" s="32">
        <v>3.1199999999999999E-3</v>
      </c>
      <c r="X314" s="32">
        <v>-1.088E-3</v>
      </c>
      <c r="Y314" s="32">
        <v>-1.0087E-2</v>
      </c>
      <c r="Z314" s="32">
        <v>8.8027999999999995E-2</v>
      </c>
      <c r="AA314" s="32">
        <v>0.183924</v>
      </c>
      <c r="AB314" s="32">
        <v>7.8357999999999997E-2</v>
      </c>
    </row>
    <row r="315" spans="1:28" ht="15.6" customHeight="1" x14ac:dyDescent="0.25">
      <c r="A315" s="24" t="s">
        <v>565</v>
      </c>
      <c r="B315" s="50">
        <v>3894</v>
      </c>
      <c r="C315" s="25" t="s">
        <v>566</v>
      </c>
      <c r="D315" s="25" t="s">
        <v>112</v>
      </c>
      <c r="E315" s="25" t="s">
        <v>194</v>
      </c>
      <c r="F315" s="25" t="s">
        <v>103</v>
      </c>
      <c r="G315" s="26" t="s">
        <v>401</v>
      </c>
      <c r="H315" s="27" t="s">
        <v>567</v>
      </c>
      <c r="I315" s="24" t="s">
        <v>106</v>
      </c>
      <c r="J315" s="24" t="s">
        <v>107</v>
      </c>
      <c r="K315" s="28" t="s">
        <v>108</v>
      </c>
      <c r="L315" s="29">
        <v>0.03</v>
      </c>
      <c r="M315" s="29">
        <v>1.4999999999999999E-2</v>
      </c>
      <c r="N315" s="29">
        <v>0.02</v>
      </c>
      <c r="O315" s="27" t="s">
        <v>166</v>
      </c>
      <c r="P315" s="30" t="s">
        <v>112</v>
      </c>
      <c r="Q315" s="31">
        <v>4958801.12</v>
      </c>
      <c r="R315" s="31">
        <v>1118.3499999999999</v>
      </c>
      <c r="S315" s="32">
        <v>1.4763E-2</v>
      </c>
      <c r="T315" s="32" t="s">
        <v>139</v>
      </c>
      <c r="U315" s="32">
        <v>5.1000000000000004E-4</v>
      </c>
      <c r="V315" s="32">
        <v>1.7650000000000001E-3</v>
      </c>
      <c r="W315" s="32">
        <v>5.9090000000000002E-3</v>
      </c>
      <c r="X315" s="32">
        <v>1.1313E-2</v>
      </c>
      <c r="Y315" s="32">
        <v>2.1361999999999999E-2</v>
      </c>
      <c r="Z315" s="32">
        <v>4.6302000000000003E-2</v>
      </c>
      <c r="AA315" s="32">
        <v>7.5171000000000002E-2</v>
      </c>
      <c r="AB315" s="32">
        <v>0.116396</v>
      </c>
    </row>
    <row r="316" spans="1:28" ht="15.6" customHeight="1" x14ac:dyDescent="0.25">
      <c r="A316" s="24" t="s">
        <v>568</v>
      </c>
      <c r="B316" s="50">
        <v>3895</v>
      </c>
      <c r="C316" s="25" t="s">
        <v>569</v>
      </c>
      <c r="D316" s="25" t="s">
        <v>570</v>
      </c>
      <c r="E316" s="25" t="s">
        <v>194</v>
      </c>
      <c r="F316" s="25" t="s">
        <v>103</v>
      </c>
      <c r="G316" s="26" t="s">
        <v>244</v>
      </c>
      <c r="H316" s="27" t="s">
        <v>188</v>
      </c>
      <c r="I316" s="24" t="s">
        <v>106</v>
      </c>
      <c r="J316" s="24" t="s">
        <v>107</v>
      </c>
      <c r="K316" s="28" t="s">
        <v>227</v>
      </c>
      <c r="L316" s="29">
        <v>0.03</v>
      </c>
      <c r="M316" s="29">
        <v>1.4999999999999999E-2</v>
      </c>
      <c r="N316" s="29">
        <v>0.02</v>
      </c>
      <c r="O316" s="27" t="s">
        <v>131</v>
      </c>
      <c r="P316" s="30" t="s">
        <v>570</v>
      </c>
      <c r="Q316" s="31">
        <v>2963844767.4499998</v>
      </c>
      <c r="R316" s="31">
        <v>1840.92</v>
      </c>
      <c r="S316" s="32">
        <v>1.8055999999999999E-2</v>
      </c>
      <c r="T316" s="32" t="s">
        <v>139</v>
      </c>
      <c r="U316" s="32">
        <v>6.0300000000000002E-4</v>
      </c>
      <c r="V316" s="32">
        <v>2.2980000000000001E-3</v>
      </c>
      <c r="W316" s="32">
        <v>7.0130000000000001E-3</v>
      </c>
      <c r="X316" s="32">
        <v>1.3896E-2</v>
      </c>
      <c r="Y316" s="32">
        <v>2.6938E-2</v>
      </c>
      <c r="Z316" s="32">
        <v>6.1415999999999998E-2</v>
      </c>
      <c r="AA316" s="32">
        <v>0.100226</v>
      </c>
      <c r="AB316" s="32">
        <v>0.15309700000000001</v>
      </c>
    </row>
    <row r="317" spans="1:28" ht="15.6" customHeight="1" x14ac:dyDescent="0.25">
      <c r="A317" s="24" t="s">
        <v>571</v>
      </c>
      <c r="B317" s="50">
        <v>3896</v>
      </c>
      <c r="C317" s="25" t="s">
        <v>572</v>
      </c>
      <c r="D317" s="25" t="s">
        <v>570</v>
      </c>
      <c r="E317" s="25" t="s">
        <v>194</v>
      </c>
      <c r="F317" s="25" t="s">
        <v>128</v>
      </c>
      <c r="G317" s="26" t="s">
        <v>289</v>
      </c>
      <c r="H317" s="27" t="s">
        <v>130</v>
      </c>
      <c r="I317" s="24" t="s">
        <v>106</v>
      </c>
      <c r="J317" s="24" t="s">
        <v>107</v>
      </c>
      <c r="K317" s="28" t="s">
        <v>227</v>
      </c>
      <c r="L317" s="29">
        <v>0.03</v>
      </c>
      <c r="M317" s="29">
        <v>1.4999999999999999E-2</v>
      </c>
      <c r="N317" s="29">
        <v>0.02</v>
      </c>
      <c r="O317" s="27" t="s">
        <v>131</v>
      </c>
      <c r="P317" s="30" t="s">
        <v>570</v>
      </c>
      <c r="Q317" s="31">
        <v>6527986006.4899998</v>
      </c>
      <c r="R317" s="31">
        <v>1924.96</v>
      </c>
      <c r="S317" s="32">
        <v>2.0927999999999999E-2</v>
      </c>
      <c r="T317" s="32" t="s">
        <v>139</v>
      </c>
      <c r="U317" s="32">
        <v>7.0699999999999995E-4</v>
      </c>
      <c r="V317" s="32">
        <v>2.4109999999999999E-3</v>
      </c>
      <c r="W317" s="32">
        <v>8.1969999999999994E-3</v>
      </c>
      <c r="X317" s="32">
        <v>1.6014E-2</v>
      </c>
      <c r="Y317" s="32">
        <v>2.9589000000000001E-2</v>
      </c>
      <c r="Z317" s="32">
        <v>7.0659E-2</v>
      </c>
      <c r="AA317" s="32">
        <v>0.11796</v>
      </c>
      <c r="AB317" s="32">
        <v>0.17779200000000001</v>
      </c>
    </row>
    <row r="318" spans="1:28" ht="15.6" customHeight="1" x14ac:dyDescent="0.25">
      <c r="A318" s="24" t="s">
        <v>573</v>
      </c>
      <c r="B318" s="50">
        <v>3897</v>
      </c>
      <c r="C318" s="25" t="s">
        <v>574</v>
      </c>
      <c r="D318" s="25" t="s">
        <v>570</v>
      </c>
      <c r="E318" s="25" t="s">
        <v>194</v>
      </c>
      <c r="F318" s="25" t="s">
        <v>113</v>
      </c>
      <c r="G318" s="26" t="s">
        <v>493</v>
      </c>
      <c r="H318" s="27" t="s">
        <v>115</v>
      </c>
      <c r="I318" s="24" t="s">
        <v>106</v>
      </c>
      <c r="J318" s="24" t="s">
        <v>107</v>
      </c>
      <c r="K318" s="28" t="s">
        <v>108</v>
      </c>
      <c r="L318" s="29">
        <v>0.03</v>
      </c>
      <c r="M318" s="29">
        <v>0.03</v>
      </c>
      <c r="N318" s="29">
        <v>0.02</v>
      </c>
      <c r="O318" s="27" t="s">
        <v>131</v>
      </c>
      <c r="P318" s="30" t="s">
        <v>570</v>
      </c>
      <c r="Q318" s="31">
        <v>1100892078.5799999</v>
      </c>
      <c r="R318" s="31">
        <v>2424.92</v>
      </c>
      <c r="S318" s="32">
        <v>-9.7359999999999999E-3</v>
      </c>
      <c r="T318" s="32" t="s">
        <v>139</v>
      </c>
      <c r="U318" s="32">
        <v>2.0790000000000001E-3</v>
      </c>
      <c r="V318" s="32">
        <v>8.9580000000000007E-3</v>
      </c>
      <c r="W318" s="32">
        <v>4.8609999999999999E-3</v>
      </c>
      <c r="X318" s="32">
        <v>-8.6709999999999999E-3</v>
      </c>
      <c r="Y318" s="32">
        <v>-2.4409E-2</v>
      </c>
      <c r="Z318" s="32">
        <v>7.9974000000000003E-2</v>
      </c>
      <c r="AA318" s="32">
        <v>0.183228</v>
      </c>
      <c r="AB318" s="32">
        <v>0.208785</v>
      </c>
    </row>
    <row r="319" spans="1:28" ht="15.6" customHeight="1" x14ac:dyDescent="0.25">
      <c r="A319" s="24" t="s">
        <v>575</v>
      </c>
      <c r="B319" s="50">
        <v>3898</v>
      </c>
      <c r="C319" s="25" t="s">
        <v>576</v>
      </c>
      <c r="D319" s="25" t="s">
        <v>570</v>
      </c>
      <c r="E319" s="25" t="s">
        <v>194</v>
      </c>
      <c r="F319" s="25" t="s">
        <v>138</v>
      </c>
      <c r="G319" s="26" t="s">
        <v>139</v>
      </c>
      <c r="H319" s="27" t="s">
        <v>577</v>
      </c>
      <c r="I319" s="24" t="s">
        <v>106</v>
      </c>
      <c r="J319" s="24" t="s">
        <v>107</v>
      </c>
      <c r="K319" s="28" t="s">
        <v>227</v>
      </c>
      <c r="L319" s="29">
        <v>0.03</v>
      </c>
      <c r="M319" s="29">
        <v>1.4999999999999999E-2</v>
      </c>
      <c r="N319" s="29">
        <v>0.02</v>
      </c>
      <c r="O319" s="27" t="s">
        <v>131</v>
      </c>
      <c r="P319" s="30" t="s">
        <v>570</v>
      </c>
      <c r="Q319" s="31">
        <v>2164668241.3000002</v>
      </c>
      <c r="R319" s="31">
        <v>4697.62</v>
      </c>
      <c r="S319" s="32">
        <v>-9.7599999999999996E-3</v>
      </c>
      <c r="T319" s="32" t="s">
        <v>139</v>
      </c>
      <c r="U319" s="32">
        <v>7.2839999999999997E-3</v>
      </c>
      <c r="V319" s="32">
        <v>4.0801999999999998E-2</v>
      </c>
      <c r="W319" s="32">
        <v>2.4145E-2</v>
      </c>
      <c r="X319" s="32">
        <v>-3.9500000000000004E-3</v>
      </c>
      <c r="Y319" s="32">
        <v>-7.7599000000000001E-2</v>
      </c>
      <c r="Z319" s="32">
        <v>0.16883799999999999</v>
      </c>
      <c r="AA319" s="32">
        <v>0.33619900000000003</v>
      </c>
      <c r="AB319" s="32">
        <v>0.28682200000000002</v>
      </c>
    </row>
    <row r="320" spans="1:28" ht="15.6" customHeight="1" x14ac:dyDescent="0.25">
      <c r="A320" s="24" t="s">
        <v>578</v>
      </c>
      <c r="B320" s="50">
        <v>3899</v>
      </c>
      <c r="C320" s="25" t="s">
        <v>14</v>
      </c>
      <c r="D320" s="25" t="s">
        <v>570</v>
      </c>
      <c r="E320" s="25" t="s">
        <v>194</v>
      </c>
      <c r="F320" s="25" t="s">
        <v>155</v>
      </c>
      <c r="G320" s="26" t="s">
        <v>139</v>
      </c>
      <c r="H320" s="27" t="s">
        <v>156</v>
      </c>
      <c r="I320" s="24" t="s">
        <v>106</v>
      </c>
      <c r="J320" s="24" t="s">
        <v>107</v>
      </c>
      <c r="K320" s="28" t="s">
        <v>227</v>
      </c>
      <c r="L320" s="29">
        <v>0.03</v>
      </c>
      <c r="M320" s="29">
        <v>1.4999999999999999E-2</v>
      </c>
      <c r="N320" s="29">
        <v>0.02</v>
      </c>
      <c r="O320" s="27" t="s">
        <v>131</v>
      </c>
      <c r="P320" s="30" t="s">
        <v>570</v>
      </c>
      <c r="Q320" s="31">
        <v>1092216419.5899999</v>
      </c>
      <c r="R320" s="31">
        <v>8743.67</v>
      </c>
      <c r="S320" s="32">
        <v>2.8361000000000001E-2</v>
      </c>
      <c r="T320" s="32" t="s">
        <v>139</v>
      </c>
      <c r="U320" s="32">
        <v>1.2903E-2</v>
      </c>
      <c r="V320" s="32">
        <v>7.4403999999999998E-2</v>
      </c>
      <c r="W320" s="32">
        <v>5.2270999999999998E-2</v>
      </c>
      <c r="X320" s="32">
        <v>3.1158999999999999E-2</v>
      </c>
      <c r="Y320" s="32">
        <v>-9.1975000000000001E-2</v>
      </c>
      <c r="Z320" s="32">
        <v>0.37486900000000001</v>
      </c>
      <c r="AA320" s="32">
        <v>0.639347</v>
      </c>
      <c r="AB320" s="32">
        <v>0.60034699999999996</v>
      </c>
    </row>
    <row r="321" spans="1:28" ht="15.6" customHeight="1" x14ac:dyDescent="0.25">
      <c r="A321" s="24" t="s">
        <v>579</v>
      </c>
      <c r="B321" s="50">
        <v>3900</v>
      </c>
      <c r="C321" s="25" t="s">
        <v>580</v>
      </c>
      <c r="D321" s="25" t="s">
        <v>159</v>
      </c>
      <c r="E321" s="25" t="s">
        <v>194</v>
      </c>
      <c r="F321" s="25" t="s">
        <v>113</v>
      </c>
      <c r="G321" s="26" t="s">
        <v>465</v>
      </c>
      <c r="H321" s="27" t="s">
        <v>512</v>
      </c>
      <c r="I321" s="24" t="s">
        <v>106</v>
      </c>
      <c r="J321" s="24" t="s">
        <v>107</v>
      </c>
      <c r="K321" s="28" t="s">
        <v>227</v>
      </c>
      <c r="L321" s="29">
        <v>0</v>
      </c>
      <c r="M321" s="29">
        <v>0</v>
      </c>
      <c r="N321" s="29">
        <v>0.02</v>
      </c>
      <c r="O321" s="27" t="s">
        <v>161</v>
      </c>
      <c r="P321" s="30" t="s">
        <v>581</v>
      </c>
      <c r="Q321" s="31">
        <v>1100536.3899999999</v>
      </c>
      <c r="R321" s="31">
        <v>1090.72</v>
      </c>
      <c r="S321" s="32">
        <v>1.4755000000000001E-2</v>
      </c>
      <c r="T321" s="32" t="s">
        <v>139</v>
      </c>
      <c r="U321" s="32">
        <v>1E-3</v>
      </c>
      <c r="V321" s="32">
        <v>2.7859999999999998E-3</v>
      </c>
      <c r="W321" s="32">
        <v>9.0659999999999994E-3</v>
      </c>
      <c r="X321" s="32">
        <v>1.3698999999999999E-2</v>
      </c>
      <c r="Y321" s="32">
        <v>1.9078999999999999E-2</v>
      </c>
      <c r="Z321" s="32">
        <v>5.3022E-2</v>
      </c>
      <c r="AA321" s="32">
        <v>9.5605999999999997E-2</v>
      </c>
      <c r="AB321" s="32">
        <v>8.9935000000000001E-2</v>
      </c>
    </row>
    <row r="322" spans="1:28" ht="15.6" customHeight="1" x14ac:dyDescent="0.25">
      <c r="A322" s="24" t="s">
        <v>582</v>
      </c>
      <c r="B322" s="50">
        <v>3901</v>
      </c>
      <c r="C322" s="25" t="s">
        <v>583</v>
      </c>
      <c r="D322" s="25" t="s">
        <v>159</v>
      </c>
      <c r="E322" s="25" t="s">
        <v>194</v>
      </c>
      <c r="F322" s="25" t="s">
        <v>128</v>
      </c>
      <c r="G322" s="26" t="s">
        <v>289</v>
      </c>
      <c r="H322" s="27" t="s">
        <v>270</v>
      </c>
      <c r="I322" s="24" t="s">
        <v>106</v>
      </c>
      <c r="J322" s="24" t="s">
        <v>107</v>
      </c>
      <c r="K322" s="28" t="s">
        <v>227</v>
      </c>
      <c r="L322" s="29">
        <v>0</v>
      </c>
      <c r="M322" s="29">
        <v>0</v>
      </c>
      <c r="N322" s="29">
        <v>0.02</v>
      </c>
      <c r="O322" s="27" t="s">
        <v>161</v>
      </c>
      <c r="P322" s="30" t="s">
        <v>581</v>
      </c>
      <c r="Q322" s="31">
        <v>1109405.96</v>
      </c>
      <c r="R322" s="31">
        <v>1109.4100000000001</v>
      </c>
      <c r="S322" s="32">
        <v>1.2855E-2</v>
      </c>
      <c r="T322" s="32" t="s">
        <v>139</v>
      </c>
      <c r="U322" s="32">
        <v>4.8700000000000002E-4</v>
      </c>
      <c r="V322" s="32">
        <v>1.58E-3</v>
      </c>
      <c r="W322" s="32">
        <v>5.2370000000000003E-3</v>
      </c>
      <c r="X322" s="32">
        <v>1.0125E-2</v>
      </c>
      <c r="Y322" s="32">
        <v>1.8180999999999999E-2</v>
      </c>
      <c r="Z322" s="32">
        <v>4.4731E-2</v>
      </c>
      <c r="AA322" s="32">
        <v>7.8730999999999995E-2</v>
      </c>
      <c r="AB322" s="32">
        <v>0.107671</v>
      </c>
    </row>
    <row r="323" spans="1:28" ht="15.6" customHeight="1" x14ac:dyDescent="0.25">
      <c r="A323" s="24" t="s">
        <v>1384</v>
      </c>
      <c r="B323" s="50">
        <v>3902</v>
      </c>
      <c r="C323" s="25" t="s">
        <v>1385</v>
      </c>
      <c r="D323" s="25" t="s">
        <v>145</v>
      </c>
      <c r="E323" s="25" t="s">
        <v>194</v>
      </c>
      <c r="F323" s="25" t="s">
        <v>155</v>
      </c>
      <c r="G323" s="26" t="s">
        <v>139</v>
      </c>
      <c r="H323" s="27" t="s">
        <v>156</v>
      </c>
      <c r="I323" s="24" t="s">
        <v>998</v>
      </c>
      <c r="J323" s="24" t="s">
        <v>121</v>
      </c>
      <c r="K323" s="28" t="s">
        <v>227</v>
      </c>
      <c r="L323" s="29">
        <v>0</v>
      </c>
      <c r="M323" s="29">
        <v>0</v>
      </c>
      <c r="N323" s="29">
        <v>0.02</v>
      </c>
      <c r="O323" s="27" t="s">
        <v>148</v>
      </c>
      <c r="P323" s="30" t="s">
        <v>145</v>
      </c>
      <c r="Q323" s="31">
        <v>233119553.05000001</v>
      </c>
      <c r="R323" s="31">
        <v>244.87</v>
      </c>
      <c r="S323" s="32">
        <v>3.5435000000000001E-2</v>
      </c>
      <c r="T323" s="32" t="s">
        <v>139</v>
      </c>
      <c r="U323" s="32">
        <v>1.4836999999999999E-2</v>
      </c>
      <c r="V323" s="32">
        <v>8.0244999999999997E-2</v>
      </c>
      <c r="W323" s="32">
        <v>6.3357999999999998E-2</v>
      </c>
      <c r="X323" s="32">
        <v>3.3947999999999999E-2</v>
      </c>
      <c r="Y323" s="32">
        <v>-7.3550000000000004E-2</v>
      </c>
      <c r="Z323" s="32">
        <v>0.456009</v>
      </c>
      <c r="AA323" s="32">
        <v>0.78545399999999999</v>
      </c>
      <c r="AB323" s="32">
        <v>0.73332699999999995</v>
      </c>
    </row>
    <row r="324" spans="1:28" ht="15.6" customHeight="1" x14ac:dyDescent="0.25">
      <c r="A324" s="24" t="s">
        <v>584</v>
      </c>
      <c r="B324" s="50">
        <v>3903</v>
      </c>
      <c r="C324" s="25" t="s">
        <v>585</v>
      </c>
      <c r="D324" s="25" t="s">
        <v>145</v>
      </c>
      <c r="E324" s="25" t="s">
        <v>194</v>
      </c>
      <c r="F324" s="25" t="s">
        <v>155</v>
      </c>
      <c r="G324" s="26" t="s">
        <v>139</v>
      </c>
      <c r="H324" s="27" t="s">
        <v>156</v>
      </c>
      <c r="I324" s="24" t="s">
        <v>106</v>
      </c>
      <c r="J324" s="24" t="s">
        <v>121</v>
      </c>
      <c r="K324" s="28" t="s">
        <v>227</v>
      </c>
      <c r="L324" s="29">
        <v>0</v>
      </c>
      <c r="M324" s="29">
        <v>0</v>
      </c>
      <c r="N324" s="29">
        <v>0.02</v>
      </c>
      <c r="O324" s="27" t="s">
        <v>148</v>
      </c>
      <c r="P324" s="30" t="s">
        <v>145</v>
      </c>
      <c r="Q324" s="31">
        <v>1465153230.6800001</v>
      </c>
      <c r="R324" s="31">
        <v>1835.32</v>
      </c>
      <c r="S324" s="32">
        <v>3.3651E-2</v>
      </c>
      <c r="T324" s="32" t="s">
        <v>139</v>
      </c>
      <c r="U324" s="32">
        <v>1.4633999999999999E-2</v>
      </c>
      <c r="V324" s="32">
        <v>7.9510999999999998E-2</v>
      </c>
      <c r="W324" s="32">
        <v>6.2081999999999998E-2</v>
      </c>
      <c r="X324" s="32">
        <v>3.0754E-2</v>
      </c>
      <c r="Y324" s="32">
        <v>-7.4674000000000004E-2</v>
      </c>
      <c r="Z324" s="32">
        <v>0.44025700000000001</v>
      </c>
      <c r="AA324" s="32">
        <v>0.767961</v>
      </c>
      <c r="AB324" s="32">
        <v>0.73623300000000003</v>
      </c>
    </row>
    <row r="325" spans="1:28" ht="15.6" customHeight="1" x14ac:dyDescent="0.25">
      <c r="A325" s="24" t="s">
        <v>586</v>
      </c>
      <c r="B325" s="50">
        <v>3905</v>
      </c>
      <c r="C325" s="25" t="s">
        <v>587</v>
      </c>
      <c r="D325" s="25" t="s">
        <v>164</v>
      </c>
      <c r="E325" s="25" t="s">
        <v>194</v>
      </c>
      <c r="F325" s="25" t="s">
        <v>155</v>
      </c>
      <c r="G325" s="26" t="s">
        <v>139</v>
      </c>
      <c r="H325" s="27" t="s">
        <v>588</v>
      </c>
      <c r="I325" s="24" t="s">
        <v>106</v>
      </c>
      <c r="J325" s="24" t="s">
        <v>107</v>
      </c>
      <c r="K325" s="28" t="s">
        <v>227</v>
      </c>
      <c r="L325" s="29">
        <v>0</v>
      </c>
      <c r="M325" s="29">
        <v>0</v>
      </c>
      <c r="N325" s="29">
        <v>0.01</v>
      </c>
      <c r="O325" s="27" t="s">
        <v>166</v>
      </c>
      <c r="P325" s="30" t="s">
        <v>164</v>
      </c>
      <c r="Q325" s="31">
        <v>218310030.65000001</v>
      </c>
      <c r="R325" s="31">
        <v>1640.63</v>
      </c>
      <c r="S325" s="32">
        <v>0.12573200000000001</v>
      </c>
      <c r="T325" s="32" t="s">
        <v>139</v>
      </c>
      <c r="U325" s="32">
        <v>1.5524E-2</v>
      </c>
      <c r="V325" s="32">
        <v>8.1545999999999993E-2</v>
      </c>
      <c r="W325" s="32">
        <v>7.5936000000000003E-2</v>
      </c>
      <c r="X325" s="32">
        <v>9.6647999999999998E-2</v>
      </c>
      <c r="Y325" s="32">
        <v>6.0194999999999999E-2</v>
      </c>
      <c r="Z325" s="32">
        <v>0.49974400000000002</v>
      </c>
      <c r="AA325" s="32">
        <v>0.72443800000000003</v>
      </c>
      <c r="AB325" s="32" t="s">
        <v>139</v>
      </c>
    </row>
    <row r="326" spans="1:28" ht="15.6" customHeight="1" x14ac:dyDescent="0.25">
      <c r="A326" s="24" t="s">
        <v>1386</v>
      </c>
      <c r="B326" s="50">
        <v>3906</v>
      </c>
      <c r="C326" s="25" t="s">
        <v>1387</v>
      </c>
      <c r="D326" s="25" t="s">
        <v>164</v>
      </c>
      <c r="E326" s="25" t="s">
        <v>194</v>
      </c>
      <c r="F326" s="25" t="s">
        <v>155</v>
      </c>
      <c r="G326" s="26" t="s">
        <v>139</v>
      </c>
      <c r="H326" s="27" t="s">
        <v>588</v>
      </c>
      <c r="I326" s="24" t="s">
        <v>998</v>
      </c>
      <c r="J326" s="24" t="s">
        <v>107</v>
      </c>
      <c r="K326" s="28" t="s">
        <v>108</v>
      </c>
      <c r="L326" s="29">
        <v>0</v>
      </c>
      <c r="M326" s="29">
        <v>0</v>
      </c>
      <c r="N326" s="29">
        <v>0.01</v>
      </c>
      <c r="O326" s="27" t="s">
        <v>166</v>
      </c>
      <c r="P326" s="30" t="s">
        <v>164</v>
      </c>
      <c r="Q326" s="31">
        <v>212388385.08000001</v>
      </c>
      <c r="R326" s="31">
        <v>1537.06</v>
      </c>
      <c r="S326" s="32">
        <v>0.112771</v>
      </c>
      <c r="T326" s="32" t="s">
        <v>139</v>
      </c>
      <c r="U326" s="32">
        <v>1.5344999999999999E-2</v>
      </c>
      <c r="V326" s="32">
        <v>8.2794999999999994E-2</v>
      </c>
      <c r="W326" s="32">
        <v>6.4807000000000003E-2</v>
      </c>
      <c r="X326" s="32">
        <v>8.8291999999999995E-2</v>
      </c>
      <c r="Y326" s="32">
        <v>1.7805999999999999E-2</v>
      </c>
      <c r="Z326" s="32">
        <v>0.49256699999999998</v>
      </c>
      <c r="AA326" s="32">
        <v>0.68140900000000004</v>
      </c>
      <c r="AB326" s="32" t="s">
        <v>139</v>
      </c>
    </row>
    <row r="327" spans="1:28" ht="15.6" customHeight="1" x14ac:dyDescent="0.25">
      <c r="A327" s="24" t="s">
        <v>589</v>
      </c>
      <c r="B327" s="50">
        <v>3907</v>
      </c>
      <c r="C327" s="25" t="s">
        <v>590</v>
      </c>
      <c r="D327" s="25" t="s">
        <v>322</v>
      </c>
      <c r="E327" s="25" t="s">
        <v>194</v>
      </c>
      <c r="F327" s="25" t="s">
        <v>113</v>
      </c>
      <c r="G327" s="26" t="s">
        <v>465</v>
      </c>
      <c r="H327" s="27" t="s">
        <v>120</v>
      </c>
      <c r="I327" s="24" t="s">
        <v>106</v>
      </c>
      <c r="J327" s="24" t="s">
        <v>107</v>
      </c>
      <c r="K327" s="28" t="s">
        <v>108</v>
      </c>
      <c r="L327" s="29">
        <v>0.03</v>
      </c>
      <c r="M327" s="29">
        <v>1.4999999999999999E-2</v>
      </c>
      <c r="N327" s="29">
        <v>0.02</v>
      </c>
      <c r="O327" s="27" t="s">
        <v>548</v>
      </c>
      <c r="P327" s="30" t="s">
        <v>322</v>
      </c>
      <c r="Q327" s="31">
        <v>444304284.22000003</v>
      </c>
      <c r="R327" s="31">
        <v>104.87</v>
      </c>
      <c r="S327" s="32">
        <v>-1.6180000000000001E-3</v>
      </c>
      <c r="T327" s="32" t="s">
        <v>139</v>
      </c>
      <c r="U327" s="32">
        <v>1.9109999999999999E-3</v>
      </c>
      <c r="V327" s="32">
        <v>7.4939999999999998E-3</v>
      </c>
      <c r="W327" s="32">
        <v>6.2370000000000004E-3</v>
      </c>
      <c r="X327" s="32">
        <v>1.9109999999999999E-3</v>
      </c>
      <c r="Y327" s="32">
        <v>-9.1649999999999995E-3</v>
      </c>
      <c r="Z327" s="32">
        <v>5.2912000000000001E-2</v>
      </c>
      <c r="AA327" s="32">
        <v>0.108211</v>
      </c>
      <c r="AB327" s="32" t="s">
        <v>139</v>
      </c>
    </row>
    <row r="328" spans="1:28" ht="15.6" customHeight="1" x14ac:dyDescent="0.25">
      <c r="A328" s="24" t="s">
        <v>1388</v>
      </c>
      <c r="B328" s="50">
        <v>3908</v>
      </c>
      <c r="C328" s="25" t="s">
        <v>1389</v>
      </c>
      <c r="D328" s="25" t="s">
        <v>322</v>
      </c>
      <c r="E328" s="25" t="s">
        <v>194</v>
      </c>
      <c r="F328" s="25" t="s">
        <v>113</v>
      </c>
      <c r="G328" s="26" t="s">
        <v>638</v>
      </c>
      <c r="H328" s="27" t="s">
        <v>1390</v>
      </c>
      <c r="I328" s="24" t="s">
        <v>998</v>
      </c>
      <c r="J328" s="24" t="s">
        <v>107</v>
      </c>
      <c r="K328" s="28" t="s">
        <v>108</v>
      </c>
      <c r="L328" s="29">
        <v>0.03</v>
      </c>
      <c r="M328" s="29">
        <v>1.4999999999999999E-2</v>
      </c>
      <c r="N328" s="29">
        <v>0.02</v>
      </c>
      <c r="O328" s="27" t="s">
        <v>166</v>
      </c>
      <c r="P328" s="30" t="s">
        <v>322</v>
      </c>
      <c r="Q328" s="31">
        <v>128453059.66</v>
      </c>
      <c r="R328" s="31">
        <v>113.65</v>
      </c>
      <c r="S328" s="32">
        <v>-1.234E-2</v>
      </c>
      <c r="T328" s="32" t="s">
        <v>139</v>
      </c>
      <c r="U328" s="32">
        <v>6.1600000000000001E-4</v>
      </c>
      <c r="V328" s="32">
        <v>1.41E-3</v>
      </c>
      <c r="W328" s="32">
        <v>-2.4580000000000001E-3</v>
      </c>
      <c r="X328" s="32">
        <v>-8.9820000000000004E-3</v>
      </c>
      <c r="Y328" s="32">
        <v>-1.8311999999999998E-2</v>
      </c>
      <c r="Z328" s="32">
        <v>5.7504E-2</v>
      </c>
      <c r="AA328" s="32">
        <v>0.31707000000000002</v>
      </c>
      <c r="AB328" s="32" t="s">
        <v>139</v>
      </c>
    </row>
    <row r="329" spans="1:28" ht="15.6" customHeight="1" x14ac:dyDescent="0.25">
      <c r="A329" s="24" t="s">
        <v>591</v>
      </c>
      <c r="B329" s="50">
        <v>3909</v>
      </c>
      <c r="C329" s="25" t="s">
        <v>592</v>
      </c>
      <c r="D329" s="25" t="s">
        <v>355</v>
      </c>
      <c r="E329" s="25" t="s">
        <v>194</v>
      </c>
      <c r="F329" s="25" t="s">
        <v>155</v>
      </c>
      <c r="G329" s="26" t="s">
        <v>139</v>
      </c>
      <c r="H329" s="27" t="s">
        <v>156</v>
      </c>
      <c r="I329" s="24" t="s">
        <v>106</v>
      </c>
      <c r="J329" s="24" t="s">
        <v>107</v>
      </c>
      <c r="K329" s="28" t="s">
        <v>108</v>
      </c>
      <c r="L329" s="29">
        <v>0.03</v>
      </c>
      <c r="M329" s="29">
        <v>1.4999999999999999E-2</v>
      </c>
      <c r="N329" s="29">
        <v>0.02</v>
      </c>
      <c r="O329" s="27" t="s">
        <v>161</v>
      </c>
      <c r="P329" s="30" t="s">
        <v>355</v>
      </c>
      <c r="Q329" s="31">
        <v>932087046.40999997</v>
      </c>
      <c r="R329" s="31">
        <v>1482.37</v>
      </c>
      <c r="S329" s="32">
        <v>-1.695E-2</v>
      </c>
      <c r="T329" s="32" t="s">
        <v>139</v>
      </c>
      <c r="U329" s="32">
        <v>1.4383999999999999E-2</v>
      </c>
      <c r="V329" s="32">
        <v>7.4586E-2</v>
      </c>
      <c r="W329" s="32">
        <v>5.7137E-2</v>
      </c>
      <c r="X329" s="32">
        <v>-1.3975E-2</v>
      </c>
      <c r="Y329" s="32">
        <v>-0.12911900000000001</v>
      </c>
      <c r="Z329" s="32">
        <v>0.29980000000000001</v>
      </c>
      <c r="AA329" s="32">
        <v>0.60270100000000004</v>
      </c>
      <c r="AB329" s="32" t="s">
        <v>139</v>
      </c>
    </row>
    <row r="330" spans="1:28" ht="15.6" customHeight="1" x14ac:dyDescent="0.25">
      <c r="A330" s="24" t="s">
        <v>1391</v>
      </c>
      <c r="B330" s="50">
        <v>3910</v>
      </c>
      <c r="C330" s="25" t="s">
        <v>1392</v>
      </c>
      <c r="D330" s="25" t="s">
        <v>159</v>
      </c>
      <c r="E330" s="25" t="s">
        <v>194</v>
      </c>
      <c r="F330" s="25" t="s">
        <v>138</v>
      </c>
      <c r="G330" s="26" t="s">
        <v>139</v>
      </c>
      <c r="H330" s="27" t="s">
        <v>139</v>
      </c>
      <c r="I330" s="24" t="s">
        <v>998</v>
      </c>
      <c r="J330" s="24" t="s">
        <v>107</v>
      </c>
      <c r="K330" s="28" t="s">
        <v>108</v>
      </c>
      <c r="L330" s="29">
        <v>2E-3</v>
      </c>
      <c r="M330" s="29">
        <v>2E-3</v>
      </c>
      <c r="N330" s="29">
        <v>0.02</v>
      </c>
      <c r="O330" s="27" t="s">
        <v>161</v>
      </c>
      <c r="P330" s="30" t="s">
        <v>1393</v>
      </c>
      <c r="Q330" s="31">
        <v>571927207.23000002</v>
      </c>
      <c r="R330" s="31">
        <v>1180.1199999999999</v>
      </c>
      <c r="S330" s="32">
        <v>1.1364000000000001E-2</v>
      </c>
      <c r="T330" s="32" t="s">
        <v>139</v>
      </c>
      <c r="U330" s="32">
        <v>4.7850000000000002E-3</v>
      </c>
      <c r="V330" s="32">
        <v>2.2731999999999999E-2</v>
      </c>
      <c r="W330" s="32">
        <v>1.8047000000000001E-2</v>
      </c>
      <c r="X330" s="32">
        <v>6.5250000000000004E-3</v>
      </c>
      <c r="Y330" s="32">
        <v>-1.0664E-2</v>
      </c>
      <c r="Z330" s="32">
        <v>0.119255</v>
      </c>
      <c r="AA330" s="32">
        <v>0.18424099999999999</v>
      </c>
      <c r="AB330" s="32" t="s">
        <v>139</v>
      </c>
    </row>
    <row r="331" spans="1:28" ht="15.6" customHeight="1" x14ac:dyDescent="0.25">
      <c r="A331" s="24" t="s">
        <v>593</v>
      </c>
      <c r="B331" s="50">
        <v>3911</v>
      </c>
      <c r="C331" s="25" t="s">
        <v>594</v>
      </c>
      <c r="D331" s="25" t="s">
        <v>261</v>
      </c>
      <c r="E331" s="25" t="s">
        <v>194</v>
      </c>
      <c r="F331" s="25" t="s">
        <v>128</v>
      </c>
      <c r="G331" s="26" t="s">
        <v>289</v>
      </c>
      <c r="H331" s="27" t="s">
        <v>270</v>
      </c>
      <c r="I331" s="24" t="s">
        <v>106</v>
      </c>
      <c r="J331" s="24" t="s">
        <v>107</v>
      </c>
      <c r="K331" s="28" t="s">
        <v>108</v>
      </c>
      <c r="L331" s="29">
        <v>0.03</v>
      </c>
      <c r="M331" s="29">
        <v>1.4999999999999999E-2</v>
      </c>
      <c r="N331" s="29">
        <v>0.02</v>
      </c>
      <c r="O331" s="27" t="s">
        <v>262</v>
      </c>
      <c r="P331" s="30" t="s">
        <v>595</v>
      </c>
      <c r="Q331" s="31">
        <v>2085446895.95</v>
      </c>
      <c r="R331" s="31">
        <v>1147</v>
      </c>
      <c r="S331" s="32">
        <v>1.8405999999999999E-2</v>
      </c>
      <c r="T331" s="32" t="s">
        <v>139</v>
      </c>
      <c r="U331" s="32">
        <v>7.4200000000000004E-4</v>
      </c>
      <c r="V331" s="32">
        <v>2.2980000000000001E-3</v>
      </c>
      <c r="W331" s="32">
        <v>7.1209999999999997E-3</v>
      </c>
      <c r="X331" s="32">
        <v>1.421E-2</v>
      </c>
      <c r="Y331" s="32">
        <v>2.7179999999999999E-2</v>
      </c>
      <c r="Z331" s="32">
        <v>6.5133999999999997E-2</v>
      </c>
      <c r="AA331" s="32">
        <v>0.109102</v>
      </c>
      <c r="AB331" s="32" t="s">
        <v>139</v>
      </c>
    </row>
    <row r="332" spans="1:28" ht="15.6" customHeight="1" x14ac:dyDescent="0.25">
      <c r="A332" s="24" t="s">
        <v>596</v>
      </c>
      <c r="B332" s="50">
        <v>3912</v>
      </c>
      <c r="C332" s="25" t="s">
        <v>597</v>
      </c>
      <c r="D332" s="25" t="s">
        <v>261</v>
      </c>
      <c r="E332" s="25" t="s">
        <v>194</v>
      </c>
      <c r="F332" s="25" t="s">
        <v>113</v>
      </c>
      <c r="G332" s="26" t="s">
        <v>465</v>
      </c>
      <c r="H332" s="27" t="s">
        <v>598</v>
      </c>
      <c r="I332" s="24" t="s">
        <v>106</v>
      </c>
      <c r="J332" s="24" t="s">
        <v>107</v>
      </c>
      <c r="K332" s="28" t="s">
        <v>108</v>
      </c>
      <c r="L332" s="29">
        <v>0.03</v>
      </c>
      <c r="M332" s="29">
        <v>1.4999999999999999E-2</v>
      </c>
      <c r="N332" s="29">
        <v>0.02</v>
      </c>
      <c r="O332" s="27" t="s">
        <v>262</v>
      </c>
      <c r="P332" s="30" t="s">
        <v>595</v>
      </c>
      <c r="Q332" s="31">
        <v>401993681.81</v>
      </c>
      <c r="R332" s="31">
        <v>1153.0899999999999</v>
      </c>
      <c r="S332" s="32">
        <v>-3.8960000000000002E-3</v>
      </c>
      <c r="T332" s="32" t="s">
        <v>139</v>
      </c>
      <c r="U332" s="32">
        <v>7.1199999999999996E-4</v>
      </c>
      <c r="V332" s="32">
        <v>4.7580000000000001E-3</v>
      </c>
      <c r="W332" s="32">
        <v>3.4459999999999998E-3</v>
      </c>
      <c r="X332" s="32">
        <v>-4.6699999999999997E-3</v>
      </c>
      <c r="Y332" s="32">
        <v>-8.6569999999999998E-3</v>
      </c>
      <c r="Z332" s="32">
        <v>7.3930999999999997E-2</v>
      </c>
      <c r="AA332" s="32">
        <v>0.14005899999999999</v>
      </c>
      <c r="AB332" s="32" t="s">
        <v>139</v>
      </c>
    </row>
    <row r="333" spans="1:28" ht="15.6" customHeight="1" x14ac:dyDescent="0.25">
      <c r="A333" s="24" t="s">
        <v>1394</v>
      </c>
      <c r="B333" s="50">
        <v>3913</v>
      </c>
      <c r="C333" s="25" t="s">
        <v>11</v>
      </c>
      <c r="D333" s="25" t="s">
        <v>112</v>
      </c>
      <c r="E333" s="25" t="s">
        <v>194</v>
      </c>
      <c r="F333" s="25" t="s">
        <v>155</v>
      </c>
      <c r="G333" s="26" t="s">
        <v>139</v>
      </c>
      <c r="H333" s="27" t="s">
        <v>1395</v>
      </c>
      <c r="I333" s="24" t="s">
        <v>998</v>
      </c>
      <c r="J333" s="24" t="s">
        <v>107</v>
      </c>
      <c r="K333" s="28" t="s">
        <v>108</v>
      </c>
      <c r="L333" s="29">
        <v>0.03</v>
      </c>
      <c r="M333" s="29">
        <v>1.4999999999999999E-2</v>
      </c>
      <c r="N333" s="29">
        <v>0.02</v>
      </c>
      <c r="O333" s="27" t="s">
        <v>116</v>
      </c>
      <c r="P333" s="30" t="s">
        <v>112</v>
      </c>
      <c r="Q333" s="31">
        <v>252828929.08000001</v>
      </c>
      <c r="R333" s="31">
        <v>973.26</v>
      </c>
      <c r="S333" s="32">
        <v>2.9381999999999998E-2</v>
      </c>
      <c r="T333" s="32" t="s">
        <v>139</v>
      </c>
      <c r="U333" s="32">
        <v>1.5028E-2</v>
      </c>
      <c r="V333" s="32">
        <v>6.8060999999999997E-2</v>
      </c>
      <c r="W333" s="32">
        <v>6.1121000000000002E-2</v>
      </c>
      <c r="X333" s="32">
        <v>2.7567000000000001E-2</v>
      </c>
      <c r="Y333" s="32">
        <v>-7.0296999999999998E-2</v>
      </c>
      <c r="Z333" s="32">
        <v>3.4547000000000001E-2</v>
      </c>
      <c r="AA333" s="32">
        <v>0.11594500000000001</v>
      </c>
      <c r="AB333" s="32" t="s">
        <v>139</v>
      </c>
    </row>
    <row r="334" spans="1:28" ht="15.6" customHeight="1" x14ac:dyDescent="0.25">
      <c r="A334" s="24" t="s">
        <v>599</v>
      </c>
      <c r="B334" s="50">
        <v>3914</v>
      </c>
      <c r="C334" s="25" t="s">
        <v>600</v>
      </c>
      <c r="D334" s="25" t="s">
        <v>342</v>
      </c>
      <c r="E334" s="25" t="s">
        <v>194</v>
      </c>
      <c r="F334" s="25" t="s">
        <v>128</v>
      </c>
      <c r="G334" s="26" t="s">
        <v>289</v>
      </c>
      <c r="H334" s="27" t="s">
        <v>130</v>
      </c>
      <c r="I334" s="24" t="s">
        <v>106</v>
      </c>
      <c r="J334" s="24" t="s">
        <v>107</v>
      </c>
      <c r="K334" s="28" t="s">
        <v>108</v>
      </c>
      <c r="L334" s="29">
        <v>0.03</v>
      </c>
      <c r="M334" s="29">
        <v>0.03</v>
      </c>
      <c r="N334" s="29">
        <v>0.02</v>
      </c>
      <c r="O334" s="27" t="s">
        <v>141</v>
      </c>
      <c r="P334" s="30" t="s">
        <v>344</v>
      </c>
      <c r="Q334" s="31">
        <v>2079604939.96</v>
      </c>
      <c r="R334" s="31">
        <v>1153.03</v>
      </c>
      <c r="S334" s="32">
        <v>1.9469E-2</v>
      </c>
      <c r="T334" s="32" t="s">
        <v>139</v>
      </c>
      <c r="U334" s="32">
        <v>7.5500000000000003E-4</v>
      </c>
      <c r="V334" s="32">
        <v>2.4780000000000002E-3</v>
      </c>
      <c r="W334" s="32">
        <v>7.9459999999999999E-3</v>
      </c>
      <c r="X334" s="32">
        <v>1.5268E-2</v>
      </c>
      <c r="Y334" s="32">
        <v>2.8573000000000001E-2</v>
      </c>
      <c r="Z334" s="32">
        <v>6.8986000000000006E-2</v>
      </c>
      <c r="AA334" s="32">
        <v>0.11565599999999999</v>
      </c>
      <c r="AB334" s="32" t="s">
        <v>139</v>
      </c>
    </row>
    <row r="335" spans="1:28" ht="15.6" customHeight="1" x14ac:dyDescent="0.25">
      <c r="A335" s="24" t="s">
        <v>1396</v>
      </c>
      <c r="B335" s="50">
        <v>3915</v>
      </c>
      <c r="C335" s="25" t="s">
        <v>1397</v>
      </c>
      <c r="D335" s="25" t="s">
        <v>342</v>
      </c>
      <c r="E335" s="25" t="s">
        <v>194</v>
      </c>
      <c r="F335" s="25" t="s">
        <v>113</v>
      </c>
      <c r="G335" s="26" t="s">
        <v>1072</v>
      </c>
      <c r="H335" s="27" t="s">
        <v>115</v>
      </c>
      <c r="I335" s="24" t="s">
        <v>998</v>
      </c>
      <c r="J335" s="24" t="s">
        <v>107</v>
      </c>
      <c r="K335" s="28" t="s">
        <v>108</v>
      </c>
      <c r="L335" s="29">
        <v>0.03</v>
      </c>
      <c r="M335" s="29">
        <v>0.03</v>
      </c>
      <c r="N335" s="29">
        <v>0.02</v>
      </c>
      <c r="O335" s="27" t="s">
        <v>141</v>
      </c>
      <c r="P335" s="30" t="s">
        <v>344</v>
      </c>
      <c r="Q335" s="31">
        <v>3297587153.4400001</v>
      </c>
      <c r="R335" s="31">
        <v>1167.28</v>
      </c>
      <c r="S335" s="32">
        <v>-4.163E-3</v>
      </c>
      <c r="T335" s="32" t="s">
        <v>139</v>
      </c>
      <c r="U335" s="32">
        <v>1.7080000000000001E-3</v>
      </c>
      <c r="V335" s="32">
        <v>7.4999999999999997E-3</v>
      </c>
      <c r="W335" s="32">
        <v>5.1409999999999997E-3</v>
      </c>
      <c r="X335" s="32">
        <v>-5.1479999999999998E-3</v>
      </c>
      <c r="Y335" s="32">
        <v>-1.6506E-2</v>
      </c>
      <c r="Z335" s="32">
        <v>0.103853</v>
      </c>
      <c r="AA335" s="32">
        <v>0.19223299999999999</v>
      </c>
      <c r="AB335" s="32" t="s">
        <v>139</v>
      </c>
    </row>
    <row r="336" spans="1:28" ht="15.6" customHeight="1" x14ac:dyDescent="0.25">
      <c r="A336" s="24" t="s">
        <v>601</v>
      </c>
      <c r="B336" s="50">
        <v>3916</v>
      </c>
      <c r="C336" s="25" t="s">
        <v>602</v>
      </c>
      <c r="D336" s="25" t="s">
        <v>355</v>
      </c>
      <c r="E336" s="25" t="s">
        <v>194</v>
      </c>
      <c r="F336" s="25" t="s">
        <v>138</v>
      </c>
      <c r="G336" s="26" t="s">
        <v>139</v>
      </c>
      <c r="H336" s="27" t="s">
        <v>603</v>
      </c>
      <c r="I336" s="24" t="s">
        <v>106</v>
      </c>
      <c r="J336" s="24" t="s">
        <v>107</v>
      </c>
      <c r="K336" s="28" t="s">
        <v>108</v>
      </c>
      <c r="L336" s="29">
        <v>0.03</v>
      </c>
      <c r="M336" s="29">
        <v>1.4999999999999999E-2</v>
      </c>
      <c r="N336" s="29">
        <v>0.02</v>
      </c>
      <c r="O336" s="27" t="s">
        <v>161</v>
      </c>
      <c r="P336" s="30" t="s">
        <v>355</v>
      </c>
      <c r="Q336" s="31">
        <v>731768367.82000005</v>
      </c>
      <c r="R336" s="31">
        <v>1366.21</v>
      </c>
      <c r="S336" s="32">
        <v>-1.1168000000000001E-2</v>
      </c>
      <c r="T336" s="32" t="s">
        <v>139</v>
      </c>
      <c r="U336" s="32">
        <v>8.4589999999999995E-3</v>
      </c>
      <c r="V336" s="32">
        <v>4.1953999999999998E-2</v>
      </c>
      <c r="W336" s="32">
        <v>2.3179000000000002E-2</v>
      </c>
      <c r="X336" s="32">
        <v>-9.5329999999999998E-3</v>
      </c>
      <c r="Y336" s="32">
        <v>-6.9136000000000003E-2</v>
      </c>
      <c r="Z336" s="32">
        <v>0.27754800000000002</v>
      </c>
      <c r="AA336" s="32">
        <v>0.409248</v>
      </c>
      <c r="AB336" s="32" t="s">
        <v>139</v>
      </c>
    </row>
    <row r="337" spans="1:28" ht="15.6" customHeight="1" x14ac:dyDescent="0.25">
      <c r="A337" s="24" t="s">
        <v>604</v>
      </c>
      <c r="B337" s="50">
        <v>3917</v>
      </c>
      <c r="C337" s="25" t="s">
        <v>605</v>
      </c>
      <c r="D337" s="25" t="s">
        <v>355</v>
      </c>
      <c r="E337" s="25" t="s">
        <v>194</v>
      </c>
      <c r="F337" s="25" t="s">
        <v>113</v>
      </c>
      <c r="G337" s="26" t="s">
        <v>493</v>
      </c>
      <c r="H337" s="27" t="s">
        <v>115</v>
      </c>
      <c r="I337" s="24" t="s">
        <v>106</v>
      </c>
      <c r="J337" s="24" t="s">
        <v>107</v>
      </c>
      <c r="K337" s="28" t="s">
        <v>108</v>
      </c>
      <c r="L337" s="29">
        <v>0.03</v>
      </c>
      <c r="M337" s="29">
        <v>1.4999999999999999E-2</v>
      </c>
      <c r="N337" s="29">
        <v>0.02</v>
      </c>
      <c r="O337" s="27" t="s">
        <v>161</v>
      </c>
      <c r="P337" s="30" t="s">
        <v>355</v>
      </c>
      <c r="Q337" s="31">
        <v>1074213.2</v>
      </c>
      <c r="R337" s="31">
        <v>1074.21</v>
      </c>
      <c r="S337" s="32">
        <v>7.3610000000000004E-3</v>
      </c>
      <c r="T337" s="32" t="s">
        <v>139</v>
      </c>
      <c r="U337" s="32">
        <v>8.6700000000000004E-4</v>
      </c>
      <c r="V337" s="32">
        <v>2.0149999999999999E-3</v>
      </c>
      <c r="W337" s="32">
        <v>4.6950000000000004E-3</v>
      </c>
      <c r="X337" s="32">
        <v>6.7200000000000003E-3</v>
      </c>
      <c r="Y337" s="32">
        <v>5.9940000000000002E-3</v>
      </c>
      <c r="Z337" s="32">
        <v>4.7417000000000001E-2</v>
      </c>
      <c r="AA337" s="32">
        <v>9.4045000000000004E-2</v>
      </c>
      <c r="AB337" s="32" t="s">
        <v>139</v>
      </c>
    </row>
    <row r="338" spans="1:28" ht="15.6" customHeight="1" x14ac:dyDescent="0.25">
      <c r="A338" s="24" t="s">
        <v>1398</v>
      </c>
      <c r="B338" s="50">
        <v>3918</v>
      </c>
      <c r="C338" s="25" t="s">
        <v>1399</v>
      </c>
      <c r="D338" s="25" t="s">
        <v>342</v>
      </c>
      <c r="E338" s="25" t="s">
        <v>194</v>
      </c>
      <c r="F338" s="25" t="s">
        <v>113</v>
      </c>
      <c r="G338" s="26" t="s">
        <v>702</v>
      </c>
      <c r="H338" s="27" t="s">
        <v>115</v>
      </c>
      <c r="I338" s="24" t="s">
        <v>998</v>
      </c>
      <c r="J338" s="24" t="s">
        <v>121</v>
      </c>
      <c r="K338" s="28" t="s">
        <v>108</v>
      </c>
      <c r="L338" s="29">
        <v>0</v>
      </c>
      <c r="M338" s="29">
        <v>0</v>
      </c>
      <c r="N338" s="29">
        <v>0.02</v>
      </c>
      <c r="O338" s="27" t="s">
        <v>548</v>
      </c>
      <c r="P338" s="30" t="s">
        <v>342</v>
      </c>
      <c r="Q338" s="31">
        <v>2914872917.7600002</v>
      </c>
      <c r="R338" s="31">
        <v>1264.95</v>
      </c>
      <c r="S338" s="32">
        <v>2.6710000000000002E-3</v>
      </c>
      <c r="T338" s="32" t="s">
        <v>139</v>
      </c>
      <c r="U338" s="32">
        <v>1.8370000000000001E-3</v>
      </c>
      <c r="V338" s="32">
        <v>6.757E-3</v>
      </c>
      <c r="W338" s="32">
        <v>8.6599999999999993E-3</v>
      </c>
      <c r="X338" s="32">
        <v>1.274E-3</v>
      </c>
      <c r="Y338" s="32">
        <v>-8.8070000000000006E-3</v>
      </c>
      <c r="Z338" s="32">
        <v>0.114798</v>
      </c>
      <c r="AA338" s="32">
        <v>0.22698699999999999</v>
      </c>
      <c r="AB338" s="32" t="s">
        <v>139</v>
      </c>
    </row>
    <row r="339" spans="1:28" ht="15.6" customHeight="1" x14ac:dyDescent="0.25">
      <c r="A339" s="24" t="s">
        <v>1400</v>
      </c>
      <c r="B339" s="50">
        <v>3919</v>
      </c>
      <c r="C339" s="25" t="s">
        <v>1401</v>
      </c>
      <c r="D339" s="25" t="s">
        <v>524</v>
      </c>
      <c r="E339" s="25" t="s">
        <v>194</v>
      </c>
      <c r="F339" s="25" t="s">
        <v>113</v>
      </c>
      <c r="G339" s="26" t="s">
        <v>493</v>
      </c>
      <c r="H339" s="27" t="s">
        <v>115</v>
      </c>
      <c r="I339" s="24" t="s">
        <v>998</v>
      </c>
      <c r="J339" s="24" t="s">
        <v>107</v>
      </c>
      <c r="K339" s="28" t="s">
        <v>108</v>
      </c>
      <c r="L339" s="29">
        <v>0</v>
      </c>
      <c r="M339" s="29">
        <v>0</v>
      </c>
      <c r="N339" s="29">
        <v>0.01</v>
      </c>
      <c r="O339" s="27" t="s">
        <v>141</v>
      </c>
      <c r="P339" s="30" t="s">
        <v>525</v>
      </c>
      <c r="Q339" s="31">
        <v>238023736.53999999</v>
      </c>
      <c r="R339" s="31">
        <v>1154.3</v>
      </c>
      <c r="S339" s="32">
        <v>-1.2371999999999999E-2</v>
      </c>
      <c r="T339" s="32" t="s">
        <v>139</v>
      </c>
      <c r="U339" s="32">
        <v>1.4660000000000001E-3</v>
      </c>
      <c r="V339" s="32">
        <v>6.3559999999999997E-3</v>
      </c>
      <c r="W339" s="32">
        <v>2.379E-3</v>
      </c>
      <c r="X339" s="32">
        <v>-9.2020000000000001E-3</v>
      </c>
      <c r="Y339" s="32">
        <v>-3.1919999999999997E-2</v>
      </c>
      <c r="Z339" s="32">
        <v>6.5875000000000003E-2</v>
      </c>
      <c r="AA339" s="32">
        <v>0.150308</v>
      </c>
      <c r="AB339" s="32" t="s">
        <v>139</v>
      </c>
    </row>
    <row r="340" spans="1:28" ht="15.6" customHeight="1" x14ac:dyDescent="0.25">
      <c r="A340" s="24" t="s">
        <v>1402</v>
      </c>
      <c r="B340" s="50">
        <v>3920</v>
      </c>
      <c r="C340" s="25" t="s">
        <v>1403</v>
      </c>
      <c r="D340" s="25" t="s">
        <v>524</v>
      </c>
      <c r="E340" s="25" t="s">
        <v>194</v>
      </c>
      <c r="F340" s="25" t="s">
        <v>138</v>
      </c>
      <c r="G340" s="26" t="s">
        <v>139</v>
      </c>
      <c r="H340" s="27" t="s">
        <v>223</v>
      </c>
      <c r="I340" s="24" t="s">
        <v>998</v>
      </c>
      <c r="J340" s="24" t="s">
        <v>107</v>
      </c>
      <c r="K340" s="28" t="s">
        <v>108</v>
      </c>
      <c r="L340" s="29">
        <v>1.4999999999999999E-2</v>
      </c>
      <c r="M340" s="29">
        <v>1.4999999999999999E-2</v>
      </c>
      <c r="N340" s="29">
        <v>0.01</v>
      </c>
      <c r="O340" s="27" t="s">
        <v>141</v>
      </c>
      <c r="P340" s="30" t="s">
        <v>525</v>
      </c>
      <c r="Q340" s="31">
        <v>298392891.08999997</v>
      </c>
      <c r="R340" s="31">
        <v>1208.8499999999999</v>
      </c>
      <c r="S340" s="32">
        <v>-2.5773000000000001E-2</v>
      </c>
      <c r="T340" s="32" t="s">
        <v>139</v>
      </c>
      <c r="U340" s="32">
        <v>6.4609999999999997E-3</v>
      </c>
      <c r="V340" s="32">
        <v>3.6686999999999997E-2</v>
      </c>
      <c r="W340" s="32">
        <v>1.8578999999999998E-2</v>
      </c>
      <c r="X340" s="32">
        <v>-1.8217000000000001E-2</v>
      </c>
      <c r="Y340" s="32">
        <v>-0.103878</v>
      </c>
      <c r="Z340" s="32">
        <v>0.13400599999999999</v>
      </c>
      <c r="AA340" s="32">
        <v>0.19666800000000001</v>
      </c>
      <c r="AB340" s="32" t="s">
        <v>139</v>
      </c>
    </row>
    <row r="341" spans="1:28" ht="15.6" customHeight="1" x14ac:dyDescent="0.25">
      <c r="A341" s="24" t="s">
        <v>606</v>
      </c>
      <c r="B341" s="50">
        <v>3921</v>
      </c>
      <c r="C341" s="25" t="s">
        <v>67</v>
      </c>
      <c r="D341" s="25" t="s">
        <v>145</v>
      </c>
      <c r="E341" s="25" t="s">
        <v>194</v>
      </c>
      <c r="F341" s="25" t="s">
        <v>138</v>
      </c>
      <c r="G341" s="26" t="s">
        <v>139</v>
      </c>
      <c r="H341" s="27" t="s">
        <v>607</v>
      </c>
      <c r="I341" s="24" t="s">
        <v>106</v>
      </c>
      <c r="J341" s="24" t="s">
        <v>107</v>
      </c>
      <c r="K341" s="28" t="s">
        <v>108</v>
      </c>
      <c r="L341" s="29">
        <v>0.02</v>
      </c>
      <c r="M341" s="29">
        <v>0.01</v>
      </c>
      <c r="N341" s="29">
        <v>0.02</v>
      </c>
      <c r="O341" s="27" t="s">
        <v>148</v>
      </c>
      <c r="P341" s="30" t="s">
        <v>145</v>
      </c>
      <c r="Q341" s="31">
        <v>814435230.53999996</v>
      </c>
      <c r="R341" s="31">
        <v>1474.24</v>
      </c>
      <c r="S341" s="32">
        <v>-2.3047999999999999E-2</v>
      </c>
      <c r="T341" s="32" t="s">
        <v>139</v>
      </c>
      <c r="U341" s="32">
        <v>5.4079999999999996E-3</v>
      </c>
      <c r="V341" s="32">
        <v>2.1395000000000001E-2</v>
      </c>
      <c r="W341" s="32">
        <v>1.6059E-2</v>
      </c>
      <c r="X341" s="32">
        <v>-2.0216999999999999E-2</v>
      </c>
      <c r="Y341" s="32">
        <v>-8.0324000000000007E-2</v>
      </c>
      <c r="Z341" s="32">
        <v>0.122615</v>
      </c>
      <c r="AA341" s="32">
        <v>0.25138100000000002</v>
      </c>
      <c r="AB341" s="32">
        <v>0.13516600000000001</v>
      </c>
    </row>
    <row r="342" spans="1:28" ht="15.6" customHeight="1" x14ac:dyDescent="0.25">
      <c r="A342" s="24" t="s">
        <v>1404</v>
      </c>
      <c r="B342" s="50">
        <v>3922</v>
      </c>
      <c r="C342" s="25" t="s">
        <v>1405</v>
      </c>
      <c r="D342" s="25" t="s">
        <v>322</v>
      </c>
      <c r="E342" s="25" t="s">
        <v>194</v>
      </c>
      <c r="F342" s="25" t="s">
        <v>138</v>
      </c>
      <c r="G342" s="26" t="s">
        <v>139</v>
      </c>
      <c r="H342" s="27" t="s">
        <v>1406</v>
      </c>
      <c r="I342" s="24" t="s">
        <v>998</v>
      </c>
      <c r="J342" s="24" t="s">
        <v>121</v>
      </c>
      <c r="K342" s="28" t="s">
        <v>227</v>
      </c>
      <c r="L342" s="29">
        <v>0</v>
      </c>
      <c r="M342" s="29">
        <v>0</v>
      </c>
      <c r="N342" s="29">
        <v>0.02</v>
      </c>
      <c r="O342" s="27" t="s">
        <v>166</v>
      </c>
      <c r="P342" s="30" t="s">
        <v>322</v>
      </c>
      <c r="Q342" s="31">
        <v>523419815.68000001</v>
      </c>
      <c r="R342" s="31">
        <v>254.88</v>
      </c>
      <c r="S342" s="32">
        <v>2.7158999999999999E-2</v>
      </c>
      <c r="T342" s="32" t="s">
        <v>139</v>
      </c>
      <c r="U342" s="32">
        <v>1.0186000000000001E-2</v>
      </c>
      <c r="V342" s="32">
        <v>4.6391000000000002E-2</v>
      </c>
      <c r="W342" s="32">
        <v>4.0327000000000002E-2</v>
      </c>
      <c r="X342" s="32">
        <v>2.1975000000000001E-2</v>
      </c>
      <c r="Y342" s="32">
        <v>-2.9543E-2</v>
      </c>
      <c r="Z342" s="32">
        <v>0.256332</v>
      </c>
      <c r="AA342" s="32">
        <v>0.44786500000000001</v>
      </c>
      <c r="AB342" s="32">
        <v>0.39280599999999999</v>
      </c>
    </row>
    <row r="343" spans="1:28" ht="15.6" customHeight="1" x14ac:dyDescent="0.25">
      <c r="A343" s="24" t="s">
        <v>608</v>
      </c>
      <c r="B343" s="50">
        <v>3923</v>
      </c>
      <c r="C343" s="25" t="s">
        <v>609</v>
      </c>
      <c r="D343" s="25" t="s">
        <v>145</v>
      </c>
      <c r="E343" s="25" t="s">
        <v>194</v>
      </c>
      <c r="F343" s="25" t="s">
        <v>113</v>
      </c>
      <c r="G343" s="26" t="s">
        <v>610</v>
      </c>
      <c r="H343" s="27" t="s">
        <v>115</v>
      </c>
      <c r="I343" s="24" t="s">
        <v>106</v>
      </c>
      <c r="J343" s="24" t="s">
        <v>107</v>
      </c>
      <c r="K343" s="28" t="s">
        <v>227</v>
      </c>
      <c r="L343" s="29">
        <v>0.02</v>
      </c>
      <c r="M343" s="29">
        <v>0.01</v>
      </c>
      <c r="N343" s="29">
        <v>0.02</v>
      </c>
      <c r="O343" s="27" t="s">
        <v>148</v>
      </c>
      <c r="P343" s="30" t="s">
        <v>494</v>
      </c>
      <c r="Q343" s="31">
        <v>1131108.58</v>
      </c>
      <c r="R343" s="31">
        <v>1131.0999999999999</v>
      </c>
      <c r="S343" s="32">
        <v>6.6030000000000004E-3</v>
      </c>
      <c r="T343" s="32" t="s">
        <v>139</v>
      </c>
      <c r="U343" s="32">
        <v>8.7600000000000004E-4</v>
      </c>
      <c r="V343" s="32">
        <v>2.748E-3</v>
      </c>
      <c r="W343" s="32">
        <v>4.4130000000000003E-3</v>
      </c>
      <c r="X343" s="32">
        <v>5.1539999999999997E-3</v>
      </c>
      <c r="Y343" s="32">
        <v>7.6519999999999999E-3</v>
      </c>
      <c r="Z343" s="32">
        <v>5.1041999999999997E-2</v>
      </c>
      <c r="AA343" s="32">
        <v>0.10789</v>
      </c>
      <c r="AB343" s="32" t="s">
        <v>139</v>
      </c>
    </row>
    <row r="344" spans="1:28" ht="15.6" customHeight="1" x14ac:dyDescent="0.25">
      <c r="A344" s="24" t="s">
        <v>1407</v>
      </c>
      <c r="B344" s="50">
        <v>3924</v>
      </c>
      <c r="C344" s="25" t="s">
        <v>1408</v>
      </c>
      <c r="D344" s="25" t="s">
        <v>570</v>
      </c>
      <c r="E344" s="25" t="s">
        <v>194</v>
      </c>
      <c r="F344" s="25" t="s">
        <v>113</v>
      </c>
      <c r="G344" s="26" t="s">
        <v>1066</v>
      </c>
      <c r="H344" s="27" t="s">
        <v>152</v>
      </c>
      <c r="I344" s="24" t="s">
        <v>998</v>
      </c>
      <c r="J344" s="24" t="s">
        <v>121</v>
      </c>
      <c r="K344" s="28" t="s">
        <v>108</v>
      </c>
      <c r="L344" s="29">
        <v>0</v>
      </c>
      <c r="M344" s="29">
        <v>0</v>
      </c>
      <c r="N344" s="29">
        <v>0.02</v>
      </c>
      <c r="O344" s="27" t="s">
        <v>548</v>
      </c>
      <c r="P344" s="30" t="s">
        <v>570</v>
      </c>
      <c r="Q344" s="31">
        <v>2862271328.9299998</v>
      </c>
      <c r="R344" s="31">
        <v>1260.1300000000001</v>
      </c>
      <c r="S344" s="32">
        <v>1.3110000000000001E-3</v>
      </c>
      <c r="T344" s="32" t="s">
        <v>139</v>
      </c>
      <c r="U344" s="32">
        <v>2.251E-3</v>
      </c>
      <c r="V344" s="32">
        <v>9.7439999999999992E-3</v>
      </c>
      <c r="W344" s="32">
        <v>7.9989999999999992E-3</v>
      </c>
      <c r="X344" s="32">
        <v>5.8E-4</v>
      </c>
      <c r="Y344" s="32">
        <v>-1.2461E-2</v>
      </c>
      <c r="Z344" s="32">
        <v>0.106309</v>
      </c>
      <c r="AA344" s="32">
        <v>0.21782299999999999</v>
      </c>
      <c r="AB344" s="32" t="s">
        <v>139</v>
      </c>
    </row>
    <row r="345" spans="1:28" ht="15.6" customHeight="1" x14ac:dyDescent="0.25">
      <c r="A345" s="24" t="s">
        <v>611</v>
      </c>
      <c r="B345" s="50">
        <v>3928</v>
      </c>
      <c r="C345" s="25" t="s">
        <v>612</v>
      </c>
      <c r="D345" s="25" t="s">
        <v>101</v>
      </c>
      <c r="E345" s="25" t="s">
        <v>194</v>
      </c>
      <c r="F345" s="25" t="s">
        <v>128</v>
      </c>
      <c r="G345" s="26" t="s">
        <v>129</v>
      </c>
      <c r="H345" s="27" t="s">
        <v>130</v>
      </c>
      <c r="I345" s="24" t="s">
        <v>106</v>
      </c>
      <c r="J345" s="24" t="s">
        <v>107</v>
      </c>
      <c r="K345" s="28" t="s">
        <v>180</v>
      </c>
      <c r="L345" s="29">
        <v>0</v>
      </c>
      <c r="M345" s="29">
        <v>0</v>
      </c>
      <c r="N345" s="29">
        <v>0.02</v>
      </c>
      <c r="O345" s="27" t="s">
        <v>109</v>
      </c>
      <c r="P345" s="30" t="s">
        <v>101</v>
      </c>
      <c r="Q345" s="31">
        <v>4768209.5599999996</v>
      </c>
      <c r="R345" s="31">
        <v>134.19999999999999</v>
      </c>
      <c r="S345" s="32">
        <v>1.3442000000000001E-2</v>
      </c>
      <c r="T345" s="32" t="s">
        <v>139</v>
      </c>
      <c r="U345" s="32">
        <v>5.9599999999999996E-4</v>
      </c>
      <c r="V345" s="32">
        <v>1.717E-3</v>
      </c>
      <c r="W345" s="32">
        <v>5.0930000000000003E-3</v>
      </c>
      <c r="X345" s="32">
        <v>1.0847000000000001E-2</v>
      </c>
      <c r="Y345" s="32">
        <v>1.8828000000000001E-2</v>
      </c>
      <c r="Z345" s="32">
        <v>4.7373999999999999E-2</v>
      </c>
      <c r="AA345" s="32">
        <v>9.1519000000000003E-2</v>
      </c>
      <c r="AB345" s="32">
        <v>0.13289000000000001</v>
      </c>
    </row>
    <row r="346" spans="1:28" ht="15.6" customHeight="1" x14ac:dyDescent="0.25">
      <c r="A346" s="24" t="s">
        <v>1409</v>
      </c>
      <c r="B346" s="50">
        <v>3929</v>
      </c>
      <c r="C346" s="25" t="s">
        <v>1410</v>
      </c>
      <c r="D346" s="25" t="s">
        <v>908</v>
      </c>
      <c r="E346" s="25" t="s">
        <v>194</v>
      </c>
      <c r="F346" s="25" t="s">
        <v>113</v>
      </c>
      <c r="G346" s="26" t="s">
        <v>702</v>
      </c>
      <c r="H346" s="27" t="s">
        <v>115</v>
      </c>
      <c r="I346" s="24" t="s">
        <v>998</v>
      </c>
      <c r="J346" s="24" t="s">
        <v>121</v>
      </c>
      <c r="K346" s="28" t="s">
        <v>108</v>
      </c>
      <c r="L346" s="29">
        <v>0</v>
      </c>
      <c r="M346" s="29">
        <v>0</v>
      </c>
      <c r="N346" s="29">
        <v>0.02</v>
      </c>
      <c r="O346" s="27" t="s">
        <v>548</v>
      </c>
      <c r="P346" s="30" t="s">
        <v>908</v>
      </c>
      <c r="Q346" s="31">
        <v>2194439883.79</v>
      </c>
      <c r="R346" s="31">
        <v>1261.1199999999999</v>
      </c>
      <c r="S346" s="32">
        <v>8.5889999999999994E-3</v>
      </c>
      <c r="T346" s="32" t="s">
        <v>139</v>
      </c>
      <c r="U346" s="32">
        <v>2.1380000000000001E-3</v>
      </c>
      <c r="V346" s="32">
        <v>8.5810000000000001E-3</v>
      </c>
      <c r="W346" s="32">
        <v>8.8640000000000004E-3</v>
      </c>
      <c r="X346" s="32">
        <v>5.0369999999999998E-3</v>
      </c>
      <c r="Y346" s="32">
        <v>-4.8299999999999998E-4</v>
      </c>
      <c r="Z346" s="32">
        <v>0.11013100000000001</v>
      </c>
      <c r="AA346" s="32">
        <v>0.21366599999999999</v>
      </c>
      <c r="AB346" s="32" t="s">
        <v>139</v>
      </c>
    </row>
    <row r="347" spans="1:28" ht="15.6" customHeight="1" x14ac:dyDescent="0.25">
      <c r="A347" s="24" t="s">
        <v>613</v>
      </c>
      <c r="B347" s="50">
        <v>3931</v>
      </c>
      <c r="C347" s="25" t="s">
        <v>614</v>
      </c>
      <c r="D347" s="25" t="s">
        <v>137</v>
      </c>
      <c r="E347" s="25" t="s">
        <v>194</v>
      </c>
      <c r="F347" s="25" t="s">
        <v>138</v>
      </c>
      <c r="G347" s="26" t="s">
        <v>139</v>
      </c>
      <c r="H347" s="27" t="s">
        <v>577</v>
      </c>
      <c r="I347" s="24" t="s">
        <v>106</v>
      </c>
      <c r="J347" s="24" t="s">
        <v>107</v>
      </c>
      <c r="K347" s="28" t="s">
        <v>227</v>
      </c>
      <c r="L347" s="29">
        <v>0.03</v>
      </c>
      <c r="M347" s="29">
        <v>1.4999999999999999E-2</v>
      </c>
      <c r="N347" s="29">
        <v>0.02</v>
      </c>
      <c r="O347" s="27" t="s">
        <v>141</v>
      </c>
      <c r="P347" s="30" t="s">
        <v>142</v>
      </c>
      <c r="Q347" s="31">
        <v>97614864.853649005</v>
      </c>
      <c r="R347" s="31">
        <v>1247.6199999999999</v>
      </c>
      <c r="S347" s="32">
        <v>3.6539000000000002E-2</v>
      </c>
      <c r="T347" s="32" t="s">
        <v>139</v>
      </c>
      <c r="U347" s="32">
        <v>7.7800000000000005E-4</v>
      </c>
      <c r="V347" s="32">
        <v>6.2989999999999999E-3</v>
      </c>
      <c r="W347" s="32">
        <v>1.1906E-2</v>
      </c>
      <c r="X347" s="32">
        <v>1.1308E-2</v>
      </c>
      <c r="Y347" s="32">
        <v>-1.8294999999999999E-2</v>
      </c>
      <c r="Z347" s="32">
        <v>0.147648</v>
      </c>
      <c r="AA347" s="32">
        <v>0.20788100000000001</v>
      </c>
      <c r="AB347" s="32" t="s">
        <v>139</v>
      </c>
    </row>
    <row r="348" spans="1:28" ht="15.6" customHeight="1" x14ac:dyDescent="0.25">
      <c r="A348" s="24" t="s">
        <v>615</v>
      </c>
      <c r="B348" s="50">
        <v>3932</v>
      </c>
      <c r="C348" s="25" t="s">
        <v>616</v>
      </c>
      <c r="D348" s="25" t="s">
        <v>137</v>
      </c>
      <c r="E348" s="25" t="s">
        <v>194</v>
      </c>
      <c r="F348" s="25" t="s">
        <v>138</v>
      </c>
      <c r="G348" s="26" t="s">
        <v>139</v>
      </c>
      <c r="H348" s="27" t="s">
        <v>617</v>
      </c>
      <c r="I348" s="24" t="s">
        <v>106</v>
      </c>
      <c r="J348" s="24" t="s">
        <v>107</v>
      </c>
      <c r="K348" s="28" t="s">
        <v>108</v>
      </c>
      <c r="L348" s="29">
        <v>0.03</v>
      </c>
      <c r="M348" s="29">
        <v>1.4999999999999999E-2</v>
      </c>
      <c r="N348" s="29">
        <v>0.02</v>
      </c>
      <c r="O348" s="27" t="s">
        <v>141</v>
      </c>
      <c r="P348" s="30" t="s">
        <v>142</v>
      </c>
      <c r="Q348" s="31">
        <v>95494667.236845002</v>
      </c>
      <c r="R348" s="31">
        <v>1230.06</v>
      </c>
      <c r="S348" s="32">
        <v>-4.2259999999999997E-3</v>
      </c>
      <c r="T348" s="32" t="s">
        <v>139</v>
      </c>
      <c r="U348" s="32">
        <v>6.9090000000000002E-3</v>
      </c>
      <c r="V348" s="32">
        <v>3.7298999999999999E-2</v>
      </c>
      <c r="W348" s="32">
        <v>2.6633E-2</v>
      </c>
      <c r="X348" s="32">
        <v>1.2345E-2</v>
      </c>
      <c r="Y348" s="32">
        <v>-9.4059999999999994E-3</v>
      </c>
      <c r="Z348" s="32">
        <v>0.102688</v>
      </c>
      <c r="AA348" s="32">
        <v>0.176596</v>
      </c>
      <c r="AB348" s="32" t="s">
        <v>139</v>
      </c>
    </row>
    <row r="349" spans="1:28" ht="15.6" customHeight="1" x14ac:dyDescent="0.25">
      <c r="A349" s="24" t="s">
        <v>618</v>
      </c>
      <c r="B349" s="50">
        <v>3933</v>
      </c>
      <c r="C349" s="25" t="s">
        <v>619</v>
      </c>
      <c r="D349" s="25" t="s">
        <v>159</v>
      </c>
      <c r="E349" s="25" t="s">
        <v>194</v>
      </c>
      <c r="F349" s="25" t="s">
        <v>138</v>
      </c>
      <c r="G349" s="26" t="s">
        <v>139</v>
      </c>
      <c r="H349" s="27" t="s">
        <v>620</v>
      </c>
      <c r="I349" s="24" t="s">
        <v>106</v>
      </c>
      <c r="J349" s="24" t="s">
        <v>121</v>
      </c>
      <c r="K349" s="28" t="s">
        <v>227</v>
      </c>
      <c r="L349" s="29">
        <v>0</v>
      </c>
      <c r="M349" s="29">
        <v>0</v>
      </c>
      <c r="N349" s="29">
        <v>0.02</v>
      </c>
      <c r="O349" s="27" t="s">
        <v>161</v>
      </c>
      <c r="P349" s="30" t="s">
        <v>159</v>
      </c>
      <c r="Q349" s="31">
        <v>1106488.72</v>
      </c>
      <c r="R349" s="31">
        <v>1106.49</v>
      </c>
      <c r="S349" s="32">
        <v>-5.0090000000000004E-3</v>
      </c>
      <c r="T349" s="32" t="s">
        <v>139</v>
      </c>
      <c r="U349" s="32">
        <v>4.2570000000000004E-3</v>
      </c>
      <c r="V349" s="32">
        <v>1.3696E-2</v>
      </c>
      <c r="W349" s="32">
        <v>1.2619999999999999E-2</v>
      </c>
      <c r="X349" s="32">
        <v>1.403E-3</v>
      </c>
      <c r="Y349" s="32">
        <v>-1.392E-2</v>
      </c>
      <c r="Z349" s="32">
        <v>6.3974000000000003E-2</v>
      </c>
      <c r="AA349" s="32">
        <v>9.1955999999999996E-2</v>
      </c>
      <c r="AB349" s="32" t="s">
        <v>139</v>
      </c>
    </row>
    <row r="350" spans="1:28" ht="15.6" customHeight="1" x14ac:dyDescent="0.25">
      <c r="A350" s="24" t="s">
        <v>1411</v>
      </c>
      <c r="B350" s="50">
        <v>3934</v>
      </c>
      <c r="C350" s="25" t="s">
        <v>1412</v>
      </c>
      <c r="D350" s="25" t="s">
        <v>159</v>
      </c>
      <c r="E350" s="25" t="s">
        <v>194</v>
      </c>
      <c r="F350" s="25" t="s">
        <v>138</v>
      </c>
      <c r="G350" s="26" t="s">
        <v>139</v>
      </c>
      <c r="H350" s="27" t="s">
        <v>521</v>
      </c>
      <c r="I350" s="24" t="s">
        <v>998</v>
      </c>
      <c r="J350" s="24" t="s">
        <v>121</v>
      </c>
      <c r="K350" s="28" t="s">
        <v>227</v>
      </c>
      <c r="L350" s="29">
        <v>0</v>
      </c>
      <c r="M350" s="29">
        <v>0</v>
      </c>
      <c r="N350" s="29">
        <v>0.02</v>
      </c>
      <c r="O350" s="27" t="s">
        <v>161</v>
      </c>
      <c r="P350" s="30" t="s">
        <v>159</v>
      </c>
      <c r="Q350" s="31">
        <v>1093605.02</v>
      </c>
      <c r="R350" s="31">
        <v>1093.6099999999999</v>
      </c>
      <c r="S350" s="32">
        <v>-7.4869999999999997E-3</v>
      </c>
      <c r="T350" s="32" t="s">
        <v>139</v>
      </c>
      <c r="U350" s="32">
        <v>4.2240000000000003E-3</v>
      </c>
      <c r="V350" s="32">
        <v>1.3578E-2</v>
      </c>
      <c r="W350" s="32">
        <v>1.2264000000000001E-2</v>
      </c>
      <c r="X350" s="32">
        <v>-5.8500000000000002E-4</v>
      </c>
      <c r="Y350" s="32">
        <v>-1.7659999999999999E-2</v>
      </c>
      <c r="Z350" s="32">
        <v>5.6791000000000001E-2</v>
      </c>
      <c r="AA350" s="32">
        <v>8.0994999999999998E-2</v>
      </c>
      <c r="AB350" s="32" t="s">
        <v>139</v>
      </c>
    </row>
    <row r="351" spans="1:28" ht="15.6" customHeight="1" x14ac:dyDescent="0.25">
      <c r="A351" s="24" t="s">
        <v>621</v>
      </c>
      <c r="B351" s="50">
        <v>3935</v>
      </c>
      <c r="C351" s="25" t="s">
        <v>622</v>
      </c>
      <c r="D351" s="25" t="s">
        <v>241</v>
      </c>
      <c r="E351" s="25" t="s">
        <v>194</v>
      </c>
      <c r="F351" s="25" t="s">
        <v>138</v>
      </c>
      <c r="G351" s="26" t="s">
        <v>139</v>
      </c>
      <c r="H351" s="27" t="s">
        <v>623</v>
      </c>
      <c r="I351" s="24" t="s">
        <v>106</v>
      </c>
      <c r="J351" s="24" t="s">
        <v>121</v>
      </c>
      <c r="K351" s="28" t="s">
        <v>108</v>
      </c>
      <c r="L351" s="29">
        <v>0</v>
      </c>
      <c r="M351" s="29">
        <v>0</v>
      </c>
      <c r="N351" s="29">
        <v>0.02</v>
      </c>
      <c r="O351" s="27" t="s">
        <v>148</v>
      </c>
      <c r="P351" s="30" t="s">
        <v>241</v>
      </c>
      <c r="Q351" s="31">
        <v>872093.35</v>
      </c>
      <c r="R351" s="31">
        <v>178.96</v>
      </c>
      <c r="S351" s="32">
        <v>-1.3993999999999999E-2</v>
      </c>
      <c r="T351" s="32" t="s">
        <v>139</v>
      </c>
      <c r="U351" s="32">
        <v>-8.3699999999999996E-4</v>
      </c>
      <c r="V351" s="32">
        <v>1.3134E-2</v>
      </c>
      <c r="W351" s="32">
        <v>1.601E-2</v>
      </c>
      <c r="X351" s="32">
        <v>-1.0614999999999999E-2</v>
      </c>
      <c r="Y351" s="32">
        <v>-5.1515999999999999E-2</v>
      </c>
      <c r="Z351" s="32">
        <v>0.22156999999999999</v>
      </c>
      <c r="AA351" s="32">
        <v>0.359568</v>
      </c>
      <c r="AB351" s="32">
        <v>0.35115099999999999</v>
      </c>
    </row>
    <row r="352" spans="1:28" ht="15.6" customHeight="1" x14ac:dyDescent="0.25">
      <c r="A352" s="24" t="s">
        <v>624</v>
      </c>
      <c r="B352" s="50">
        <v>3936</v>
      </c>
      <c r="C352" s="25" t="s">
        <v>625</v>
      </c>
      <c r="D352" s="25" t="s">
        <v>164</v>
      </c>
      <c r="E352" s="25" t="s">
        <v>194</v>
      </c>
      <c r="F352" s="25" t="s">
        <v>138</v>
      </c>
      <c r="G352" s="26" t="s">
        <v>139</v>
      </c>
      <c r="H352" s="27" t="s">
        <v>626</v>
      </c>
      <c r="I352" s="24" t="s">
        <v>106</v>
      </c>
      <c r="J352" s="24" t="s">
        <v>107</v>
      </c>
      <c r="K352" s="28" t="s">
        <v>180</v>
      </c>
      <c r="L352" s="29">
        <v>0.02</v>
      </c>
      <c r="M352" s="29">
        <v>0.02</v>
      </c>
      <c r="N352" s="29">
        <v>0.02</v>
      </c>
      <c r="O352" s="27" t="s">
        <v>166</v>
      </c>
      <c r="P352" s="30" t="s">
        <v>627</v>
      </c>
      <c r="Q352" s="31">
        <v>1090539488.6500001</v>
      </c>
      <c r="R352" s="31">
        <v>1738.67</v>
      </c>
      <c r="S352" s="32">
        <v>9.9526000000000003E-2</v>
      </c>
      <c r="T352" s="32" t="s">
        <v>139</v>
      </c>
      <c r="U352" s="32">
        <v>1.0777999999999999E-2</v>
      </c>
      <c r="V352" s="32">
        <v>5.2330000000000002E-2</v>
      </c>
      <c r="W352" s="32">
        <v>5.0340000000000003E-2</v>
      </c>
      <c r="X352" s="32">
        <v>8.8758000000000004E-2</v>
      </c>
      <c r="Y352" s="32">
        <v>3.4903999999999998E-2</v>
      </c>
      <c r="Z352" s="32">
        <v>0.260353</v>
      </c>
      <c r="AA352" s="32">
        <v>0.33838600000000002</v>
      </c>
      <c r="AB352" s="32">
        <v>0.292682</v>
      </c>
    </row>
    <row r="353" spans="1:28" ht="15.6" customHeight="1" x14ac:dyDescent="0.25">
      <c r="A353" s="24" t="s">
        <v>628</v>
      </c>
      <c r="B353" s="50">
        <v>3937</v>
      </c>
      <c r="C353" s="25" t="s">
        <v>629</v>
      </c>
      <c r="D353" s="25" t="s">
        <v>570</v>
      </c>
      <c r="E353" s="25" t="s">
        <v>194</v>
      </c>
      <c r="F353" s="25" t="s">
        <v>113</v>
      </c>
      <c r="G353" s="26" t="s">
        <v>531</v>
      </c>
      <c r="H353" s="27" t="s">
        <v>327</v>
      </c>
      <c r="I353" s="24" t="s">
        <v>106</v>
      </c>
      <c r="J353" s="24" t="s">
        <v>121</v>
      </c>
      <c r="K353" s="28" t="s">
        <v>227</v>
      </c>
      <c r="L353" s="29">
        <v>0</v>
      </c>
      <c r="M353" s="29">
        <v>0</v>
      </c>
      <c r="N353" s="29">
        <v>0.02</v>
      </c>
      <c r="O353" s="27" t="s">
        <v>166</v>
      </c>
      <c r="P353" s="30" t="s">
        <v>570</v>
      </c>
      <c r="Q353" s="31">
        <v>1229849566.3699999</v>
      </c>
      <c r="R353" s="31">
        <v>1126.8599999999999</v>
      </c>
      <c r="S353" s="32">
        <v>-2.9610999999999998E-2</v>
      </c>
      <c r="T353" s="32" t="s">
        <v>139</v>
      </c>
      <c r="U353" s="32">
        <v>1.671E-3</v>
      </c>
      <c r="V353" s="32">
        <v>7.267E-3</v>
      </c>
      <c r="W353" s="32">
        <v>2.7409999999999999E-3</v>
      </c>
      <c r="X353" s="32">
        <v>-1.123E-2</v>
      </c>
      <c r="Y353" s="32">
        <v>-3.8374999999999999E-2</v>
      </c>
      <c r="Z353" s="32">
        <v>0.118995</v>
      </c>
      <c r="AA353" s="32">
        <v>0.25135299999999999</v>
      </c>
      <c r="AB353" s="32" t="s">
        <v>139</v>
      </c>
    </row>
    <row r="354" spans="1:28" ht="15.6" customHeight="1" x14ac:dyDescent="0.25">
      <c r="A354" s="24" t="s">
        <v>1413</v>
      </c>
      <c r="B354" s="50">
        <v>3938</v>
      </c>
      <c r="C354" s="25" t="s">
        <v>1414</v>
      </c>
      <c r="D354" s="25" t="s">
        <v>350</v>
      </c>
      <c r="E354" s="25" t="s">
        <v>194</v>
      </c>
      <c r="F354" s="25" t="s">
        <v>113</v>
      </c>
      <c r="G354" s="26" t="s">
        <v>1415</v>
      </c>
      <c r="H354" s="27" t="s">
        <v>115</v>
      </c>
      <c r="I354" s="24" t="s">
        <v>998</v>
      </c>
      <c r="J354" s="24" t="s">
        <v>121</v>
      </c>
      <c r="K354" s="28" t="s">
        <v>108</v>
      </c>
      <c r="L354" s="29">
        <v>0.03</v>
      </c>
      <c r="M354" s="29">
        <v>0.03</v>
      </c>
      <c r="N354" s="29">
        <v>0.02</v>
      </c>
      <c r="O354" s="27" t="s">
        <v>262</v>
      </c>
      <c r="P354" s="30" t="s">
        <v>350</v>
      </c>
      <c r="Q354" s="31">
        <v>2552998593.8400002</v>
      </c>
      <c r="R354" s="31">
        <v>250.32</v>
      </c>
      <c r="S354" s="32">
        <v>4.8000000000000001E-4</v>
      </c>
      <c r="T354" s="32" t="s">
        <v>139</v>
      </c>
      <c r="U354" s="32">
        <v>1E-3</v>
      </c>
      <c r="V354" s="32">
        <v>3.0049999999999999E-3</v>
      </c>
      <c r="W354" s="32">
        <v>3.0860000000000002E-3</v>
      </c>
      <c r="X354" s="32">
        <v>1.1199999999999999E-3</v>
      </c>
      <c r="Y354" s="32">
        <v>-3.8600000000000001E-3</v>
      </c>
      <c r="Z354" s="32">
        <v>8.7401999999999994E-2</v>
      </c>
      <c r="AA354" s="32">
        <v>0.178753</v>
      </c>
      <c r="AB354" s="32">
        <v>0.16319700000000001</v>
      </c>
    </row>
    <row r="355" spans="1:28" ht="15.6" customHeight="1" x14ac:dyDescent="0.25">
      <c r="A355" s="24" t="s">
        <v>1416</v>
      </c>
      <c r="B355" s="50">
        <v>3939</v>
      </c>
      <c r="C355" s="25" t="s">
        <v>1417</v>
      </c>
      <c r="D355" s="25" t="s">
        <v>322</v>
      </c>
      <c r="E355" s="25" t="s">
        <v>194</v>
      </c>
      <c r="F355" s="25" t="s">
        <v>138</v>
      </c>
      <c r="G355" s="26" t="s">
        <v>139</v>
      </c>
      <c r="H355" s="27" t="s">
        <v>1418</v>
      </c>
      <c r="I355" s="24" t="s">
        <v>998</v>
      </c>
      <c r="J355" s="24" t="s">
        <v>107</v>
      </c>
      <c r="K355" s="28" t="s">
        <v>227</v>
      </c>
      <c r="L355" s="29">
        <v>0.03</v>
      </c>
      <c r="M355" s="29">
        <v>1.4999999999999999E-2</v>
      </c>
      <c r="N355" s="29">
        <v>0.02</v>
      </c>
      <c r="O355" s="27" t="s">
        <v>161</v>
      </c>
      <c r="P355" s="30" t="s">
        <v>322</v>
      </c>
      <c r="Q355" s="31">
        <v>1238048475.77</v>
      </c>
      <c r="R355" s="31">
        <v>141.62</v>
      </c>
      <c r="S355" s="32">
        <v>-3.7989999999999999E-3</v>
      </c>
      <c r="T355" s="32" t="s">
        <v>139</v>
      </c>
      <c r="U355" s="32">
        <v>4.9670000000000001E-3</v>
      </c>
      <c r="V355" s="32">
        <v>2.2379E-2</v>
      </c>
      <c r="W355" s="32">
        <v>1.4397E-2</v>
      </c>
      <c r="X355" s="32">
        <v>-1.4100000000000001E-4</v>
      </c>
      <c r="Y355" s="32">
        <v>-3.4826000000000003E-2</v>
      </c>
      <c r="Z355" s="32">
        <v>0.36369800000000002</v>
      </c>
      <c r="AA355" s="32">
        <v>0.407194</v>
      </c>
      <c r="AB355" s="32" t="s">
        <v>139</v>
      </c>
    </row>
    <row r="356" spans="1:28" ht="15.6" customHeight="1" x14ac:dyDescent="0.25">
      <c r="A356" s="24" t="s">
        <v>1419</v>
      </c>
      <c r="B356" s="50">
        <v>3940</v>
      </c>
      <c r="C356" s="25" t="s">
        <v>1420</v>
      </c>
      <c r="D356" s="25" t="s">
        <v>322</v>
      </c>
      <c r="E356" s="25" t="s">
        <v>194</v>
      </c>
      <c r="F356" s="25" t="s">
        <v>155</v>
      </c>
      <c r="G356" s="26" t="s">
        <v>139</v>
      </c>
      <c r="H356" s="27" t="s">
        <v>156</v>
      </c>
      <c r="I356" s="24" t="s">
        <v>998</v>
      </c>
      <c r="J356" s="24" t="s">
        <v>107</v>
      </c>
      <c r="K356" s="28" t="s">
        <v>227</v>
      </c>
      <c r="L356" s="29">
        <v>0.03</v>
      </c>
      <c r="M356" s="29">
        <v>1.4999999999999999E-2</v>
      </c>
      <c r="N356" s="29">
        <v>0.02</v>
      </c>
      <c r="O356" s="27" t="s">
        <v>161</v>
      </c>
      <c r="P356" s="30" t="s">
        <v>322</v>
      </c>
      <c r="Q356" s="31">
        <v>1633174.67</v>
      </c>
      <c r="R356" s="31">
        <v>163.32</v>
      </c>
      <c r="S356" s="32">
        <v>-3.8389E-2</v>
      </c>
      <c r="T356" s="32" t="s">
        <v>139</v>
      </c>
      <c r="U356" s="32">
        <v>3.5639999999999999E-3</v>
      </c>
      <c r="V356" s="32">
        <v>3.015E-2</v>
      </c>
      <c r="W356" s="32">
        <v>3.2885999999999999E-2</v>
      </c>
      <c r="X356" s="32">
        <v>-3.3094999999999999E-2</v>
      </c>
      <c r="Y356" s="32">
        <v>-7.8849000000000002E-2</v>
      </c>
      <c r="Z356" s="32">
        <v>0.452121</v>
      </c>
      <c r="AA356" s="32">
        <v>0.60416499999999995</v>
      </c>
      <c r="AB356" s="32" t="s">
        <v>139</v>
      </c>
    </row>
    <row r="357" spans="1:28" ht="15.6" customHeight="1" x14ac:dyDescent="0.25">
      <c r="A357" s="24" t="s">
        <v>630</v>
      </c>
      <c r="B357" s="50">
        <v>3941</v>
      </c>
      <c r="C357" s="25" t="s">
        <v>631</v>
      </c>
      <c r="D357" s="25" t="s">
        <v>241</v>
      </c>
      <c r="E357" s="25" t="s">
        <v>194</v>
      </c>
      <c r="F357" s="25" t="s">
        <v>155</v>
      </c>
      <c r="G357" s="26" t="s">
        <v>139</v>
      </c>
      <c r="H357" s="27" t="s">
        <v>632</v>
      </c>
      <c r="I357" s="24" t="s">
        <v>106</v>
      </c>
      <c r="J357" s="24" t="s">
        <v>107</v>
      </c>
      <c r="K357" s="28" t="s">
        <v>108</v>
      </c>
      <c r="L357" s="29">
        <v>0.03</v>
      </c>
      <c r="M357" s="29">
        <v>1.4999999999999999E-2</v>
      </c>
      <c r="N357" s="29">
        <v>0.02</v>
      </c>
      <c r="O357" s="27" t="s">
        <v>166</v>
      </c>
      <c r="P357" s="30" t="s">
        <v>633</v>
      </c>
      <c r="Q357" s="31">
        <v>351959299.66000003</v>
      </c>
      <c r="R357" s="31">
        <v>1914.08</v>
      </c>
      <c r="S357" s="32">
        <v>1.8464000000000001E-2</v>
      </c>
      <c r="T357" s="32" t="s">
        <v>139</v>
      </c>
      <c r="U357" s="32">
        <v>1.4899000000000001E-2</v>
      </c>
      <c r="V357" s="32">
        <v>7.9717999999999997E-2</v>
      </c>
      <c r="W357" s="32">
        <v>6.3992999999999994E-2</v>
      </c>
      <c r="X357" s="32">
        <v>2.3052E-2</v>
      </c>
      <c r="Y357" s="32">
        <v>-8.2711000000000007E-2</v>
      </c>
      <c r="Z357" s="32">
        <v>0.44363000000000002</v>
      </c>
      <c r="AA357" s="32">
        <v>0.82000399999999996</v>
      </c>
      <c r="AB357" s="32" t="s">
        <v>139</v>
      </c>
    </row>
    <row r="358" spans="1:28" ht="15.6" customHeight="1" x14ac:dyDescent="0.25">
      <c r="A358" s="24" t="s">
        <v>1421</v>
      </c>
      <c r="B358" s="50">
        <v>3942</v>
      </c>
      <c r="C358" s="25" t="s">
        <v>1422</v>
      </c>
      <c r="D358" s="25" t="s">
        <v>241</v>
      </c>
      <c r="E358" s="25" t="s">
        <v>194</v>
      </c>
      <c r="F358" s="25" t="s">
        <v>138</v>
      </c>
      <c r="G358" s="26" t="s">
        <v>139</v>
      </c>
      <c r="H358" s="27" t="s">
        <v>623</v>
      </c>
      <c r="I358" s="24" t="s">
        <v>998</v>
      </c>
      <c r="J358" s="24" t="s">
        <v>121</v>
      </c>
      <c r="K358" s="28" t="s">
        <v>227</v>
      </c>
      <c r="L358" s="29">
        <v>0</v>
      </c>
      <c r="M358" s="29">
        <v>0</v>
      </c>
      <c r="N358" s="29">
        <v>0.02</v>
      </c>
      <c r="O358" s="27" t="s">
        <v>131</v>
      </c>
      <c r="P358" s="30" t="s">
        <v>633</v>
      </c>
      <c r="Q358" s="31">
        <v>1845078875.96</v>
      </c>
      <c r="R358" s="31">
        <v>1321.13</v>
      </c>
      <c r="S358" s="32">
        <v>1.078E-2</v>
      </c>
      <c r="T358" s="32" t="s">
        <v>139</v>
      </c>
      <c r="U358" s="32">
        <v>1.1926000000000001E-2</v>
      </c>
      <c r="V358" s="32">
        <v>1.5972E-2</v>
      </c>
      <c r="W358" s="32">
        <v>1.7052000000000001E-2</v>
      </c>
      <c r="X358" s="32">
        <v>5.7250000000000001E-3</v>
      </c>
      <c r="Y358" s="32">
        <v>-1.2371999999999999E-2</v>
      </c>
      <c r="Z358" s="32">
        <v>0.16970099999999999</v>
      </c>
      <c r="AA358" s="32">
        <v>0.30695</v>
      </c>
      <c r="AB358" s="32" t="s">
        <v>139</v>
      </c>
    </row>
    <row r="359" spans="1:28" ht="15.6" customHeight="1" x14ac:dyDescent="0.25">
      <c r="A359" s="24" t="s">
        <v>634</v>
      </c>
      <c r="B359" s="50">
        <v>3943</v>
      </c>
      <c r="C359" s="25" t="s">
        <v>635</v>
      </c>
      <c r="D359" s="25" t="s">
        <v>241</v>
      </c>
      <c r="E359" s="25" t="s">
        <v>194</v>
      </c>
      <c r="F359" s="25" t="s">
        <v>113</v>
      </c>
      <c r="G359" s="26" t="s">
        <v>439</v>
      </c>
      <c r="H359" s="27" t="s">
        <v>115</v>
      </c>
      <c r="I359" s="24" t="s">
        <v>106</v>
      </c>
      <c r="J359" s="24" t="s">
        <v>121</v>
      </c>
      <c r="K359" s="28" t="s">
        <v>227</v>
      </c>
      <c r="L359" s="29">
        <v>0.03</v>
      </c>
      <c r="M359" s="29">
        <v>1.4999999999999999E-2</v>
      </c>
      <c r="N359" s="29">
        <v>0.02</v>
      </c>
      <c r="O359" s="27" t="s">
        <v>161</v>
      </c>
      <c r="P359" s="30" t="s">
        <v>241</v>
      </c>
      <c r="Q359" s="31">
        <v>999835177.27999997</v>
      </c>
      <c r="R359" s="31">
        <v>1281.72</v>
      </c>
      <c r="S359" s="32">
        <v>-1.5824999999999999E-2</v>
      </c>
      <c r="T359" s="32" t="s">
        <v>139</v>
      </c>
      <c r="U359" s="32">
        <v>1.6410000000000001E-3</v>
      </c>
      <c r="V359" s="32">
        <v>6.842E-3</v>
      </c>
      <c r="W359" s="32">
        <v>5.3179999999999998E-3</v>
      </c>
      <c r="X359" s="32">
        <v>-1.0679999999999999E-3</v>
      </c>
      <c r="Y359" s="32">
        <v>-1.9709999999999998E-2</v>
      </c>
      <c r="Z359" s="32">
        <v>0.12854099999999999</v>
      </c>
      <c r="AA359" s="32">
        <v>0.26580799999999999</v>
      </c>
      <c r="AB359" s="32" t="s">
        <v>139</v>
      </c>
    </row>
    <row r="360" spans="1:28" ht="15.6" customHeight="1" x14ac:dyDescent="0.25">
      <c r="A360" s="24" t="s">
        <v>636</v>
      </c>
      <c r="B360" s="50">
        <v>3944</v>
      </c>
      <c r="C360" s="25" t="s">
        <v>637</v>
      </c>
      <c r="D360" s="25" t="s">
        <v>570</v>
      </c>
      <c r="E360" s="25" t="s">
        <v>194</v>
      </c>
      <c r="F360" s="25" t="s">
        <v>113</v>
      </c>
      <c r="G360" s="26" t="s">
        <v>638</v>
      </c>
      <c r="H360" s="27" t="s">
        <v>115</v>
      </c>
      <c r="I360" s="24" t="s">
        <v>106</v>
      </c>
      <c r="J360" s="24" t="s">
        <v>107</v>
      </c>
      <c r="K360" s="28" t="s">
        <v>227</v>
      </c>
      <c r="L360" s="29">
        <v>0.03</v>
      </c>
      <c r="M360" s="29">
        <v>0.03</v>
      </c>
      <c r="N360" s="29">
        <v>0.02</v>
      </c>
      <c r="O360" s="27" t="s">
        <v>166</v>
      </c>
      <c r="P360" s="30" t="s">
        <v>570</v>
      </c>
      <c r="Q360" s="31">
        <v>2589562112.8800001</v>
      </c>
      <c r="R360" s="31">
        <v>1223.3599999999999</v>
      </c>
      <c r="S360" s="32">
        <v>-1.0122000000000001E-2</v>
      </c>
      <c r="T360" s="32" t="s">
        <v>139</v>
      </c>
      <c r="U360" s="32">
        <v>1.3259999999999999E-3</v>
      </c>
      <c r="V360" s="32">
        <v>4.5659999999999997E-3</v>
      </c>
      <c r="W360" s="32">
        <v>6.6299999999999996E-4</v>
      </c>
      <c r="X360" s="32">
        <v>-9.5370000000000003E-3</v>
      </c>
      <c r="Y360" s="32">
        <v>-2.639E-2</v>
      </c>
      <c r="Z360" s="32">
        <v>8.4519999999999998E-2</v>
      </c>
      <c r="AA360" s="32">
        <v>0.19409299999999999</v>
      </c>
      <c r="AB360" s="32" t="s">
        <v>139</v>
      </c>
    </row>
    <row r="361" spans="1:28" ht="15.6" customHeight="1" x14ac:dyDescent="0.25">
      <c r="A361" s="24" t="s">
        <v>639</v>
      </c>
      <c r="B361" s="50">
        <v>3945</v>
      </c>
      <c r="C361" s="25" t="s">
        <v>640</v>
      </c>
      <c r="D361" s="25" t="s">
        <v>570</v>
      </c>
      <c r="E361" s="25" t="s">
        <v>194</v>
      </c>
      <c r="F361" s="25" t="s">
        <v>138</v>
      </c>
      <c r="G361" s="26" t="s">
        <v>139</v>
      </c>
      <c r="H361" s="27" t="s">
        <v>641</v>
      </c>
      <c r="I361" s="24" t="s">
        <v>106</v>
      </c>
      <c r="J361" s="24" t="s">
        <v>121</v>
      </c>
      <c r="K361" s="28" t="s">
        <v>227</v>
      </c>
      <c r="L361" s="29">
        <v>0.03</v>
      </c>
      <c r="M361" s="29">
        <v>0.03</v>
      </c>
      <c r="N361" s="29">
        <v>0.02</v>
      </c>
      <c r="O361" s="27" t="s">
        <v>161</v>
      </c>
      <c r="P361" s="30" t="s">
        <v>570</v>
      </c>
      <c r="Q361" s="31">
        <v>926586135.52999997</v>
      </c>
      <c r="R361" s="31">
        <v>1353.54</v>
      </c>
      <c r="S361" s="32">
        <v>-2.4320000000000001E-3</v>
      </c>
      <c r="T361" s="32" t="s">
        <v>139</v>
      </c>
      <c r="U361" s="32">
        <v>5.7140000000000003E-3</v>
      </c>
      <c r="V361" s="32">
        <v>2.9628999999999999E-2</v>
      </c>
      <c r="W361" s="32">
        <v>2.137E-2</v>
      </c>
      <c r="X361" s="32">
        <v>6.8060000000000004E-3</v>
      </c>
      <c r="Y361" s="32">
        <v>-3.8175000000000001E-2</v>
      </c>
      <c r="Z361" s="32">
        <v>0.19872600000000001</v>
      </c>
      <c r="AA361" s="32">
        <v>0.39186300000000002</v>
      </c>
      <c r="AB361" s="32" t="s">
        <v>139</v>
      </c>
    </row>
    <row r="362" spans="1:28" ht="15.6" customHeight="1" x14ac:dyDescent="0.25">
      <c r="A362" s="24" t="s">
        <v>642</v>
      </c>
      <c r="B362" s="50">
        <v>3946</v>
      </c>
      <c r="C362" s="25" t="s">
        <v>643</v>
      </c>
      <c r="D362" s="25" t="s">
        <v>350</v>
      </c>
      <c r="E362" s="25" t="s">
        <v>194</v>
      </c>
      <c r="F362" s="25" t="s">
        <v>128</v>
      </c>
      <c r="G362" s="26" t="s">
        <v>644</v>
      </c>
      <c r="H362" s="27" t="s">
        <v>130</v>
      </c>
      <c r="I362" s="24" t="s">
        <v>106</v>
      </c>
      <c r="J362" s="24" t="s">
        <v>107</v>
      </c>
      <c r="K362" s="28" t="s">
        <v>108</v>
      </c>
      <c r="L362" s="29">
        <v>0.03</v>
      </c>
      <c r="M362" s="29">
        <v>0.03</v>
      </c>
      <c r="N362" s="29">
        <v>0.02</v>
      </c>
      <c r="O362" s="27" t="s">
        <v>148</v>
      </c>
      <c r="P362" s="30" t="s">
        <v>350</v>
      </c>
      <c r="Q362" s="31">
        <v>53375112.090000004</v>
      </c>
      <c r="R362" s="31">
        <v>148.26</v>
      </c>
      <c r="S362" s="32">
        <v>1.7639999999999999E-2</v>
      </c>
      <c r="T362" s="32" t="s">
        <v>139</v>
      </c>
      <c r="U362" s="32">
        <v>7.4200000000000004E-4</v>
      </c>
      <c r="V362" s="32">
        <v>2.163E-3</v>
      </c>
      <c r="W362" s="32">
        <v>7.2009999999999999E-3</v>
      </c>
      <c r="X362" s="32">
        <v>1.3882E-2</v>
      </c>
      <c r="Y362" s="32">
        <v>2.5595E-2</v>
      </c>
      <c r="Z362" s="32">
        <v>5.9908000000000003E-2</v>
      </c>
      <c r="AA362" s="32">
        <v>7.5049000000000005E-2</v>
      </c>
      <c r="AB362" s="32">
        <v>7.0236999999999994E-2</v>
      </c>
    </row>
    <row r="363" spans="1:28" ht="15.6" customHeight="1" x14ac:dyDescent="0.25">
      <c r="A363" s="24" t="s">
        <v>645</v>
      </c>
      <c r="B363" s="50">
        <v>3947</v>
      </c>
      <c r="C363" s="25" t="s">
        <v>646</v>
      </c>
      <c r="D363" s="25" t="s">
        <v>164</v>
      </c>
      <c r="E363" s="25" t="s">
        <v>194</v>
      </c>
      <c r="F363" s="25" t="s">
        <v>113</v>
      </c>
      <c r="G363" s="26" t="s">
        <v>647</v>
      </c>
      <c r="H363" s="27" t="s">
        <v>327</v>
      </c>
      <c r="I363" s="24" t="s">
        <v>106</v>
      </c>
      <c r="J363" s="24" t="s">
        <v>121</v>
      </c>
      <c r="K363" s="28" t="s">
        <v>227</v>
      </c>
      <c r="L363" s="29">
        <v>0.03</v>
      </c>
      <c r="M363" s="29">
        <v>1.4999999999999999E-2</v>
      </c>
      <c r="N363" s="29">
        <v>0.02</v>
      </c>
      <c r="O363" s="27" t="s">
        <v>161</v>
      </c>
      <c r="P363" s="30" t="s">
        <v>164</v>
      </c>
      <c r="Q363" s="31">
        <v>382272676.57999998</v>
      </c>
      <c r="R363" s="31">
        <v>842010.3</v>
      </c>
      <c r="S363" s="32">
        <v>-1.4675000000000001E-2</v>
      </c>
      <c r="T363" s="32" t="s">
        <v>139</v>
      </c>
      <c r="U363" s="32">
        <v>1.0889999999999999E-3</v>
      </c>
      <c r="V363" s="32">
        <v>3.467E-3</v>
      </c>
      <c r="W363" s="32">
        <v>-1.939E-3</v>
      </c>
      <c r="X363" s="32">
        <v>-1.1094E-2</v>
      </c>
      <c r="Y363" s="32">
        <v>-2.3207999999999999E-2</v>
      </c>
      <c r="Z363" s="32">
        <v>8.0699999999999994E-2</v>
      </c>
      <c r="AA363" s="32">
        <v>0.23954500000000001</v>
      </c>
      <c r="AB363" s="32">
        <v>0.116438</v>
      </c>
    </row>
    <row r="364" spans="1:28" ht="15.6" customHeight="1" x14ac:dyDescent="0.25">
      <c r="A364" s="24" t="s">
        <v>1423</v>
      </c>
      <c r="B364" s="50">
        <v>3948</v>
      </c>
      <c r="C364" s="25" t="s">
        <v>1424</v>
      </c>
      <c r="D364" s="25" t="s">
        <v>164</v>
      </c>
      <c r="E364" s="25" t="s">
        <v>194</v>
      </c>
      <c r="F364" s="25" t="s">
        <v>138</v>
      </c>
      <c r="G364" s="26" t="s">
        <v>139</v>
      </c>
      <c r="H364" s="27" t="s">
        <v>1425</v>
      </c>
      <c r="I364" s="24" t="s">
        <v>998</v>
      </c>
      <c r="J364" s="24" t="s">
        <v>121</v>
      </c>
      <c r="K364" s="28" t="s">
        <v>227</v>
      </c>
      <c r="L364" s="29">
        <v>0</v>
      </c>
      <c r="M364" s="29">
        <v>0</v>
      </c>
      <c r="N364" s="29">
        <v>0.02</v>
      </c>
      <c r="O364" s="27" t="s">
        <v>166</v>
      </c>
      <c r="P364" s="30" t="s">
        <v>164</v>
      </c>
      <c r="Q364" s="31">
        <v>217541773.21000001</v>
      </c>
      <c r="R364" s="31">
        <v>2038.03</v>
      </c>
      <c r="S364" s="32">
        <v>2.5552999999999999E-2</v>
      </c>
      <c r="T364" s="32" t="s">
        <v>139</v>
      </c>
      <c r="U364" s="32">
        <v>7.0410000000000004E-3</v>
      </c>
      <c r="V364" s="32">
        <v>4.1537999999999999E-2</v>
      </c>
      <c r="W364" s="32">
        <v>3.6664000000000002E-2</v>
      </c>
      <c r="X364" s="32">
        <v>2.4146000000000001E-2</v>
      </c>
      <c r="Y364" s="32">
        <v>-1.0329E-2</v>
      </c>
      <c r="Z364" s="32">
        <v>0.251031</v>
      </c>
      <c r="AA364" s="32">
        <v>0.41488599999999998</v>
      </c>
      <c r="AB364" s="32">
        <v>0.37795000000000001</v>
      </c>
    </row>
    <row r="365" spans="1:28" ht="15.6" customHeight="1" x14ac:dyDescent="0.25">
      <c r="A365" s="24" t="s">
        <v>648</v>
      </c>
      <c r="B365" s="50">
        <v>3949</v>
      </c>
      <c r="C365" s="25" t="s">
        <v>649</v>
      </c>
      <c r="D365" s="25" t="s">
        <v>145</v>
      </c>
      <c r="E365" s="25" t="s">
        <v>194</v>
      </c>
      <c r="F365" s="25" t="s">
        <v>361</v>
      </c>
      <c r="G365" s="26" t="s">
        <v>139</v>
      </c>
      <c r="H365" s="27" t="s">
        <v>188</v>
      </c>
      <c r="I365" s="24" t="s">
        <v>106</v>
      </c>
      <c r="J365" s="24" t="s">
        <v>107</v>
      </c>
      <c r="K365" s="28" t="s">
        <v>108</v>
      </c>
      <c r="L365" s="29">
        <v>0.01</v>
      </c>
      <c r="M365" s="29">
        <v>0.01</v>
      </c>
      <c r="N365" s="29">
        <v>0.02</v>
      </c>
      <c r="O365" s="27" t="s">
        <v>148</v>
      </c>
      <c r="P365" s="30" t="s">
        <v>145</v>
      </c>
      <c r="Q365" s="31">
        <v>1896662544.98</v>
      </c>
      <c r="R365" s="31">
        <v>1060.75</v>
      </c>
      <c r="S365" s="32">
        <v>1.3656E-2</v>
      </c>
      <c r="T365" s="32" t="s">
        <v>139</v>
      </c>
      <c r="U365" s="32">
        <v>3.8699999999999997E-4</v>
      </c>
      <c r="V365" s="32">
        <v>1.738E-3</v>
      </c>
      <c r="W365" s="32">
        <v>5.2979999999999998E-3</v>
      </c>
      <c r="X365" s="32">
        <v>1.0459E-2</v>
      </c>
      <c r="Y365" s="32">
        <v>2.0913999999999999E-2</v>
      </c>
      <c r="Z365" s="32">
        <v>4.4353999999999998E-2</v>
      </c>
      <c r="AA365" s="32" t="s">
        <v>139</v>
      </c>
      <c r="AB365" s="32" t="s">
        <v>139</v>
      </c>
    </row>
    <row r="366" spans="1:28" ht="15.6" customHeight="1" x14ac:dyDescent="0.25">
      <c r="A366" s="24" t="s">
        <v>1426</v>
      </c>
      <c r="B366" s="50">
        <v>3950</v>
      </c>
      <c r="C366" s="25" t="s">
        <v>1427</v>
      </c>
      <c r="D366" s="25" t="s">
        <v>159</v>
      </c>
      <c r="E366" s="25" t="s">
        <v>102</v>
      </c>
      <c r="F366" s="25" t="s">
        <v>113</v>
      </c>
      <c r="G366" s="26" t="s">
        <v>1428</v>
      </c>
      <c r="H366" s="27" t="s">
        <v>1429</v>
      </c>
      <c r="I366" s="24" t="s">
        <v>998</v>
      </c>
      <c r="J366" s="24" t="s">
        <v>121</v>
      </c>
      <c r="K366" s="28" t="s">
        <v>108</v>
      </c>
      <c r="L366" s="29">
        <v>0</v>
      </c>
      <c r="M366" s="29">
        <v>0</v>
      </c>
      <c r="N366" s="29">
        <v>0.02</v>
      </c>
      <c r="O366" s="27" t="s">
        <v>161</v>
      </c>
      <c r="P366" s="30" t="s">
        <v>159</v>
      </c>
      <c r="Q366" s="31">
        <v>476525317.81999999</v>
      </c>
      <c r="R366" s="31">
        <v>1106.9100000000001</v>
      </c>
      <c r="S366" s="32">
        <v>9.3469999999999994E-3</v>
      </c>
      <c r="T366" s="32" t="s">
        <v>139</v>
      </c>
      <c r="U366" s="32">
        <v>8.2299999999999995E-4</v>
      </c>
      <c r="V366" s="32">
        <v>2.699E-3</v>
      </c>
      <c r="W366" s="32">
        <v>5.7609999999999996E-3</v>
      </c>
      <c r="X366" s="32">
        <v>6.0169999999999998E-3</v>
      </c>
      <c r="Y366" s="32">
        <v>1.108E-2</v>
      </c>
      <c r="Z366" s="32">
        <v>8.2404000000000005E-2</v>
      </c>
      <c r="AA366" s="32" t="s">
        <v>139</v>
      </c>
      <c r="AB366" s="32" t="s">
        <v>139</v>
      </c>
    </row>
    <row r="367" spans="1:28" ht="15.6" customHeight="1" x14ac:dyDescent="0.25">
      <c r="A367" s="24" t="s">
        <v>650</v>
      </c>
      <c r="B367" s="50">
        <v>3951</v>
      </c>
      <c r="C367" s="25" t="s">
        <v>651</v>
      </c>
      <c r="D367" s="25" t="s">
        <v>261</v>
      </c>
      <c r="E367" s="25" t="s">
        <v>194</v>
      </c>
      <c r="F367" s="25" t="s">
        <v>113</v>
      </c>
      <c r="G367" s="26" t="s">
        <v>652</v>
      </c>
      <c r="H367" s="27" t="s">
        <v>653</v>
      </c>
      <c r="I367" s="24" t="s">
        <v>106</v>
      </c>
      <c r="J367" s="24" t="s">
        <v>121</v>
      </c>
      <c r="K367" s="28" t="s">
        <v>108</v>
      </c>
      <c r="L367" s="29">
        <v>0</v>
      </c>
      <c r="M367" s="29">
        <v>0</v>
      </c>
      <c r="N367" s="29">
        <v>0</v>
      </c>
      <c r="O367" s="27" t="s">
        <v>262</v>
      </c>
      <c r="P367" s="30" t="s">
        <v>261</v>
      </c>
      <c r="Q367" s="31">
        <v>765300292.26999998</v>
      </c>
      <c r="R367" s="31">
        <v>1086.5999999999999</v>
      </c>
      <c r="S367" s="32">
        <v>-1.5082999999999999E-2</v>
      </c>
      <c r="T367" s="32" t="s">
        <v>139</v>
      </c>
      <c r="U367" s="32">
        <v>8.1999999999999998E-4</v>
      </c>
      <c r="V367" s="32">
        <v>6.3629999999999997E-3</v>
      </c>
      <c r="W367" s="32">
        <v>1.6869999999999999E-3</v>
      </c>
      <c r="X367" s="32">
        <v>-1.2173E-2</v>
      </c>
      <c r="Y367" s="32">
        <v>-2.5803E-2</v>
      </c>
      <c r="Z367" s="32">
        <v>7.1322999999999998E-2</v>
      </c>
      <c r="AA367" s="32" t="s">
        <v>139</v>
      </c>
      <c r="AB367" s="32" t="s">
        <v>139</v>
      </c>
    </row>
    <row r="368" spans="1:28" ht="15.6" customHeight="1" x14ac:dyDescent="0.25">
      <c r="A368" s="24" t="s">
        <v>1430</v>
      </c>
      <c r="B368" s="50">
        <v>3952</v>
      </c>
      <c r="C368" s="25" t="s">
        <v>1431</v>
      </c>
      <c r="D368" s="25" t="s">
        <v>261</v>
      </c>
      <c r="E368" s="25" t="s">
        <v>194</v>
      </c>
      <c r="F368" s="25" t="s">
        <v>113</v>
      </c>
      <c r="G368" s="26" t="s">
        <v>702</v>
      </c>
      <c r="H368" s="27" t="s">
        <v>653</v>
      </c>
      <c r="I368" s="24" t="s">
        <v>998</v>
      </c>
      <c r="J368" s="24" t="s">
        <v>121</v>
      </c>
      <c r="K368" s="28" t="s">
        <v>108</v>
      </c>
      <c r="L368" s="29">
        <v>0</v>
      </c>
      <c r="M368" s="29">
        <v>0</v>
      </c>
      <c r="N368" s="29">
        <v>0</v>
      </c>
      <c r="O368" s="27" t="s">
        <v>548</v>
      </c>
      <c r="P368" s="30" t="s">
        <v>261</v>
      </c>
      <c r="Q368" s="31">
        <v>545166410.80999994</v>
      </c>
      <c r="R368" s="31">
        <v>1133.69</v>
      </c>
      <c r="S368" s="32">
        <v>-9.0799999999999995E-4</v>
      </c>
      <c r="T368" s="32" t="s">
        <v>139</v>
      </c>
      <c r="U368" s="32">
        <v>1.6429999999999999E-3</v>
      </c>
      <c r="V368" s="32">
        <v>7.2139999999999999E-3</v>
      </c>
      <c r="W368" s="32">
        <v>7.169E-3</v>
      </c>
      <c r="X368" s="32">
        <v>-1.8E-5</v>
      </c>
      <c r="Y368" s="32">
        <v>-8.4489999999999999E-3</v>
      </c>
      <c r="Z368" s="32">
        <v>0.101012</v>
      </c>
      <c r="AA368" s="32" t="s">
        <v>139</v>
      </c>
      <c r="AB368" s="32" t="s">
        <v>139</v>
      </c>
    </row>
    <row r="369" spans="1:28" ht="15.6" customHeight="1" x14ac:dyDescent="0.25">
      <c r="A369" s="24" t="s">
        <v>1432</v>
      </c>
      <c r="B369" s="50">
        <v>3953</v>
      </c>
      <c r="C369" s="25" t="s">
        <v>1433</v>
      </c>
      <c r="D369" s="25" t="s">
        <v>164</v>
      </c>
      <c r="E369" s="25" t="s">
        <v>194</v>
      </c>
      <c r="F369" s="25" t="s">
        <v>138</v>
      </c>
      <c r="G369" s="26" t="s">
        <v>139</v>
      </c>
      <c r="H369" s="27" t="s">
        <v>1434</v>
      </c>
      <c r="I369" s="24" t="s">
        <v>998</v>
      </c>
      <c r="J369" s="24" t="s">
        <v>107</v>
      </c>
      <c r="K369" s="28" t="s">
        <v>227</v>
      </c>
      <c r="L369" s="29">
        <v>0.02</v>
      </c>
      <c r="M369" s="29">
        <v>0.02</v>
      </c>
      <c r="N369" s="29">
        <v>0.02</v>
      </c>
      <c r="O369" s="27" t="s">
        <v>166</v>
      </c>
      <c r="P369" s="30" t="s">
        <v>164</v>
      </c>
      <c r="Q369" s="31">
        <v>860830545.99000001</v>
      </c>
      <c r="R369" s="31">
        <v>1157030.3</v>
      </c>
      <c r="S369" s="32">
        <v>7.9903000000000002E-2</v>
      </c>
      <c r="T369" s="32" t="s">
        <v>139</v>
      </c>
      <c r="U369" s="32">
        <v>1.7035000000000002E-2</v>
      </c>
      <c r="V369" s="32">
        <v>6.3076999999999994E-2</v>
      </c>
      <c r="W369" s="32">
        <v>5.2928999999999997E-2</v>
      </c>
      <c r="X369" s="32">
        <v>5.9970000000000002E-2</v>
      </c>
      <c r="Y369" s="32">
        <v>6.3393000000000005E-2</v>
      </c>
      <c r="Z369" s="32">
        <v>0.13892399999999999</v>
      </c>
      <c r="AA369" s="32" t="s">
        <v>139</v>
      </c>
      <c r="AB369" s="32" t="s">
        <v>139</v>
      </c>
    </row>
    <row r="370" spans="1:28" ht="15.6" customHeight="1" x14ac:dyDescent="0.25">
      <c r="A370" s="24" t="s">
        <v>654</v>
      </c>
      <c r="B370" s="50">
        <v>3954</v>
      </c>
      <c r="C370" s="25" t="s">
        <v>655</v>
      </c>
      <c r="D370" s="25" t="s">
        <v>504</v>
      </c>
      <c r="E370" s="25" t="s">
        <v>194</v>
      </c>
      <c r="F370" s="25" t="s">
        <v>113</v>
      </c>
      <c r="G370" s="26" t="s">
        <v>439</v>
      </c>
      <c r="H370" s="27" t="s">
        <v>115</v>
      </c>
      <c r="I370" s="24" t="s">
        <v>106</v>
      </c>
      <c r="J370" s="24" t="s">
        <v>121</v>
      </c>
      <c r="K370" s="28" t="s">
        <v>108</v>
      </c>
      <c r="L370" s="29">
        <v>0</v>
      </c>
      <c r="M370" s="29">
        <v>0</v>
      </c>
      <c r="N370" s="29">
        <v>0.02</v>
      </c>
      <c r="O370" s="27" t="s">
        <v>161</v>
      </c>
      <c r="P370" s="30" t="s">
        <v>504</v>
      </c>
      <c r="Q370" s="31">
        <v>2323384960.0999999</v>
      </c>
      <c r="R370" s="31">
        <v>1208.77</v>
      </c>
      <c r="S370" s="32">
        <v>-1.08E-4</v>
      </c>
      <c r="T370" s="32" t="s">
        <v>139</v>
      </c>
      <c r="U370" s="32">
        <v>9.6100000000000005E-4</v>
      </c>
      <c r="V370" s="32">
        <v>3.32E-3</v>
      </c>
      <c r="W370" s="32">
        <v>2.7460000000000002E-3</v>
      </c>
      <c r="X370" s="32">
        <v>7.5299999999999998E-4</v>
      </c>
      <c r="Y370" s="32">
        <v>-2.4759999999999999E-3</v>
      </c>
      <c r="Z370" s="32">
        <v>8.7317000000000006E-2</v>
      </c>
      <c r="AA370" s="32">
        <v>0.17407600000000001</v>
      </c>
      <c r="AB370" s="32" t="s">
        <v>139</v>
      </c>
    </row>
    <row r="371" spans="1:28" ht="15.6" customHeight="1" x14ac:dyDescent="0.25">
      <c r="A371" s="24" t="s">
        <v>1435</v>
      </c>
      <c r="B371" s="50">
        <v>3955</v>
      </c>
      <c r="C371" s="25" t="s">
        <v>1436</v>
      </c>
      <c r="D371" s="25" t="s">
        <v>342</v>
      </c>
      <c r="E371" s="25" t="s">
        <v>194</v>
      </c>
      <c r="F371" s="25" t="s">
        <v>138</v>
      </c>
      <c r="G371" s="26" t="s">
        <v>139</v>
      </c>
      <c r="H371" s="27" t="s">
        <v>1273</v>
      </c>
      <c r="I371" s="24" t="s">
        <v>998</v>
      </c>
      <c r="J371" s="24" t="s">
        <v>107</v>
      </c>
      <c r="K371" s="28" t="s">
        <v>180</v>
      </c>
      <c r="L371" s="29">
        <v>0.03</v>
      </c>
      <c r="M371" s="29">
        <v>0.03</v>
      </c>
      <c r="N371" s="29">
        <v>0.02</v>
      </c>
      <c r="O371" s="27" t="s">
        <v>166</v>
      </c>
      <c r="P371" s="30" t="s">
        <v>344</v>
      </c>
      <c r="Q371" s="31">
        <v>502665337.31</v>
      </c>
      <c r="R371" s="31">
        <v>1114.4000000000001</v>
      </c>
      <c r="S371" s="32">
        <v>-4.9535999999999997E-2</v>
      </c>
      <c r="T371" s="32" t="s">
        <v>139</v>
      </c>
      <c r="U371" s="32">
        <v>2.248E-3</v>
      </c>
      <c r="V371" s="32">
        <v>2.0334999999999999E-2</v>
      </c>
      <c r="W371" s="32">
        <v>1.1564E-2</v>
      </c>
      <c r="X371" s="32">
        <v>-5.1171000000000001E-2</v>
      </c>
      <c r="Y371" s="32">
        <v>-9.7637000000000002E-2</v>
      </c>
      <c r="Z371" s="32" t="s">
        <v>139</v>
      </c>
      <c r="AA371" s="32" t="s">
        <v>139</v>
      </c>
      <c r="AB371" s="32" t="s">
        <v>139</v>
      </c>
    </row>
    <row r="372" spans="1:28" ht="15.6" customHeight="1" x14ac:dyDescent="0.25">
      <c r="A372" s="24" t="s">
        <v>656</v>
      </c>
      <c r="B372" s="50">
        <v>3957</v>
      </c>
      <c r="C372" s="25" t="s">
        <v>657</v>
      </c>
      <c r="D372" s="25" t="s">
        <v>570</v>
      </c>
      <c r="E372" s="25" t="s">
        <v>194</v>
      </c>
      <c r="F372" s="25" t="s">
        <v>113</v>
      </c>
      <c r="G372" s="26" t="s">
        <v>638</v>
      </c>
      <c r="H372" s="27" t="s">
        <v>658</v>
      </c>
      <c r="I372" s="24" t="s">
        <v>106</v>
      </c>
      <c r="J372" s="24" t="s">
        <v>107</v>
      </c>
      <c r="K372" s="28" t="s">
        <v>227</v>
      </c>
      <c r="L372" s="29">
        <v>0.03</v>
      </c>
      <c r="M372" s="29">
        <v>0.03</v>
      </c>
      <c r="N372" s="29">
        <v>0.02</v>
      </c>
      <c r="O372" s="27" t="s">
        <v>659</v>
      </c>
      <c r="P372" s="30" t="s">
        <v>570</v>
      </c>
      <c r="Q372" s="31">
        <v>1164502023.27</v>
      </c>
      <c r="R372" s="31">
        <v>1100.19</v>
      </c>
      <c r="S372" s="32">
        <v>-1.1261E-2</v>
      </c>
      <c r="T372" s="32" t="s">
        <v>139</v>
      </c>
      <c r="U372" s="32">
        <v>1.812E-3</v>
      </c>
      <c r="V372" s="32">
        <v>8.3499999999999998E-3</v>
      </c>
      <c r="W372" s="32">
        <v>2.232E-3</v>
      </c>
      <c r="X372" s="32">
        <v>-9.4359999999999999E-3</v>
      </c>
      <c r="Y372" s="32">
        <v>-2.3970999999999999E-2</v>
      </c>
      <c r="Z372" s="32" t="s">
        <v>139</v>
      </c>
      <c r="AA372" s="32" t="s">
        <v>139</v>
      </c>
      <c r="AB372" s="32" t="s">
        <v>139</v>
      </c>
    </row>
    <row r="373" spans="1:28" ht="15.6" customHeight="1" x14ac:dyDescent="0.25">
      <c r="A373" s="24" t="s">
        <v>1437</v>
      </c>
      <c r="B373" s="50">
        <v>3959</v>
      </c>
      <c r="C373" s="25" t="s">
        <v>1438</v>
      </c>
      <c r="D373" s="25" t="s">
        <v>145</v>
      </c>
      <c r="E373" s="25" t="s">
        <v>194</v>
      </c>
      <c r="F373" s="25" t="s">
        <v>113</v>
      </c>
      <c r="G373" s="26" t="s">
        <v>1344</v>
      </c>
      <c r="H373" s="27" t="s">
        <v>152</v>
      </c>
      <c r="I373" s="24" t="s">
        <v>998</v>
      </c>
      <c r="J373" s="24" t="s">
        <v>121</v>
      </c>
      <c r="K373" s="28" t="s">
        <v>227</v>
      </c>
      <c r="L373" s="29">
        <v>0</v>
      </c>
      <c r="M373" s="29">
        <v>0</v>
      </c>
      <c r="N373" s="29">
        <v>0.02</v>
      </c>
      <c r="O373" s="27" t="s">
        <v>148</v>
      </c>
      <c r="P373" s="30" t="s">
        <v>145</v>
      </c>
      <c r="Q373" s="31">
        <v>2119523395.9200001</v>
      </c>
      <c r="R373" s="31">
        <v>1229.8499999999999</v>
      </c>
      <c r="S373" s="32">
        <v>4.5600000000000003E-4</v>
      </c>
      <c r="T373" s="32" t="s">
        <v>139</v>
      </c>
      <c r="U373" s="32">
        <v>1.1069999999999999E-3</v>
      </c>
      <c r="V373" s="32">
        <v>3.0179999999999998E-3</v>
      </c>
      <c r="W373" s="32">
        <v>5.13E-4</v>
      </c>
      <c r="X373" s="32">
        <v>-2.5469999999999998E-3</v>
      </c>
      <c r="Y373" s="32">
        <v>-1.4859999999999999E-3</v>
      </c>
      <c r="Z373" s="32" t="s">
        <v>139</v>
      </c>
      <c r="AA373" s="32" t="s">
        <v>139</v>
      </c>
      <c r="AB373" s="32" t="s">
        <v>139</v>
      </c>
    </row>
    <row r="374" spans="1:28" ht="15.6" customHeight="1" x14ac:dyDescent="0.25">
      <c r="A374" s="24" t="s">
        <v>660</v>
      </c>
      <c r="B374" s="50">
        <v>3960</v>
      </c>
      <c r="C374" s="25" t="s">
        <v>661</v>
      </c>
      <c r="D374" s="25" t="s">
        <v>241</v>
      </c>
      <c r="E374" s="25" t="s">
        <v>194</v>
      </c>
      <c r="F374" s="25" t="s">
        <v>138</v>
      </c>
      <c r="G374" s="26" t="s">
        <v>139</v>
      </c>
      <c r="H374" s="27" t="s">
        <v>662</v>
      </c>
      <c r="I374" s="24" t="s">
        <v>106</v>
      </c>
      <c r="J374" s="24" t="s">
        <v>107</v>
      </c>
      <c r="K374" s="28" t="s">
        <v>227</v>
      </c>
      <c r="L374" s="29">
        <v>0.03</v>
      </c>
      <c r="M374" s="29">
        <v>1.4999999999999999E-2</v>
      </c>
      <c r="N374" s="29">
        <v>0.02</v>
      </c>
      <c r="O374" s="27" t="s">
        <v>663</v>
      </c>
      <c r="P374" s="30" t="s">
        <v>241</v>
      </c>
      <c r="Q374" s="31">
        <v>1605243777.27</v>
      </c>
      <c r="R374" s="31">
        <v>1193.1300000000001</v>
      </c>
      <c r="S374" s="32">
        <v>-8.0560000000000007E-3</v>
      </c>
      <c r="T374" s="32" t="s">
        <v>139</v>
      </c>
      <c r="U374" s="32">
        <v>6.4279999999999997E-3</v>
      </c>
      <c r="V374" s="32">
        <v>3.5290000000000002E-2</v>
      </c>
      <c r="W374" s="32">
        <v>2.5774999999999999E-2</v>
      </c>
      <c r="X374" s="32">
        <v>-5.9649999999999998E-3</v>
      </c>
      <c r="Y374" s="32">
        <v>-5.3228999999999999E-2</v>
      </c>
      <c r="Z374" s="32" t="s">
        <v>139</v>
      </c>
      <c r="AA374" s="32" t="s">
        <v>139</v>
      </c>
      <c r="AB374" s="32" t="s">
        <v>139</v>
      </c>
    </row>
    <row r="375" spans="1:28" ht="15.6" customHeight="1" x14ac:dyDescent="0.25">
      <c r="A375" s="24" t="s">
        <v>1439</v>
      </c>
      <c r="B375" s="50">
        <v>3961</v>
      </c>
      <c r="C375" s="25" t="s">
        <v>1440</v>
      </c>
      <c r="D375" s="25" t="s">
        <v>101</v>
      </c>
      <c r="E375" s="25" t="s">
        <v>194</v>
      </c>
      <c r="F375" s="25" t="s">
        <v>113</v>
      </c>
      <c r="G375" s="26" t="s">
        <v>1441</v>
      </c>
      <c r="H375" s="27" t="s">
        <v>115</v>
      </c>
      <c r="I375" s="24" t="s">
        <v>998</v>
      </c>
      <c r="J375" s="24" t="s">
        <v>121</v>
      </c>
      <c r="K375" s="28" t="s">
        <v>108</v>
      </c>
      <c r="L375" s="29">
        <v>0</v>
      </c>
      <c r="M375" s="29">
        <v>0</v>
      </c>
      <c r="N375" s="29">
        <v>0.02</v>
      </c>
      <c r="O375" s="27" t="s">
        <v>548</v>
      </c>
      <c r="P375" s="30" t="s">
        <v>101</v>
      </c>
      <c r="Q375" s="31">
        <v>1028906325.12</v>
      </c>
      <c r="R375" s="31">
        <v>1133.1199999999999</v>
      </c>
      <c r="S375" s="32">
        <v>1.812E-3</v>
      </c>
      <c r="T375" s="32" t="s">
        <v>139</v>
      </c>
      <c r="U375" s="32">
        <v>1.848E-3</v>
      </c>
      <c r="V375" s="32">
        <v>7.4510000000000002E-3</v>
      </c>
      <c r="W375" s="32">
        <v>6.3229999999999996E-3</v>
      </c>
      <c r="X375" s="32">
        <v>2.1310000000000001E-3</v>
      </c>
      <c r="Y375" s="32">
        <v>-7.8890000000000002E-3</v>
      </c>
      <c r="Z375" s="32" t="s">
        <v>139</v>
      </c>
      <c r="AA375" s="32" t="s">
        <v>139</v>
      </c>
      <c r="AB375" s="32" t="s">
        <v>139</v>
      </c>
    </row>
    <row r="376" spans="1:28" ht="15.6" customHeight="1" x14ac:dyDescent="0.25">
      <c r="A376" s="24" t="s">
        <v>664</v>
      </c>
      <c r="B376" s="50">
        <v>3962</v>
      </c>
      <c r="C376" s="25" t="s">
        <v>665</v>
      </c>
      <c r="D376" s="25" t="s">
        <v>241</v>
      </c>
      <c r="E376" s="25" t="s">
        <v>194</v>
      </c>
      <c r="F376" s="25" t="s">
        <v>113</v>
      </c>
      <c r="G376" s="26" t="s">
        <v>666</v>
      </c>
      <c r="H376" s="27" t="s">
        <v>667</v>
      </c>
      <c r="I376" s="24" t="s">
        <v>106</v>
      </c>
      <c r="J376" s="24" t="s">
        <v>121</v>
      </c>
      <c r="K376" s="28" t="s">
        <v>227</v>
      </c>
      <c r="L376" s="29">
        <v>0</v>
      </c>
      <c r="M376" s="29">
        <v>0</v>
      </c>
      <c r="N376" s="29">
        <v>0.02</v>
      </c>
      <c r="O376" s="27" t="s">
        <v>173</v>
      </c>
      <c r="P376" s="30" t="s">
        <v>241</v>
      </c>
      <c r="Q376" s="31">
        <v>887205972.74000001</v>
      </c>
      <c r="R376" s="31">
        <v>1076.68</v>
      </c>
      <c r="S376" s="32">
        <v>1.6177E-2</v>
      </c>
      <c r="T376" s="32" t="s">
        <v>139</v>
      </c>
      <c r="U376" s="32">
        <v>1.0790000000000001E-3</v>
      </c>
      <c r="V376" s="32">
        <v>3.9259999999999998E-3</v>
      </c>
      <c r="W376" s="32">
        <v>9.3089999999999996E-3</v>
      </c>
      <c r="X376" s="32">
        <v>1.3155E-2</v>
      </c>
      <c r="Y376" s="32">
        <v>2.0801E-2</v>
      </c>
      <c r="Z376" s="32" t="s">
        <v>139</v>
      </c>
      <c r="AA376" s="32" t="s">
        <v>139</v>
      </c>
      <c r="AB376" s="32" t="s">
        <v>139</v>
      </c>
    </row>
    <row r="377" spans="1:28" ht="15.6" customHeight="1" x14ac:dyDescent="0.25">
      <c r="A377" s="24" t="s">
        <v>668</v>
      </c>
      <c r="B377" s="50">
        <v>3963</v>
      </c>
      <c r="C377" s="25" t="s">
        <v>669</v>
      </c>
      <c r="D377" s="25" t="s">
        <v>316</v>
      </c>
      <c r="E377" s="25" t="s">
        <v>194</v>
      </c>
      <c r="F377" s="25" t="s">
        <v>113</v>
      </c>
      <c r="G377" s="26" t="s">
        <v>670</v>
      </c>
      <c r="H377" s="27" t="s">
        <v>115</v>
      </c>
      <c r="I377" s="24" t="s">
        <v>106</v>
      </c>
      <c r="J377" s="24" t="s">
        <v>107</v>
      </c>
      <c r="K377" s="28" t="s">
        <v>108</v>
      </c>
      <c r="L377" s="29">
        <v>0.03</v>
      </c>
      <c r="M377" s="29">
        <v>0.03</v>
      </c>
      <c r="N377" s="29">
        <v>0.02</v>
      </c>
      <c r="O377" s="27" t="s">
        <v>161</v>
      </c>
      <c r="P377" s="30" t="s">
        <v>316</v>
      </c>
      <c r="Q377" s="31">
        <v>1058465768.42</v>
      </c>
      <c r="R377" s="31">
        <v>1032.8399999999999</v>
      </c>
      <c r="S377" s="32">
        <v>-4.8939999999999999E-3</v>
      </c>
      <c r="T377" s="32" t="s">
        <v>139</v>
      </c>
      <c r="U377" s="32">
        <v>2.349E-3</v>
      </c>
      <c r="V377" s="32">
        <v>9.6579999999999999E-3</v>
      </c>
      <c r="W377" s="32">
        <v>5.8729999999999997E-3</v>
      </c>
      <c r="X377" s="32">
        <v>-3.6849999999999999E-3</v>
      </c>
      <c r="Y377" s="32">
        <v>-1.8082000000000001E-2</v>
      </c>
      <c r="Z377" s="32" t="s">
        <v>139</v>
      </c>
      <c r="AA377" s="32" t="s">
        <v>139</v>
      </c>
      <c r="AB377" s="32" t="s">
        <v>139</v>
      </c>
    </row>
    <row r="378" spans="1:28" ht="15.6" customHeight="1" x14ac:dyDescent="0.25">
      <c r="A378" s="24" t="s">
        <v>671</v>
      </c>
      <c r="B378" s="50">
        <v>3965</v>
      </c>
      <c r="C378" s="25" t="s">
        <v>672</v>
      </c>
      <c r="D378" s="25" t="s">
        <v>504</v>
      </c>
      <c r="E378" s="25" t="s">
        <v>194</v>
      </c>
      <c r="F378" s="25" t="s">
        <v>113</v>
      </c>
      <c r="G378" s="26" t="s">
        <v>439</v>
      </c>
      <c r="H378" s="27" t="s">
        <v>115</v>
      </c>
      <c r="I378" s="24" t="s">
        <v>106</v>
      </c>
      <c r="J378" s="24" t="s">
        <v>121</v>
      </c>
      <c r="K378" s="28" t="s">
        <v>108</v>
      </c>
      <c r="L378" s="29">
        <v>0</v>
      </c>
      <c r="M378" s="29">
        <v>0</v>
      </c>
      <c r="N378" s="29">
        <v>0.02</v>
      </c>
      <c r="O378" s="27" t="s">
        <v>161</v>
      </c>
      <c r="P378" s="30" t="s">
        <v>673</v>
      </c>
      <c r="Q378" s="31">
        <v>1123092.44</v>
      </c>
      <c r="R378" s="31">
        <v>1123.0899999999999</v>
      </c>
      <c r="S378" s="32">
        <v>4.7199999999999998E-4</v>
      </c>
      <c r="T378" s="32" t="s">
        <v>139</v>
      </c>
      <c r="U378" s="32">
        <v>1.034E-3</v>
      </c>
      <c r="V378" s="32">
        <v>2.8219999999999999E-3</v>
      </c>
      <c r="W378" s="32">
        <v>3.754E-3</v>
      </c>
      <c r="X378" s="32">
        <v>-1.245E-3</v>
      </c>
      <c r="Y378" s="32">
        <v>-4.3790000000000001E-3</v>
      </c>
      <c r="Z378" s="32">
        <v>8.0185000000000006E-2</v>
      </c>
      <c r="AA378" s="32">
        <v>0.14857699999999999</v>
      </c>
      <c r="AB378" s="32" t="s">
        <v>139</v>
      </c>
    </row>
    <row r="379" spans="1:28" ht="15.6" customHeight="1" x14ac:dyDescent="0.25">
      <c r="A379" s="24" t="s">
        <v>674</v>
      </c>
      <c r="B379" s="50">
        <v>3966</v>
      </c>
      <c r="C379" s="25" t="s">
        <v>675</v>
      </c>
      <c r="D379" s="25" t="s">
        <v>241</v>
      </c>
      <c r="E379" s="25" t="s">
        <v>194</v>
      </c>
      <c r="F379" s="25" t="s">
        <v>113</v>
      </c>
      <c r="G379" s="26" t="s">
        <v>676</v>
      </c>
      <c r="H379" s="27" t="s">
        <v>120</v>
      </c>
      <c r="I379" s="24" t="s">
        <v>106</v>
      </c>
      <c r="J379" s="24" t="s">
        <v>121</v>
      </c>
      <c r="K379" s="28" t="s">
        <v>227</v>
      </c>
      <c r="L379" s="29">
        <v>0</v>
      </c>
      <c r="M379" s="29">
        <v>0</v>
      </c>
      <c r="N379" s="29">
        <v>0.02</v>
      </c>
      <c r="O379" s="27" t="s">
        <v>262</v>
      </c>
      <c r="P379" s="30" t="s">
        <v>241</v>
      </c>
      <c r="Q379" s="31">
        <v>17650797.82</v>
      </c>
      <c r="R379" s="31">
        <v>1356.91</v>
      </c>
      <c r="S379" s="32">
        <v>1.3792E-2</v>
      </c>
      <c r="T379" s="32" t="s">
        <v>139</v>
      </c>
      <c r="U379" s="32">
        <v>1.011E-3</v>
      </c>
      <c r="V379" s="32">
        <v>2.5049999999999998E-3</v>
      </c>
      <c r="W379" s="32">
        <v>6.11E-3</v>
      </c>
      <c r="X379" s="32">
        <v>1.2204E-2</v>
      </c>
      <c r="Y379" s="32">
        <v>1.1834000000000001E-2</v>
      </c>
      <c r="Z379" s="32">
        <v>0.10685</v>
      </c>
      <c r="AA379" s="32">
        <v>0.235037</v>
      </c>
      <c r="AB379" s="32">
        <v>0.36133399999999999</v>
      </c>
    </row>
    <row r="380" spans="1:28" ht="15.6" customHeight="1" x14ac:dyDescent="0.25">
      <c r="A380" s="24" t="s">
        <v>677</v>
      </c>
      <c r="B380" s="50">
        <v>3967</v>
      </c>
      <c r="C380" s="25" t="s">
        <v>678</v>
      </c>
      <c r="D380" s="25" t="s">
        <v>679</v>
      </c>
      <c r="E380" s="25" t="s">
        <v>194</v>
      </c>
      <c r="F380" s="25" t="s">
        <v>138</v>
      </c>
      <c r="G380" s="26" t="s">
        <v>139</v>
      </c>
      <c r="H380" s="27" t="s">
        <v>680</v>
      </c>
      <c r="I380" s="24" t="s">
        <v>106</v>
      </c>
      <c r="J380" s="24" t="s">
        <v>107</v>
      </c>
      <c r="K380" s="28" t="s">
        <v>108</v>
      </c>
      <c r="L380" s="29">
        <v>0.03</v>
      </c>
      <c r="M380" s="29">
        <v>1.4999999999999999E-2</v>
      </c>
      <c r="N380" s="29">
        <v>0.02</v>
      </c>
      <c r="O380" s="27" t="s">
        <v>659</v>
      </c>
      <c r="P380" s="30" t="s">
        <v>679</v>
      </c>
      <c r="Q380" s="31">
        <v>265953800</v>
      </c>
      <c r="R380" s="31">
        <v>993.06</v>
      </c>
      <c r="S380" s="32">
        <v>-8.8229999999999992E-3</v>
      </c>
      <c r="T380" s="32" t="s">
        <v>139</v>
      </c>
      <c r="U380" s="32">
        <v>7.5890000000000003E-3</v>
      </c>
      <c r="V380" s="32">
        <v>3.7539000000000003E-2</v>
      </c>
      <c r="W380" s="32">
        <v>2.3636000000000001E-2</v>
      </c>
      <c r="X380" s="32">
        <v>-9.0410000000000004E-3</v>
      </c>
      <c r="Y380" s="32">
        <v>-7.2522000000000003E-2</v>
      </c>
      <c r="Z380" s="32" t="s">
        <v>139</v>
      </c>
      <c r="AA380" s="32" t="s">
        <v>139</v>
      </c>
      <c r="AB380" s="32" t="s">
        <v>139</v>
      </c>
    </row>
    <row r="381" spans="1:28" ht="15.6" customHeight="1" x14ac:dyDescent="0.25">
      <c r="A381" s="24" t="s">
        <v>681</v>
      </c>
      <c r="B381" s="50">
        <v>3968</v>
      </c>
      <c r="C381" s="25" t="s">
        <v>682</v>
      </c>
      <c r="D381" s="25" t="s">
        <v>679</v>
      </c>
      <c r="E381" s="25" t="s">
        <v>194</v>
      </c>
      <c r="F381" s="25" t="s">
        <v>103</v>
      </c>
      <c r="G381" s="26" t="s">
        <v>392</v>
      </c>
      <c r="H381" s="27" t="s">
        <v>188</v>
      </c>
      <c r="I381" s="24" t="s">
        <v>106</v>
      </c>
      <c r="J381" s="24" t="s">
        <v>107</v>
      </c>
      <c r="K381" s="28" t="s">
        <v>108</v>
      </c>
      <c r="L381" s="29">
        <v>0.03</v>
      </c>
      <c r="M381" s="29">
        <v>1.4999999999999999E-2</v>
      </c>
      <c r="N381" s="29">
        <v>0.02</v>
      </c>
      <c r="O381" s="27" t="s">
        <v>659</v>
      </c>
      <c r="P381" s="30" t="s">
        <v>679</v>
      </c>
      <c r="Q381" s="31">
        <v>953077579.87</v>
      </c>
      <c r="R381" s="31">
        <v>1030.75</v>
      </c>
      <c r="S381" s="32">
        <v>1.7201000000000001E-2</v>
      </c>
      <c r="T381" s="32" t="s">
        <v>139</v>
      </c>
      <c r="U381" s="32">
        <v>5.7300000000000005E-4</v>
      </c>
      <c r="V381" s="32">
        <v>2.042E-3</v>
      </c>
      <c r="W381" s="32">
        <v>6.6020000000000002E-3</v>
      </c>
      <c r="X381" s="32">
        <v>1.3410999999999999E-2</v>
      </c>
      <c r="Y381" s="32">
        <v>2.5581E-2</v>
      </c>
      <c r="Z381" s="32" t="s">
        <v>139</v>
      </c>
      <c r="AA381" s="32" t="s">
        <v>139</v>
      </c>
      <c r="AB381" s="32" t="s">
        <v>139</v>
      </c>
    </row>
    <row r="382" spans="1:28" ht="15.6" customHeight="1" x14ac:dyDescent="0.25">
      <c r="A382" s="24" t="s">
        <v>683</v>
      </c>
      <c r="B382" s="50">
        <v>3969</v>
      </c>
      <c r="C382" s="25" t="s">
        <v>684</v>
      </c>
      <c r="D382" s="25" t="s">
        <v>679</v>
      </c>
      <c r="E382" s="25" t="s">
        <v>194</v>
      </c>
      <c r="F382" s="25" t="s">
        <v>113</v>
      </c>
      <c r="G382" s="26" t="s">
        <v>685</v>
      </c>
      <c r="H382" s="27" t="s">
        <v>115</v>
      </c>
      <c r="I382" s="24" t="s">
        <v>106</v>
      </c>
      <c r="J382" s="24" t="s">
        <v>107</v>
      </c>
      <c r="K382" s="28" t="s">
        <v>108</v>
      </c>
      <c r="L382" s="29">
        <v>0.03</v>
      </c>
      <c r="M382" s="29">
        <v>1.4999999999999999E-2</v>
      </c>
      <c r="N382" s="29">
        <v>0.02</v>
      </c>
      <c r="O382" s="27" t="s">
        <v>659</v>
      </c>
      <c r="P382" s="30" t="s">
        <v>679</v>
      </c>
      <c r="Q382" s="31">
        <v>525609391.61000001</v>
      </c>
      <c r="R382" s="31">
        <v>1010.56</v>
      </c>
      <c r="S382" s="32">
        <v>-5.2170000000000003E-3</v>
      </c>
      <c r="T382" s="32" t="s">
        <v>139</v>
      </c>
      <c r="U382" s="32">
        <v>1.377E-3</v>
      </c>
      <c r="V382" s="32">
        <v>6.3940000000000004E-3</v>
      </c>
      <c r="W382" s="32">
        <v>4.7730000000000003E-3</v>
      </c>
      <c r="X382" s="32">
        <v>-6.1269999999999996E-3</v>
      </c>
      <c r="Y382" s="32">
        <v>-8.2730000000000008E-3</v>
      </c>
      <c r="Z382" s="32" t="s">
        <v>139</v>
      </c>
      <c r="AA382" s="32" t="s">
        <v>139</v>
      </c>
      <c r="AB382" s="32" t="s">
        <v>139</v>
      </c>
    </row>
    <row r="383" spans="1:28" ht="15.6" customHeight="1" x14ac:dyDescent="0.25">
      <c r="A383" s="24" t="s">
        <v>686</v>
      </c>
      <c r="B383" s="50">
        <v>3970</v>
      </c>
      <c r="C383" s="25" t="s">
        <v>687</v>
      </c>
      <c r="D383" s="25" t="s">
        <v>679</v>
      </c>
      <c r="E383" s="25" t="s">
        <v>194</v>
      </c>
      <c r="F383" s="25" t="s">
        <v>113</v>
      </c>
      <c r="G383" s="26" t="s">
        <v>685</v>
      </c>
      <c r="H383" s="27" t="s">
        <v>115</v>
      </c>
      <c r="I383" s="24" t="s">
        <v>106</v>
      </c>
      <c r="J383" s="24" t="s">
        <v>107</v>
      </c>
      <c r="K383" s="28" t="s">
        <v>108</v>
      </c>
      <c r="L383" s="29">
        <v>0.03</v>
      </c>
      <c r="M383" s="29">
        <v>1.4999999999999999E-2</v>
      </c>
      <c r="N383" s="29">
        <v>0.02</v>
      </c>
      <c r="O383" s="27" t="s">
        <v>148</v>
      </c>
      <c r="P383" s="30" t="s">
        <v>679</v>
      </c>
      <c r="Q383" s="31">
        <v>288925562.32999998</v>
      </c>
      <c r="R383" s="31">
        <v>1075.4100000000001</v>
      </c>
      <c r="S383" s="32">
        <v>5.9214999999999997E-2</v>
      </c>
      <c r="T383" s="32" t="s">
        <v>139</v>
      </c>
      <c r="U383" s="32">
        <v>9.0300000000000005E-4</v>
      </c>
      <c r="V383" s="32">
        <v>2.9840000000000001E-3</v>
      </c>
      <c r="W383" s="32">
        <v>-1.9000000000000001E-5</v>
      </c>
      <c r="X383" s="32">
        <v>-4.8209999999999998E-3</v>
      </c>
      <c r="Y383" s="32">
        <v>5.7765999999999998E-2</v>
      </c>
      <c r="Z383" s="32" t="s">
        <v>139</v>
      </c>
      <c r="AA383" s="32" t="s">
        <v>139</v>
      </c>
      <c r="AB383" s="32" t="s">
        <v>139</v>
      </c>
    </row>
    <row r="384" spans="1:28" ht="15.6" customHeight="1" x14ac:dyDescent="0.25">
      <c r="A384" s="24" t="s">
        <v>688</v>
      </c>
      <c r="B384" s="50">
        <v>3971</v>
      </c>
      <c r="C384" s="25" t="s">
        <v>689</v>
      </c>
      <c r="D384" s="25" t="s">
        <v>679</v>
      </c>
      <c r="E384" s="25" t="s">
        <v>194</v>
      </c>
      <c r="F384" s="25" t="s">
        <v>128</v>
      </c>
      <c r="G384" s="26" t="s">
        <v>690</v>
      </c>
      <c r="H384" s="27" t="s">
        <v>130</v>
      </c>
      <c r="I384" s="24" t="s">
        <v>106</v>
      </c>
      <c r="J384" s="24" t="s">
        <v>107</v>
      </c>
      <c r="K384" s="28" t="s">
        <v>108</v>
      </c>
      <c r="L384" s="29">
        <v>0.03</v>
      </c>
      <c r="M384" s="29">
        <v>1.4999999999999999E-2</v>
      </c>
      <c r="N384" s="29">
        <v>0.02</v>
      </c>
      <c r="O384" s="27" t="s">
        <v>148</v>
      </c>
      <c r="P384" s="30" t="s">
        <v>679</v>
      </c>
      <c r="Q384" s="31">
        <v>979259719.63</v>
      </c>
      <c r="R384" s="31">
        <v>1033.1300000000001</v>
      </c>
      <c r="S384" s="32">
        <v>1.9047000000000001E-2</v>
      </c>
      <c r="T384" s="32" t="s">
        <v>139</v>
      </c>
      <c r="U384" s="32">
        <v>7.4600000000000003E-4</v>
      </c>
      <c r="V384" s="32">
        <v>2.3089999999999999E-3</v>
      </c>
      <c r="W384" s="32">
        <v>7.4110000000000001E-3</v>
      </c>
      <c r="X384" s="32">
        <v>1.4881999999999999E-2</v>
      </c>
      <c r="Y384" s="32">
        <v>2.7132E-2</v>
      </c>
      <c r="Z384" s="32" t="s">
        <v>139</v>
      </c>
      <c r="AA384" s="32" t="s">
        <v>139</v>
      </c>
      <c r="AB384" s="32" t="s">
        <v>139</v>
      </c>
    </row>
    <row r="385" spans="1:28" ht="15.6" customHeight="1" x14ac:dyDescent="0.25">
      <c r="A385" s="24" t="s">
        <v>691</v>
      </c>
      <c r="B385" s="50">
        <v>3972</v>
      </c>
      <c r="C385" s="25" t="s">
        <v>8</v>
      </c>
      <c r="D385" s="25" t="s">
        <v>679</v>
      </c>
      <c r="E385" s="25" t="s">
        <v>194</v>
      </c>
      <c r="F385" s="25" t="s">
        <v>155</v>
      </c>
      <c r="G385" s="26" t="s">
        <v>139</v>
      </c>
      <c r="H385" s="27" t="s">
        <v>156</v>
      </c>
      <c r="I385" s="24" t="s">
        <v>106</v>
      </c>
      <c r="J385" s="24" t="s">
        <v>107</v>
      </c>
      <c r="K385" s="28" t="s">
        <v>108</v>
      </c>
      <c r="L385" s="29">
        <v>0.03</v>
      </c>
      <c r="M385" s="29">
        <v>1.4999999999999999E-2</v>
      </c>
      <c r="N385" s="29">
        <v>0.02</v>
      </c>
      <c r="O385" s="27" t="s">
        <v>148</v>
      </c>
      <c r="P385" s="30" t="s">
        <v>679</v>
      </c>
      <c r="Q385" s="31">
        <v>112686506.16</v>
      </c>
      <c r="R385" s="31">
        <v>1003.74</v>
      </c>
      <c r="S385" s="32">
        <v>3.3238999999999998E-2</v>
      </c>
      <c r="T385" s="32" t="s">
        <v>139</v>
      </c>
      <c r="U385" s="32">
        <v>1.5674E-2</v>
      </c>
      <c r="V385" s="32">
        <v>7.8931000000000001E-2</v>
      </c>
      <c r="W385" s="32">
        <v>5.6579999999999998E-2</v>
      </c>
      <c r="X385" s="32">
        <v>3.0206E-2</v>
      </c>
      <c r="Y385" s="32">
        <v>-8.3610000000000004E-2</v>
      </c>
      <c r="Z385" s="32" t="s">
        <v>139</v>
      </c>
      <c r="AA385" s="32" t="s">
        <v>139</v>
      </c>
      <c r="AB385" s="32" t="s">
        <v>139</v>
      </c>
    </row>
    <row r="386" spans="1:28" ht="15.6" customHeight="1" x14ac:dyDescent="0.25">
      <c r="A386" s="24" t="s">
        <v>692</v>
      </c>
      <c r="B386" s="50">
        <v>3973</v>
      </c>
      <c r="C386" s="25" t="s">
        <v>693</v>
      </c>
      <c r="D386" s="25" t="s">
        <v>504</v>
      </c>
      <c r="E386" s="25" t="s">
        <v>194</v>
      </c>
      <c r="F386" s="25" t="s">
        <v>138</v>
      </c>
      <c r="G386" s="26" t="s">
        <v>139</v>
      </c>
      <c r="H386" s="27" t="s">
        <v>694</v>
      </c>
      <c r="I386" s="24" t="s">
        <v>106</v>
      </c>
      <c r="J386" s="24" t="s">
        <v>121</v>
      </c>
      <c r="K386" s="28" t="s">
        <v>227</v>
      </c>
      <c r="L386" s="29">
        <v>0.02</v>
      </c>
      <c r="M386" s="29">
        <v>0.02</v>
      </c>
      <c r="N386" s="29">
        <v>0.02</v>
      </c>
      <c r="O386" s="27" t="s">
        <v>116</v>
      </c>
      <c r="P386" s="30" t="s">
        <v>504</v>
      </c>
      <c r="Q386" s="31">
        <v>245115424.52000001</v>
      </c>
      <c r="R386" s="31">
        <v>1397.04</v>
      </c>
      <c r="S386" s="32">
        <v>-3.6118999999999998E-2</v>
      </c>
      <c r="T386" s="32" t="s">
        <v>139</v>
      </c>
      <c r="U386" s="32">
        <v>6.4840000000000002E-3</v>
      </c>
      <c r="V386" s="32">
        <v>3.2939000000000003E-2</v>
      </c>
      <c r="W386" s="32">
        <v>2.8665E-2</v>
      </c>
      <c r="X386" s="32">
        <v>-3.1555E-2</v>
      </c>
      <c r="Y386" s="32">
        <v>-8.4687999999999999E-2</v>
      </c>
      <c r="Z386" s="32">
        <v>0.39518399999999998</v>
      </c>
      <c r="AA386" s="32">
        <v>0.44017299999999998</v>
      </c>
      <c r="AB386" s="32" t="s">
        <v>139</v>
      </c>
    </row>
    <row r="387" spans="1:28" ht="15.6" customHeight="1" x14ac:dyDescent="0.25">
      <c r="A387" s="24" t="s">
        <v>695</v>
      </c>
      <c r="B387" s="50">
        <v>3974</v>
      </c>
      <c r="C387" s="25" t="s">
        <v>696</v>
      </c>
      <c r="D387" s="25" t="s">
        <v>101</v>
      </c>
      <c r="E387" s="25" t="s">
        <v>194</v>
      </c>
      <c r="F387" s="25" t="s">
        <v>128</v>
      </c>
      <c r="G387" s="26" t="s">
        <v>129</v>
      </c>
      <c r="H387" s="27" t="s">
        <v>130</v>
      </c>
      <c r="I387" s="24" t="s">
        <v>106</v>
      </c>
      <c r="J387" s="24" t="s">
        <v>121</v>
      </c>
      <c r="K387" s="28" t="s">
        <v>227</v>
      </c>
      <c r="L387" s="29">
        <v>0</v>
      </c>
      <c r="M387" s="29">
        <v>0.05</v>
      </c>
      <c r="N387" s="29">
        <v>0.02</v>
      </c>
      <c r="O387" s="27" t="s">
        <v>262</v>
      </c>
      <c r="P387" s="30" t="s">
        <v>697</v>
      </c>
      <c r="Q387" s="31">
        <v>1003970.48</v>
      </c>
      <c r="R387" s="31">
        <v>1003.97</v>
      </c>
      <c r="S387" s="32">
        <v>3.9399999999999999E-3</v>
      </c>
      <c r="T387" s="32" t="s">
        <v>139</v>
      </c>
      <c r="U387" s="32">
        <v>3.4900000000000003E-4</v>
      </c>
      <c r="V387" s="32">
        <v>5.5800000000000001E-4</v>
      </c>
      <c r="W387" s="32">
        <v>1.766E-3</v>
      </c>
      <c r="X387" s="32">
        <v>2.967E-3</v>
      </c>
      <c r="Y387" s="32">
        <v>3.418E-3</v>
      </c>
      <c r="Z387" s="32" t="s">
        <v>139</v>
      </c>
      <c r="AA387" s="32" t="s">
        <v>139</v>
      </c>
      <c r="AB387" s="32" t="s">
        <v>139</v>
      </c>
    </row>
    <row r="388" spans="1:28" ht="15.6" customHeight="1" x14ac:dyDescent="0.25">
      <c r="A388" s="24" t="s">
        <v>698</v>
      </c>
      <c r="B388" s="50">
        <v>3975</v>
      </c>
      <c r="C388" s="25" t="s">
        <v>699</v>
      </c>
      <c r="D388" s="25" t="s">
        <v>570</v>
      </c>
      <c r="E388" s="25" t="s">
        <v>194</v>
      </c>
      <c r="F388" s="25" t="s">
        <v>138</v>
      </c>
      <c r="G388" s="26" t="s">
        <v>139</v>
      </c>
      <c r="H388" s="27" t="s">
        <v>195</v>
      </c>
      <c r="I388" s="24" t="s">
        <v>106</v>
      </c>
      <c r="J388" s="24" t="s">
        <v>107</v>
      </c>
      <c r="K388" s="28" t="s">
        <v>227</v>
      </c>
      <c r="L388" s="29">
        <v>0.03</v>
      </c>
      <c r="M388" s="29">
        <v>0.03</v>
      </c>
      <c r="N388" s="29">
        <v>0.02</v>
      </c>
      <c r="O388" s="27" t="s">
        <v>161</v>
      </c>
      <c r="P388" s="30" t="s">
        <v>570</v>
      </c>
      <c r="Q388" s="31">
        <v>856871729</v>
      </c>
      <c r="R388" s="31">
        <v>953.96</v>
      </c>
      <c r="S388" s="32">
        <v>1.6646000000000001E-2</v>
      </c>
      <c r="T388" s="32" t="s">
        <v>139</v>
      </c>
      <c r="U388" s="32">
        <v>1.1998E-2</v>
      </c>
      <c r="V388" s="32">
        <v>5.8696999999999999E-2</v>
      </c>
      <c r="W388" s="32">
        <v>3.8594999999999997E-2</v>
      </c>
      <c r="X388" s="32">
        <v>1.9710999999999999E-2</v>
      </c>
      <c r="Y388" s="32">
        <v>-6.2759999999999996E-2</v>
      </c>
      <c r="Z388" s="32" t="s">
        <v>139</v>
      </c>
      <c r="AA388" s="32" t="s">
        <v>139</v>
      </c>
      <c r="AB388" s="32" t="s">
        <v>139</v>
      </c>
    </row>
    <row r="389" spans="1:28" ht="15.6" customHeight="1" x14ac:dyDescent="0.25">
      <c r="A389" s="24" t="s">
        <v>1442</v>
      </c>
      <c r="B389" s="50">
        <v>3976</v>
      </c>
      <c r="C389" s="25" t="s">
        <v>1443</v>
      </c>
      <c r="D389" s="25" t="s">
        <v>164</v>
      </c>
      <c r="E389" s="25" t="s">
        <v>194</v>
      </c>
      <c r="F389" s="25" t="s">
        <v>138</v>
      </c>
      <c r="G389" s="26" t="s">
        <v>139</v>
      </c>
      <c r="H389" s="27" t="s">
        <v>1444</v>
      </c>
      <c r="I389" s="24" t="s">
        <v>998</v>
      </c>
      <c r="J389" s="24" t="s">
        <v>107</v>
      </c>
      <c r="K389" s="28" t="s">
        <v>108</v>
      </c>
      <c r="L389" s="29">
        <v>0.03</v>
      </c>
      <c r="M389" s="29">
        <v>0.03</v>
      </c>
      <c r="N389" s="29">
        <v>0.02</v>
      </c>
      <c r="O389" s="27" t="s">
        <v>166</v>
      </c>
      <c r="P389" s="30" t="s">
        <v>164</v>
      </c>
      <c r="Q389" s="31">
        <v>161977181.11000001</v>
      </c>
      <c r="R389" s="31">
        <v>2091</v>
      </c>
      <c r="S389" s="32">
        <v>2.6554999999999999E-2</v>
      </c>
      <c r="T389" s="32" t="s">
        <v>139</v>
      </c>
      <c r="U389" s="32">
        <v>5.3749999999999996E-3</v>
      </c>
      <c r="V389" s="32">
        <v>2.4667999999999999E-2</v>
      </c>
      <c r="W389" s="32">
        <v>2.3335000000000002E-2</v>
      </c>
      <c r="X389" s="32">
        <v>2.7564000000000002E-2</v>
      </c>
      <c r="Y389" s="32">
        <v>1.5694E-2</v>
      </c>
      <c r="Z389" s="32">
        <v>0.22594</v>
      </c>
      <c r="AA389" s="32">
        <v>0.32911299999999999</v>
      </c>
      <c r="AB389" s="32">
        <v>0.23147799999999999</v>
      </c>
    </row>
    <row r="390" spans="1:28" ht="15.6" customHeight="1" x14ac:dyDescent="0.25">
      <c r="A390" s="24" t="s">
        <v>700</v>
      </c>
      <c r="B390" s="50">
        <v>3977</v>
      </c>
      <c r="C390" s="25" t="s">
        <v>701</v>
      </c>
      <c r="D390" s="25" t="s">
        <v>164</v>
      </c>
      <c r="E390" s="25" t="s">
        <v>194</v>
      </c>
      <c r="F390" s="25" t="s">
        <v>113</v>
      </c>
      <c r="G390" s="26" t="s">
        <v>702</v>
      </c>
      <c r="H390" s="27" t="s">
        <v>120</v>
      </c>
      <c r="I390" s="24" t="s">
        <v>106</v>
      </c>
      <c r="J390" s="24" t="s">
        <v>121</v>
      </c>
      <c r="K390" s="28" t="s">
        <v>227</v>
      </c>
      <c r="L390" s="29">
        <v>0</v>
      </c>
      <c r="M390" s="29">
        <v>0</v>
      </c>
      <c r="N390" s="29">
        <v>0.02</v>
      </c>
      <c r="O390" s="27" t="s">
        <v>166</v>
      </c>
      <c r="P390" s="30" t="s">
        <v>164</v>
      </c>
      <c r="Q390" s="31">
        <v>1017412.24</v>
      </c>
      <c r="R390" s="31">
        <v>10174.120000000001</v>
      </c>
      <c r="S390" s="32">
        <v>1.443E-2</v>
      </c>
      <c r="T390" s="32" t="s">
        <v>139</v>
      </c>
      <c r="U390" s="32">
        <v>6.4899999999999995E-4</v>
      </c>
      <c r="V390" s="32">
        <v>1.6329999999999999E-3</v>
      </c>
      <c r="W390" s="32">
        <v>6.038E-3</v>
      </c>
      <c r="X390" s="32">
        <v>1.1221999999999999E-2</v>
      </c>
      <c r="Y390" s="32">
        <v>1.7437000000000001E-2</v>
      </c>
      <c r="Z390" s="32" t="s">
        <v>139</v>
      </c>
      <c r="AA390" s="32" t="s">
        <v>139</v>
      </c>
      <c r="AB390" s="32" t="s">
        <v>139</v>
      </c>
    </row>
    <row r="391" spans="1:28" ht="15.6" customHeight="1" x14ac:dyDescent="0.25">
      <c r="A391" s="24" t="s">
        <v>703</v>
      </c>
      <c r="B391" s="50">
        <v>3978</v>
      </c>
      <c r="C391" s="25" t="s">
        <v>704</v>
      </c>
      <c r="D391" s="25" t="s">
        <v>316</v>
      </c>
      <c r="E391" s="25" t="s">
        <v>194</v>
      </c>
      <c r="F391" s="25" t="s">
        <v>103</v>
      </c>
      <c r="G391" s="26" t="s">
        <v>392</v>
      </c>
      <c r="H391" s="27" t="s">
        <v>705</v>
      </c>
      <c r="I391" s="24" t="s">
        <v>106</v>
      </c>
      <c r="J391" s="24" t="s">
        <v>107</v>
      </c>
      <c r="K391" s="28" t="s">
        <v>108</v>
      </c>
      <c r="L391" s="29">
        <v>0.03</v>
      </c>
      <c r="M391" s="29">
        <v>0.03</v>
      </c>
      <c r="N391" s="29">
        <v>0.02</v>
      </c>
      <c r="O391" s="27" t="s">
        <v>166</v>
      </c>
      <c r="P391" s="30" t="s">
        <v>316</v>
      </c>
      <c r="Q391" s="31">
        <v>5702794.0300000003</v>
      </c>
      <c r="R391" s="31">
        <v>1016.72</v>
      </c>
      <c r="S391" s="32">
        <v>1.3113E-2</v>
      </c>
      <c r="T391" s="32" t="s">
        <v>139</v>
      </c>
      <c r="U391" s="32">
        <v>4.8200000000000001E-4</v>
      </c>
      <c r="V391" s="32">
        <v>1.714E-3</v>
      </c>
      <c r="W391" s="32">
        <v>5.3689999999999996E-3</v>
      </c>
      <c r="X391" s="32">
        <v>1.0425E-2</v>
      </c>
      <c r="Y391" s="32">
        <v>1.6719999999999999E-2</v>
      </c>
      <c r="Z391" s="32" t="s">
        <v>139</v>
      </c>
      <c r="AA391" s="32" t="s">
        <v>139</v>
      </c>
      <c r="AB391" s="32" t="s">
        <v>139</v>
      </c>
    </row>
    <row r="392" spans="1:28" ht="15.6" customHeight="1" x14ac:dyDescent="0.25">
      <c r="A392" s="24" t="s">
        <v>1445</v>
      </c>
      <c r="B392" s="50">
        <v>3979</v>
      </c>
      <c r="C392" s="25" t="s">
        <v>1446</v>
      </c>
      <c r="D392" s="25" t="s">
        <v>316</v>
      </c>
      <c r="E392" s="25" t="s">
        <v>194</v>
      </c>
      <c r="F392" s="25" t="s">
        <v>138</v>
      </c>
      <c r="G392" s="26" t="s">
        <v>139</v>
      </c>
      <c r="H392" s="27" t="s">
        <v>577</v>
      </c>
      <c r="I392" s="24" t="s">
        <v>998</v>
      </c>
      <c r="J392" s="24" t="s">
        <v>107</v>
      </c>
      <c r="K392" s="28" t="s">
        <v>108</v>
      </c>
      <c r="L392" s="29">
        <v>0.03</v>
      </c>
      <c r="M392" s="29">
        <v>0.03</v>
      </c>
      <c r="N392" s="29">
        <v>0.02</v>
      </c>
      <c r="O392" s="27" t="s">
        <v>166</v>
      </c>
      <c r="P392" s="30" t="s">
        <v>316</v>
      </c>
      <c r="Q392" s="31">
        <v>917378661.04999995</v>
      </c>
      <c r="R392" s="31">
        <v>823.11</v>
      </c>
      <c r="S392" s="32">
        <v>-2.7286999999999999E-2</v>
      </c>
      <c r="T392" s="32" t="s">
        <v>139</v>
      </c>
      <c r="U392" s="32">
        <v>4.4910000000000002E-3</v>
      </c>
      <c r="V392" s="32">
        <v>2.1278999999999999E-2</v>
      </c>
      <c r="W392" s="32">
        <v>2.1506999999999998E-2</v>
      </c>
      <c r="X392" s="32">
        <v>-2.4150000000000001E-2</v>
      </c>
      <c r="Y392" s="32">
        <v>-0.17688999999999999</v>
      </c>
      <c r="Z392" s="32" t="s">
        <v>139</v>
      </c>
      <c r="AA392" s="32" t="s">
        <v>139</v>
      </c>
      <c r="AB392" s="32" t="s">
        <v>139</v>
      </c>
    </row>
    <row r="393" spans="1:28" ht="15.6" customHeight="1" x14ac:dyDescent="0.25">
      <c r="A393" s="24" t="s">
        <v>706</v>
      </c>
      <c r="B393" s="50">
        <v>3980</v>
      </c>
      <c r="C393" s="25" t="s">
        <v>707</v>
      </c>
      <c r="D393" s="25" t="s">
        <v>137</v>
      </c>
      <c r="E393" s="25" t="s">
        <v>194</v>
      </c>
      <c r="F393" s="25" t="s">
        <v>113</v>
      </c>
      <c r="G393" s="26" t="s">
        <v>638</v>
      </c>
      <c r="H393" s="27" t="s">
        <v>115</v>
      </c>
      <c r="I393" s="24" t="s">
        <v>106</v>
      </c>
      <c r="J393" s="24" t="s">
        <v>107</v>
      </c>
      <c r="K393" s="28" t="s">
        <v>108</v>
      </c>
      <c r="L393" s="29">
        <v>0.03</v>
      </c>
      <c r="M393" s="29">
        <v>1.4999999999999999E-2</v>
      </c>
      <c r="N393" s="29">
        <v>0.02</v>
      </c>
      <c r="O393" s="27" t="s">
        <v>141</v>
      </c>
      <c r="P393" s="30" t="s">
        <v>137</v>
      </c>
      <c r="Q393" s="31">
        <v>1330576.212788</v>
      </c>
      <c r="R393" s="31">
        <v>127.94</v>
      </c>
      <c r="S393" s="32">
        <v>-4.0480000000000004E-3</v>
      </c>
      <c r="T393" s="32" t="s">
        <v>139</v>
      </c>
      <c r="U393" s="32">
        <v>1.1739999999999999E-3</v>
      </c>
      <c r="V393" s="32">
        <v>2.7430000000000002E-3</v>
      </c>
      <c r="W393" s="32">
        <v>1.2520000000000001E-3</v>
      </c>
      <c r="X393" s="32">
        <v>-8.1399999999999997E-3</v>
      </c>
      <c r="Y393" s="32">
        <v>-1.1206000000000001E-2</v>
      </c>
      <c r="Z393" s="32">
        <v>6.0260000000000001E-2</v>
      </c>
      <c r="AA393" s="32">
        <v>0.15501499999999999</v>
      </c>
      <c r="AB393" s="32">
        <v>5.7306999999999997E-2</v>
      </c>
    </row>
    <row r="394" spans="1:28" ht="15.6" customHeight="1" x14ac:dyDescent="0.25">
      <c r="A394" s="24" t="s">
        <v>1447</v>
      </c>
      <c r="B394" s="50">
        <v>3981</v>
      </c>
      <c r="C394" s="25" t="s">
        <v>1448</v>
      </c>
      <c r="D394" s="25" t="s">
        <v>137</v>
      </c>
      <c r="E394" s="25" t="s">
        <v>194</v>
      </c>
      <c r="F394" s="25" t="s">
        <v>138</v>
      </c>
      <c r="G394" s="26" t="s">
        <v>139</v>
      </c>
      <c r="H394" s="27" t="s">
        <v>1449</v>
      </c>
      <c r="I394" s="24" t="s">
        <v>998</v>
      </c>
      <c r="J394" s="24" t="s">
        <v>121</v>
      </c>
      <c r="K394" s="28" t="s">
        <v>227</v>
      </c>
      <c r="L394" s="29">
        <v>0</v>
      </c>
      <c r="M394" s="29">
        <v>0</v>
      </c>
      <c r="N394" s="29">
        <v>0.02</v>
      </c>
      <c r="O394" s="27" t="s">
        <v>141</v>
      </c>
      <c r="P394" s="30" t="s">
        <v>1288</v>
      </c>
      <c r="Q394" s="31">
        <v>236569050.474879</v>
      </c>
      <c r="R394" s="31">
        <v>27263.919999999998</v>
      </c>
      <c r="S394" s="32">
        <v>-4.6410000000000002E-3</v>
      </c>
      <c r="T394" s="32" t="s">
        <v>139</v>
      </c>
      <c r="U394" s="32">
        <v>4.6090000000000002E-3</v>
      </c>
      <c r="V394" s="32">
        <v>2.1774999999999999E-2</v>
      </c>
      <c r="W394" s="32">
        <v>1.4031999999999999E-2</v>
      </c>
      <c r="X394" s="32">
        <v>-6.8389999999999996E-3</v>
      </c>
      <c r="Y394" s="32">
        <v>-7.9807000000000003E-2</v>
      </c>
      <c r="Z394" s="32">
        <v>-9.9570000000000006E-3</v>
      </c>
      <c r="AA394" s="32">
        <v>8.5875999999999994E-2</v>
      </c>
      <c r="AB394" s="32">
        <v>-2.1007999999999999E-2</v>
      </c>
    </row>
    <row r="395" spans="1:28" ht="15.6" customHeight="1" x14ac:dyDescent="0.25">
      <c r="A395" s="24" t="s">
        <v>708</v>
      </c>
      <c r="B395" s="50">
        <v>3982</v>
      </c>
      <c r="C395" s="25" t="s">
        <v>709</v>
      </c>
      <c r="D395" s="25" t="s">
        <v>101</v>
      </c>
      <c r="E395" s="25" t="s">
        <v>194</v>
      </c>
      <c r="F395" s="25" t="s">
        <v>155</v>
      </c>
      <c r="G395" s="26" t="s">
        <v>139</v>
      </c>
      <c r="H395" s="27" t="s">
        <v>588</v>
      </c>
      <c r="I395" s="24" t="s">
        <v>106</v>
      </c>
      <c r="J395" s="24" t="s">
        <v>121</v>
      </c>
      <c r="K395" s="28" t="s">
        <v>227</v>
      </c>
      <c r="L395" s="29">
        <v>0</v>
      </c>
      <c r="M395" s="29">
        <v>0</v>
      </c>
      <c r="N395" s="29">
        <v>0.02</v>
      </c>
      <c r="O395" s="27" t="s">
        <v>262</v>
      </c>
      <c r="P395" s="30" t="s">
        <v>101</v>
      </c>
      <c r="Q395" s="31">
        <v>673370.29</v>
      </c>
      <c r="R395" s="31">
        <v>168342.57</v>
      </c>
      <c r="S395" s="32">
        <v>3.4766999999999999E-2</v>
      </c>
      <c r="T395" s="32" t="s">
        <v>139</v>
      </c>
      <c r="U395" s="32">
        <v>1.2137999999999999E-2</v>
      </c>
      <c r="V395" s="32">
        <v>5.287E-2</v>
      </c>
      <c r="W395" s="32">
        <v>5.3239000000000002E-2</v>
      </c>
      <c r="X395" s="32">
        <v>2.8938999999999999E-2</v>
      </c>
      <c r="Y395" s="32">
        <v>1.8789E-2</v>
      </c>
      <c r="Z395" s="32">
        <v>8.5921999999999998E-2</v>
      </c>
      <c r="AA395" s="32">
        <v>0.15753900000000001</v>
      </c>
      <c r="AB395" s="32">
        <v>0.16092400000000001</v>
      </c>
    </row>
    <row r="396" spans="1:28" ht="15.6" customHeight="1" x14ac:dyDescent="0.25">
      <c r="A396" s="24" t="s">
        <v>710</v>
      </c>
      <c r="B396" s="50">
        <v>3983</v>
      </c>
      <c r="C396" s="25" t="s">
        <v>711</v>
      </c>
      <c r="D396" s="25" t="s">
        <v>712</v>
      </c>
      <c r="E396" s="25" t="s">
        <v>194</v>
      </c>
      <c r="F396" s="25" t="s">
        <v>113</v>
      </c>
      <c r="G396" s="26" t="s">
        <v>670</v>
      </c>
      <c r="H396" s="27" t="s">
        <v>115</v>
      </c>
      <c r="I396" s="24" t="s">
        <v>106</v>
      </c>
      <c r="J396" s="24" t="s">
        <v>107</v>
      </c>
      <c r="K396" s="28" t="s">
        <v>108</v>
      </c>
      <c r="L396" s="29">
        <v>0.03</v>
      </c>
      <c r="M396" s="29">
        <v>1.4999999999999999E-2</v>
      </c>
      <c r="N396" s="29">
        <v>0.02</v>
      </c>
      <c r="O396" s="27" t="s">
        <v>131</v>
      </c>
      <c r="P396" s="30" t="s">
        <v>712</v>
      </c>
      <c r="Q396" s="31">
        <v>344520627.58999997</v>
      </c>
      <c r="R396" s="31">
        <v>1011.76</v>
      </c>
      <c r="S396" s="32">
        <v>5.306E-3</v>
      </c>
      <c r="T396" s="32" t="s">
        <v>139</v>
      </c>
      <c r="U396" s="32">
        <v>1.039E-3</v>
      </c>
      <c r="V396" s="32">
        <v>5.6160000000000003E-3</v>
      </c>
      <c r="W396" s="32">
        <v>8.3320000000000009E-3</v>
      </c>
      <c r="X396" s="32">
        <v>6.4660000000000004E-3</v>
      </c>
      <c r="Y396" s="32" t="s">
        <v>139</v>
      </c>
      <c r="Z396" s="32" t="s">
        <v>139</v>
      </c>
      <c r="AA396" s="32" t="s">
        <v>139</v>
      </c>
      <c r="AB396" s="32" t="s">
        <v>139</v>
      </c>
    </row>
    <row r="397" spans="1:28" ht="15.6" customHeight="1" x14ac:dyDescent="0.25">
      <c r="A397" s="24" t="s">
        <v>713</v>
      </c>
      <c r="B397" s="50">
        <v>3984</v>
      </c>
      <c r="C397" s="25" t="s">
        <v>10</v>
      </c>
      <c r="D397" s="25" t="s">
        <v>712</v>
      </c>
      <c r="E397" s="25" t="s">
        <v>194</v>
      </c>
      <c r="F397" s="25" t="s">
        <v>155</v>
      </c>
      <c r="G397" s="26" t="s">
        <v>139</v>
      </c>
      <c r="H397" s="27" t="s">
        <v>156</v>
      </c>
      <c r="I397" s="24" t="s">
        <v>106</v>
      </c>
      <c r="J397" s="24" t="s">
        <v>107</v>
      </c>
      <c r="K397" s="28" t="s">
        <v>108</v>
      </c>
      <c r="L397" s="29">
        <v>0.03</v>
      </c>
      <c r="M397" s="29">
        <v>1.4999999999999999E-2</v>
      </c>
      <c r="N397" s="29">
        <v>0.02</v>
      </c>
      <c r="O397" s="27" t="s">
        <v>166</v>
      </c>
      <c r="P397" s="30" t="s">
        <v>712</v>
      </c>
      <c r="Q397" s="31">
        <v>908773276.75</v>
      </c>
      <c r="R397" s="31">
        <v>977.96</v>
      </c>
      <c r="S397" s="32">
        <v>5.2668E-2</v>
      </c>
      <c r="T397" s="32" t="s">
        <v>139</v>
      </c>
      <c r="U397" s="32">
        <v>5.9560000000000004E-3</v>
      </c>
      <c r="V397" s="32">
        <v>5.5132E-2</v>
      </c>
      <c r="W397" s="32">
        <v>5.7848999999999998E-2</v>
      </c>
      <c r="X397" s="32">
        <v>3.1178999999999998E-2</v>
      </c>
      <c r="Y397" s="32" t="s">
        <v>139</v>
      </c>
      <c r="Z397" s="32" t="s">
        <v>139</v>
      </c>
      <c r="AA397" s="32" t="s">
        <v>139</v>
      </c>
      <c r="AB397" s="32" t="s">
        <v>139</v>
      </c>
    </row>
    <row r="398" spans="1:28" ht="15.6" customHeight="1" x14ac:dyDescent="0.25">
      <c r="A398" s="24" t="s">
        <v>714</v>
      </c>
      <c r="B398" s="50">
        <v>3985</v>
      </c>
      <c r="C398" s="25" t="s">
        <v>715</v>
      </c>
      <c r="D398" s="25" t="s">
        <v>712</v>
      </c>
      <c r="E398" s="25" t="s">
        <v>194</v>
      </c>
      <c r="F398" s="25" t="s">
        <v>128</v>
      </c>
      <c r="G398" s="26" t="s">
        <v>690</v>
      </c>
      <c r="H398" s="27" t="s">
        <v>130</v>
      </c>
      <c r="I398" s="24" t="s">
        <v>106</v>
      </c>
      <c r="J398" s="24" t="s">
        <v>107</v>
      </c>
      <c r="K398" s="28" t="s">
        <v>108</v>
      </c>
      <c r="L398" s="29">
        <v>0.03</v>
      </c>
      <c r="M398" s="29">
        <v>1.4999999999999999E-2</v>
      </c>
      <c r="N398" s="29">
        <v>0.02</v>
      </c>
      <c r="O398" s="27" t="s">
        <v>131</v>
      </c>
      <c r="P398" s="30" t="s">
        <v>712</v>
      </c>
      <c r="Q398" s="31">
        <v>1150852835.3099999</v>
      </c>
      <c r="R398" s="31">
        <v>1021.14</v>
      </c>
      <c r="S398" s="32">
        <v>1.8279E-2</v>
      </c>
      <c r="T398" s="32" t="s">
        <v>139</v>
      </c>
      <c r="U398" s="32">
        <v>6.8599999999999998E-4</v>
      </c>
      <c r="V398" s="32">
        <v>2.0119999999999999E-3</v>
      </c>
      <c r="W398" s="32">
        <v>7.071E-3</v>
      </c>
      <c r="X398" s="32">
        <v>1.4132E-2</v>
      </c>
      <c r="Y398" s="32" t="s">
        <v>139</v>
      </c>
      <c r="Z398" s="32" t="s">
        <v>139</v>
      </c>
      <c r="AA398" s="32" t="s">
        <v>139</v>
      </c>
      <c r="AB398" s="32" t="s">
        <v>139</v>
      </c>
    </row>
    <row r="399" spans="1:28" ht="15.6" customHeight="1" x14ac:dyDescent="0.25">
      <c r="A399" s="24" t="s">
        <v>716</v>
      </c>
      <c r="B399" s="50">
        <v>3986</v>
      </c>
      <c r="C399" s="25" t="s">
        <v>717</v>
      </c>
      <c r="D399" s="25" t="s">
        <v>718</v>
      </c>
      <c r="E399" s="25" t="s">
        <v>194</v>
      </c>
      <c r="F399" s="25" t="s">
        <v>128</v>
      </c>
      <c r="G399" s="26" t="s">
        <v>719</v>
      </c>
      <c r="H399" s="27" t="s">
        <v>130</v>
      </c>
      <c r="I399" s="24" t="s">
        <v>106</v>
      </c>
      <c r="J399" s="24" t="s">
        <v>107</v>
      </c>
      <c r="K399" s="28" t="s">
        <v>108</v>
      </c>
      <c r="L399" s="29">
        <v>1.4999999999999999E-2</v>
      </c>
      <c r="M399" s="29">
        <v>0.02</v>
      </c>
      <c r="N399" s="29">
        <v>0.03</v>
      </c>
      <c r="O399" s="27" t="s">
        <v>659</v>
      </c>
      <c r="P399" s="30" t="s">
        <v>718</v>
      </c>
      <c r="Q399" s="31">
        <v>2295183422.8800001</v>
      </c>
      <c r="R399" s="31">
        <v>1018.87</v>
      </c>
      <c r="S399" s="32">
        <v>1.8370999999999998E-2</v>
      </c>
      <c r="T399" s="32" t="s">
        <v>139</v>
      </c>
      <c r="U399" s="32">
        <v>6.4800000000000003E-4</v>
      </c>
      <c r="V399" s="32">
        <v>2.3219999999999998E-3</v>
      </c>
      <c r="W399" s="32">
        <v>7.4949999999999999E-3</v>
      </c>
      <c r="X399" s="32">
        <v>1.3115999999999999E-2</v>
      </c>
      <c r="Y399" s="32" t="s">
        <v>139</v>
      </c>
      <c r="Z399" s="32" t="s">
        <v>139</v>
      </c>
      <c r="AA399" s="32" t="s">
        <v>139</v>
      </c>
      <c r="AB399" s="32" t="s">
        <v>139</v>
      </c>
    </row>
    <row r="400" spans="1:28" ht="15.6" customHeight="1" x14ac:dyDescent="0.25">
      <c r="A400" s="24" t="s">
        <v>720</v>
      </c>
      <c r="B400" s="50">
        <v>3987</v>
      </c>
      <c r="C400" s="25" t="s">
        <v>721</v>
      </c>
      <c r="D400" s="25" t="s">
        <v>718</v>
      </c>
      <c r="E400" s="25" t="s">
        <v>194</v>
      </c>
      <c r="F400" s="25" t="s">
        <v>113</v>
      </c>
      <c r="G400" s="26" t="s">
        <v>670</v>
      </c>
      <c r="H400" s="27" t="s">
        <v>115</v>
      </c>
      <c r="I400" s="24" t="s">
        <v>106</v>
      </c>
      <c r="J400" s="24" t="s">
        <v>107</v>
      </c>
      <c r="K400" s="28" t="s">
        <v>108</v>
      </c>
      <c r="L400" s="29">
        <v>1.4999999999999999E-2</v>
      </c>
      <c r="M400" s="29">
        <v>0.02</v>
      </c>
      <c r="N400" s="29">
        <v>0.03</v>
      </c>
      <c r="O400" s="27" t="s">
        <v>659</v>
      </c>
      <c r="P400" s="30" t="s">
        <v>718</v>
      </c>
      <c r="Q400" s="31">
        <v>202573914.22</v>
      </c>
      <c r="R400" s="31">
        <v>1010.93</v>
      </c>
      <c r="S400" s="32">
        <v>1.0304000000000001E-2</v>
      </c>
      <c r="T400" s="32" t="s">
        <v>139</v>
      </c>
      <c r="U400" s="32">
        <v>8.5099999999999998E-4</v>
      </c>
      <c r="V400" s="32">
        <v>1.6149999999999999E-3</v>
      </c>
      <c r="W400" s="32">
        <v>4.8910000000000004E-3</v>
      </c>
      <c r="X400" s="32">
        <v>6.9319999999999998E-3</v>
      </c>
      <c r="Y400" s="32" t="s">
        <v>139</v>
      </c>
      <c r="Z400" s="32" t="s">
        <v>139</v>
      </c>
      <c r="AA400" s="32" t="s">
        <v>139</v>
      </c>
      <c r="AB400" s="32" t="s">
        <v>139</v>
      </c>
    </row>
    <row r="401" spans="1:28" ht="15.6" customHeight="1" x14ac:dyDescent="0.25">
      <c r="A401" s="24" t="s">
        <v>722</v>
      </c>
      <c r="B401" s="50">
        <v>3988</v>
      </c>
      <c r="C401" s="25" t="s">
        <v>723</v>
      </c>
      <c r="D401" s="25" t="s">
        <v>718</v>
      </c>
      <c r="E401" s="25" t="s">
        <v>194</v>
      </c>
      <c r="F401" s="25" t="s">
        <v>155</v>
      </c>
      <c r="G401" s="26" t="s">
        <v>139</v>
      </c>
      <c r="H401" s="27" t="s">
        <v>156</v>
      </c>
      <c r="I401" s="24" t="s">
        <v>106</v>
      </c>
      <c r="J401" s="24" t="s">
        <v>107</v>
      </c>
      <c r="K401" s="28" t="s">
        <v>108</v>
      </c>
      <c r="L401" s="29">
        <v>1.4999999999999999E-2</v>
      </c>
      <c r="M401" s="29">
        <v>0.02</v>
      </c>
      <c r="N401" s="29">
        <v>0.03</v>
      </c>
      <c r="O401" s="27" t="s">
        <v>659</v>
      </c>
      <c r="P401" s="30" t="s">
        <v>718</v>
      </c>
      <c r="Q401" s="31">
        <v>51318999.780000001</v>
      </c>
      <c r="R401" s="31">
        <v>1081.8499999999999</v>
      </c>
      <c r="S401" s="32">
        <v>9.3032000000000004E-2</v>
      </c>
      <c r="T401" s="32" t="s">
        <v>139</v>
      </c>
      <c r="U401" s="32">
        <v>1.1349E-2</v>
      </c>
      <c r="V401" s="32">
        <v>4.4781000000000001E-2</v>
      </c>
      <c r="W401" s="32">
        <v>4.1713E-2</v>
      </c>
      <c r="X401" s="32">
        <v>7.2796E-2</v>
      </c>
      <c r="Y401" s="32" t="s">
        <v>139</v>
      </c>
      <c r="Z401" s="32" t="s">
        <v>139</v>
      </c>
      <c r="AA401" s="32" t="s">
        <v>139</v>
      </c>
      <c r="AB401" s="32" t="s">
        <v>139</v>
      </c>
    </row>
    <row r="402" spans="1:28" ht="15.6" customHeight="1" x14ac:dyDescent="0.25">
      <c r="A402" s="24" t="s">
        <v>724</v>
      </c>
      <c r="B402" s="50">
        <v>3989</v>
      </c>
      <c r="C402" s="25" t="s">
        <v>725</v>
      </c>
      <c r="D402" s="25" t="s">
        <v>504</v>
      </c>
      <c r="E402" s="25" t="s">
        <v>194</v>
      </c>
      <c r="F402" s="25" t="s">
        <v>138</v>
      </c>
      <c r="G402" s="26" t="s">
        <v>139</v>
      </c>
      <c r="H402" s="27" t="s">
        <v>680</v>
      </c>
      <c r="I402" s="24" t="s">
        <v>106</v>
      </c>
      <c r="J402" s="24" t="s">
        <v>107</v>
      </c>
      <c r="K402" s="28" t="s">
        <v>227</v>
      </c>
      <c r="L402" s="29">
        <v>0.02</v>
      </c>
      <c r="M402" s="29">
        <v>0.02</v>
      </c>
      <c r="N402" s="29">
        <v>0.02</v>
      </c>
      <c r="O402" s="27" t="s">
        <v>663</v>
      </c>
      <c r="P402" s="30" t="s">
        <v>726</v>
      </c>
      <c r="Q402" s="31">
        <v>727314218.96000004</v>
      </c>
      <c r="R402" s="31">
        <v>1139.57</v>
      </c>
      <c r="S402" s="32" t="s">
        <v>139</v>
      </c>
      <c r="T402" s="32" t="s">
        <v>139</v>
      </c>
      <c r="U402" s="32">
        <v>6.0650000000000001E-3</v>
      </c>
      <c r="V402" s="32">
        <v>2.7779000000000002E-2</v>
      </c>
      <c r="W402" s="32">
        <v>2.4996000000000001E-2</v>
      </c>
      <c r="X402" s="32">
        <v>0.139627</v>
      </c>
      <c r="Y402" s="32" t="s">
        <v>139</v>
      </c>
      <c r="Z402" s="32" t="s">
        <v>139</v>
      </c>
      <c r="AA402" s="32" t="s">
        <v>139</v>
      </c>
      <c r="AB402" s="32" t="s">
        <v>139</v>
      </c>
    </row>
    <row r="403" spans="1:28" ht="15.6" customHeight="1" x14ac:dyDescent="0.25">
      <c r="A403" s="24" t="s">
        <v>727</v>
      </c>
      <c r="B403" s="50">
        <v>3990</v>
      </c>
      <c r="C403" s="25" t="s">
        <v>728</v>
      </c>
      <c r="D403" s="25" t="s">
        <v>504</v>
      </c>
      <c r="E403" s="25" t="s">
        <v>194</v>
      </c>
      <c r="F403" s="25" t="s">
        <v>155</v>
      </c>
      <c r="G403" s="26" t="s">
        <v>139</v>
      </c>
      <c r="H403" s="27" t="s">
        <v>156</v>
      </c>
      <c r="I403" s="24" t="s">
        <v>106</v>
      </c>
      <c r="J403" s="24" t="s">
        <v>107</v>
      </c>
      <c r="K403" s="28" t="s">
        <v>227</v>
      </c>
      <c r="L403" s="29">
        <v>0.02</v>
      </c>
      <c r="M403" s="29">
        <v>0.02</v>
      </c>
      <c r="N403" s="29">
        <v>0.02</v>
      </c>
      <c r="O403" s="27" t="s">
        <v>161</v>
      </c>
      <c r="P403" s="30" t="s">
        <v>726</v>
      </c>
      <c r="Q403" s="31">
        <v>1017679.91</v>
      </c>
      <c r="R403" s="31">
        <v>1017.67</v>
      </c>
      <c r="S403" s="32" t="s">
        <v>139</v>
      </c>
      <c r="T403" s="32" t="s">
        <v>139</v>
      </c>
      <c r="U403" s="32">
        <v>9.7940000000000006E-3</v>
      </c>
      <c r="V403" s="32">
        <v>5.1300999999999999E-2</v>
      </c>
      <c r="W403" s="32">
        <v>4.3785999999999999E-2</v>
      </c>
      <c r="X403" s="32">
        <v>1.7731E-2</v>
      </c>
      <c r="Y403" s="32" t="s">
        <v>139</v>
      </c>
      <c r="Z403" s="32" t="s">
        <v>139</v>
      </c>
      <c r="AA403" s="32" t="s">
        <v>139</v>
      </c>
      <c r="AB403" s="32" t="s">
        <v>139</v>
      </c>
    </row>
    <row r="404" spans="1:28" ht="15.6" customHeight="1" x14ac:dyDescent="0.25">
      <c r="A404" s="24" t="s">
        <v>729</v>
      </c>
      <c r="B404" s="50">
        <v>3991</v>
      </c>
      <c r="C404" s="25" t="s">
        <v>730</v>
      </c>
      <c r="D404" s="25" t="s">
        <v>504</v>
      </c>
      <c r="E404" s="25" t="s">
        <v>194</v>
      </c>
      <c r="F404" s="25" t="s">
        <v>113</v>
      </c>
      <c r="G404" s="26" t="s">
        <v>731</v>
      </c>
      <c r="H404" s="27" t="s">
        <v>732</v>
      </c>
      <c r="I404" s="24" t="s">
        <v>106</v>
      </c>
      <c r="J404" s="24" t="s">
        <v>107</v>
      </c>
      <c r="K404" s="28" t="s">
        <v>108</v>
      </c>
      <c r="L404" s="29">
        <v>0.02</v>
      </c>
      <c r="M404" s="29">
        <v>0.02</v>
      </c>
      <c r="N404" s="29">
        <v>0.02</v>
      </c>
      <c r="O404" s="27" t="s">
        <v>131</v>
      </c>
      <c r="P404" s="30" t="s">
        <v>726</v>
      </c>
      <c r="Q404" s="31">
        <v>1009828.1</v>
      </c>
      <c r="R404" s="31">
        <v>1009.82</v>
      </c>
      <c r="S404" s="32" t="s">
        <v>139</v>
      </c>
      <c r="T404" s="32" t="s">
        <v>139</v>
      </c>
      <c r="U404" s="32">
        <v>1.1199999999999999E-3</v>
      </c>
      <c r="V404" s="32">
        <v>2.5119999999999999E-3</v>
      </c>
      <c r="W404" s="32">
        <v>-5.0500000000000002E-4</v>
      </c>
      <c r="X404" s="32">
        <v>9.8399999999999998E-3</v>
      </c>
      <c r="Y404" s="32" t="s">
        <v>139</v>
      </c>
      <c r="Z404" s="32" t="s">
        <v>139</v>
      </c>
      <c r="AA404" s="32" t="s">
        <v>139</v>
      </c>
      <c r="AB404" s="32" t="s">
        <v>139</v>
      </c>
    </row>
    <row r="405" spans="1:28" ht="15.6" customHeight="1" x14ac:dyDescent="0.25">
      <c r="A405" s="24" t="s">
        <v>733</v>
      </c>
      <c r="B405" s="50">
        <v>3992</v>
      </c>
      <c r="C405" s="25" t="s">
        <v>734</v>
      </c>
      <c r="D405" s="25" t="s">
        <v>524</v>
      </c>
      <c r="E405" s="25" t="s">
        <v>194</v>
      </c>
      <c r="F405" s="25" t="s">
        <v>155</v>
      </c>
      <c r="G405" s="26" t="s">
        <v>139</v>
      </c>
      <c r="H405" s="27" t="s">
        <v>156</v>
      </c>
      <c r="I405" s="24" t="s">
        <v>106</v>
      </c>
      <c r="J405" s="24" t="s">
        <v>107</v>
      </c>
      <c r="K405" s="28" t="s">
        <v>108</v>
      </c>
      <c r="L405" s="29">
        <v>0.02</v>
      </c>
      <c r="M405" s="29">
        <v>0.02</v>
      </c>
      <c r="N405" s="29">
        <v>0.02</v>
      </c>
      <c r="O405" s="27" t="s">
        <v>161</v>
      </c>
      <c r="P405" s="30" t="s">
        <v>524</v>
      </c>
      <c r="Q405" s="31">
        <v>35622083.490000002</v>
      </c>
      <c r="R405" s="31">
        <v>102.2</v>
      </c>
      <c r="S405" s="32" t="s">
        <v>139</v>
      </c>
      <c r="T405" s="32" t="s">
        <v>139</v>
      </c>
      <c r="U405" s="32">
        <v>7.4920000000000004E-3</v>
      </c>
      <c r="V405" s="32">
        <v>4.4349E-2</v>
      </c>
      <c r="W405" s="32">
        <v>2.7342000000000002E-2</v>
      </c>
      <c r="X405" s="32" t="s">
        <v>139</v>
      </c>
      <c r="Y405" s="32" t="s">
        <v>139</v>
      </c>
      <c r="Z405" s="32" t="s">
        <v>139</v>
      </c>
      <c r="AA405" s="32" t="s">
        <v>139</v>
      </c>
      <c r="AB405" s="32" t="s">
        <v>139</v>
      </c>
    </row>
    <row r="406" spans="1:28" ht="15.6" customHeight="1" x14ac:dyDescent="0.25">
      <c r="A406" s="24" t="s">
        <v>735</v>
      </c>
      <c r="B406" s="50">
        <v>3993</v>
      </c>
      <c r="C406" s="25" t="s">
        <v>736</v>
      </c>
      <c r="D406" s="25" t="s">
        <v>524</v>
      </c>
      <c r="E406" s="25" t="s">
        <v>194</v>
      </c>
      <c r="F406" s="25" t="s">
        <v>128</v>
      </c>
      <c r="G406" s="26" t="s">
        <v>690</v>
      </c>
      <c r="H406" s="27" t="s">
        <v>130</v>
      </c>
      <c r="I406" s="24" t="s">
        <v>106</v>
      </c>
      <c r="J406" s="24" t="s">
        <v>107</v>
      </c>
      <c r="K406" s="28" t="s">
        <v>108</v>
      </c>
      <c r="L406" s="29">
        <v>0</v>
      </c>
      <c r="M406" s="29">
        <v>0</v>
      </c>
      <c r="N406" s="29">
        <v>0.01</v>
      </c>
      <c r="O406" s="27" t="s">
        <v>161</v>
      </c>
      <c r="P406" s="30" t="s">
        <v>524</v>
      </c>
      <c r="Q406" s="31">
        <v>1020811.95</v>
      </c>
      <c r="R406" s="31">
        <v>1020.81</v>
      </c>
      <c r="S406" s="32" t="s">
        <v>139</v>
      </c>
      <c r="T406" s="32" t="s">
        <v>139</v>
      </c>
      <c r="U406" s="32">
        <v>6.8599999999999998E-4</v>
      </c>
      <c r="V406" s="32">
        <v>2.14E-3</v>
      </c>
      <c r="W406" s="32">
        <v>6.1799999999999997E-3</v>
      </c>
      <c r="X406" s="32" t="s">
        <v>139</v>
      </c>
      <c r="Y406" s="32" t="s">
        <v>139</v>
      </c>
      <c r="Z406" s="32" t="s">
        <v>139</v>
      </c>
      <c r="AA406" s="32" t="s">
        <v>139</v>
      </c>
      <c r="AB406" s="32" t="s">
        <v>139</v>
      </c>
    </row>
    <row r="407" spans="1:28" ht="15.6" customHeight="1" x14ac:dyDescent="0.25">
      <c r="A407" s="24" t="s">
        <v>737</v>
      </c>
      <c r="B407" s="50">
        <v>3994</v>
      </c>
      <c r="C407" s="25" t="s">
        <v>738</v>
      </c>
      <c r="D407" s="25" t="s">
        <v>712</v>
      </c>
      <c r="E407" s="25" t="s">
        <v>194</v>
      </c>
      <c r="F407" s="25" t="s">
        <v>103</v>
      </c>
      <c r="G407" s="26" t="s">
        <v>392</v>
      </c>
      <c r="H407" s="27" t="s">
        <v>188</v>
      </c>
      <c r="I407" s="24" t="s">
        <v>106</v>
      </c>
      <c r="J407" s="24" t="s">
        <v>107</v>
      </c>
      <c r="K407" s="28" t="s">
        <v>108</v>
      </c>
      <c r="L407" s="29">
        <v>0.03</v>
      </c>
      <c r="M407" s="29">
        <v>1.4999999999999999E-2</v>
      </c>
      <c r="N407" s="29">
        <v>0.02</v>
      </c>
      <c r="O407" s="27" t="s">
        <v>131</v>
      </c>
      <c r="P407" s="30" t="s">
        <v>712</v>
      </c>
      <c r="Q407" s="31">
        <v>259390265.16</v>
      </c>
      <c r="R407" s="31">
        <v>1006.16</v>
      </c>
      <c r="S407" s="32" t="s">
        <v>139</v>
      </c>
      <c r="T407" s="32" t="s">
        <v>139</v>
      </c>
      <c r="U407" s="32">
        <v>5.3700000000000004E-4</v>
      </c>
      <c r="V407" s="32">
        <v>1.9819999999999998E-3</v>
      </c>
      <c r="W407" s="32">
        <v>5.5059999999999996E-3</v>
      </c>
      <c r="X407" s="32" t="s">
        <v>139</v>
      </c>
      <c r="Y407" s="32" t="s">
        <v>139</v>
      </c>
      <c r="Z407" s="32" t="s">
        <v>139</v>
      </c>
      <c r="AA407" s="32" t="s">
        <v>139</v>
      </c>
      <c r="AB407" s="32" t="s">
        <v>139</v>
      </c>
    </row>
    <row r="408" spans="1:28" ht="15.6" customHeight="1" x14ac:dyDescent="0.25">
      <c r="A408" s="24" t="s">
        <v>739</v>
      </c>
      <c r="B408" s="50">
        <v>3995</v>
      </c>
      <c r="C408" s="25" t="s">
        <v>740</v>
      </c>
      <c r="D408" s="25" t="s">
        <v>712</v>
      </c>
      <c r="E408" s="25" t="s">
        <v>194</v>
      </c>
      <c r="F408" s="25" t="s">
        <v>138</v>
      </c>
      <c r="G408" s="26" t="s">
        <v>139</v>
      </c>
      <c r="H408" s="27" t="s">
        <v>741</v>
      </c>
      <c r="I408" s="24" t="s">
        <v>106</v>
      </c>
      <c r="J408" s="24" t="s">
        <v>107</v>
      </c>
      <c r="K408" s="28" t="s">
        <v>108</v>
      </c>
      <c r="L408" s="29">
        <v>0.03</v>
      </c>
      <c r="M408" s="29">
        <v>1.4999999999999999E-2</v>
      </c>
      <c r="N408" s="29">
        <v>0.02</v>
      </c>
      <c r="O408" s="27" t="s">
        <v>166</v>
      </c>
      <c r="P408" s="30" t="s">
        <v>712</v>
      </c>
      <c r="Q408" s="31">
        <v>256793991.43000001</v>
      </c>
      <c r="R408" s="31">
        <v>1004.08</v>
      </c>
      <c r="S408" s="32" t="s">
        <v>139</v>
      </c>
      <c r="T408" s="32" t="s">
        <v>139</v>
      </c>
      <c r="U408" s="32">
        <v>4.8640000000000003E-3</v>
      </c>
      <c r="V408" s="32">
        <v>2.3736E-2</v>
      </c>
      <c r="W408" s="32">
        <v>3.1730000000000001E-2</v>
      </c>
      <c r="X408" s="32" t="s">
        <v>139</v>
      </c>
      <c r="Y408" s="32" t="s">
        <v>139</v>
      </c>
      <c r="Z408" s="32" t="s">
        <v>139</v>
      </c>
      <c r="AA408" s="32" t="s">
        <v>139</v>
      </c>
      <c r="AB408" s="32" t="s">
        <v>139</v>
      </c>
    </row>
    <row r="409" spans="1:28" ht="15.6" customHeight="1" x14ac:dyDescent="0.25">
      <c r="A409" s="24" t="s">
        <v>742</v>
      </c>
      <c r="B409" s="50">
        <v>3996</v>
      </c>
      <c r="C409" s="25" t="s">
        <v>743</v>
      </c>
      <c r="D409" s="25" t="s">
        <v>570</v>
      </c>
      <c r="E409" s="25" t="s">
        <v>194</v>
      </c>
      <c r="F409" s="25" t="s">
        <v>138</v>
      </c>
      <c r="G409" s="26" t="s">
        <v>139</v>
      </c>
      <c r="H409" s="27" t="s">
        <v>577</v>
      </c>
      <c r="I409" s="24" t="s">
        <v>106</v>
      </c>
      <c r="J409" s="24" t="s">
        <v>121</v>
      </c>
      <c r="K409" s="28" t="s">
        <v>227</v>
      </c>
      <c r="L409" s="29">
        <v>0.03</v>
      </c>
      <c r="M409" s="29">
        <v>0.03</v>
      </c>
      <c r="N409" s="29">
        <v>0.02</v>
      </c>
      <c r="O409" s="27" t="s">
        <v>166</v>
      </c>
      <c r="P409" s="30" t="s">
        <v>570</v>
      </c>
      <c r="Q409" s="31">
        <v>1017040.45</v>
      </c>
      <c r="R409" s="31">
        <v>1017.04</v>
      </c>
      <c r="S409" s="32" t="s">
        <v>139</v>
      </c>
      <c r="T409" s="32" t="s">
        <v>139</v>
      </c>
      <c r="U409" s="32">
        <v>4.7199999999999998E-4</v>
      </c>
      <c r="V409" s="32">
        <v>7.2890000000000003E-3</v>
      </c>
      <c r="W409" s="32">
        <v>1.5304E-2</v>
      </c>
      <c r="X409" s="32" t="s">
        <v>139</v>
      </c>
      <c r="Y409" s="32" t="s">
        <v>139</v>
      </c>
      <c r="Z409" s="32" t="s">
        <v>139</v>
      </c>
      <c r="AA409" s="32" t="s">
        <v>139</v>
      </c>
      <c r="AB409" s="32" t="s">
        <v>139</v>
      </c>
    </row>
    <row r="410" spans="1:28" ht="15.6" customHeight="1" x14ac:dyDescent="0.25">
      <c r="A410" s="24" t="s">
        <v>744</v>
      </c>
      <c r="B410" s="50">
        <v>3998</v>
      </c>
      <c r="C410" s="25" t="s">
        <v>745</v>
      </c>
      <c r="D410" s="25" t="s">
        <v>718</v>
      </c>
      <c r="E410" s="25" t="s">
        <v>194</v>
      </c>
      <c r="F410" s="25" t="s">
        <v>138</v>
      </c>
      <c r="G410" s="26" t="s">
        <v>139</v>
      </c>
      <c r="H410" s="27" t="s">
        <v>680</v>
      </c>
      <c r="I410" s="24" t="s">
        <v>106</v>
      </c>
      <c r="J410" s="24" t="s">
        <v>107</v>
      </c>
      <c r="K410" s="28" t="s">
        <v>108</v>
      </c>
      <c r="L410" s="29">
        <v>0.03</v>
      </c>
      <c r="M410" s="29">
        <v>1.4999999999999999E-2</v>
      </c>
      <c r="N410" s="29">
        <v>0.02</v>
      </c>
      <c r="O410" s="27" t="s">
        <v>659</v>
      </c>
      <c r="P410" s="30" t="s">
        <v>718</v>
      </c>
      <c r="Q410" s="31">
        <v>427140593.25999999</v>
      </c>
      <c r="R410" s="31">
        <v>1027.3499999999999</v>
      </c>
      <c r="S410" s="32" t="s">
        <v>139</v>
      </c>
      <c r="T410" s="32" t="s">
        <v>139</v>
      </c>
      <c r="U410" s="32">
        <v>2.5569999999999998E-3</v>
      </c>
      <c r="V410" s="32">
        <v>8.5609999999999992E-3</v>
      </c>
      <c r="W410" s="32">
        <v>6.0809999999999996E-3</v>
      </c>
      <c r="X410" s="32" t="s">
        <v>139</v>
      </c>
      <c r="Y410" s="32" t="s">
        <v>139</v>
      </c>
      <c r="Z410" s="32" t="s">
        <v>139</v>
      </c>
      <c r="AA410" s="32" t="s">
        <v>139</v>
      </c>
      <c r="AB410" s="32" t="s">
        <v>139</v>
      </c>
    </row>
    <row r="411" spans="1:28" ht="15.6" customHeight="1" x14ac:dyDescent="0.25">
      <c r="A411" s="24" t="s">
        <v>746</v>
      </c>
      <c r="B411" s="50">
        <v>3999</v>
      </c>
      <c r="C411" s="25" t="s">
        <v>747</v>
      </c>
      <c r="D411" s="25" t="s">
        <v>679</v>
      </c>
      <c r="E411" s="25" t="s">
        <v>194</v>
      </c>
      <c r="F411" s="25" t="s">
        <v>113</v>
      </c>
      <c r="G411" s="26" t="s">
        <v>748</v>
      </c>
      <c r="H411" s="27" t="s">
        <v>115</v>
      </c>
      <c r="I411" s="24" t="s">
        <v>106</v>
      </c>
      <c r="J411" s="24" t="s">
        <v>121</v>
      </c>
      <c r="K411" s="28" t="s">
        <v>108</v>
      </c>
      <c r="L411" s="29">
        <v>0</v>
      </c>
      <c r="M411" s="29">
        <v>0</v>
      </c>
      <c r="N411" s="29">
        <v>0.02</v>
      </c>
      <c r="O411" s="27" t="s">
        <v>548</v>
      </c>
      <c r="P411" s="30" t="s">
        <v>679</v>
      </c>
      <c r="Q411" s="31">
        <v>201726625.91</v>
      </c>
      <c r="R411" s="31">
        <v>100964.27</v>
      </c>
      <c r="S411" s="32" t="s">
        <v>139</v>
      </c>
      <c r="T411" s="32" t="s">
        <v>139</v>
      </c>
      <c r="U411" s="32">
        <v>1.6800000000000001E-3</v>
      </c>
      <c r="V411" s="32">
        <v>6.28E-3</v>
      </c>
      <c r="W411" s="32">
        <v>7.084E-3</v>
      </c>
      <c r="X411" s="32" t="s">
        <v>139</v>
      </c>
      <c r="Y411" s="32" t="s">
        <v>139</v>
      </c>
      <c r="Z411" s="32" t="s">
        <v>139</v>
      </c>
      <c r="AA411" s="32" t="s">
        <v>139</v>
      </c>
      <c r="AB411" s="32" t="s">
        <v>139</v>
      </c>
    </row>
    <row r="412" spans="1:28" ht="15.6" customHeight="1" x14ac:dyDescent="0.25">
      <c r="A412" s="24" t="s">
        <v>1450</v>
      </c>
      <c r="B412" s="50">
        <v>4000</v>
      </c>
      <c r="C412" s="25" t="s">
        <v>1451</v>
      </c>
      <c r="D412" s="25" t="s">
        <v>112</v>
      </c>
      <c r="E412" s="25" t="s">
        <v>194</v>
      </c>
      <c r="F412" s="25" t="s">
        <v>113</v>
      </c>
      <c r="G412" s="26" t="s">
        <v>1109</v>
      </c>
      <c r="H412" s="27" t="s">
        <v>327</v>
      </c>
      <c r="I412" s="24" t="s">
        <v>998</v>
      </c>
      <c r="J412" s="24" t="s">
        <v>121</v>
      </c>
      <c r="K412" s="28" t="s">
        <v>227</v>
      </c>
      <c r="L412" s="29">
        <v>0</v>
      </c>
      <c r="M412" s="29">
        <v>0</v>
      </c>
      <c r="N412" s="29">
        <v>0.02</v>
      </c>
      <c r="O412" s="27" t="s">
        <v>116</v>
      </c>
      <c r="P412" s="30" t="s">
        <v>112</v>
      </c>
      <c r="Q412" s="31">
        <v>1316695.1200000001</v>
      </c>
      <c r="R412" s="31">
        <v>305143.71000000002</v>
      </c>
      <c r="S412" s="32">
        <v>9.7059999999999994E-3</v>
      </c>
      <c r="T412" s="32" t="s">
        <v>139</v>
      </c>
      <c r="U412" s="32">
        <v>9.4600000000000001E-4</v>
      </c>
      <c r="V412" s="32">
        <v>2.4740000000000001E-3</v>
      </c>
      <c r="W412" s="32">
        <v>4.4470000000000004E-3</v>
      </c>
      <c r="X412" s="32">
        <v>6.4900000000000001E-3</v>
      </c>
      <c r="Y412" s="32">
        <v>-9.4300000000000004E-4</v>
      </c>
      <c r="Z412" s="32">
        <v>0.13258500000000001</v>
      </c>
      <c r="AA412" s="32">
        <v>0.24607899999999999</v>
      </c>
      <c r="AB412" s="32">
        <v>0.175403</v>
      </c>
    </row>
    <row r="413" spans="1:28" ht="15.6" customHeight="1" x14ac:dyDescent="0.25">
      <c r="A413" s="24" t="s">
        <v>749</v>
      </c>
      <c r="B413" s="50">
        <v>4001</v>
      </c>
      <c r="C413" s="25" t="s">
        <v>750</v>
      </c>
      <c r="D413" s="25" t="s">
        <v>159</v>
      </c>
      <c r="E413" s="25" t="s">
        <v>194</v>
      </c>
      <c r="F413" s="25" t="s">
        <v>113</v>
      </c>
      <c r="G413" s="26" t="s">
        <v>465</v>
      </c>
      <c r="H413" s="27" t="s">
        <v>120</v>
      </c>
      <c r="I413" s="24" t="s">
        <v>106</v>
      </c>
      <c r="J413" s="24" t="s">
        <v>107</v>
      </c>
      <c r="K413" s="28" t="s">
        <v>108</v>
      </c>
      <c r="L413" s="29">
        <v>0</v>
      </c>
      <c r="M413" s="29">
        <v>0</v>
      </c>
      <c r="N413" s="29">
        <v>0.02</v>
      </c>
      <c r="O413" s="27" t="s">
        <v>161</v>
      </c>
      <c r="P413" s="30" t="s">
        <v>159</v>
      </c>
      <c r="Q413" s="31">
        <v>8046248686.3999996</v>
      </c>
      <c r="R413" s="31">
        <v>2872.42</v>
      </c>
      <c r="S413" s="32">
        <v>7.1919999999999996E-3</v>
      </c>
      <c r="T413" s="32" t="s">
        <v>139</v>
      </c>
      <c r="U413" s="32">
        <v>1.4890000000000001E-3</v>
      </c>
      <c r="V413" s="32">
        <v>5.5240000000000003E-3</v>
      </c>
      <c r="W413" s="32">
        <v>7.7250000000000001E-3</v>
      </c>
      <c r="X413" s="32">
        <v>4.9329999999999999E-3</v>
      </c>
      <c r="Y413" s="32">
        <v>6.8669999999999998E-3</v>
      </c>
      <c r="Z413" s="32">
        <v>9.1519000000000003E-2</v>
      </c>
      <c r="AA413" s="32">
        <v>0.17688400000000001</v>
      </c>
      <c r="AB413" s="32">
        <v>0.14590600000000001</v>
      </c>
    </row>
    <row r="414" spans="1:28" ht="15.6" customHeight="1" x14ac:dyDescent="0.25">
      <c r="A414" s="24" t="s">
        <v>751</v>
      </c>
      <c r="B414" s="50">
        <v>4002</v>
      </c>
      <c r="C414" s="25" t="s">
        <v>752</v>
      </c>
      <c r="D414" s="25" t="s">
        <v>159</v>
      </c>
      <c r="E414" s="25" t="s">
        <v>194</v>
      </c>
      <c r="F414" s="25" t="s">
        <v>128</v>
      </c>
      <c r="G414" s="26" t="s">
        <v>289</v>
      </c>
      <c r="H414" s="27" t="s">
        <v>258</v>
      </c>
      <c r="I414" s="24" t="s">
        <v>106</v>
      </c>
      <c r="J414" s="24" t="s">
        <v>107</v>
      </c>
      <c r="K414" s="28" t="s">
        <v>108</v>
      </c>
      <c r="L414" s="29">
        <v>0</v>
      </c>
      <c r="M414" s="29">
        <v>0</v>
      </c>
      <c r="N414" s="29">
        <v>0.02</v>
      </c>
      <c r="O414" s="27" t="s">
        <v>161</v>
      </c>
      <c r="P414" s="30" t="s">
        <v>159</v>
      </c>
      <c r="Q414" s="31">
        <v>6511422084.0600004</v>
      </c>
      <c r="R414" s="31">
        <v>2161.58</v>
      </c>
      <c r="S414" s="32">
        <v>1.9205E-2</v>
      </c>
      <c r="T414" s="32" t="s">
        <v>139</v>
      </c>
      <c r="U414" s="32">
        <v>7.1299999999999998E-4</v>
      </c>
      <c r="V414" s="32">
        <v>2.4069999999999999E-3</v>
      </c>
      <c r="W414" s="32">
        <v>7.7999999999999996E-3</v>
      </c>
      <c r="X414" s="32">
        <v>1.5226999999999999E-2</v>
      </c>
      <c r="Y414" s="32">
        <v>2.7406E-2</v>
      </c>
      <c r="Z414" s="32">
        <v>6.4252000000000004E-2</v>
      </c>
      <c r="AA414" s="32">
        <v>0.10714600000000001</v>
      </c>
      <c r="AB414" s="32">
        <v>0.15829099999999999</v>
      </c>
    </row>
    <row r="415" spans="1:28" ht="15.6" customHeight="1" x14ac:dyDescent="0.25">
      <c r="A415" s="24" t="s">
        <v>753</v>
      </c>
      <c r="B415" s="50">
        <v>4004</v>
      </c>
      <c r="C415" s="25" t="s">
        <v>754</v>
      </c>
      <c r="D415" s="25" t="s">
        <v>159</v>
      </c>
      <c r="E415" s="25" t="s">
        <v>194</v>
      </c>
      <c r="F415" s="25" t="s">
        <v>155</v>
      </c>
      <c r="G415" s="26" t="s">
        <v>139</v>
      </c>
      <c r="H415" s="27" t="s">
        <v>156</v>
      </c>
      <c r="I415" s="24" t="s">
        <v>106</v>
      </c>
      <c r="J415" s="24" t="s">
        <v>107</v>
      </c>
      <c r="K415" s="28" t="s">
        <v>108</v>
      </c>
      <c r="L415" s="29">
        <v>0.01</v>
      </c>
      <c r="M415" s="29">
        <v>5.0000000000000001E-3</v>
      </c>
      <c r="N415" s="29">
        <v>0.02</v>
      </c>
      <c r="O415" s="27" t="s">
        <v>161</v>
      </c>
      <c r="P415" s="30" t="s">
        <v>159</v>
      </c>
      <c r="Q415" s="31">
        <v>3030538.17</v>
      </c>
      <c r="R415" s="31">
        <v>5411.93</v>
      </c>
      <c r="S415" s="32">
        <v>2.2360999999999999E-2</v>
      </c>
      <c r="T415" s="32" t="s">
        <v>139</v>
      </c>
      <c r="U415" s="32">
        <v>1.3266999999999999E-2</v>
      </c>
      <c r="V415" s="32">
        <v>7.5149999999999995E-2</v>
      </c>
      <c r="W415" s="32">
        <v>5.3994E-2</v>
      </c>
      <c r="X415" s="32">
        <v>1.3975E-2</v>
      </c>
      <c r="Y415" s="32">
        <v>-8.9987999999999999E-2</v>
      </c>
      <c r="Z415" s="32">
        <v>0.34959499999999999</v>
      </c>
      <c r="AA415" s="32">
        <v>0.60119100000000003</v>
      </c>
      <c r="AB415" s="32">
        <v>0.55460699999999996</v>
      </c>
    </row>
    <row r="416" spans="1:28" ht="15.6" customHeight="1" x14ac:dyDescent="0.25">
      <c r="A416" s="24" t="s">
        <v>1452</v>
      </c>
      <c r="B416" s="50">
        <v>4005</v>
      </c>
      <c r="C416" s="25" t="s">
        <v>1453</v>
      </c>
      <c r="D416" s="25" t="s">
        <v>159</v>
      </c>
      <c r="E416" s="25" t="s">
        <v>194</v>
      </c>
      <c r="F416" s="25" t="s">
        <v>138</v>
      </c>
      <c r="G416" s="26" t="s">
        <v>139</v>
      </c>
      <c r="H416" s="27" t="s">
        <v>1204</v>
      </c>
      <c r="I416" s="24" t="s">
        <v>998</v>
      </c>
      <c r="J416" s="24" t="s">
        <v>107</v>
      </c>
      <c r="K416" s="28" t="s">
        <v>108</v>
      </c>
      <c r="L416" s="29">
        <v>3.0000000000000001E-3</v>
      </c>
      <c r="M416" s="29">
        <v>3.0000000000000001E-3</v>
      </c>
      <c r="N416" s="29">
        <v>1.7999999999999999E-2</v>
      </c>
      <c r="O416" s="27" t="s">
        <v>161</v>
      </c>
      <c r="P416" s="30" t="s">
        <v>159</v>
      </c>
      <c r="Q416" s="31">
        <v>45080985.479999997</v>
      </c>
      <c r="R416" s="31">
        <v>5393.25</v>
      </c>
      <c r="S416" s="32">
        <v>1.2798E-2</v>
      </c>
      <c r="T416" s="32" t="s">
        <v>139</v>
      </c>
      <c r="U416" s="32">
        <v>8.4049999999999993E-3</v>
      </c>
      <c r="V416" s="32">
        <v>4.3478999999999997E-2</v>
      </c>
      <c r="W416" s="32">
        <v>2.9179E-2</v>
      </c>
      <c r="X416" s="32">
        <v>7.77E-3</v>
      </c>
      <c r="Y416" s="32">
        <v>-4.3399E-2</v>
      </c>
      <c r="Z416" s="32">
        <v>0.22802700000000001</v>
      </c>
      <c r="AA416" s="32">
        <v>0.41801500000000003</v>
      </c>
      <c r="AB416" s="32">
        <v>0.36327399999999999</v>
      </c>
    </row>
    <row r="417" spans="1:28" ht="15.6" customHeight="1" x14ac:dyDescent="0.25">
      <c r="A417" s="24" t="s">
        <v>755</v>
      </c>
      <c r="B417" s="50">
        <v>4006</v>
      </c>
      <c r="C417" s="25" t="s">
        <v>756</v>
      </c>
      <c r="D417" s="25" t="s">
        <v>159</v>
      </c>
      <c r="E417" s="25" t="s">
        <v>194</v>
      </c>
      <c r="F417" s="25" t="s">
        <v>138</v>
      </c>
      <c r="G417" s="26" t="s">
        <v>139</v>
      </c>
      <c r="H417" s="27" t="s">
        <v>757</v>
      </c>
      <c r="I417" s="24" t="s">
        <v>106</v>
      </c>
      <c r="J417" s="24" t="s">
        <v>107</v>
      </c>
      <c r="K417" s="28" t="s">
        <v>227</v>
      </c>
      <c r="L417" s="29">
        <v>3.0000000000000001E-3</v>
      </c>
      <c r="M417" s="29">
        <v>3.0000000000000001E-3</v>
      </c>
      <c r="N417" s="29">
        <v>0.02</v>
      </c>
      <c r="O417" s="27" t="s">
        <v>161</v>
      </c>
      <c r="P417" s="30" t="s">
        <v>159</v>
      </c>
      <c r="Q417" s="31">
        <v>951802633.88999999</v>
      </c>
      <c r="R417" s="31">
        <v>601.96</v>
      </c>
      <c r="S417" s="32">
        <v>8.5950000000000002E-3</v>
      </c>
      <c r="T417" s="32" t="s">
        <v>139</v>
      </c>
      <c r="U417" s="32">
        <v>7.8189999999999996E-3</v>
      </c>
      <c r="V417" s="32">
        <v>4.1922000000000001E-2</v>
      </c>
      <c r="W417" s="32">
        <v>3.0630000000000001E-2</v>
      </c>
      <c r="X417" s="32">
        <v>3.836E-3</v>
      </c>
      <c r="Y417" s="32">
        <v>-4.7049000000000001E-2</v>
      </c>
      <c r="Z417" s="32">
        <v>0.256938</v>
      </c>
      <c r="AA417" s="32">
        <v>0.44507400000000003</v>
      </c>
      <c r="AB417" s="32">
        <v>0.33676800000000001</v>
      </c>
    </row>
    <row r="418" spans="1:28" ht="15.6" customHeight="1" x14ac:dyDescent="0.25">
      <c r="A418" s="24" t="s">
        <v>1454</v>
      </c>
      <c r="B418" s="50">
        <v>4007</v>
      </c>
      <c r="C418" s="25" t="s">
        <v>1455</v>
      </c>
      <c r="D418" s="25" t="s">
        <v>159</v>
      </c>
      <c r="E418" s="25" t="s">
        <v>194</v>
      </c>
      <c r="F418" s="25" t="s">
        <v>155</v>
      </c>
      <c r="G418" s="26" t="s">
        <v>139</v>
      </c>
      <c r="H418" s="27" t="s">
        <v>156</v>
      </c>
      <c r="I418" s="24" t="s">
        <v>998</v>
      </c>
      <c r="J418" s="24" t="s">
        <v>107</v>
      </c>
      <c r="K418" s="28" t="s">
        <v>108</v>
      </c>
      <c r="L418" s="29">
        <v>5.0000000000000001E-3</v>
      </c>
      <c r="M418" s="29">
        <v>3.0000000000000001E-3</v>
      </c>
      <c r="N418" s="29">
        <v>1.7999999999999999E-2</v>
      </c>
      <c r="O418" s="27" t="s">
        <v>161</v>
      </c>
      <c r="P418" s="30" t="s">
        <v>159</v>
      </c>
      <c r="Q418" s="31">
        <v>10028919.52</v>
      </c>
      <c r="R418" s="31">
        <v>64024.46</v>
      </c>
      <c r="S418" s="32">
        <v>1.8624000000000002E-2</v>
      </c>
      <c r="T418" s="32" t="s">
        <v>139</v>
      </c>
      <c r="U418" s="32">
        <v>1.3231E-2</v>
      </c>
      <c r="V418" s="32">
        <v>7.3563000000000003E-2</v>
      </c>
      <c r="W418" s="32">
        <v>5.3961000000000002E-2</v>
      </c>
      <c r="X418" s="32">
        <v>1.2354E-2</v>
      </c>
      <c r="Y418" s="32">
        <v>-8.6286000000000002E-2</v>
      </c>
      <c r="Z418" s="32">
        <v>0.34215899999999999</v>
      </c>
      <c r="AA418" s="32">
        <v>0.584623</v>
      </c>
      <c r="AB418" s="32">
        <v>0.515401</v>
      </c>
    </row>
    <row r="419" spans="1:28" ht="15.6" customHeight="1" x14ac:dyDescent="0.25">
      <c r="A419" s="24" t="s">
        <v>1456</v>
      </c>
      <c r="B419" s="50">
        <v>4008</v>
      </c>
      <c r="C419" s="25" t="s">
        <v>1457</v>
      </c>
      <c r="D419" s="25" t="s">
        <v>159</v>
      </c>
      <c r="E419" s="25" t="s">
        <v>194</v>
      </c>
      <c r="F419" s="25" t="s">
        <v>155</v>
      </c>
      <c r="G419" s="26" t="s">
        <v>139</v>
      </c>
      <c r="H419" s="27" t="s">
        <v>156</v>
      </c>
      <c r="I419" s="24" t="s">
        <v>998</v>
      </c>
      <c r="J419" s="24" t="s">
        <v>107</v>
      </c>
      <c r="K419" s="28" t="s">
        <v>108</v>
      </c>
      <c r="L419" s="29">
        <v>5.0000000000000001E-3</v>
      </c>
      <c r="M419" s="29">
        <v>5.0000000000000001E-3</v>
      </c>
      <c r="N419" s="29">
        <v>0.01</v>
      </c>
      <c r="O419" s="27" t="s">
        <v>161</v>
      </c>
      <c r="P419" s="30" t="s">
        <v>159</v>
      </c>
      <c r="Q419" s="31">
        <v>1499111015.76</v>
      </c>
      <c r="R419" s="31">
        <v>1219.33</v>
      </c>
      <c r="S419" s="32">
        <v>2.4458000000000001E-2</v>
      </c>
      <c r="T419" s="32" t="s">
        <v>139</v>
      </c>
      <c r="U419" s="32">
        <v>1.2841999999999999E-2</v>
      </c>
      <c r="V419" s="32">
        <v>7.2333999999999996E-2</v>
      </c>
      <c r="W419" s="32">
        <v>5.5633000000000002E-2</v>
      </c>
      <c r="X419" s="32">
        <v>1.9737000000000001E-2</v>
      </c>
      <c r="Y419" s="32">
        <v>-8.3864999999999995E-2</v>
      </c>
      <c r="Z419" s="32">
        <v>0.40886499999999998</v>
      </c>
      <c r="AA419" s="32">
        <v>0.68653399999999998</v>
      </c>
      <c r="AB419" s="32">
        <v>0.65447299999999997</v>
      </c>
    </row>
    <row r="420" spans="1:28" ht="15.6" customHeight="1" x14ac:dyDescent="0.25">
      <c r="A420" s="24" t="s">
        <v>1458</v>
      </c>
      <c r="B420" s="50">
        <v>4009</v>
      </c>
      <c r="C420" s="25" t="s">
        <v>1459</v>
      </c>
      <c r="D420" s="25" t="s">
        <v>159</v>
      </c>
      <c r="E420" s="25" t="s">
        <v>194</v>
      </c>
      <c r="F420" s="25" t="s">
        <v>113</v>
      </c>
      <c r="G420" s="26" t="s">
        <v>1460</v>
      </c>
      <c r="H420" s="27" t="s">
        <v>789</v>
      </c>
      <c r="I420" s="24" t="s">
        <v>998</v>
      </c>
      <c r="J420" s="24" t="s">
        <v>107</v>
      </c>
      <c r="K420" s="28" t="s">
        <v>108</v>
      </c>
      <c r="L420" s="29">
        <v>0</v>
      </c>
      <c r="M420" s="29">
        <v>0</v>
      </c>
      <c r="N420" s="29">
        <v>0.01</v>
      </c>
      <c r="O420" s="27" t="s">
        <v>161</v>
      </c>
      <c r="P420" s="30" t="s">
        <v>159</v>
      </c>
      <c r="Q420" s="31">
        <v>360172309.77999997</v>
      </c>
      <c r="R420" s="31">
        <v>4028.43</v>
      </c>
      <c r="S420" s="32">
        <v>-3.5869999999999999E-3</v>
      </c>
      <c r="T420" s="32" t="s">
        <v>139</v>
      </c>
      <c r="U420" s="32">
        <v>1.5020000000000001E-3</v>
      </c>
      <c r="V420" s="32">
        <v>5.8929999999999998E-3</v>
      </c>
      <c r="W420" s="32">
        <v>4.4429999999999999E-3</v>
      </c>
      <c r="X420" s="32">
        <v>-3.5959999999999998E-3</v>
      </c>
      <c r="Y420" s="32">
        <v>-1.5058999999999999E-2</v>
      </c>
      <c r="Z420" s="32">
        <v>0.105542</v>
      </c>
      <c r="AA420" s="32">
        <v>0.24634300000000001</v>
      </c>
      <c r="AB420" s="32">
        <v>0.21149999999999999</v>
      </c>
    </row>
    <row r="421" spans="1:28" ht="15.6" customHeight="1" x14ac:dyDescent="0.25">
      <c r="A421" s="24" t="s">
        <v>758</v>
      </c>
      <c r="B421" s="50">
        <v>4010</v>
      </c>
      <c r="C421" s="25" t="s">
        <v>759</v>
      </c>
      <c r="D421" s="25" t="s">
        <v>159</v>
      </c>
      <c r="E421" s="25" t="s">
        <v>194</v>
      </c>
      <c r="F421" s="25" t="s">
        <v>128</v>
      </c>
      <c r="G421" s="26" t="s">
        <v>289</v>
      </c>
      <c r="H421" s="27" t="s">
        <v>373</v>
      </c>
      <c r="I421" s="24" t="s">
        <v>106</v>
      </c>
      <c r="J421" s="24" t="s">
        <v>107</v>
      </c>
      <c r="K421" s="28" t="s">
        <v>108</v>
      </c>
      <c r="L421" s="29">
        <v>0</v>
      </c>
      <c r="M421" s="29">
        <v>0</v>
      </c>
      <c r="N421" s="29">
        <v>2.5000000000000001E-3</v>
      </c>
      <c r="O421" s="27" t="s">
        <v>161</v>
      </c>
      <c r="P421" s="30" t="s">
        <v>159</v>
      </c>
      <c r="Q421" s="31">
        <v>4999482140.6199999</v>
      </c>
      <c r="R421" s="31">
        <v>3271.1</v>
      </c>
      <c r="S421" s="32">
        <v>1.8168E-2</v>
      </c>
      <c r="T421" s="32" t="s">
        <v>139</v>
      </c>
      <c r="U421" s="32">
        <v>6.9099999999999999E-4</v>
      </c>
      <c r="V421" s="32">
        <v>2.258E-3</v>
      </c>
      <c r="W421" s="32">
        <v>7.3969999999999999E-3</v>
      </c>
      <c r="X421" s="32">
        <v>1.4298E-2</v>
      </c>
      <c r="Y421" s="32">
        <v>2.5533E-2</v>
      </c>
      <c r="Z421" s="32">
        <v>6.1432E-2</v>
      </c>
      <c r="AA421" s="32">
        <v>0.102699</v>
      </c>
      <c r="AB421" s="32">
        <v>0.14881</v>
      </c>
    </row>
    <row r="422" spans="1:28" ht="15.6" customHeight="1" x14ac:dyDescent="0.25">
      <c r="A422" s="24" t="s">
        <v>1461</v>
      </c>
      <c r="B422" s="50">
        <v>4011</v>
      </c>
      <c r="C422" s="25" t="s">
        <v>1462</v>
      </c>
      <c r="D422" s="25" t="s">
        <v>159</v>
      </c>
      <c r="E422" s="25" t="s">
        <v>194</v>
      </c>
      <c r="F422" s="25" t="s">
        <v>113</v>
      </c>
      <c r="G422" s="26" t="s">
        <v>151</v>
      </c>
      <c r="H422" s="27" t="s">
        <v>786</v>
      </c>
      <c r="I422" s="24" t="s">
        <v>998</v>
      </c>
      <c r="J422" s="24" t="s">
        <v>107</v>
      </c>
      <c r="K422" s="28" t="s">
        <v>108</v>
      </c>
      <c r="L422" s="29">
        <v>0</v>
      </c>
      <c r="M422" s="29">
        <v>0</v>
      </c>
      <c r="N422" s="29">
        <v>8.0000000000000002E-3</v>
      </c>
      <c r="O422" s="27" t="s">
        <v>161</v>
      </c>
      <c r="P422" s="30" t="s">
        <v>159</v>
      </c>
      <c r="Q422" s="31">
        <v>658832268.53999996</v>
      </c>
      <c r="R422" s="31">
        <v>277.12</v>
      </c>
      <c r="S422" s="32">
        <v>2.6410000000000001E-3</v>
      </c>
      <c r="T422" s="32" t="s">
        <v>139</v>
      </c>
      <c r="U422" s="32">
        <v>1.699E-3</v>
      </c>
      <c r="V422" s="32">
        <v>6.5009999999999998E-3</v>
      </c>
      <c r="W422" s="32">
        <v>5.8799999999999998E-3</v>
      </c>
      <c r="X422" s="32">
        <v>1.2650000000000001E-3</v>
      </c>
      <c r="Y422" s="32">
        <v>-6.6670000000000002E-3</v>
      </c>
      <c r="Z422" s="32">
        <v>0.105473</v>
      </c>
      <c r="AA422" s="32">
        <v>0.22847799999999999</v>
      </c>
      <c r="AB422" s="32">
        <v>0.150592</v>
      </c>
    </row>
    <row r="423" spans="1:28" ht="15.6" customHeight="1" x14ac:dyDescent="0.25">
      <c r="A423" s="24" t="s">
        <v>760</v>
      </c>
      <c r="B423" s="50">
        <v>4012</v>
      </c>
      <c r="C423" s="25" t="s">
        <v>761</v>
      </c>
      <c r="D423" s="25" t="s">
        <v>159</v>
      </c>
      <c r="E423" s="25" t="s">
        <v>194</v>
      </c>
      <c r="F423" s="25" t="s">
        <v>103</v>
      </c>
      <c r="G423" s="26" t="s">
        <v>244</v>
      </c>
      <c r="H423" s="27" t="s">
        <v>130</v>
      </c>
      <c r="I423" s="24" t="s">
        <v>106</v>
      </c>
      <c r="J423" s="24" t="s">
        <v>107</v>
      </c>
      <c r="K423" s="28" t="s">
        <v>108</v>
      </c>
      <c r="L423" s="29">
        <v>0</v>
      </c>
      <c r="M423" s="29">
        <v>0</v>
      </c>
      <c r="N423" s="29">
        <v>2.5000000000000001E-3</v>
      </c>
      <c r="O423" s="27" t="s">
        <v>161</v>
      </c>
      <c r="P423" s="30" t="s">
        <v>159</v>
      </c>
      <c r="Q423" s="31">
        <v>212543228.81999999</v>
      </c>
      <c r="R423" s="31">
        <v>599273.77</v>
      </c>
      <c r="S423" s="32">
        <v>1.3972E-2</v>
      </c>
      <c r="T423" s="32" t="s">
        <v>139</v>
      </c>
      <c r="U423" s="32">
        <v>4.2400000000000001E-4</v>
      </c>
      <c r="V423" s="32">
        <v>1.6720000000000001E-3</v>
      </c>
      <c r="W423" s="32">
        <v>5.3470000000000002E-3</v>
      </c>
      <c r="X423" s="32">
        <v>1.0739E-2</v>
      </c>
      <c r="Y423" s="32">
        <v>2.111E-2</v>
      </c>
      <c r="Z423" s="32">
        <v>4.6776999999999999E-2</v>
      </c>
      <c r="AA423" s="32">
        <v>7.7287999999999996E-2</v>
      </c>
      <c r="AB423" s="32">
        <v>0.11627800000000001</v>
      </c>
    </row>
    <row r="424" spans="1:28" ht="15.6" customHeight="1" x14ac:dyDescent="0.25">
      <c r="A424" s="24" t="s">
        <v>1463</v>
      </c>
      <c r="B424" s="50">
        <v>4013</v>
      </c>
      <c r="C424" s="25" t="s">
        <v>1464</v>
      </c>
      <c r="D424" s="25" t="s">
        <v>159</v>
      </c>
      <c r="E424" s="25" t="s">
        <v>194</v>
      </c>
      <c r="F424" s="25" t="s">
        <v>138</v>
      </c>
      <c r="G424" s="26" t="s">
        <v>139</v>
      </c>
      <c r="H424" s="27" t="s">
        <v>309</v>
      </c>
      <c r="I424" s="24" t="s">
        <v>998</v>
      </c>
      <c r="J424" s="24" t="s">
        <v>121</v>
      </c>
      <c r="K424" s="28" t="s">
        <v>227</v>
      </c>
      <c r="L424" s="29">
        <v>0</v>
      </c>
      <c r="M424" s="29">
        <v>0</v>
      </c>
      <c r="N424" s="29">
        <v>0.02</v>
      </c>
      <c r="O424" s="27" t="s">
        <v>161</v>
      </c>
      <c r="P424" s="30" t="s">
        <v>159</v>
      </c>
      <c r="Q424" s="31">
        <v>286864113.38</v>
      </c>
      <c r="R424" s="31">
        <v>269609.13</v>
      </c>
      <c r="S424" s="32">
        <v>4.2249999999999996E-3</v>
      </c>
      <c r="T424" s="32" t="s">
        <v>139</v>
      </c>
      <c r="U424" s="32">
        <v>6.3730000000000002E-3</v>
      </c>
      <c r="V424" s="32">
        <v>3.2635999999999998E-2</v>
      </c>
      <c r="W424" s="32">
        <v>2.6155999999999999E-2</v>
      </c>
      <c r="X424" s="32">
        <v>1.5820000000000001E-3</v>
      </c>
      <c r="Y424" s="32">
        <v>-4.8339E-2</v>
      </c>
      <c r="Z424" s="32">
        <v>0.171931</v>
      </c>
      <c r="AA424" s="32">
        <v>0.29665900000000001</v>
      </c>
      <c r="AB424" s="32">
        <v>0.344138</v>
      </c>
    </row>
    <row r="425" spans="1:28" ht="15.6" customHeight="1" x14ac:dyDescent="0.25">
      <c r="A425" s="24" t="s">
        <v>762</v>
      </c>
      <c r="B425" s="50">
        <v>4014</v>
      </c>
      <c r="C425" s="25" t="s">
        <v>763</v>
      </c>
      <c r="D425" s="25" t="s">
        <v>159</v>
      </c>
      <c r="E425" s="25" t="s">
        <v>194</v>
      </c>
      <c r="F425" s="25" t="s">
        <v>103</v>
      </c>
      <c r="G425" s="26" t="s">
        <v>244</v>
      </c>
      <c r="H425" s="27" t="s">
        <v>130</v>
      </c>
      <c r="I425" s="24" t="s">
        <v>106</v>
      </c>
      <c r="J425" s="24" t="s">
        <v>107</v>
      </c>
      <c r="K425" s="28" t="s">
        <v>108</v>
      </c>
      <c r="L425" s="29">
        <v>0</v>
      </c>
      <c r="M425" s="29">
        <v>0</v>
      </c>
      <c r="N425" s="29">
        <v>3.0000000000000001E-3</v>
      </c>
      <c r="O425" s="27" t="s">
        <v>161</v>
      </c>
      <c r="P425" s="30" t="s">
        <v>159</v>
      </c>
      <c r="Q425" s="31">
        <v>3545504653.3600001</v>
      </c>
      <c r="R425" s="31">
        <v>212.99</v>
      </c>
      <c r="S425" s="32">
        <v>1.5640999999999999E-2</v>
      </c>
      <c r="T425" s="32" t="s">
        <v>139</v>
      </c>
      <c r="U425" s="32">
        <v>5.6400000000000005E-4</v>
      </c>
      <c r="V425" s="32">
        <v>1.9759999999999999E-3</v>
      </c>
      <c r="W425" s="32">
        <v>6.2360000000000002E-3</v>
      </c>
      <c r="X425" s="32">
        <v>1.2166E-2</v>
      </c>
      <c r="Y425" s="32">
        <v>2.2908000000000001E-2</v>
      </c>
      <c r="Z425" s="32">
        <v>5.1542999999999999E-2</v>
      </c>
      <c r="AA425" s="32">
        <v>8.6295999999999998E-2</v>
      </c>
      <c r="AB425" s="32">
        <v>0.12740799999999999</v>
      </c>
    </row>
    <row r="426" spans="1:28" ht="15.6" customHeight="1" x14ac:dyDescent="0.25">
      <c r="A426" s="24" t="s">
        <v>1465</v>
      </c>
      <c r="B426" s="50">
        <v>4015</v>
      </c>
      <c r="C426" s="25" t="s">
        <v>1466</v>
      </c>
      <c r="D426" s="25" t="s">
        <v>164</v>
      </c>
      <c r="E426" s="25" t="s">
        <v>194</v>
      </c>
      <c r="F426" s="25" t="s">
        <v>155</v>
      </c>
      <c r="G426" s="26" t="s">
        <v>139</v>
      </c>
      <c r="H426" s="27" t="s">
        <v>156</v>
      </c>
      <c r="I426" s="24" t="s">
        <v>998</v>
      </c>
      <c r="J426" s="24" t="s">
        <v>107</v>
      </c>
      <c r="K426" s="28" t="s">
        <v>108</v>
      </c>
      <c r="L426" s="29">
        <v>0.03</v>
      </c>
      <c r="M426" s="29">
        <v>1.4999999999999999E-2</v>
      </c>
      <c r="N426" s="29">
        <v>0.02</v>
      </c>
      <c r="O426" s="27" t="s">
        <v>166</v>
      </c>
      <c r="P426" s="30" t="s">
        <v>164</v>
      </c>
      <c r="Q426" s="31">
        <v>715486630.37</v>
      </c>
      <c r="R426" s="31">
        <v>1456.19</v>
      </c>
      <c r="S426" s="32">
        <v>0.10491499999999999</v>
      </c>
      <c r="T426" s="32" t="s">
        <v>139</v>
      </c>
      <c r="U426" s="32">
        <v>1.7177000000000001E-2</v>
      </c>
      <c r="V426" s="32">
        <v>8.5842000000000002E-2</v>
      </c>
      <c r="W426" s="32">
        <v>5.8547000000000002E-2</v>
      </c>
      <c r="X426" s="32">
        <v>8.1342999999999999E-2</v>
      </c>
      <c r="Y426" s="32">
        <v>1.0078999999999999E-2</v>
      </c>
      <c r="Z426" s="32">
        <v>0.45951799999999998</v>
      </c>
      <c r="AA426" s="32">
        <v>0.63917100000000004</v>
      </c>
      <c r="AB426" s="32">
        <v>0.54414399999999996</v>
      </c>
    </row>
    <row r="427" spans="1:28" ht="15.6" customHeight="1" x14ac:dyDescent="0.25">
      <c r="A427" s="24" t="s">
        <v>1467</v>
      </c>
      <c r="B427" s="50">
        <v>4016</v>
      </c>
      <c r="C427" s="25" t="s">
        <v>1468</v>
      </c>
      <c r="D427" s="25" t="s">
        <v>164</v>
      </c>
      <c r="E427" s="25" t="s">
        <v>194</v>
      </c>
      <c r="F427" s="25" t="s">
        <v>113</v>
      </c>
      <c r="G427" s="26" t="s">
        <v>866</v>
      </c>
      <c r="H427" s="27" t="s">
        <v>1469</v>
      </c>
      <c r="I427" s="24" t="s">
        <v>998</v>
      </c>
      <c r="J427" s="24" t="s">
        <v>107</v>
      </c>
      <c r="K427" s="28" t="s">
        <v>108</v>
      </c>
      <c r="L427" s="29">
        <v>0.01</v>
      </c>
      <c r="M427" s="29">
        <v>0</v>
      </c>
      <c r="N427" s="29">
        <v>0.01</v>
      </c>
      <c r="O427" s="27" t="s">
        <v>166</v>
      </c>
      <c r="P427" s="30" t="s">
        <v>164</v>
      </c>
      <c r="Q427" s="31">
        <v>1055220686.88</v>
      </c>
      <c r="R427" s="31">
        <v>312.27999999999997</v>
      </c>
      <c r="S427" s="32">
        <v>1.3435000000000001E-2</v>
      </c>
      <c r="T427" s="32" t="s">
        <v>139</v>
      </c>
      <c r="U427" s="32">
        <v>1.732E-3</v>
      </c>
      <c r="V427" s="32">
        <v>8.6560000000000005E-3</v>
      </c>
      <c r="W427" s="32">
        <v>9.9939999999999994E-3</v>
      </c>
      <c r="X427" s="32">
        <v>1.2581E-2</v>
      </c>
      <c r="Y427" s="32">
        <v>1.0942E-2</v>
      </c>
      <c r="Z427" s="32">
        <v>8.9146000000000003E-2</v>
      </c>
      <c r="AA427" s="32">
        <v>0.157107</v>
      </c>
      <c r="AB427" s="32">
        <v>0.13523299999999999</v>
      </c>
    </row>
    <row r="428" spans="1:28" ht="15.6" customHeight="1" x14ac:dyDescent="0.25">
      <c r="A428" s="24" t="s">
        <v>1470</v>
      </c>
      <c r="B428" s="50">
        <v>4017</v>
      </c>
      <c r="C428" s="25" t="s">
        <v>1471</v>
      </c>
      <c r="D428" s="25" t="s">
        <v>164</v>
      </c>
      <c r="E428" s="25" t="s">
        <v>194</v>
      </c>
      <c r="F428" s="25" t="s">
        <v>138</v>
      </c>
      <c r="G428" s="26" t="s">
        <v>139</v>
      </c>
      <c r="H428" s="27" t="s">
        <v>1013</v>
      </c>
      <c r="I428" s="24" t="s">
        <v>998</v>
      </c>
      <c r="J428" s="24" t="s">
        <v>107</v>
      </c>
      <c r="K428" s="28" t="s">
        <v>108</v>
      </c>
      <c r="L428" s="29">
        <v>1.4999999999999999E-2</v>
      </c>
      <c r="M428" s="29">
        <v>2.5000000000000001E-3</v>
      </c>
      <c r="N428" s="29">
        <v>1.4999999999999999E-2</v>
      </c>
      <c r="O428" s="27" t="s">
        <v>166</v>
      </c>
      <c r="P428" s="30" t="s">
        <v>164</v>
      </c>
      <c r="Q428" s="31">
        <v>1319455933.77</v>
      </c>
      <c r="R428" s="31">
        <v>664.02</v>
      </c>
      <c r="S428" s="32">
        <v>7.3563000000000003E-2</v>
      </c>
      <c r="T428" s="32" t="s">
        <v>139</v>
      </c>
      <c r="U428" s="32">
        <v>1.4560999999999999E-2</v>
      </c>
      <c r="V428" s="32">
        <v>7.0965E-2</v>
      </c>
      <c r="W428" s="32">
        <v>4.2613999999999999E-2</v>
      </c>
      <c r="X428" s="32">
        <v>6.0243999999999999E-2</v>
      </c>
      <c r="Y428" s="32">
        <v>2.8722999999999999E-2</v>
      </c>
      <c r="Z428" s="32">
        <v>0.273704</v>
      </c>
      <c r="AA428" s="32">
        <v>0.413831</v>
      </c>
      <c r="AB428" s="32">
        <v>0.38698700000000003</v>
      </c>
    </row>
    <row r="429" spans="1:28" ht="15.6" customHeight="1" x14ac:dyDescent="0.25">
      <c r="A429" s="24" t="s">
        <v>764</v>
      </c>
      <c r="B429" s="50">
        <v>4018</v>
      </c>
      <c r="C429" s="25" t="s">
        <v>765</v>
      </c>
      <c r="D429" s="25" t="s">
        <v>164</v>
      </c>
      <c r="E429" s="25" t="s">
        <v>102</v>
      </c>
      <c r="F429" s="25" t="s">
        <v>128</v>
      </c>
      <c r="G429" s="26" t="s">
        <v>129</v>
      </c>
      <c r="H429" s="27" t="s">
        <v>130</v>
      </c>
      <c r="I429" s="24" t="s">
        <v>106</v>
      </c>
      <c r="J429" s="24" t="s">
        <v>107</v>
      </c>
      <c r="K429" s="28" t="s">
        <v>108</v>
      </c>
      <c r="L429" s="29">
        <v>0.03</v>
      </c>
      <c r="M429" s="29">
        <v>1.4999999999999999E-2</v>
      </c>
      <c r="N429" s="29">
        <v>0.02</v>
      </c>
      <c r="O429" s="27" t="s">
        <v>166</v>
      </c>
      <c r="P429" s="30" t="s">
        <v>164</v>
      </c>
      <c r="Q429" s="31">
        <v>1452902578.3699999</v>
      </c>
      <c r="R429" s="31">
        <v>211.37</v>
      </c>
      <c r="S429" s="32">
        <v>1.8307E-2</v>
      </c>
      <c r="T429" s="32" t="s">
        <v>139</v>
      </c>
      <c r="U429" s="32">
        <v>7.1000000000000002E-4</v>
      </c>
      <c r="V429" s="32">
        <v>2.1810000000000002E-3</v>
      </c>
      <c r="W429" s="32">
        <v>7.6750000000000004E-3</v>
      </c>
      <c r="X429" s="32">
        <v>1.43E-2</v>
      </c>
      <c r="Y429" s="32">
        <v>2.5718999999999999E-2</v>
      </c>
      <c r="Z429" s="32">
        <v>5.9074000000000002E-2</v>
      </c>
      <c r="AA429" s="32">
        <v>9.7740999999999995E-2</v>
      </c>
      <c r="AB429" s="32">
        <v>0.130381</v>
      </c>
    </row>
    <row r="430" spans="1:28" ht="15.6" customHeight="1" x14ac:dyDescent="0.25">
      <c r="A430" s="24" t="s">
        <v>1472</v>
      </c>
      <c r="B430" s="50">
        <v>4019</v>
      </c>
      <c r="C430" s="25" t="s">
        <v>1473</v>
      </c>
      <c r="D430" s="25" t="s">
        <v>164</v>
      </c>
      <c r="E430" s="25" t="s">
        <v>194</v>
      </c>
      <c r="F430" s="25" t="s">
        <v>155</v>
      </c>
      <c r="G430" s="26" t="s">
        <v>139</v>
      </c>
      <c r="H430" s="27" t="s">
        <v>139</v>
      </c>
      <c r="I430" s="24" t="s">
        <v>998</v>
      </c>
      <c r="J430" s="24" t="s">
        <v>107</v>
      </c>
      <c r="K430" s="28" t="s">
        <v>108</v>
      </c>
      <c r="L430" s="29">
        <v>0.03</v>
      </c>
      <c r="M430" s="29">
        <v>0.01</v>
      </c>
      <c r="N430" s="29">
        <v>0.02</v>
      </c>
      <c r="O430" s="27" t="s">
        <v>166</v>
      </c>
      <c r="P430" s="30" t="s">
        <v>164</v>
      </c>
      <c r="Q430" s="31">
        <v>221969004.40000001</v>
      </c>
      <c r="R430" s="31">
        <v>1409.39</v>
      </c>
      <c r="S430" s="32">
        <v>0.109843</v>
      </c>
      <c r="T430" s="32" t="s">
        <v>139</v>
      </c>
      <c r="U430" s="32">
        <v>1.7287E-2</v>
      </c>
      <c r="V430" s="32">
        <v>8.6670999999999998E-2</v>
      </c>
      <c r="W430" s="32">
        <v>6.0856E-2</v>
      </c>
      <c r="X430" s="32">
        <v>8.6393999999999999E-2</v>
      </c>
      <c r="Y430" s="32">
        <v>8.6309999999999998E-3</v>
      </c>
      <c r="Z430" s="32">
        <v>0.44759199999999999</v>
      </c>
      <c r="AA430" s="32">
        <v>0.68146799999999996</v>
      </c>
      <c r="AB430" s="32">
        <v>0.59772999999999998</v>
      </c>
    </row>
    <row r="431" spans="1:28" ht="15.6" customHeight="1" x14ac:dyDescent="0.25">
      <c r="A431" s="24" t="s">
        <v>766</v>
      </c>
      <c r="B431" s="50">
        <v>4021</v>
      </c>
      <c r="C431" s="25" t="s">
        <v>767</v>
      </c>
      <c r="D431" s="25" t="s">
        <v>164</v>
      </c>
      <c r="E431" s="25" t="s">
        <v>194</v>
      </c>
      <c r="F431" s="25" t="s">
        <v>113</v>
      </c>
      <c r="G431" s="26" t="s">
        <v>493</v>
      </c>
      <c r="H431" s="27" t="s">
        <v>327</v>
      </c>
      <c r="I431" s="24" t="s">
        <v>106</v>
      </c>
      <c r="J431" s="24" t="s">
        <v>107</v>
      </c>
      <c r="K431" s="28" t="s">
        <v>108</v>
      </c>
      <c r="L431" s="29">
        <v>0.03</v>
      </c>
      <c r="M431" s="29">
        <v>0.01</v>
      </c>
      <c r="N431" s="29">
        <v>0.02</v>
      </c>
      <c r="O431" s="27" t="s">
        <v>166</v>
      </c>
      <c r="P431" s="30" t="s">
        <v>164</v>
      </c>
      <c r="Q431" s="31">
        <v>2061925389.78</v>
      </c>
      <c r="R431" s="31">
        <v>428.78</v>
      </c>
      <c r="S431" s="32">
        <v>8.0169999999999998E-3</v>
      </c>
      <c r="T431" s="32" t="s">
        <v>139</v>
      </c>
      <c r="U431" s="32">
        <v>2.1029999999999998E-3</v>
      </c>
      <c r="V431" s="32">
        <v>9.4400000000000005E-3</v>
      </c>
      <c r="W431" s="32">
        <v>1.0272999999999999E-2</v>
      </c>
      <c r="X431" s="32">
        <v>5.9119999999999997E-3</v>
      </c>
      <c r="Y431" s="32">
        <v>6.2659999999999999E-3</v>
      </c>
      <c r="Z431" s="32">
        <v>8.3406999999999995E-2</v>
      </c>
      <c r="AA431" s="32">
        <v>0.15695700000000001</v>
      </c>
      <c r="AB431" s="32">
        <v>0.12914100000000001</v>
      </c>
    </row>
    <row r="432" spans="1:28" ht="15.6" customHeight="1" x14ac:dyDescent="0.25">
      <c r="A432" s="24" t="s">
        <v>1474</v>
      </c>
      <c r="B432" s="50">
        <v>4022</v>
      </c>
      <c r="C432" s="25" t="s">
        <v>1475</v>
      </c>
      <c r="D432" s="25" t="s">
        <v>164</v>
      </c>
      <c r="E432" s="25" t="s">
        <v>194</v>
      </c>
      <c r="F432" s="25" t="s">
        <v>113</v>
      </c>
      <c r="G432" s="26" t="s">
        <v>638</v>
      </c>
      <c r="H432" s="27" t="s">
        <v>327</v>
      </c>
      <c r="I432" s="24" t="s">
        <v>998</v>
      </c>
      <c r="J432" s="24" t="s">
        <v>121</v>
      </c>
      <c r="K432" s="28" t="s">
        <v>180</v>
      </c>
      <c r="L432" s="29">
        <v>0.03</v>
      </c>
      <c r="M432" s="29">
        <v>1.4999999999999999E-2</v>
      </c>
      <c r="N432" s="29">
        <v>0.02</v>
      </c>
      <c r="O432" s="27" t="s">
        <v>166</v>
      </c>
      <c r="P432" s="30" t="s">
        <v>164</v>
      </c>
      <c r="Q432" s="31">
        <v>5368474989.8299999</v>
      </c>
      <c r="R432" s="31">
        <v>27540.84</v>
      </c>
      <c r="S432" s="32">
        <v>-2.0539999999999998E-3</v>
      </c>
      <c r="T432" s="32" t="s">
        <v>139</v>
      </c>
      <c r="U432" s="32">
        <v>9.7300000000000002E-4</v>
      </c>
      <c r="V432" s="32">
        <v>3.9150000000000001E-3</v>
      </c>
      <c r="W432" s="32">
        <v>3.1210000000000001E-3</v>
      </c>
      <c r="X432" s="32">
        <v>-2.9550000000000002E-3</v>
      </c>
      <c r="Y432" s="32">
        <v>-3.8769999999999998E-3</v>
      </c>
      <c r="Z432" s="32">
        <v>9.2716000000000007E-2</v>
      </c>
      <c r="AA432" s="32">
        <v>0.20377600000000001</v>
      </c>
      <c r="AB432" s="32">
        <v>0.16275800000000001</v>
      </c>
    </row>
    <row r="433" spans="1:28" ht="15.6" customHeight="1" x14ac:dyDescent="0.25">
      <c r="A433" s="24" t="s">
        <v>768</v>
      </c>
      <c r="B433" s="50">
        <v>4024</v>
      </c>
      <c r="C433" s="25" t="s">
        <v>769</v>
      </c>
      <c r="D433" s="25" t="s">
        <v>164</v>
      </c>
      <c r="E433" s="25" t="s">
        <v>194</v>
      </c>
      <c r="F433" s="25" t="s">
        <v>128</v>
      </c>
      <c r="G433" s="26" t="s">
        <v>250</v>
      </c>
      <c r="H433" s="27" t="s">
        <v>130</v>
      </c>
      <c r="I433" s="24" t="s">
        <v>106</v>
      </c>
      <c r="J433" s="24" t="s">
        <v>107</v>
      </c>
      <c r="K433" s="28" t="s">
        <v>108</v>
      </c>
      <c r="L433" s="29">
        <v>0.01</v>
      </c>
      <c r="M433" s="29">
        <v>0</v>
      </c>
      <c r="N433" s="29">
        <v>0.02</v>
      </c>
      <c r="O433" s="27" t="s">
        <v>166</v>
      </c>
      <c r="P433" s="30" t="s">
        <v>164</v>
      </c>
      <c r="Q433" s="31">
        <v>1987561021.5699999</v>
      </c>
      <c r="R433" s="31">
        <v>315.68</v>
      </c>
      <c r="S433" s="32">
        <v>1.9276000000000001E-2</v>
      </c>
      <c r="T433" s="32" t="s">
        <v>139</v>
      </c>
      <c r="U433" s="32">
        <v>7.6099999999999996E-4</v>
      </c>
      <c r="V433" s="32">
        <v>2.2539999999999999E-3</v>
      </c>
      <c r="W433" s="32">
        <v>7.4999999999999997E-3</v>
      </c>
      <c r="X433" s="32">
        <v>1.4135E-2</v>
      </c>
      <c r="Y433" s="32">
        <v>2.9211999999999998E-2</v>
      </c>
      <c r="Z433" s="32">
        <v>5.9861999999999999E-2</v>
      </c>
      <c r="AA433" s="32">
        <v>9.5121999999999998E-2</v>
      </c>
      <c r="AB433" s="32">
        <v>0.113431</v>
      </c>
    </row>
    <row r="434" spans="1:28" ht="15.6" customHeight="1" x14ac:dyDescent="0.25">
      <c r="A434" s="24" t="s">
        <v>1476</v>
      </c>
      <c r="B434" s="50">
        <v>4025</v>
      </c>
      <c r="C434" s="25" t="s">
        <v>1477</v>
      </c>
      <c r="D434" s="25" t="s">
        <v>164</v>
      </c>
      <c r="E434" s="25" t="s">
        <v>194</v>
      </c>
      <c r="F434" s="25" t="s">
        <v>155</v>
      </c>
      <c r="G434" s="26" t="s">
        <v>139</v>
      </c>
      <c r="H434" s="27" t="s">
        <v>626</v>
      </c>
      <c r="I434" s="24" t="s">
        <v>998</v>
      </c>
      <c r="J434" s="24" t="s">
        <v>107</v>
      </c>
      <c r="K434" s="28" t="s">
        <v>108</v>
      </c>
      <c r="L434" s="29">
        <v>0.02</v>
      </c>
      <c r="M434" s="29">
        <v>5.0000000000000001E-3</v>
      </c>
      <c r="N434" s="29">
        <v>0.02</v>
      </c>
      <c r="O434" s="27" t="s">
        <v>166</v>
      </c>
      <c r="P434" s="30" t="s">
        <v>164</v>
      </c>
      <c r="Q434" s="31">
        <v>552875442.96000004</v>
      </c>
      <c r="R434" s="31">
        <v>931.31</v>
      </c>
      <c r="S434" s="32">
        <v>8.7344000000000005E-2</v>
      </c>
      <c r="T434" s="32" t="s">
        <v>139</v>
      </c>
      <c r="U434" s="32">
        <v>1.6247999999999999E-2</v>
      </c>
      <c r="V434" s="32">
        <v>7.8654000000000002E-2</v>
      </c>
      <c r="W434" s="32">
        <v>5.8824000000000001E-2</v>
      </c>
      <c r="X434" s="32">
        <v>7.1000999999999995E-2</v>
      </c>
      <c r="Y434" s="32">
        <v>-5.7010000000000003E-3</v>
      </c>
      <c r="Z434" s="32">
        <v>0.35914000000000001</v>
      </c>
      <c r="AA434" s="32">
        <v>0.53912599999999999</v>
      </c>
      <c r="AB434" s="32">
        <v>0.44611099999999998</v>
      </c>
    </row>
    <row r="435" spans="1:28" ht="15.6" customHeight="1" x14ac:dyDescent="0.25">
      <c r="A435" s="24" t="s">
        <v>1478</v>
      </c>
      <c r="B435" s="50">
        <v>4026</v>
      </c>
      <c r="C435" s="25" t="s">
        <v>1479</v>
      </c>
      <c r="D435" s="25" t="s">
        <v>164</v>
      </c>
      <c r="E435" s="25" t="s">
        <v>194</v>
      </c>
      <c r="F435" s="25" t="s">
        <v>113</v>
      </c>
      <c r="G435" s="26" t="s">
        <v>1016</v>
      </c>
      <c r="H435" s="27" t="s">
        <v>120</v>
      </c>
      <c r="I435" s="24" t="s">
        <v>998</v>
      </c>
      <c r="J435" s="24" t="s">
        <v>107</v>
      </c>
      <c r="K435" s="28" t="s">
        <v>108</v>
      </c>
      <c r="L435" s="29">
        <v>0.03</v>
      </c>
      <c r="M435" s="29">
        <v>1.4999999999999999E-2</v>
      </c>
      <c r="N435" s="29">
        <v>0.02</v>
      </c>
      <c r="O435" s="27" t="s">
        <v>166</v>
      </c>
      <c r="P435" s="30" t="s">
        <v>164</v>
      </c>
      <c r="Q435" s="31">
        <v>2026574068.01</v>
      </c>
      <c r="R435" s="31">
        <v>2350.5500000000002</v>
      </c>
      <c r="S435" s="32">
        <v>8.9969999999999998E-3</v>
      </c>
      <c r="T435" s="32" t="s">
        <v>139</v>
      </c>
      <c r="U435" s="32">
        <v>1.0480000000000001E-3</v>
      </c>
      <c r="V435" s="32">
        <v>3.0339999999999998E-3</v>
      </c>
      <c r="W435" s="32">
        <v>7.3070000000000001E-3</v>
      </c>
      <c r="X435" s="32">
        <v>1.0572E-2</v>
      </c>
      <c r="Y435" s="32">
        <v>8.8719999999999997E-3</v>
      </c>
      <c r="Z435" s="32">
        <v>6.7451999999999998E-2</v>
      </c>
      <c r="AA435" s="32">
        <v>0.13949500000000001</v>
      </c>
      <c r="AB435" s="32">
        <v>0.117814</v>
      </c>
    </row>
    <row r="436" spans="1:28" ht="15.6" customHeight="1" x14ac:dyDescent="0.25">
      <c r="A436" s="24" t="s">
        <v>770</v>
      </c>
      <c r="B436" s="50">
        <v>4027</v>
      </c>
      <c r="C436" s="25" t="s">
        <v>771</v>
      </c>
      <c r="D436" s="25" t="s">
        <v>164</v>
      </c>
      <c r="E436" s="25" t="s">
        <v>194</v>
      </c>
      <c r="F436" s="25" t="s">
        <v>103</v>
      </c>
      <c r="G436" s="26" t="s">
        <v>772</v>
      </c>
      <c r="H436" s="27" t="s">
        <v>169</v>
      </c>
      <c r="I436" s="24" t="s">
        <v>106</v>
      </c>
      <c r="J436" s="24" t="s">
        <v>107</v>
      </c>
      <c r="K436" s="28" t="s">
        <v>108</v>
      </c>
      <c r="L436" s="29">
        <v>0</v>
      </c>
      <c r="M436" s="29">
        <v>0</v>
      </c>
      <c r="N436" s="29">
        <v>6.5000000000000006E-3</v>
      </c>
      <c r="O436" s="27" t="s">
        <v>166</v>
      </c>
      <c r="P436" s="30" t="s">
        <v>164</v>
      </c>
      <c r="Q436" s="31">
        <v>27349686376.849998</v>
      </c>
      <c r="R436" s="31">
        <v>213689.33</v>
      </c>
      <c r="S436" s="32">
        <v>1.5865000000000001E-2</v>
      </c>
      <c r="T436" s="32" t="s">
        <v>139</v>
      </c>
      <c r="U436" s="32">
        <v>5.6099999999999998E-4</v>
      </c>
      <c r="V436" s="32">
        <v>2.0049999999999998E-3</v>
      </c>
      <c r="W436" s="32">
        <v>6.3610000000000003E-3</v>
      </c>
      <c r="X436" s="32">
        <v>1.2109E-2</v>
      </c>
      <c r="Y436" s="32">
        <v>2.3656E-2</v>
      </c>
      <c r="Z436" s="32">
        <v>5.2352999999999997E-2</v>
      </c>
      <c r="AA436" s="32">
        <v>8.7349999999999997E-2</v>
      </c>
      <c r="AB436" s="32">
        <v>0.13191800000000001</v>
      </c>
    </row>
    <row r="437" spans="1:28" ht="15.6" customHeight="1" x14ac:dyDescent="0.25">
      <c r="A437" s="24" t="s">
        <v>1480</v>
      </c>
      <c r="B437" s="50">
        <v>4028</v>
      </c>
      <c r="C437" s="25" t="s">
        <v>1481</v>
      </c>
      <c r="D437" s="25" t="s">
        <v>164</v>
      </c>
      <c r="E437" s="25" t="s">
        <v>194</v>
      </c>
      <c r="F437" s="25" t="s">
        <v>113</v>
      </c>
      <c r="G437" s="26" t="s">
        <v>1482</v>
      </c>
      <c r="H437" s="27" t="s">
        <v>327</v>
      </c>
      <c r="I437" s="24" t="s">
        <v>998</v>
      </c>
      <c r="J437" s="24" t="s">
        <v>121</v>
      </c>
      <c r="K437" s="28" t="s">
        <v>108</v>
      </c>
      <c r="L437" s="29">
        <v>0.03</v>
      </c>
      <c r="M437" s="29">
        <v>1.4999999999999999E-2</v>
      </c>
      <c r="N437" s="29">
        <v>0.02</v>
      </c>
      <c r="O437" s="27" t="s">
        <v>166</v>
      </c>
      <c r="P437" s="30" t="s">
        <v>164</v>
      </c>
      <c r="Q437" s="31">
        <v>1048582889.46</v>
      </c>
      <c r="R437" s="31">
        <v>26843.46</v>
      </c>
      <c r="S437" s="32">
        <v>-4.5120000000000004E-3</v>
      </c>
      <c r="T437" s="32" t="s">
        <v>139</v>
      </c>
      <c r="U437" s="32">
        <v>1.7420000000000001E-3</v>
      </c>
      <c r="V437" s="32">
        <v>5.8830000000000002E-3</v>
      </c>
      <c r="W437" s="32">
        <v>4.4929999999999996E-3</v>
      </c>
      <c r="X437" s="32">
        <v>-4.8500000000000001E-3</v>
      </c>
      <c r="Y437" s="32">
        <v>-1.0864E-2</v>
      </c>
      <c r="Z437" s="32">
        <v>8.4116999999999997E-2</v>
      </c>
      <c r="AA437" s="32">
        <v>0.19789899999999999</v>
      </c>
      <c r="AB437" s="32">
        <v>0.15773699999999999</v>
      </c>
    </row>
    <row r="438" spans="1:28" ht="15.6" customHeight="1" x14ac:dyDescent="0.25">
      <c r="A438" s="24" t="s">
        <v>1483</v>
      </c>
      <c r="B438" s="50">
        <v>4029</v>
      </c>
      <c r="C438" s="25" t="s">
        <v>1484</v>
      </c>
      <c r="D438" s="25" t="s">
        <v>164</v>
      </c>
      <c r="E438" s="25" t="s">
        <v>194</v>
      </c>
      <c r="F438" s="25" t="s">
        <v>155</v>
      </c>
      <c r="G438" s="26" t="s">
        <v>139</v>
      </c>
      <c r="H438" s="27" t="s">
        <v>1485</v>
      </c>
      <c r="I438" s="24" t="s">
        <v>998</v>
      </c>
      <c r="J438" s="24" t="s">
        <v>121</v>
      </c>
      <c r="K438" s="28" t="s">
        <v>180</v>
      </c>
      <c r="L438" s="29">
        <v>0.03</v>
      </c>
      <c r="M438" s="29">
        <v>1.4999999999999999E-2</v>
      </c>
      <c r="N438" s="29">
        <v>0.02</v>
      </c>
      <c r="O438" s="27" t="s">
        <v>166</v>
      </c>
      <c r="P438" s="30" t="s">
        <v>164</v>
      </c>
      <c r="Q438" s="31">
        <v>700555094.38</v>
      </c>
      <c r="R438" s="31">
        <v>445264.2</v>
      </c>
      <c r="S438" s="32">
        <v>9.9191000000000001E-2</v>
      </c>
      <c r="T438" s="32" t="s">
        <v>139</v>
      </c>
      <c r="U438" s="32">
        <v>1.7628000000000001E-2</v>
      </c>
      <c r="V438" s="32">
        <v>9.0248999999999996E-2</v>
      </c>
      <c r="W438" s="32">
        <v>6.6614999999999994E-2</v>
      </c>
      <c r="X438" s="32">
        <v>8.1252000000000005E-2</v>
      </c>
      <c r="Y438" s="32">
        <v>9.7789999999999995E-3</v>
      </c>
      <c r="Z438" s="32">
        <v>0.42635899999999999</v>
      </c>
      <c r="AA438" s="32">
        <v>0.63653599999999999</v>
      </c>
      <c r="AB438" s="32">
        <v>0.61573800000000001</v>
      </c>
    </row>
    <row r="439" spans="1:28" ht="15.6" customHeight="1" x14ac:dyDescent="0.25">
      <c r="A439" s="24" t="s">
        <v>1486</v>
      </c>
      <c r="B439" s="50">
        <v>4030</v>
      </c>
      <c r="C439" s="25" t="s">
        <v>1487</v>
      </c>
      <c r="D439" s="25" t="s">
        <v>164</v>
      </c>
      <c r="E439" s="25" t="s">
        <v>194</v>
      </c>
      <c r="F439" s="25" t="s">
        <v>138</v>
      </c>
      <c r="G439" s="26" t="s">
        <v>139</v>
      </c>
      <c r="H439" s="27" t="s">
        <v>1488</v>
      </c>
      <c r="I439" s="24" t="s">
        <v>998</v>
      </c>
      <c r="J439" s="24" t="s">
        <v>121</v>
      </c>
      <c r="K439" s="28" t="s">
        <v>180</v>
      </c>
      <c r="L439" s="29">
        <v>0.03</v>
      </c>
      <c r="M439" s="29">
        <v>1.4999999999999999E-2</v>
      </c>
      <c r="N439" s="29">
        <v>0.02</v>
      </c>
      <c r="O439" s="27" t="s">
        <v>166</v>
      </c>
      <c r="P439" s="30" t="s">
        <v>164</v>
      </c>
      <c r="Q439" s="31">
        <v>2764605560.0700002</v>
      </c>
      <c r="R439" s="31">
        <v>30187.39</v>
      </c>
      <c r="S439" s="32">
        <v>5.3277999999999999E-2</v>
      </c>
      <c r="T439" s="32" t="s">
        <v>139</v>
      </c>
      <c r="U439" s="32">
        <v>1.1868999999999999E-2</v>
      </c>
      <c r="V439" s="32">
        <v>5.8212E-2</v>
      </c>
      <c r="W439" s="32">
        <v>3.9802999999999998E-2</v>
      </c>
      <c r="X439" s="32">
        <v>4.6056E-2</v>
      </c>
      <c r="Y439" s="32">
        <v>2.0282999999999999E-2</v>
      </c>
      <c r="Z439" s="32">
        <v>0.292072</v>
      </c>
      <c r="AA439" s="32">
        <v>0.45364399999999999</v>
      </c>
      <c r="AB439" s="32">
        <v>0.45208999999999999</v>
      </c>
    </row>
    <row r="440" spans="1:28" ht="15.6" customHeight="1" x14ac:dyDescent="0.25">
      <c r="A440" s="24" t="s">
        <v>773</v>
      </c>
      <c r="B440" s="50">
        <v>4031</v>
      </c>
      <c r="C440" s="25" t="s">
        <v>774</v>
      </c>
      <c r="D440" s="25" t="s">
        <v>164</v>
      </c>
      <c r="E440" s="25" t="s">
        <v>194</v>
      </c>
      <c r="F440" s="25" t="s">
        <v>128</v>
      </c>
      <c r="G440" s="26" t="s">
        <v>129</v>
      </c>
      <c r="H440" s="27" t="s">
        <v>130</v>
      </c>
      <c r="I440" s="24" t="s">
        <v>106</v>
      </c>
      <c r="J440" s="24" t="s">
        <v>107</v>
      </c>
      <c r="K440" s="28" t="s">
        <v>108</v>
      </c>
      <c r="L440" s="29">
        <v>1E-3</v>
      </c>
      <c r="M440" s="29">
        <v>0</v>
      </c>
      <c r="N440" s="29">
        <v>6.9999999999999993E-3</v>
      </c>
      <c r="O440" s="27" t="s">
        <v>166</v>
      </c>
      <c r="P440" s="30" t="s">
        <v>164</v>
      </c>
      <c r="Q440" s="31">
        <v>2032785932.45</v>
      </c>
      <c r="R440" s="31">
        <v>689071.33</v>
      </c>
      <c r="S440" s="32">
        <v>1.7691999999999999E-2</v>
      </c>
      <c r="T440" s="32" t="s">
        <v>139</v>
      </c>
      <c r="U440" s="32">
        <v>7.3099999999999999E-4</v>
      </c>
      <c r="V440" s="32">
        <v>2.1800000000000001E-3</v>
      </c>
      <c r="W440" s="32">
        <v>7.3159999999999996E-3</v>
      </c>
      <c r="X440" s="32">
        <v>1.3516E-2</v>
      </c>
      <c r="Y440" s="32">
        <v>2.5937000000000002E-2</v>
      </c>
      <c r="Z440" s="32">
        <v>5.7105999999999997E-2</v>
      </c>
      <c r="AA440" s="32">
        <v>9.7441E-2</v>
      </c>
      <c r="AB440" s="32">
        <v>0.14217399999999999</v>
      </c>
    </row>
    <row r="441" spans="1:28" ht="15.6" customHeight="1" x14ac:dyDescent="0.25">
      <c r="A441" s="24" t="s">
        <v>775</v>
      </c>
      <c r="B441" s="50">
        <v>4033</v>
      </c>
      <c r="C441" s="25" t="s">
        <v>776</v>
      </c>
      <c r="D441" s="25" t="s">
        <v>164</v>
      </c>
      <c r="E441" s="25" t="s">
        <v>194</v>
      </c>
      <c r="F441" s="25" t="s">
        <v>103</v>
      </c>
      <c r="G441" s="26" t="s">
        <v>104</v>
      </c>
      <c r="H441" s="27" t="s">
        <v>169</v>
      </c>
      <c r="I441" s="24" t="s">
        <v>106</v>
      </c>
      <c r="J441" s="24" t="s">
        <v>107</v>
      </c>
      <c r="K441" s="28" t="s">
        <v>108</v>
      </c>
      <c r="L441" s="29">
        <v>0</v>
      </c>
      <c r="M441" s="29">
        <v>0</v>
      </c>
      <c r="N441" s="29">
        <v>0.02</v>
      </c>
      <c r="O441" s="27" t="s">
        <v>166</v>
      </c>
      <c r="P441" s="30" t="s">
        <v>164</v>
      </c>
      <c r="Q441" s="31">
        <v>493687379.94</v>
      </c>
      <c r="R441" s="31">
        <v>240.13</v>
      </c>
      <c r="S441" s="32">
        <v>1.1627E-2</v>
      </c>
      <c r="T441" s="32" t="s">
        <v>139</v>
      </c>
      <c r="U441" s="32">
        <v>3.3300000000000002E-4</v>
      </c>
      <c r="V441" s="32">
        <v>1.5009999999999999E-3</v>
      </c>
      <c r="W441" s="32">
        <v>4.4759999999999999E-3</v>
      </c>
      <c r="X441" s="32">
        <v>8.907E-3</v>
      </c>
      <c r="Y441" s="32">
        <v>1.7672E-2</v>
      </c>
      <c r="Z441" s="32">
        <v>3.8219999999999997E-2</v>
      </c>
      <c r="AA441" s="32">
        <v>6.4122999999999999E-2</v>
      </c>
      <c r="AB441" s="32">
        <v>9.6934999999999993E-2</v>
      </c>
    </row>
    <row r="442" spans="1:28" ht="15.6" customHeight="1" x14ac:dyDescent="0.25">
      <c r="A442" s="24" t="s">
        <v>777</v>
      </c>
      <c r="B442" s="50">
        <v>4034</v>
      </c>
      <c r="C442" s="25" t="s">
        <v>778</v>
      </c>
      <c r="D442" s="25" t="s">
        <v>164</v>
      </c>
      <c r="E442" s="25" t="s">
        <v>194</v>
      </c>
      <c r="F442" s="25" t="s">
        <v>155</v>
      </c>
      <c r="G442" s="26" t="s">
        <v>139</v>
      </c>
      <c r="H442" s="27" t="s">
        <v>156</v>
      </c>
      <c r="I442" s="24" t="s">
        <v>106</v>
      </c>
      <c r="J442" s="24" t="s">
        <v>107</v>
      </c>
      <c r="K442" s="28" t="s">
        <v>108</v>
      </c>
      <c r="L442" s="29">
        <v>0.03</v>
      </c>
      <c r="M442" s="29">
        <v>1.4999999999999999E-2</v>
      </c>
      <c r="N442" s="29">
        <v>0.02</v>
      </c>
      <c r="O442" s="27" t="s">
        <v>166</v>
      </c>
      <c r="P442" s="30" t="s">
        <v>164</v>
      </c>
      <c r="Q442" s="31">
        <v>2378801727.5799999</v>
      </c>
      <c r="R442" s="31">
        <v>2110.2399999999998</v>
      </c>
      <c r="S442" s="32">
        <v>8.2062999999999997E-2</v>
      </c>
      <c r="T442" s="32" t="s">
        <v>139</v>
      </c>
      <c r="U442" s="32">
        <v>1.7277000000000001E-2</v>
      </c>
      <c r="V442" s="32">
        <v>8.6151000000000005E-2</v>
      </c>
      <c r="W442" s="32">
        <v>7.4685000000000001E-2</v>
      </c>
      <c r="X442" s="32">
        <v>7.2729000000000002E-2</v>
      </c>
      <c r="Y442" s="32">
        <v>-5.2610000000000001E-3</v>
      </c>
      <c r="Z442" s="32">
        <v>0.41030499999999998</v>
      </c>
      <c r="AA442" s="32">
        <v>0.63367899999999999</v>
      </c>
      <c r="AB442" s="32">
        <v>0.618977</v>
      </c>
    </row>
    <row r="443" spans="1:28" ht="15.6" customHeight="1" x14ac:dyDescent="0.25">
      <c r="A443" s="24" t="s">
        <v>1489</v>
      </c>
      <c r="B443" s="50">
        <v>4036</v>
      </c>
      <c r="C443" s="25" t="s">
        <v>1490</v>
      </c>
      <c r="D443" s="25" t="s">
        <v>164</v>
      </c>
      <c r="E443" s="25" t="s">
        <v>194</v>
      </c>
      <c r="F443" s="25" t="s">
        <v>113</v>
      </c>
      <c r="G443" s="26" t="s">
        <v>1491</v>
      </c>
      <c r="H443" s="27" t="s">
        <v>327</v>
      </c>
      <c r="I443" s="24" t="s">
        <v>998</v>
      </c>
      <c r="J443" s="24" t="s">
        <v>121</v>
      </c>
      <c r="K443" s="28" t="s">
        <v>108</v>
      </c>
      <c r="L443" s="29">
        <v>0.03</v>
      </c>
      <c r="M443" s="29">
        <v>1.4999999999999999E-2</v>
      </c>
      <c r="N443" s="29">
        <v>0.02</v>
      </c>
      <c r="O443" s="27" t="s">
        <v>166</v>
      </c>
      <c r="P443" s="30" t="s">
        <v>164</v>
      </c>
      <c r="Q443" s="31">
        <v>1660198936.05</v>
      </c>
      <c r="R443" s="31">
        <v>267408.49</v>
      </c>
      <c r="S443" s="32">
        <v>-1.655E-3</v>
      </c>
      <c r="T443" s="32" t="s">
        <v>139</v>
      </c>
      <c r="U443" s="32">
        <v>1.1999999999999999E-3</v>
      </c>
      <c r="V443" s="32">
        <v>3.1939999999999998E-3</v>
      </c>
      <c r="W443" s="32">
        <v>2.869E-3</v>
      </c>
      <c r="X443" s="32">
        <v>-2.2950000000000002E-3</v>
      </c>
      <c r="Y443" s="32">
        <v>-6.28E-3</v>
      </c>
      <c r="Z443" s="32">
        <v>8.8957999999999995E-2</v>
      </c>
      <c r="AA443" s="32">
        <v>0.167569</v>
      </c>
      <c r="AB443" s="32">
        <v>8.7971999999999995E-2</v>
      </c>
    </row>
    <row r="444" spans="1:28" ht="15.6" customHeight="1" x14ac:dyDescent="0.25">
      <c r="A444" s="24" t="s">
        <v>1492</v>
      </c>
      <c r="B444" s="50">
        <v>4037</v>
      </c>
      <c r="C444" s="25" t="s">
        <v>1493</v>
      </c>
      <c r="D444" s="25" t="s">
        <v>164</v>
      </c>
      <c r="E444" s="25" t="s">
        <v>194</v>
      </c>
      <c r="F444" s="25" t="s">
        <v>155</v>
      </c>
      <c r="G444" s="26" t="s">
        <v>139</v>
      </c>
      <c r="H444" s="27" t="s">
        <v>202</v>
      </c>
      <c r="I444" s="24" t="s">
        <v>998</v>
      </c>
      <c r="J444" s="24" t="s">
        <v>121</v>
      </c>
      <c r="K444" s="28" t="s">
        <v>180</v>
      </c>
      <c r="L444" s="29">
        <v>0.03</v>
      </c>
      <c r="M444" s="29">
        <v>1.4999999999999999E-2</v>
      </c>
      <c r="N444" s="29">
        <v>0.02</v>
      </c>
      <c r="O444" s="27" t="s">
        <v>166</v>
      </c>
      <c r="P444" s="30" t="s">
        <v>164</v>
      </c>
      <c r="Q444" s="31">
        <v>1026801738.5599999</v>
      </c>
      <c r="R444" s="31">
        <v>53993.09</v>
      </c>
      <c r="S444" s="32">
        <v>8.2557000000000005E-2</v>
      </c>
      <c r="T444" s="32" t="s">
        <v>139</v>
      </c>
      <c r="U444" s="32">
        <v>1.6979999999999999E-2</v>
      </c>
      <c r="V444" s="32">
        <v>8.9090000000000003E-2</v>
      </c>
      <c r="W444" s="32">
        <v>5.9489E-2</v>
      </c>
      <c r="X444" s="32">
        <v>7.1332000000000007E-2</v>
      </c>
      <c r="Y444" s="32">
        <v>8.5570000000000004E-3</v>
      </c>
      <c r="Z444" s="32">
        <v>0.41525899999999999</v>
      </c>
      <c r="AA444" s="32">
        <v>0.62965700000000002</v>
      </c>
      <c r="AB444" s="32">
        <v>0.63547699999999996</v>
      </c>
    </row>
    <row r="445" spans="1:28" ht="15.6" customHeight="1" x14ac:dyDescent="0.25">
      <c r="A445" s="24" t="s">
        <v>779</v>
      </c>
      <c r="B445" s="50">
        <v>4038</v>
      </c>
      <c r="C445" s="25" t="s">
        <v>780</v>
      </c>
      <c r="D445" s="25" t="s">
        <v>164</v>
      </c>
      <c r="E445" s="25" t="s">
        <v>102</v>
      </c>
      <c r="F445" s="25" t="s">
        <v>113</v>
      </c>
      <c r="G445" s="26" t="s">
        <v>781</v>
      </c>
      <c r="H445" s="27" t="s">
        <v>120</v>
      </c>
      <c r="I445" s="24" t="s">
        <v>106</v>
      </c>
      <c r="J445" s="24" t="s">
        <v>107</v>
      </c>
      <c r="K445" s="28" t="s">
        <v>227</v>
      </c>
      <c r="L445" s="29">
        <v>0</v>
      </c>
      <c r="M445" s="29">
        <v>0</v>
      </c>
      <c r="N445" s="29">
        <v>1.2500000000000001E-2</v>
      </c>
      <c r="O445" s="27" t="s">
        <v>166</v>
      </c>
      <c r="P445" s="30" t="s">
        <v>164</v>
      </c>
      <c r="Q445" s="31">
        <v>361701171.88</v>
      </c>
      <c r="R445" s="31">
        <v>180.38</v>
      </c>
      <c r="S445" s="32">
        <v>1.7544000000000001E-2</v>
      </c>
      <c r="T445" s="32" t="s">
        <v>139</v>
      </c>
      <c r="U445" s="32">
        <v>2.3340000000000001E-3</v>
      </c>
      <c r="V445" s="32">
        <v>7.0910000000000001E-3</v>
      </c>
      <c r="W445" s="32">
        <v>1.2290000000000001E-2</v>
      </c>
      <c r="X445" s="32">
        <v>1.4397E-2</v>
      </c>
      <c r="Y445" s="32">
        <v>1.9383999999999998E-2</v>
      </c>
      <c r="Z445" s="32">
        <v>7.5034000000000003E-2</v>
      </c>
      <c r="AA445" s="32">
        <v>0.137542</v>
      </c>
      <c r="AB445" s="32">
        <v>5.5348000000000001E-2</v>
      </c>
    </row>
    <row r="446" spans="1:28" ht="15.6" customHeight="1" x14ac:dyDescent="0.25">
      <c r="A446" s="24" t="s">
        <v>782</v>
      </c>
      <c r="B446" s="50">
        <v>4039</v>
      </c>
      <c r="C446" s="25" t="s">
        <v>783</v>
      </c>
      <c r="D446" s="25" t="s">
        <v>164</v>
      </c>
      <c r="E446" s="25" t="s">
        <v>102</v>
      </c>
      <c r="F446" s="25" t="s">
        <v>128</v>
      </c>
      <c r="G446" s="26" t="s">
        <v>129</v>
      </c>
      <c r="H446" s="27" t="s">
        <v>130</v>
      </c>
      <c r="I446" s="24" t="s">
        <v>106</v>
      </c>
      <c r="J446" s="24" t="s">
        <v>107</v>
      </c>
      <c r="K446" s="28" t="s">
        <v>108</v>
      </c>
      <c r="L446" s="29">
        <v>0</v>
      </c>
      <c r="M446" s="29">
        <v>0.01</v>
      </c>
      <c r="N446" s="29">
        <v>0.01</v>
      </c>
      <c r="O446" s="27" t="s">
        <v>166</v>
      </c>
      <c r="P446" s="30" t="s">
        <v>164</v>
      </c>
      <c r="Q446" s="31">
        <v>13099890149.77</v>
      </c>
      <c r="R446" s="31">
        <v>2399.36</v>
      </c>
      <c r="S446" s="32">
        <v>1.9325999999999999E-2</v>
      </c>
      <c r="T446" s="32" t="s">
        <v>139</v>
      </c>
      <c r="U446" s="32">
        <v>7.7200000000000001E-4</v>
      </c>
      <c r="V446" s="32">
        <v>2.281E-3</v>
      </c>
      <c r="W446" s="32">
        <v>7.711E-3</v>
      </c>
      <c r="X446" s="32">
        <v>1.4975E-2</v>
      </c>
      <c r="Y446" s="32">
        <v>2.8233000000000001E-2</v>
      </c>
      <c r="Z446" s="32">
        <v>6.4211000000000004E-2</v>
      </c>
      <c r="AA446" s="32">
        <v>0.107569</v>
      </c>
      <c r="AB446" s="32">
        <v>0.14912400000000001</v>
      </c>
    </row>
    <row r="447" spans="1:28" ht="15.6" customHeight="1" x14ac:dyDescent="0.25">
      <c r="A447" s="24" t="s">
        <v>784</v>
      </c>
      <c r="B447" s="50">
        <v>4041</v>
      </c>
      <c r="C447" s="25" t="s">
        <v>785</v>
      </c>
      <c r="D447" s="25" t="s">
        <v>159</v>
      </c>
      <c r="E447" s="25" t="s">
        <v>194</v>
      </c>
      <c r="F447" s="25" t="s">
        <v>113</v>
      </c>
      <c r="G447" s="26" t="s">
        <v>151</v>
      </c>
      <c r="H447" s="27" t="s">
        <v>786</v>
      </c>
      <c r="I447" s="24" t="s">
        <v>106</v>
      </c>
      <c r="J447" s="24" t="s">
        <v>107</v>
      </c>
      <c r="K447" s="28" t="s">
        <v>108</v>
      </c>
      <c r="L447" s="29">
        <v>0</v>
      </c>
      <c r="M447" s="29">
        <v>0</v>
      </c>
      <c r="N447" s="29">
        <v>0.02</v>
      </c>
      <c r="O447" s="27" t="s">
        <v>161</v>
      </c>
      <c r="P447" s="30" t="s">
        <v>159</v>
      </c>
      <c r="Q447" s="31">
        <v>365147272.69</v>
      </c>
      <c r="R447" s="31">
        <v>227.26</v>
      </c>
      <c r="S447" s="32">
        <v>-1.5337999999999999E-2</v>
      </c>
      <c r="T447" s="32" t="s">
        <v>139</v>
      </c>
      <c r="U447" s="32">
        <v>2.47E-3</v>
      </c>
      <c r="V447" s="32">
        <v>6.9560000000000004E-3</v>
      </c>
      <c r="W447" s="32">
        <v>7.358E-3</v>
      </c>
      <c r="X447" s="32">
        <v>-1.8017999999999999E-2</v>
      </c>
      <c r="Y447" s="32">
        <v>-1.427E-2</v>
      </c>
      <c r="Z447" s="32">
        <v>7.7521000000000007E-2</v>
      </c>
      <c r="AA447" s="32">
        <v>0.17356099999999999</v>
      </c>
      <c r="AB447" s="32">
        <v>0.16239600000000001</v>
      </c>
    </row>
    <row r="448" spans="1:28" ht="15.6" customHeight="1" x14ac:dyDescent="0.25">
      <c r="A448" s="24" t="s">
        <v>787</v>
      </c>
      <c r="B448" s="50">
        <v>4042</v>
      </c>
      <c r="C448" s="25" t="s">
        <v>788</v>
      </c>
      <c r="D448" s="25" t="s">
        <v>159</v>
      </c>
      <c r="E448" s="25" t="s">
        <v>194</v>
      </c>
      <c r="F448" s="25" t="s">
        <v>113</v>
      </c>
      <c r="G448" s="26" t="s">
        <v>638</v>
      </c>
      <c r="H448" s="27" t="s">
        <v>789</v>
      </c>
      <c r="I448" s="24" t="s">
        <v>106</v>
      </c>
      <c r="J448" s="24" t="s">
        <v>107</v>
      </c>
      <c r="K448" s="28" t="s">
        <v>108</v>
      </c>
      <c r="L448" s="29">
        <v>0</v>
      </c>
      <c r="M448" s="29">
        <v>0</v>
      </c>
      <c r="N448" s="29">
        <v>0.02</v>
      </c>
      <c r="O448" s="27" t="s">
        <v>161</v>
      </c>
      <c r="P448" s="30" t="s">
        <v>159</v>
      </c>
      <c r="Q448" s="31">
        <v>4299604.97</v>
      </c>
      <c r="R448" s="31">
        <v>229.82</v>
      </c>
      <c r="S448" s="32">
        <v>-3.728E-3</v>
      </c>
      <c r="T448" s="32" t="s">
        <v>139</v>
      </c>
      <c r="U448" s="32">
        <v>1.0449999999999999E-3</v>
      </c>
      <c r="V448" s="32">
        <v>2.7929999999999999E-3</v>
      </c>
      <c r="W448" s="32">
        <v>6.5300000000000004E-4</v>
      </c>
      <c r="X448" s="32">
        <v>-7.1279999999999998E-3</v>
      </c>
      <c r="Y448" s="32">
        <v>-8.371E-3</v>
      </c>
      <c r="Z448" s="32">
        <v>6.8731E-2</v>
      </c>
      <c r="AA448" s="32">
        <v>0.14338300000000001</v>
      </c>
      <c r="AB448" s="32">
        <v>0.125245</v>
      </c>
    </row>
    <row r="449" spans="1:28" ht="15.6" customHeight="1" x14ac:dyDescent="0.25">
      <c r="A449" s="24" t="s">
        <v>790</v>
      </c>
      <c r="B449" s="50">
        <v>4043</v>
      </c>
      <c r="C449" s="25" t="s">
        <v>791</v>
      </c>
      <c r="D449" s="25" t="s">
        <v>159</v>
      </c>
      <c r="E449" s="25" t="s">
        <v>194</v>
      </c>
      <c r="F449" s="25" t="s">
        <v>113</v>
      </c>
      <c r="G449" s="26" t="s">
        <v>465</v>
      </c>
      <c r="H449" s="27" t="s">
        <v>120</v>
      </c>
      <c r="I449" s="24" t="s">
        <v>106</v>
      </c>
      <c r="J449" s="24" t="s">
        <v>107</v>
      </c>
      <c r="K449" s="28" t="s">
        <v>227</v>
      </c>
      <c r="L449" s="29">
        <v>0</v>
      </c>
      <c r="M449" s="29">
        <v>0</v>
      </c>
      <c r="N449" s="29">
        <v>8.0000000000000002E-3</v>
      </c>
      <c r="O449" s="27" t="s">
        <v>161</v>
      </c>
      <c r="P449" s="30" t="s">
        <v>159</v>
      </c>
      <c r="Q449" s="31">
        <v>228601628.75999999</v>
      </c>
      <c r="R449" s="31">
        <v>210.97</v>
      </c>
      <c r="S449" s="32">
        <v>8.7500000000000008E-3</v>
      </c>
      <c r="T449" s="32" t="s">
        <v>139</v>
      </c>
      <c r="U449" s="32">
        <v>8.0599999999999997E-4</v>
      </c>
      <c r="V449" s="32">
        <v>2.519E-3</v>
      </c>
      <c r="W449" s="32">
        <v>6.7279999999999996E-3</v>
      </c>
      <c r="X449" s="32">
        <v>8.6540000000000002E-3</v>
      </c>
      <c r="Y449" s="32">
        <v>1.0344000000000001E-2</v>
      </c>
      <c r="Z449" s="32">
        <v>8.1841999999999998E-2</v>
      </c>
      <c r="AA449" s="32">
        <v>0.14421300000000001</v>
      </c>
      <c r="AB449" s="32">
        <v>0.183231</v>
      </c>
    </row>
    <row r="450" spans="1:28" ht="15.6" customHeight="1" x14ac:dyDescent="0.25">
      <c r="A450" s="24" t="s">
        <v>792</v>
      </c>
      <c r="B450" s="50">
        <v>4044</v>
      </c>
      <c r="C450" s="25" t="s">
        <v>793</v>
      </c>
      <c r="D450" s="25" t="s">
        <v>112</v>
      </c>
      <c r="E450" s="25" t="s">
        <v>194</v>
      </c>
      <c r="F450" s="25" t="s">
        <v>103</v>
      </c>
      <c r="G450" s="26" t="s">
        <v>104</v>
      </c>
      <c r="H450" s="27" t="s">
        <v>794</v>
      </c>
      <c r="I450" s="24" t="s">
        <v>106</v>
      </c>
      <c r="J450" s="24" t="s">
        <v>107</v>
      </c>
      <c r="K450" s="28" t="s">
        <v>108</v>
      </c>
      <c r="L450" s="29">
        <v>0</v>
      </c>
      <c r="M450" s="29">
        <v>0</v>
      </c>
      <c r="N450" s="29">
        <v>6.0000000000000001E-3</v>
      </c>
      <c r="O450" s="27" t="s">
        <v>116</v>
      </c>
      <c r="P450" s="30" t="s">
        <v>112</v>
      </c>
      <c r="Q450" s="31">
        <v>207843024.25</v>
      </c>
      <c r="R450" s="31">
        <v>2330.6999999999998</v>
      </c>
      <c r="S450" s="32">
        <v>2.2200999999999999E-2</v>
      </c>
      <c r="T450" s="32" t="s">
        <v>139</v>
      </c>
      <c r="U450" s="32">
        <v>5.62E-4</v>
      </c>
      <c r="V450" s="32">
        <v>3.673E-3</v>
      </c>
      <c r="W450" s="32">
        <v>9.2359999999999994E-3</v>
      </c>
      <c r="X450" s="32">
        <v>1.8609000000000001E-2</v>
      </c>
      <c r="Y450" s="32">
        <v>3.2883000000000003E-2</v>
      </c>
      <c r="Z450" s="32">
        <v>7.4802999999999994E-2</v>
      </c>
      <c r="AA450" s="32">
        <v>0.117188</v>
      </c>
      <c r="AB450" s="32">
        <v>0.15160000000000001</v>
      </c>
    </row>
    <row r="451" spans="1:28" ht="15.6" customHeight="1" x14ac:dyDescent="0.25">
      <c r="A451" s="24" t="s">
        <v>1494</v>
      </c>
      <c r="B451" s="50">
        <v>4045</v>
      </c>
      <c r="C451" s="25" t="s">
        <v>1495</v>
      </c>
      <c r="D451" s="25" t="s">
        <v>112</v>
      </c>
      <c r="E451" s="25" t="s">
        <v>194</v>
      </c>
      <c r="F451" s="25" t="s">
        <v>113</v>
      </c>
      <c r="G451" s="26" t="s">
        <v>114</v>
      </c>
      <c r="H451" s="27" t="s">
        <v>115</v>
      </c>
      <c r="I451" s="24" t="s">
        <v>998</v>
      </c>
      <c r="J451" s="24" t="s">
        <v>121</v>
      </c>
      <c r="K451" s="28" t="s">
        <v>108</v>
      </c>
      <c r="L451" s="29">
        <v>0.03</v>
      </c>
      <c r="M451" s="29">
        <v>1.4999999999999999E-2</v>
      </c>
      <c r="N451" s="29">
        <v>0.02</v>
      </c>
      <c r="O451" s="27" t="s">
        <v>116</v>
      </c>
      <c r="P451" s="30" t="s">
        <v>112</v>
      </c>
      <c r="Q451" s="31">
        <v>724240123.86000001</v>
      </c>
      <c r="R451" s="31">
        <v>2381.58</v>
      </c>
      <c r="S451" s="32">
        <v>-7.2599999999999997E-4</v>
      </c>
      <c r="T451" s="32" t="s">
        <v>139</v>
      </c>
      <c r="U451" s="32">
        <v>1.379E-3</v>
      </c>
      <c r="V451" s="32">
        <v>6.0619999999999997E-3</v>
      </c>
      <c r="W451" s="32">
        <v>5.4159999999999998E-3</v>
      </c>
      <c r="X451" s="32">
        <v>1.7459999999999999E-3</v>
      </c>
      <c r="Y451" s="32">
        <v>-6.4270000000000004E-3</v>
      </c>
      <c r="Z451" s="32">
        <v>0.106514</v>
      </c>
      <c r="AA451" s="32">
        <v>0.22317100000000001</v>
      </c>
      <c r="AB451" s="32">
        <v>0.17328399999999999</v>
      </c>
    </row>
    <row r="452" spans="1:28" ht="15.6" customHeight="1" x14ac:dyDescent="0.25">
      <c r="A452" s="24" t="s">
        <v>1496</v>
      </c>
      <c r="B452" s="50">
        <v>4046</v>
      </c>
      <c r="C452" s="25" t="s">
        <v>1497</v>
      </c>
      <c r="D452" s="25" t="s">
        <v>112</v>
      </c>
      <c r="E452" s="25" t="s">
        <v>194</v>
      </c>
      <c r="F452" s="25" t="s">
        <v>113</v>
      </c>
      <c r="G452" s="26" t="s">
        <v>114</v>
      </c>
      <c r="H452" s="27" t="s">
        <v>1498</v>
      </c>
      <c r="I452" s="24" t="s">
        <v>998</v>
      </c>
      <c r="J452" s="24" t="s">
        <v>121</v>
      </c>
      <c r="K452" s="28" t="s">
        <v>108</v>
      </c>
      <c r="L452" s="29">
        <v>0.03</v>
      </c>
      <c r="M452" s="29">
        <v>1.4999999999999999E-2</v>
      </c>
      <c r="N452" s="29">
        <v>0.02</v>
      </c>
      <c r="O452" s="27" t="s">
        <v>116</v>
      </c>
      <c r="P452" s="30" t="s">
        <v>112</v>
      </c>
      <c r="Q452" s="31">
        <v>1161320836.1500001</v>
      </c>
      <c r="R452" s="31">
        <v>2561.36</v>
      </c>
      <c r="S452" s="32">
        <v>1.059E-3</v>
      </c>
      <c r="T452" s="32" t="s">
        <v>139</v>
      </c>
      <c r="U452" s="32">
        <v>1.748E-3</v>
      </c>
      <c r="V452" s="32">
        <v>7.2199999999999999E-3</v>
      </c>
      <c r="W452" s="32">
        <v>7.7149999999999996E-3</v>
      </c>
      <c r="X452" s="32">
        <v>1.1609999999999999E-3</v>
      </c>
      <c r="Y452" s="32">
        <v>-4.2099999999999999E-4</v>
      </c>
      <c r="Z452" s="32">
        <v>9.0510999999999994E-2</v>
      </c>
      <c r="AA452" s="32">
        <v>0.19159599999999999</v>
      </c>
      <c r="AB452" s="32">
        <v>0.15309600000000001</v>
      </c>
    </row>
    <row r="453" spans="1:28" ht="15.6" customHeight="1" x14ac:dyDescent="0.25">
      <c r="A453" s="24" t="s">
        <v>1499</v>
      </c>
      <c r="B453" s="50">
        <v>4049</v>
      </c>
      <c r="C453" s="25" t="s">
        <v>1500</v>
      </c>
      <c r="D453" s="25" t="s">
        <v>164</v>
      </c>
      <c r="E453" s="25" t="s">
        <v>194</v>
      </c>
      <c r="F453" s="25" t="s">
        <v>113</v>
      </c>
      <c r="G453" s="26" t="s">
        <v>925</v>
      </c>
      <c r="H453" s="27" t="s">
        <v>327</v>
      </c>
      <c r="I453" s="24" t="s">
        <v>998</v>
      </c>
      <c r="J453" s="24" t="s">
        <v>121</v>
      </c>
      <c r="K453" s="28" t="s">
        <v>108</v>
      </c>
      <c r="L453" s="29">
        <v>0.03</v>
      </c>
      <c r="M453" s="29">
        <v>1.4999999999999999E-2</v>
      </c>
      <c r="N453" s="29">
        <v>0.02</v>
      </c>
      <c r="O453" s="27" t="s">
        <v>166</v>
      </c>
      <c r="P453" s="30" t="s">
        <v>164</v>
      </c>
      <c r="Q453" s="31">
        <v>956467603.90999997</v>
      </c>
      <c r="R453" s="31">
        <v>157.09</v>
      </c>
      <c r="S453" s="32">
        <v>-8.8599999999999996E-4</v>
      </c>
      <c r="T453" s="32" t="s">
        <v>139</v>
      </c>
      <c r="U453" s="32">
        <v>1.2110000000000001E-3</v>
      </c>
      <c r="V453" s="32">
        <v>3.3210000000000002E-3</v>
      </c>
      <c r="W453" s="32">
        <v>3.1289999999999998E-3</v>
      </c>
      <c r="X453" s="32">
        <v>-1.7960000000000001E-3</v>
      </c>
      <c r="Y453" s="32">
        <v>-1.6459999999999999E-3</v>
      </c>
      <c r="Z453" s="32">
        <v>9.5723000000000003E-2</v>
      </c>
      <c r="AA453" s="32">
        <v>0.20594899999999999</v>
      </c>
      <c r="AB453" s="32">
        <v>0.15418499999999999</v>
      </c>
    </row>
    <row r="454" spans="1:28" ht="15.6" customHeight="1" x14ac:dyDescent="0.25">
      <c r="A454" s="24" t="s">
        <v>795</v>
      </c>
      <c r="B454" s="50">
        <v>4050</v>
      </c>
      <c r="C454" s="25" t="s">
        <v>796</v>
      </c>
      <c r="D454" s="25" t="s">
        <v>112</v>
      </c>
      <c r="E454" s="25" t="s">
        <v>194</v>
      </c>
      <c r="F454" s="25" t="s">
        <v>113</v>
      </c>
      <c r="G454" s="26" t="s">
        <v>638</v>
      </c>
      <c r="H454" s="27" t="s">
        <v>327</v>
      </c>
      <c r="I454" s="24" t="s">
        <v>106</v>
      </c>
      <c r="J454" s="24" t="s">
        <v>107</v>
      </c>
      <c r="K454" s="28" t="s">
        <v>108</v>
      </c>
      <c r="L454" s="29">
        <v>0.03</v>
      </c>
      <c r="M454" s="29">
        <v>1.4999999999999999E-2</v>
      </c>
      <c r="N454" s="29">
        <v>0.01</v>
      </c>
      <c r="O454" s="27" t="s">
        <v>548</v>
      </c>
      <c r="P454" s="30" t="s">
        <v>797</v>
      </c>
      <c r="Q454" s="31">
        <v>711995782.77999997</v>
      </c>
      <c r="R454" s="31">
        <v>2671.81</v>
      </c>
      <c r="S454" s="32">
        <v>-4.3969999999999999E-3</v>
      </c>
      <c r="T454" s="32" t="s">
        <v>139</v>
      </c>
      <c r="U454" s="32">
        <v>1.5139999999999999E-3</v>
      </c>
      <c r="V454" s="32">
        <v>6.4489999999999999E-3</v>
      </c>
      <c r="W454" s="32">
        <v>5.5290000000000001E-3</v>
      </c>
      <c r="X454" s="32">
        <v>-5.3239999999999997E-3</v>
      </c>
      <c r="Y454" s="32">
        <v>-1.1367E-2</v>
      </c>
      <c r="Z454" s="32">
        <v>9.3869999999999995E-2</v>
      </c>
      <c r="AA454" s="32">
        <v>0.19095899999999999</v>
      </c>
      <c r="AB454" s="32">
        <v>0.15127499999999999</v>
      </c>
    </row>
    <row r="455" spans="1:28" ht="15.6" customHeight="1" x14ac:dyDescent="0.25">
      <c r="A455" s="24" t="s">
        <v>1501</v>
      </c>
      <c r="B455" s="50">
        <v>4052</v>
      </c>
      <c r="C455" s="25" t="s">
        <v>1502</v>
      </c>
      <c r="D455" s="25" t="s">
        <v>112</v>
      </c>
      <c r="E455" s="25" t="s">
        <v>194</v>
      </c>
      <c r="F455" s="25" t="s">
        <v>113</v>
      </c>
      <c r="G455" s="26" t="s">
        <v>1163</v>
      </c>
      <c r="H455" s="27" t="s">
        <v>152</v>
      </c>
      <c r="I455" s="24" t="s">
        <v>998</v>
      </c>
      <c r="J455" s="24" t="s">
        <v>121</v>
      </c>
      <c r="K455" s="28" t="s">
        <v>227</v>
      </c>
      <c r="L455" s="29">
        <v>0</v>
      </c>
      <c r="M455" s="29">
        <v>0</v>
      </c>
      <c r="N455" s="29">
        <v>0.02</v>
      </c>
      <c r="O455" s="27" t="s">
        <v>116</v>
      </c>
      <c r="P455" s="30" t="s">
        <v>112</v>
      </c>
      <c r="Q455" s="31">
        <v>1803807770.46</v>
      </c>
      <c r="R455" s="31">
        <v>180.33</v>
      </c>
      <c r="S455" s="32">
        <v>-6.0999999999999997E-4</v>
      </c>
      <c r="T455" s="32" t="s">
        <v>139</v>
      </c>
      <c r="U455" s="32">
        <v>1.1100000000000001E-3</v>
      </c>
      <c r="V455" s="32">
        <v>3.1710000000000002E-3</v>
      </c>
      <c r="W455" s="32">
        <v>2.5019999999999999E-3</v>
      </c>
      <c r="X455" s="32">
        <v>-2.7650000000000001E-3</v>
      </c>
      <c r="Y455" s="32">
        <v>-2.9859999999999999E-3</v>
      </c>
      <c r="Z455" s="32">
        <v>3.2936E-2</v>
      </c>
      <c r="AA455" s="32">
        <v>6.8432000000000007E-2</v>
      </c>
      <c r="AB455" s="32">
        <v>3.8169000000000002E-2</v>
      </c>
    </row>
    <row r="456" spans="1:28" ht="15.6" customHeight="1" x14ac:dyDescent="0.25">
      <c r="A456" s="24" t="s">
        <v>1503</v>
      </c>
      <c r="B456" s="50">
        <v>4054</v>
      </c>
      <c r="C456" s="25" t="s">
        <v>1504</v>
      </c>
      <c r="D456" s="25" t="s">
        <v>112</v>
      </c>
      <c r="E456" s="25" t="s">
        <v>194</v>
      </c>
      <c r="F456" s="25" t="s">
        <v>113</v>
      </c>
      <c r="G456" s="26" t="s">
        <v>1109</v>
      </c>
      <c r="H456" s="27" t="s">
        <v>327</v>
      </c>
      <c r="I456" s="24" t="s">
        <v>998</v>
      </c>
      <c r="J456" s="24" t="s">
        <v>121</v>
      </c>
      <c r="K456" s="28" t="s">
        <v>108</v>
      </c>
      <c r="L456" s="29">
        <v>0.03</v>
      </c>
      <c r="M456" s="29">
        <v>1.4999999999999999E-2</v>
      </c>
      <c r="N456" s="29">
        <v>0.02</v>
      </c>
      <c r="O456" s="27" t="s">
        <v>116</v>
      </c>
      <c r="P456" s="30" t="s">
        <v>112</v>
      </c>
      <c r="Q456" s="31">
        <v>2534539.39</v>
      </c>
      <c r="R456" s="31">
        <v>211211.61</v>
      </c>
      <c r="S456" s="32">
        <v>1.7700000000000001E-3</v>
      </c>
      <c r="T456" s="32" t="s">
        <v>139</v>
      </c>
      <c r="U456" s="32">
        <v>1.077E-3</v>
      </c>
      <c r="V456" s="32">
        <v>3.0049999999999999E-3</v>
      </c>
      <c r="W456" s="32">
        <v>4.3750000000000004E-3</v>
      </c>
      <c r="X456" s="32">
        <v>-3.0000000000000001E-5</v>
      </c>
      <c r="Y456" s="32">
        <v>-3.8999999999999999E-5</v>
      </c>
      <c r="Z456" s="32">
        <v>5.7769000000000001E-2</v>
      </c>
      <c r="AA456" s="32">
        <v>0.127662</v>
      </c>
      <c r="AB456" s="32">
        <v>9.5006999999999994E-2</v>
      </c>
    </row>
    <row r="457" spans="1:28" ht="15.6" customHeight="1" x14ac:dyDescent="0.25">
      <c r="A457" s="24" t="s">
        <v>798</v>
      </c>
      <c r="B457" s="50">
        <v>4055</v>
      </c>
      <c r="C457" s="25" t="s">
        <v>799</v>
      </c>
      <c r="D457" s="25" t="s">
        <v>159</v>
      </c>
      <c r="E457" s="25" t="s">
        <v>194</v>
      </c>
      <c r="F457" s="25" t="s">
        <v>113</v>
      </c>
      <c r="G457" s="26" t="s">
        <v>191</v>
      </c>
      <c r="H457" s="27" t="s">
        <v>309</v>
      </c>
      <c r="I457" s="24" t="s">
        <v>106</v>
      </c>
      <c r="J457" s="24" t="s">
        <v>107</v>
      </c>
      <c r="K457" s="28" t="s">
        <v>227</v>
      </c>
      <c r="L457" s="29">
        <v>0</v>
      </c>
      <c r="M457" s="29">
        <v>0</v>
      </c>
      <c r="N457" s="29">
        <v>0.02</v>
      </c>
      <c r="O457" s="27" t="s">
        <v>161</v>
      </c>
      <c r="P457" s="30" t="s">
        <v>159</v>
      </c>
      <c r="Q457" s="31">
        <v>1806111.48</v>
      </c>
      <c r="R457" s="31">
        <v>0.67</v>
      </c>
      <c r="S457" s="32">
        <v>0</v>
      </c>
      <c r="T457" s="32" t="s">
        <v>139</v>
      </c>
      <c r="U457" s="32">
        <v>0</v>
      </c>
      <c r="V457" s="32">
        <v>0</v>
      </c>
      <c r="W457" s="32">
        <v>0</v>
      </c>
      <c r="X457" s="32">
        <v>0</v>
      </c>
      <c r="Y457" s="32">
        <v>0</v>
      </c>
      <c r="Z457" s="32">
        <v>8.0644999999999994E-2</v>
      </c>
      <c r="AA457" s="32">
        <v>0.13559299999999999</v>
      </c>
      <c r="AB457" s="32">
        <v>9.8361000000000004E-2</v>
      </c>
    </row>
    <row r="458" spans="1:28" ht="15.6" customHeight="1" x14ac:dyDescent="0.25">
      <c r="A458" s="24" t="s">
        <v>1505</v>
      </c>
      <c r="B458" s="50">
        <v>4057</v>
      </c>
      <c r="C458" s="25" t="s">
        <v>1506</v>
      </c>
      <c r="D458" s="25" t="s">
        <v>112</v>
      </c>
      <c r="E458" s="25" t="s">
        <v>194</v>
      </c>
      <c r="F458" s="25" t="s">
        <v>113</v>
      </c>
      <c r="G458" s="26" t="s">
        <v>1109</v>
      </c>
      <c r="H458" s="27" t="s">
        <v>1157</v>
      </c>
      <c r="I458" s="24" t="s">
        <v>998</v>
      </c>
      <c r="J458" s="24" t="s">
        <v>107</v>
      </c>
      <c r="K458" s="28" t="s">
        <v>108</v>
      </c>
      <c r="L458" s="29">
        <v>0.03</v>
      </c>
      <c r="M458" s="29">
        <v>1.4999999999999999E-2</v>
      </c>
      <c r="N458" s="29">
        <v>0.02</v>
      </c>
      <c r="O458" s="27" t="s">
        <v>116</v>
      </c>
      <c r="P458" s="30" t="s">
        <v>112</v>
      </c>
      <c r="Q458" s="31">
        <v>356781046.08999997</v>
      </c>
      <c r="R458" s="31">
        <v>2291.56</v>
      </c>
      <c r="S458" s="32">
        <v>-5.0369999999999998E-3</v>
      </c>
      <c r="T458" s="32" t="s">
        <v>139</v>
      </c>
      <c r="U458" s="32">
        <v>1.333E-3</v>
      </c>
      <c r="V458" s="32">
        <v>5.9480000000000002E-3</v>
      </c>
      <c r="W458" s="32">
        <v>4.6119999999999998E-3</v>
      </c>
      <c r="X458" s="32">
        <v>-2.5200000000000001E-3</v>
      </c>
      <c r="Y458" s="32">
        <v>-9.8340000000000007E-3</v>
      </c>
      <c r="Z458" s="32">
        <v>7.4730000000000005E-2</v>
      </c>
      <c r="AA458" s="32">
        <v>0.15971399999999999</v>
      </c>
      <c r="AB458" s="32">
        <v>0.110984</v>
      </c>
    </row>
    <row r="459" spans="1:28" ht="15.6" customHeight="1" x14ac:dyDescent="0.25">
      <c r="A459" s="24" t="s">
        <v>1507</v>
      </c>
      <c r="B459" s="50">
        <v>4058</v>
      </c>
      <c r="C459" s="25" t="s">
        <v>1508</v>
      </c>
      <c r="D459" s="25" t="s">
        <v>112</v>
      </c>
      <c r="E459" s="25" t="s">
        <v>194</v>
      </c>
      <c r="F459" s="25" t="s">
        <v>113</v>
      </c>
      <c r="G459" s="26" t="s">
        <v>1109</v>
      </c>
      <c r="H459" s="27" t="s">
        <v>1157</v>
      </c>
      <c r="I459" s="24" t="s">
        <v>998</v>
      </c>
      <c r="J459" s="24" t="s">
        <v>121</v>
      </c>
      <c r="K459" s="28" t="s">
        <v>108</v>
      </c>
      <c r="L459" s="29">
        <v>0.03</v>
      </c>
      <c r="M459" s="29">
        <v>1.4999999999999999E-2</v>
      </c>
      <c r="N459" s="29">
        <v>0.02</v>
      </c>
      <c r="O459" s="27" t="s">
        <v>116</v>
      </c>
      <c r="P459" s="30" t="s">
        <v>112</v>
      </c>
      <c r="Q459" s="31">
        <v>3467222545.04</v>
      </c>
      <c r="R459" s="31">
        <v>2390.83</v>
      </c>
      <c r="S459" s="32">
        <v>-4.9820000000000003E-3</v>
      </c>
      <c r="T459" s="32" t="s">
        <v>139</v>
      </c>
      <c r="U459" s="32">
        <v>1.8270000000000001E-3</v>
      </c>
      <c r="V459" s="32">
        <v>8.3890000000000006E-3</v>
      </c>
      <c r="W459" s="32">
        <v>7.3860000000000002E-3</v>
      </c>
      <c r="X459" s="32">
        <v>-4.7460000000000002E-3</v>
      </c>
      <c r="Y459" s="32">
        <v>-1.8711999999999999E-2</v>
      </c>
      <c r="Z459" s="32">
        <v>0.101308</v>
      </c>
      <c r="AA459" s="32">
        <v>0.220247</v>
      </c>
      <c r="AB459" s="32">
        <v>0.15207999999999999</v>
      </c>
    </row>
    <row r="460" spans="1:28" ht="15.6" customHeight="1" x14ac:dyDescent="0.25">
      <c r="A460" s="24" t="s">
        <v>800</v>
      </c>
      <c r="B460" s="50">
        <v>4059</v>
      </c>
      <c r="C460" s="25" t="s">
        <v>801</v>
      </c>
      <c r="D460" s="25" t="s">
        <v>112</v>
      </c>
      <c r="E460" s="25" t="s">
        <v>194</v>
      </c>
      <c r="F460" s="25" t="s">
        <v>128</v>
      </c>
      <c r="G460" s="26" t="s">
        <v>129</v>
      </c>
      <c r="H460" s="27" t="s">
        <v>258</v>
      </c>
      <c r="I460" s="24" t="s">
        <v>106</v>
      </c>
      <c r="J460" s="24" t="s">
        <v>121</v>
      </c>
      <c r="K460" s="28" t="s">
        <v>108</v>
      </c>
      <c r="L460" s="29">
        <v>0.03</v>
      </c>
      <c r="M460" s="29">
        <v>1.4999999999999999E-2</v>
      </c>
      <c r="N460" s="29">
        <v>0.02</v>
      </c>
      <c r="O460" s="27" t="s">
        <v>116</v>
      </c>
      <c r="P460" s="30" t="s">
        <v>112</v>
      </c>
      <c r="Q460" s="31">
        <v>1406124988.52</v>
      </c>
      <c r="R460" s="31">
        <v>1199.68</v>
      </c>
      <c r="S460" s="32">
        <v>1.6591999999999999E-2</v>
      </c>
      <c r="T460" s="32" t="s">
        <v>139</v>
      </c>
      <c r="U460" s="32">
        <v>6.8400000000000004E-4</v>
      </c>
      <c r="V460" s="32">
        <v>2.1299999999999999E-3</v>
      </c>
      <c r="W460" s="32">
        <v>7.1529999999999996E-3</v>
      </c>
      <c r="X460" s="32">
        <v>1.3551000000000001E-2</v>
      </c>
      <c r="Y460" s="32">
        <v>2.4816000000000001E-2</v>
      </c>
      <c r="Z460" s="32">
        <v>6.1409999999999999E-2</v>
      </c>
      <c r="AA460" s="32">
        <v>0.11364</v>
      </c>
      <c r="AB460" s="32">
        <v>0.14694399999999999</v>
      </c>
    </row>
    <row r="461" spans="1:28" ht="15.6" customHeight="1" x14ac:dyDescent="0.25">
      <c r="A461" s="24" t="s">
        <v>1509</v>
      </c>
      <c r="B461" s="50">
        <v>4060</v>
      </c>
      <c r="C461" s="25" t="s">
        <v>1510</v>
      </c>
      <c r="D461" s="25" t="s">
        <v>112</v>
      </c>
      <c r="E461" s="25" t="s">
        <v>194</v>
      </c>
      <c r="F461" s="25" t="s">
        <v>113</v>
      </c>
      <c r="G461" s="26" t="s">
        <v>114</v>
      </c>
      <c r="H461" s="27" t="s">
        <v>115</v>
      </c>
      <c r="I461" s="24" t="s">
        <v>998</v>
      </c>
      <c r="J461" s="24" t="s">
        <v>107</v>
      </c>
      <c r="K461" s="28" t="s">
        <v>108</v>
      </c>
      <c r="L461" s="29">
        <v>0.03</v>
      </c>
      <c r="M461" s="29">
        <v>1.4999999999999999E-2</v>
      </c>
      <c r="N461" s="29">
        <v>0.02</v>
      </c>
      <c r="O461" s="27" t="s">
        <v>116</v>
      </c>
      <c r="P461" s="30" t="s">
        <v>112</v>
      </c>
      <c r="Q461" s="31">
        <v>4108144475.4400001</v>
      </c>
      <c r="R461" s="31">
        <v>1921.9</v>
      </c>
      <c r="S461" s="32">
        <v>1.7459999999999999E-3</v>
      </c>
      <c r="T461" s="32" t="s">
        <v>139</v>
      </c>
      <c r="U461" s="32">
        <v>1.1100000000000001E-3</v>
      </c>
      <c r="V461" s="32">
        <v>3.2260000000000001E-3</v>
      </c>
      <c r="W461" s="32">
        <v>3.4250000000000001E-3</v>
      </c>
      <c r="X461" s="32">
        <v>2.9100000000000003E-4</v>
      </c>
      <c r="Y461" s="32">
        <v>-1.1900000000000001E-3</v>
      </c>
      <c r="Z461" s="32">
        <v>8.7533E-2</v>
      </c>
      <c r="AA461" s="32">
        <v>0.1827</v>
      </c>
      <c r="AB461" s="32">
        <v>0.16120599999999999</v>
      </c>
    </row>
    <row r="462" spans="1:28" ht="15.6" customHeight="1" x14ac:dyDescent="0.25">
      <c r="A462" s="24" t="s">
        <v>802</v>
      </c>
      <c r="B462" s="50">
        <v>4061</v>
      </c>
      <c r="C462" s="25" t="s">
        <v>803</v>
      </c>
      <c r="D462" s="25" t="s">
        <v>112</v>
      </c>
      <c r="E462" s="25" t="s">
        <v>194</v>
      </c>
      <c r="F462" s="25" t="s">
        <v>155</v>
      </c>
      <c r="G462" s="26" t="s">
        <v>139</v>
      </c>
      <c r="H462" s="27" t="s">
        <v>588</v>
      </c>
      <c r="I462" s="24" t="s">
        <v>106</v>
      </c>
      <c r="J462" s="24" t="s">
        <v>121</v>
      </c>
      <c r="K462" s="28" t="s">
        <v>108</v>
      </c>
      <c r="L462" s="29">
        <v>0.03</v>
      </c>
      <c r="M462" s="29">
        <v>1.4999999999999999E-2</v>
      </c>
      <c r="N462" s="29">
        <v>0.02</v>
      </c>
      <c r="O462" s="27" t="s">
        <v>116</v>
      </c>
      <c r="P462" s="30" t="s">
        <v>112</v>
      </c>
      <c r="Q462" s="31">
        <v>818978424.62</v>
      </c>
      <c r="R462" s="31">
        <v>8570.57</v>
      </c>
      <c r="S462" s="32">
        <v>-3.5375999999999998E-2</v>
      </c>
      <c r="T462" s="32" t="s">
        <v>139</v>
      </c>
      <c r="U462" s="32">
        <v>1.2406E-2</v>
      </c>
      <c r="V462" s="32">
        <v>7.3943999999999996E-2</v>
      </c>
      <c r="W462" s="32">
        <v>5.5034E-2</v>
      </c>
      <c r="X462" s="32">
        <v>-1.9963999999999999E-2</v>
      </c>
      <c r="Y462" s="32">
        <v>-0.13561599999999999</v>
      </c>
      <c r="Z462" s="32">
        <v>0.255158</v>
      </c>
      <c r="AA462" s="32">
        <v>0.48777300000000001</v>
      </c>
      <c r="AB462" s="32">
        <v>0.46460400000000002</v>
      </c>
    </row>
    <row r="463" spans="1:28" ht="15.6" customHeight="1" x14ac:dyDescent="0.25">
      <c r="A463" s="24" t="s">
        <v>804</v>
      </c>
      <c r="B463" s="50">
        <v>4063</v>
      </c>
      <c r="C463" s="25" t="s">
        <v>805</v>
      </c>
      <c r="D463" s="25" t="s">
        <v>112</v>
      </c>
      <c r="E463" s="25" t="s">
        <v>194</v>
      </c>
      <c r="F463" s="25" t="s">
        <v>103</v>
      </c>
      <c r="G463" s="26" t="s">
        <v>356</v>
      </c>
      <c r="H463" s="27" t="s">
        <v>806</v>
      </c>
      <c r="I463" s="24" t="s">
        <v>106</v>
      </c>
      <c r="J463" s="24" t="s">
        <v>107</v>
      </c>
      <c r="K463" s="28" t="s">
        <v>108</v>
      </c>
      <c r="L463" s="29">
        <v>0.03</v>
      </c>
      <c r="M463" s="29">
        <v>1.4999999999999999E-2</v>
      </c>
      <c r="N463" s="29">
        <v>0.02</v>
      </c>
      <c r="O463" s="27" t="s">
        <v>116</v>
      </c>
      <c r="P463" s="30" t="s">
        <v>112</v>
      </c>
      <c r="Q463" s="31">
        <v>6899371298.71</v>
      </c>
      <c r="R463" s="31">
        <v>1675.76</v>
      </c>
      <c r="S463" s="32">
        <v>1.6641E-2</v>
      </c>
      <c r="T463" s="32" t="s">
        <v>139</v>
      </c>
      <c r="U463" s="32">
        <v>5.9100000000000005E-4</v>
      </c>
      <c r="V463" s="32">
        <v>2.0509999999999999E-3</v>
      </c>
      <c r="W463" s="32">
        <v>6.4140000000000004E-3</v>
      </c>
      <c r="X463" s="32">
        <v>1.2795000000000001E-2</v>
      </c>
      <c r="Y463" s="32">
        <v>2.4735E-2</v>
      </c>
      <c r="Z463" s="32">
        <v>5.2349E-2</v>
      </c>
      <c r="AA463" s="32">
        <v>8.7195999999999996E-2</v>
      </c>
      <c r="AB463" s="32">
        <v>0.13156699999999999</v>
      </c>
    </row>
    <row r="464" spans="1:28" ht="15.6" customHeight="1" x14ac:dyDescent="0.25">
      <c r="A464" s="24" t="s">
        <v>1511</v>
      </c>
      <c r="B464" s="50">
        <v>4064</v>
      </c>
      <c r="C464" s="25" t="s">
        <v>1512</v>
      </c>
      <c r="D464" s="25" t="s">
        <v>112</v>
      </c>
      <c r="E464" s="25" t="s">
        <v>194</v>
      </c>
      <c r="F464" s="25" t="s">
        <v>138</v>
      </c>
      <c r="G464" s="26" t="s">
        <v>139</v>
      </c>
      <c r="H464" s="27" t="s">
        <v>195</v>
      </c>
      <c r="I464" s="24" t="s">
        <v>998</v>
      </c>
      <c r="J464" s="24" t="s">
        <v>121</v>
      </c>
      <c r="K464" s="28" t="s">
        <v>227</v>
      </c>
      <c r="L464" s="29">
        <v>0.03</v>
      </c>
      <c r="M464" s="29">
        <v>1.4999999999999999E-2</v>
      </c>
      <c r="N464" s="29">
        <v>0.02</v>
      </c>
      <c r="O464" s="27" t="s">
        <v>116</v>
      </c>
      <c r="P464" s="30" t="s">
        <v>112</v>
      </c>
      <c r="Q464" s="31">
        <v>250367898.02000001</v>
      </c>
      <c r="R464" s="31">
        <v>1782.25</v>
      </c>
      <c r="S464" s="32">
        <v>-3.7352000000000003E-2</v>
      </c>
      <c r="T464" s="32" t="s">
        <v>139</v>
      </c>
      <c r="U464" s="32">
        <v>2.7789999999999998E-3</v>
      </c>
      <c r="V464" s="32">
        <v>3.0207999999999999E-2</v>
      </c>
      <c r="W464" s="32">
        <v>1.8957999999999999E-2</v>
      </c>
      <c r="X464" s="32">
        <v>-2.7727000000000002E-2</v>
      </c>
      <c r="Y464" s="32">
        <v>-8.6423E-2</v>
      </c>
      <c r="Z464" s="32">
        <v>0.17388899999999999</v>
      </c>
      <c r="AA464" s="32">
        <v>0.33155299999999999</v>
      </c>
      <c r="AB464" s="32">
        <v>0.24376400000000001</v>
      </c>
    </row>
    <row r="465" spans="1:28" ht="15.6" customHeight="1" x14ac:dyDescent="0.25">
      <c r="A465" s="24" t="s">
        <v>1513</v>
      </c>
      <c r="B465" s="50">
        <v>4065</v>
      </c>
      <c r="C465" s="25" t="s">
        <v>1514</v>
      </c>
      <c r="D465" s="25" t="s">
        <v>112</v>
      </c>
      <c r="E465" s="25" t="s">
        <v>194</v>
      </c>
      <c r="F465" s="25" t="s">
        <v>155</v>
      </c>
      <c r="G465" s="26" t="s">
        <v>139</v>
      </c>
      <c r="H465" s="27" t="s">
        <v>202</v>
      </c>
      <c r="I465" s="24" t="s">
        <v>998</v>
      </c>
      <c r="J465" s="24" t="s">
        <v>121</v>
      </c>
      <c r="K465" s="28" t="s">
        <v>108</v>
      </c>
      <c r="L465" s="29">
        <v>0.03</v>
      </c>
      <c r="M465" s="29">
        <v>1.4999999999999999E-2</v>
      </c>
      <c r="N465" s="29">
        <v>0.02</v>
      </c>
      <c r="O465" s="27" t="s">
        <v>116</v>
      </c>
      <c r="P465" s="30" t="s">
        <v>112</v>
      </c>
      <c r="Q465" s="31">
        <v>631025517.41999996</v>
      </c>
      <c r="R465" s="31">
        <v>5296.85</v>
      </c>
      <c r="S465" s="32">
        <v>-4.7112000000000001E-2</v>
      </c>
      <c r="T465" s="32" t="s">
        <v>139</v>
      </c>
      <c r="U465" s="32">
        <v>1.2666E-2</v>
      </c>
      <c r="V465" s="32">
        <v>7.4107000000000006E-2</v>
      </c>
      <c r="W465" s="32">
        <v>5.1848999999999999E-2</v>
      </c>
      <c r="X465" s="32">
        <v>-3.0405000000000001E-2</v>
      </c>
      <c r="Y465" s="32">
        <v>-0.13861499999999999</v>
      </c>
      <c r="Z465" s="32">
        <v>0.22967199999999999</v>
      </c>
      <c r="AA465" s="32">
        <v>0.44148399999999999</v>
      </c>
      <c r="AB465" s="32">
        <v>0.36813400000000002</v>
      </c>
    </row>
    <row r="466" spans="1:28" ht="15.6" customHeight="1" x14ac:dyDescent="0.25">
      <c r="A466" s="24" t="s">
        <v>1515</v>
      </c>
      <c r="B466" s="50">
        <v>4066</v>
      </c>
      <c r="C466" s="25" t="s">
        <v>1516</v>
      </c>
      <c r="D466" s="25" t="s">
        <v>112</v>
      </c>
      <c r="E466" s="25" t="s">
        <v>194</v>
      </c>
      <c r="F466" s="25" t="s">
        <v>113</v>
      </c>
      <c r="G466" s="26" t="s">
        <v>1257</v>
      </c>
      <c r="H466" s="27" t="s">
        <v>115</v>
      </c>
      <c r="I466" s="24" t="s">
        <v>998</v>
      </c>
      <c r="J466" s="24" t="s">
        <v>121</v>
      </c>
      <c r="K466" s="28" t="s">
        <v>227</v>
      </c>
      <c r="L466" s="29">
        <v>0.03</v>
      </c>
      <c r="M466" s="29">
        <v>1.4999999999999999E-2</v>
      </c>
      <c r="N466" s="29">
        <v>0.02</v>
      </c>
      <c r="O466" s="27" t="s">
        <v>116</v>
      </c>
      <c r="P466" s="30" t="s">
        <v>112</v>
      </c>
      <c r="Q466" s="31">
        <v>654588.76</v>
      </c>
      <c r="R466" s="31">
        <v>1078.3900000000001</v>
      </c>
      <c r="S466" s="32">
        <v>1.4973999999999999E-2</v>
      </c>
      <c r="T466" s="32" t="s">
        <v>139</v>
      </c>
      <c r="U466" s="32">
        <v>7.1500000000000003E-4</v>
      </c>
      <c r="V466" s="32">
        <v>2.0999999999999999E-3</v>
      </c>
      <c r="W466" s="32">
        <v>6.3460000000000001E-3</v>
      </c>
      <c r="X466" s="32">
        <v>1.1405E-2</v>
      </c>
      <c r="Y466" s="32">
        <v>1.9812E-2</v>
      </c>
      <c r="Z466" s="32">
        <v>5.6417000000000002E-2</v>
      </c>
      <c r="AA466" s="32">
        <v>0.11019900000000001</v>
      </c>
      <c r="AB466" s="32">
        <v>5.0750999999999998E-2</v>
      </c>
    </row>
    <row r="467" spans="1:28" ht="15.6" customHeight="1" x14ac:dyDescent="0.25">
      <c r="A467" s="24" t="s">
        <v>807</v>
      </c>
      <c r="B467" s="50">
        <v>4067</v>
      </c>
      <c r="C467" s="25" t="s">
        <v>808</v>
      </c>
      <c r="D467" s="25" t="s">
        <v>112</v>
      </c>
      <c r="E467" s="25" t="s">
        <v>194</v>
      </c>
      <c r="F467" s="25" t="s">
        <v>128</v>
      </c>
      <c r="G467" s="26" t="s">
        <v>129</v>
      </c>
      <c r="H467" s="27" t="s">
        <v>373</v>
      </c>
      <c r="I467" s="24" t="s">
        <v>106</v>
      </c>
      <c r="J467" s="24" t="s">
        <v>107</v>
      </c>
      <c r="K467" s="28" t="s">
        <v>108</v>
      </c>
      <c r="L467" s="29">
        <v>0.03</v>
      </c>
      <c r="M467" s="29">
        <v>1.4999999999999999E-2</v>
      </c>
      <c r="N467" s="29">
        <v>0.02</v>
      </c>
      <c r="O467" s="27" t="s">
        <v>116</v>
      </c>
      <c r="P467" s="30" t="s">
        <v>112</v>
      </c>
      <c r="Q467" s="31">
        <v>634516.76</v>
      </c>
      <c r="R467" s="31">
        <v>1767.45</v>
      </c>
      <c r="S467" s="32">
        <v>1.3835999999999999E-2</v>
      </c>
      <c r="T467" s="32" t="s">
        <v>139</v>
      </c>
      <c r="U467" s="32">
        <v>5.3799999999999996E-4</v>
      </c>
      <c r="V467" s="32">
        <v>1.6659999999999999E-3</v>
      </c>
      <c r="W467" s="32">
        <v>6.051E-3</v>
      </c>
      <c r="X467" s="32">
        <v>1.1306E-2</v>
      </c>
      <c r="Y467" s="32">
        <v>2.1056999999999999E-2</v>
      </c>
      <c r="Z467" s="32">
        <v>4.6094999999999997E-2</v>
      </c>
      <c r="AA467" s="32">
        <v>8.0427999999999999E-2</v>
      </c>
      <c r="AB467" s="32">
        <v>0.12608</v>
      </c>
    </row>
    <row r="468" spans="1:28" ht="15.6" customHeight="1" x14ac:dyDescent="0.25">
      <c r="A468" s="24" t="s">
        <v>1517</v>
      </c>
      <c r="B468" s="50">
        <v>4069</v>
      </c>
      <c r="C468" s="25" t="s">
        <v>1518</v>
      </c>
      <c r="D468" s="25" t="s">
        <v>112</v>
      </c>
      <c r="E468" s="25" t="s">
        <v>194</v>
      </c>
      <c r="F468" s="25" t="s">
        <v>113</v>
      </c>
      <c r="G468" s="26" t="s">
        <v>1257</v>
      </c>
      <c r="H468" s="27" t="s">
        <v>1519</v>
      </c>
      <c r="I468" s="24" t="s">
        <v>998</v>
      </c>
      <c r="J468" s="24" t="s">
        <v>107</v>
      </c>
      <c r="K468" s="28" t="s">
        <v>108</v>
      </c>
      <c r="L468" s="29">
        <v>0.03</v>
      </c>
      <c r="M468" s="29">
        <v>1.4999999999999999E-2</v>
      </c>
      <c r="N468" s="29">
        <v>0.02</v>
      </c>
      <c r="O468" s="27" t="s">
        <v>116</v>
      </c>
      <c r="P468" s="30" t="s">
        <v>112</v>
      </c>
      <c r="Q468" s="31">
        <v>124595142.13</v>
      </c>
      <c r="R468" s="31">
        <v>2022.48</v>
      </c>
      <c r="S468" s="32">
        <v>1.1852E-2</v>
      </c>
      <c r="T468" s="32" t="s">
        <v>139</v>
      </c>
      <c r="U468" s="32">
        <v>1.1479999999999999E-3</v>
      </c>
      <c r="V468" s="32">
        <v>8.9189999999999998E-3</v>
      </c>
      <c r="W468" s="32">
        <v>1.2414E-2</v>
      </c>
      <c r="X468" s="32">
        <v>1.3003000000000001E-2</v>
      </c>
      <c r="Y468" s="32">
        <v>1.5994999999999999E-2</v>
      </c>
      <c r="Z468" s="32">
        <v>0.11781800000000001</v>
      </c>
      <c r="AA468" s="32">
        <v>0.211059</v>
      </c>
      <c r="AB468" s="32">
        <v>0.214258</v>
      </c>
    </row>
    <row r="469" spans="1:28" ht="15.6" customHeight="1" x14ac:dyDescent="0.25">
      <c r="A469" s="24" t="s">
        <v>1520</v>
      </c>
      <c r="B469" s="50">
        <v>4070</v>
      </c>
      <c r="C469" s="25" t="s">
        <v>1521</v>
      </c>
      <c r="D469" s="25" t="s">
        <v>112</v>
      </c>
      <c r="E469" s="25" t="s">
        <v>194</v>
      </c>
      <c r="F469" s="25" t="s">
        <v>138</v>
      </c>
      <c r="G469" s="26" t="s">
        <v>139</v>
      </c>
      <c r="H469" s="27" t="s">
        <v>195</v>
      </c>
      <c r="I469" s="24" t="s">
        <v>998</v>
      </c>
      <c r="J469" s="24" t="s">
        <v>121</v>
      </c>
      <c r="K469" s="28" t="s">
        <v>227</v>
      </c>
      <c r="L469" s="29">
        <v>0.03</v>
      </c>
      <c r="M469" s="29">
        <v>1.4999999999999999E-2</v>
      </c>
      <c r="N469" s="29">
        <v>0.02</v>
      </c>
      <c r="O469" s="27" t="s">
        <v>116</v>
      </c>
      <c r="P469" s="30" t="s">
        <v>112</v>
      </c>
      <c r="Q469" s="31">
        <v>1237317.2</v>
      </c>
      <c r="R469" s="31">
        <v>2945.99</v>
      </c>
      <c r="S469" s="32">
        <v>3.9150000000000001E-3</v>
      </c>
      <c r="T469" s="32" t="s">
        <v>139</v>
      </c>
      <c r="U469" s="32">
        <v>7.0870000000000004E-3</v>
      </c>
      <c r="V469" s="32">
        <v>4.0603E-2</v>
      </c>
      <c r="W469" s="32">
        <v>3.2967000000000003E-2</v>
      </c>
      <c r="X469" s="32">
        <v>5.4400000000000004E-3</v>
      </c>
      <c r="Y469" s="32">
        <v>-5.3178000000000003E-2</v>
      </c>
      <c r="Z469" s="32">
        <v>0.22537199999999999</v>
      </c>
      <c r="AA469" s="32">
        <v>0.37942199999999998</v>
      </c>
      <c r="AB469" s="32">
        <v>0.37623899999999999</v>
      </c>
    </row>
    <row r="470" spans="1:28" ht="15.6" customHeight="1" x14ac:dyDescent="0.25">
      <c r="A470" s="24" t="s">
        <v>1522</v>
      </c>
      <c r="B470" s="50">
        <v>4071</v>
      </c>
      <c r="C470" s="25" t="s">
        <v>1523</v>
      </c>
      <c r="D470" s="25" t="s">
        <v>821</v>
      </c>
      <c r="E470" s="25" t="s">
        <v>194</v>
      </c>
      <c r="F470" s="25" t="s">
        <v>155</v>
      </c>
      <c r="G470" s="26" t="s">
        <v>139</v>
      </c>
      <c r="H470" s="27" t="s">
        <v>156</v>
      </c>
      <c r="I470" s="24" t="s">
        <v>998</v>
      </c>
      <c r="J470" s="24" t="s">
        <v>107</v>
      </c>
      <c r="K470" s="28" t="s">
        <v>180</v>
      </c>
      <c r="L470" s="29">
        <v>0.03</v>
      </c>
      <c r="M470" s="29">
        <v>0.03</v>
      </c>
      <c r="N470" s="29">
        <v>0.02</v>
      </c>
      <c r="O470" s="27" t="s">
        <v>148</v>
      </c>
      <c r="P470" s="30" t="s">
        <v>821</v>
      </c>
      <c r="Q470" s="31">
        <v>8935399561.25</v>
      </c>
      <c r="R470" s="31">
        <v>115471.29</v>
      </c>
      <c r="S470" s="32">
        <v>-8.1010000000000006E-3</v>
      </c>
      <c r="T470" s="32" t="s">
        <v>139</v>
      </c>
      <c r="U470" s="32">
        <v>3.8700000000000002E-3</v>
      </c>
      <c r="V470" s="32">
        <v>2.8885000000000001E-2</v>
      </c>
      <c r="W470" s="32">
        <v>3.9362000000000001E-2</v>
      </c>
      <c r="X470" s="32">
        <v>-1.6218E-2</v>
      </c>
      <c r="Y470" s="32">
        <v>-0.11440500000000001</v>
      </c>
      <c r="Z470" s="32">
        <v>0.236874</v>
      </c>
      <c r="AA470" s="32">
        <v>0.37124499999999999</v>
      </c>
      <c r="AB470" s="32">
        <v>0.29699399999999998</v>
      </c>
    </row>
    <row r="471" spans="1:28" ht="15.6" customHeight="1" x14ac:dyDescent="0.25">
      <c r="A471" s="24" t="s">
        <v>1524</v>
      </c>
      <c r="B471" s="50">
        <v>4072</v>
      </c>
      <c r="C471" s="25" t="s">
        <v>1525</v>
      </c>
      <c r="D471" s="25" t="s">
        <v>821</v>
      </c>
      <c r="E471" s="25" t="s">
        <v>194</v>
      </c>
      <c r="F471" s="25" t="s">
        <v>155</v>
      </c>
      <c r="G471" s="26" t="s">
        <v>139</v>
      </c>
      <c r="H471" s="27" t="s">
        <v>156</v>
      </c>
      <c r="I471" s="24" t="s">
        <v>998</v>
      </c>
      <c r="J471" s="24" t="s">
        <v>107</v>
      </c>
      <c r="K471" s="28" t="s">
        <v>108</v>
      </c>
      <c r="L471" s="29">
        <v>0.03</v>
      </c>
      <c r="M471" s="29">
        <v>0.03</v>
      </c>
      <c r="N471" s="29">
        <v>0.02</v>
      </c>
      <c r="O471" s="27" t="s">
        <v>148</v>
      </c>
      <c r="P471" s="30" t="s">
        <v>821</v>
      </c>
      <c r="Q471" s="31">
        <v>131697190.16</v>
      </c>
      <c r="R471" s="31">
        <v>271.45</v>
      </c>
      <c r="S471" s="32">
        <v>-1.8547999999999999E-2</v>
      </c>
      <c r="T471" s="32" t="s">
        <v>139</v>
      </c>
      <c r="U471" s="32">
        <v>9.6710000000000008E-3</v>
      </c>
      <c r="V471" s="32">
        <v>6.1098E-2</v>
      </c>
      <c r="W471" s="32">
        <v>4.5446E-2</v>
      </c>
      <c r="X471" s="32">
        <v>-1.5487000000000001E-2</v>
      </c>
      <c r="Y471" s="32">
        <v>-0.121407</v>
      </c>
      <c r="Z471" s="32">
        <v>0.37116700000000002</v>
      </c>
      <c r="AA471" s="32">
        <v>0.58965800000000002</v>
      </c>
      <c r="AB471" s="32">
        <v>0.505463</v>
      </c>
    </row>
    <row r="472" spans="1:28" ht="15.6" customHeight="1" x14ac:dyDescent="0.25">
      <c r="A472" s="24" t="s">
        <v>1526</v>
      </c>
      <c r="B472" s="50">
        <v>4073</v>
      </c>
      <c r="C472" s="25" t="s">
        <v>1527</v>
      </c>
      <c r="D472" s="25" t="s">
        <v>821</v>
      </c>
      <c r="E472" s="25" t="s">
        <v>194</v>
      </c>
      <c r="F472" s="25" t="s">
        <v>155</v>
      </c>
      <c r="G472" s="26" t="s">
        <v>139</v>
      </c>
      <c r="H472" s="27" t="s">
        <v>156</v>
      </c>
      <c r="I472" s="24" t="s">
        <v>998</v>
      </c>
      <c r="J472" s="24" t="s">
        <v>107</v>
      </c>
      <c r="K472" s="28" t="s">
        <v>180</v>
      </c>
      <c r="L472" s="29">
        <v>0.03</v>
      </c>
      <c r="M472" s="29">
        <v>0.03</v>
      </c>
      <c r="N472" s="29">
        <v>0.02</v>
      </c>
      <c r="O472" s="27" t="s">
        <v>148</v>
      </c>
      <c r="P472" s="30" t="s">
        <v>821</v>
      </c>
      <c r="Q472" s="31">
        <v>1555158314.0899999</v>
      </c>
      <c r="R472" s="31">
        <v>321180.98</v>
      </c>
      <c r="S472" s="32">
        <v>2.3352000000000001E-2</v>
      </c>
      <c r="T472" s="32" t="s">
        <v>139</v>
      </c>
      <c r="U472" s="32">
        <v>-2.5860000000000002E-3</v>
      </c>
      <c r="V472" s="32">
        <v>2.4591999999999999E-2</v>
      </c>
      <c r="W472" s="32">
        <v>1.6206000000000002E-2</v>
      </c>
      <c r="X472" s="32">
        <v>-5.1799999999999997E-3</v>
      </c>
      <c r="Y472" s="32">
        <v>-7.1125999999999995E-2</v>
      </c>
      <c r="Z472" s="32">
        <v>0.344974</v>
      </c>
      <c r="AA472" s="32">
        <v>0.44403999999999999</v>
      </c>
      <c r="AB472" s="32">
        <v>0.453795</v>
      </c>
    </row>
    <row r="473" spans="1:28" ht="15.6" customHeight="1" x14ac:dyDescent="0.25">
      <c r="A473" s="24" t="s">
        <v>1528</v>
      </c>
      <c r="B473" s="50">
        <v>4074</v>
      </c>
      <c r="C473" s="25" t="s">
        <v>1529</v>
      </c>
      <c r="D473" s="25" t="s">
        <v>821</v>
      </c>
      <c r="E473" s="25" t="s">
        <v>194</v>
      </c>
      <c r="F473" s="25" t="s">
        <v>113</v>
      </c>
      <c r="G473" s="26" t="s">
        <v>1530</v>
      </c>
      <c r="H473" s="27" t="s">
        <v>732</v>
      </c>
      <c r="I473" s="24" t="s">
        <v>998</v>
      </c>
      <c r="J473" s="24" t="s">
        <v>107</v>
      </c>
      <c r="K473" s="28" t="s">
        <v>180</v>
      </c>
      <c r="L473" s="29">
        <v>0.03</v>
      </c>
      <c r="M473" s="29">
        <v>0.03</v>
      </c>
      <c r="N473" s="29">
        <v>0.02</v>
      </c>
      <c r="O473" s="27" t="s">
        <v>148</v>
      </c>
      <c r="P473" s="30" t="s">
        <v>821</v>
      </c>
      <c r="Q473" s="31">
        <v>9946512236.8999996</v>
      </c>
      <c r="R473" s="31">
        <v>394358.59</v>
      </c>
      <c r="S473" s="32">
        <v>-7.9559999999999995E-3</v>
      </c>
      <c r="T473" s="32" t="s">
        <v>139</v>
      </c>
      <c r="U473" s="32">
        <v>1.3929999999999999E-3</v>
      </c>
      <c r="V473" s="32">
        <v>5.2170000000000003E-3</v>
      </c>
      <c r="W473" s="32">
        <v>3.0300000000000001E-3</v>
      </c>
      <c r="X473" s="32">
        <v>-7.1409999999999998E-3</v>
      </c>
      <c r="Y473" s="32">
        <v>-1.5322000000000001E-2</v>
      </c>
      <c r="Z473" s="32">
        <v>9.1534000000000004E-2</v>
      </c>
      <c r="AA473" s="32">
        <v>0.20837700000000001</v>
      </c>
      <c r="AB473" s="32">
        <v>0.13101599999999999</v>
      </c>
    </row>
    <row r="474" spans="1:28" ht="15.6" customHeight="1" x14ac:dyDescent="0.25">
      <c r="A474" s="24" t="s">
        <v>1531</v>
      </c>
      <c r="B474" s="50">
        <v>4075</v>
      </c>
      <c r="C474" s="25" t="s">
        <v>1532</v>
      </c>
      <c r="D474" s="25" t="s">
        <v>112</v>
      </c>
      <c r="E474" s="25" t="s">
        <v>194</v>
      </c>
      <c r="F474" s="25" t="s">
        <v>155</v>
      </c>
      <c r="G474" s="26" t="s">
        <v>139</v>
      </c>
      <c r="H474" s="27" t="s">
        <v>156</v>
      </c>
      <c r="I474" s="24" t="s">
        <v>998</v>
      </c>
      <c r="J474" s="24" t="s">
        <v>121</v>
      </c>
      <c r="K474" s="28" t="s">
        <v>108</v>
      </c>
      <c r="L474" s="29">
        <v>0.03</v>
      </c>
      <c r="M474" s="29">
        <v>1.4999999999999999E-2</v>
      </c>
      <c r="N474" s="29">
        <v>0.02</v>
      </c>
      <c r="O474" s="27" t="s">
        <v>116</v>
      </c>
      <c r="P474" s="30" t="s">
        <v>112</v>
      </c>
      <c r="Q474" s="31">
        <v>807591330.70000005</v>
      </c>
      <c r="R474" s="31">
        <v>3041.09</v>
      </c>
      <c r="S474" s="32">
        <v>-4.3188999999999998E-2</v>
      </c>
      <c r="T474" s="32" t="s">
        <v>139</v>
      </c>
      <c r="U474" s="32">
        <v>1.2758E-2</v>
      </c>
      <c r="V474" s="32">
        <v>7.4826000000000004E-2</v>
      </c>
      <c r="W474" s="32">
        <v>4.811E-2</v>
      </c>
      <c r="X474" s="32">
        <v>-2.4263E-2</v>
      </c>
      <c r="Y474" s="32">
        <v>-0.12764800000000001</v>
      </c>
      <c r="Z474" s="32">
        <v>0.26581300000000002</v>
      </c>
      <c r="AA474" s="32">
        <v>0.498583</v>
      </c>
      <c r="AB474" s="32">
        <v>0.50037200000000004</v>
      </c>
    </row>
    <row r="475" spans="1:28" ht="15.6" customHeight="1" x14ac:dyDescent="0.25">
      <c r="A475" s="24" t="s">
        <v>809</v>
      </c>
      <c r="B475" s="50">
        <v>4076</v>
      </c>
      <c r="C475" s="25" t="s">
        <v>810</v>
      </c>
      <c r="D475" s="25" t="s">
        <v>112</v>
      </c>
      <c r="E475" s="25" t="s">
        <v>194</v>
      </c>
      <c r="F475" s="25" t="s">
        <v>128</v>
      </c>
      <c r="G475" s="26" t="s">
        <v>250</v>
      </c>
      <c r="H475" s="27" t="s">
        <v>512</v>
      </c>
      <c r="I475" s="24" t="s">
        <v>106</v>
      </c>
      <c r="J475" s="24" t="s">
        <v>107</v>
      </c>
      <c r="K475" s="28" t="s">
        <v>108</v>
      </c>
      <c r="L475" s="29">
        <v>0.03</v>
      </c>
      <c r="M475" s="29">
        <v>1.4999999999999999E-2</v>
      </c>
      <c r="N475" s="29">
        <v>0.02</v>
      </c>
      <c r="O475" s="27" t="s">
        <v>116</v>
      </c>
      <c r="P475" s="30" t="s">
        <v>112</v>
      </c>
      <c r="Q475" s="31">
        <v>4749451975.2200003</v>
      </c>
      <c r="R475" s="31">
        <v>1684.1</v>
      </c>
      <c r="S475" s="32">
        <v>1.9442999999999998E-2</v>
      </c>
      <c r="T475" s="32" t="s">
        <v>139</v>
      </c>
      <c r="U475" s="32">
        <v>7.4899999999999999E-4</v>
      </c>
      <c r="V475" s="32">
        <v>2.3509999999999998E-3</v>
      </c>
      <c r="W475" s="32">
        <v>7.737E-3</v>
      </c>
      <c r="X475" s="32">
        <v>1.4995E-2</v>
      </c>
      <c r="Y475" s="32">
        <v>2.9010999999999999E-2</v>
      </c>
      <c r="Z475" s="32">
        <v>6.6479999999999997E-2</v>
      </c>
      <c r="AA475" s="32">
        <v>0.109683</v>
      </c>
      <c r="AB475" s="32">
        <v>0.15398300000000001</v>
      </c>
    </row>
    <row r="476" spans="1:28" ht="15.6" customHeight="1" x14ac:dyDescent="0.25">
      <c r="A476" s="24" t="s">
        <v>811</v>
      </c>
      <c r="B476" s="50">
        <v>4077</v>
      </c>
      <c r="C476" s="25" t="s">
        <v>812</v>
      </c>
      <c r="D476" s="25" t="s">
        <v>112</v>
      </c>
      <c r="E476" s="25" t="s">
        <v>194</v>
      </c>
      <c r="F476" s="25" t="s">
        <v>103</v>
      </c>
      <c r="G476" s="26" t="s">
        <v>104</v>
      </c>
      <c r="H476" s="27" t="s">
        <v>813</v>
      </c>
      <c r="I476" s="24" t="s">
        <v>106</v>
      </c>
      <c r="J476" s="24" t="s">
        <v>121</v>
      </c>
      <c r="K476" s="28" t="s">
        <v>108</v>
      </c>
      <c r="L476" s="29">
        <v>0.03</v>
      </c>
      <c r="M476" s="29">
        <v>1.4999999999999999E-2</v>
      </c>
      <c r="N476" s="29">
        <v>0.02</v>
      </c>
      <c r="O476" s="27" t="s">
        <v>116</v>
      </c>
      <c r="P476" s="30" t="s">
        <v>112</v>
      </c>
      <c r="Q476" s="31">
        <v>2871627907.1900001</v>
      </c>
      <c r="R476" s="31">
        <v>3435.74</v>
      </c>
      <c r="S476" s="32">
        <v>1.5674E-2</v>
      </c>
      <c r="T476" s="32" t="s">
        <v>139</v>
      </c>
      <c r="U476" s="32">
        <v>5.3899999999999998E-4</v>
      </c>
      <c r="V476" s="32">
        <v>1.9889999999999999E-3</v>
      </c>
      <c r="W476" s="32">
        <v>6.3330000000000001E-3</v>
      </c>
      <c r="X476" s="32">
        <v>1.1982E-2</v>
      </c>
      <c r="Y476" s="32">
        <v>2.2991999999999999E-2</v>
      </c>
      <c r="Z476" s="32">
        <v>4.9307999999999998E-2</v>
      </c>
      <c r="AA476" s="32">
        <v>8.1476000000000007E-2</v>
      </c>
      <c r="AB476" s="32">
        <v>0.12125900000000001</v>
      </c>
    </row>
    <row r="477" spans="1:28" ht="15.6" customHeight="1" x14ac:dyDescent="0.25">
      <c r="A477" s="24" t="s">
        <v>1533</v>
      </c>
      <c r="B477" s="50">
        <v>4078</v>
      </c>
      <c r="C477" s="25" t="s">
        <v>1534</v>
      </c>
      <c r="D477" s="25" t="s">
        <v>112</v>
      </c>
      <c r="E477" s="25" t="s">
        <v>194</v>
      </c>
      <c r="F477" s="25" t="s">
        <v>113</v>
      </c>
      <c r="G477" s="26" t="s">
        <v>1535</v>
      </c>
      <c r="H477" s="27" t="s">
        <v>115</v>
      </c>
      <c r="I477" s="24" t="s">
        <v>998</v>
      </c>
      <c r="J477" s="24" t="s">
        <v>121</v>
      </c>
      <c r="K477" s="28" t="s">
        <v>108</v>
      </c>
      <c r="L477" s="29">
        <v>0.03</v>
      </c>
      <c r="M477" s="29">
        <v>1.4999999999999999E-2</v>
      </c>
      <c r="N477" s="29">
        <v>0.02</v>
      </c>
      <c r="O477" s="27" t="s">
        <v>116</v>
      </c>
      <c r="P477" s="30" t="s">
        <v>112</v>
      </c>
      <c r="Q477" s="31">
        <v>864901850.41999996</v>
      </c>
      <c r="R477" s="31">
        <v>2068.71</v>
      </c>
      <c r="S477" s="32">
        <v>-5.3559999999999997E-3</v>
      </c>
      <c r="T477" s="32" t="s">
        <v>139</v>
      </c>
      <c r="U477" s="32">
        <v>1.874E-3</v>
      </c>
      <c r="V477" s="32">
        <v>8.2660000000000008E-3</v>
      </c>
      <c r="W477" s="32">
        <v>6.8479999999999999E-3</v>
      </c>
      <c r="X477" s="32">
        <v>-4.3080000000000002E-3</v>
      </c>
      <c r="Y477" s="32">
        <v>-1.6005999999999999E-2</v>
      </c>
      <c r="Z477" s="32">
        <v>0.111343</v>
      </c>
      <c r="AA477" s="32">
        <v>0.22547400000000001</v>
      </c>
      <c r="AB477" s="32">
        <v>0.146589</v>
      </c>
    </row>
    <row r="478" spans="1:28" ht="15.6" customHeight="1" x14ac:dyDescent="0.25">
      <c r="A478" s="24" t="s">
        <v>814</v>
      </c>
      <c r="B478" s="50">
        <v>4079</v>
      </c>
      <c r="C478" s="25" t="s">
        <v>815</v>
      </c>
      <c r="D478" s="25" t="s">
        <v>112</v>
      </c>
      <c r="E478" s="25" t="s">
        <v>194</v>
      </c>
      <c r="F478" s="25" t="s">
        <v>138</v>
      </c>
      <c r="G478" s="26" t="s">
        <v>139</v>
      </c>
      <c r="H478" s="27" t="s">
        <v>816</v>
      </c>
      <c r="I478" s="24" t="s">
        <v>106</v>
      </c>
      <c r="J478" s="24" t="s">
        <v>107</v>
      </c>
      <c r="K478" s="28" t="s">
        <v>108</v>
      </c>
      <c r="L478" s="29">
        <v>0</v>
      </c>
      <c r="M478" s="29">
        <v>0</v>
      </c>
      <c r="N478" s="29">
        <v>0.02</v>
      </c>
      <c r="O478" s="27" t="s">
        <v>116</v>
      </c>
      <c r="P478" s="30" t="s">
        <v>112</v>
      </c>
      <c r="Q478" s="31">
        <v>1441260.8</v>
      </c>
      <c r="R478" s="31">
        <v>1947.64</v>
      </c>
      <c r="S478" s="32">
        <v>5.9290000000000002E-3</v>
      </c>
      <c r="T478" s="32" t="s">
        <v>139</v>
      </c>
      <c r="U478" s="32">
        <v>7.7720000000000003E-3</v>
      </c>
      <c r="V478" s="32">
        <v>3.6193999999999997E-2</v>
      </c>
      <c r="W478" s="32">
        <v>2.4383999999999999E-2</v>
      </c>
      <c r="X478" s="32">
        <v>4.3160000000000004E-3</v>
      </c>
      <c r="Y478" s="32">
        <v>-9.9579999999999998E-3</v>
      </c>
      <c r="Z478" s="32">
        <v>8.8079000000000005E-2</v>
      </c>
      <c r="AA478" s="32">
        <v>0.144876</v>
      </c>
      <c r="AB478" s="32">
        <v>0.15053</v>
      </c>
    </row>
    <row r="479" spans="1:28" ht="15.6" customHeight="1" x14ac:dyDescent="0.25">
      <c r="A479" s="24" t="s">
        <v>1536</v>
      </c>
      <c r="B479" s="50">
        <v>4081</v>
      </c>
      <c r="C479" s="25" t="s">
        <v>1537</v>
      </c>
      <c r="D479" s="25" t="s">
        <v>159</v>
      </c>
      <c r="E479" s="25" t="s">
        <v>194</v>
      </c>
      <c r="F479" s="25" t="s">
        <v>155</v>
      </c>
      <c r="G479" s="26" t="s">
        <v>139</v>
      </c>
      <c r="H479" s="27" t="s">
        <v>156</v>
      </c>
      <c r="I479" s="24" t="s">
        <v>998</v>
      </c>
      <c r="J479" s="24" t="s">
        <v>107</v>
      </c>
      <c r="K479" s="28" t="s">
        <v>108</v>
      </c>
      <c r="L479" s="29">
        <v>2E-3</v>
      </c>
      <c r="M479" s="29">
        <v>1E-3</v>
      </c>
      <c r="N479" s="29">
        <v>0.02</v>
      </c>
      <c r="O479" s="27" t="s">
        <v>161</v>
      </c>
      <c r="P479" s="30" t="s">
        <v>159</v>
      </c>
      <c r="Q479" s="31">
        <v>67406894.590000004</v>
      </c>
      <c r="R479" s="31">
        <v>324.42</v>
      </c>
      <c r="S479" s="32">
        <v>-1.1608E-2</v>
      </c>
      <c r="T479" s="32" t="s">
        <v>139</v>
      </c>
      <c r="U479" s="32">
        <v>8.6429999999999996E-3</v>
      </c>
      <c r="V479" s="32">
        <v>5.3414000000000003E-2</v>
      </c>
      <c r="W479" s="32">
        <v>3.0526000000000001E-2</v>
      </c>
      <c r="X479" s="32">
        <v>-1.3021E-2</v>
      </c>
      <c r="Y479" s="32">
        <v>-0.12224</v>
      </c>
      <c r="Z479" s="32">
        <v>0.30007200000000001</v>
      </c>
      <c r="AA479" s="32">
        <v>0.52460200000000001</v>
      </c>
      <c r="AB479" s="32">
        <v>0.46056200000000003</v>
      </c>
    </row>
    <row r="480" spans="1:28" ht="15.6" customHeight="1" x14ac:dyDescent="0.25">
      <c r="A480" s="24" t="s">
        <v>1538</v>
      </c>
      <c r="B480" s="50">
        <v>4082</v>
      </c>
      <c r="C480" s="25" t="s">
        <v>1539</v>
      </c>
      <c r="D480" s="25" t="s">
        <v>159</v>
      </c>
      <c r="E480" s="25" t="s">
        <v>194</v>
      </c>
      <c r="F480" s="25" t="s">
        <v>155</v>
      </c>
      <c r="G480" s="26" t="s">
        <v>139</v>
      </c>
      <c r="H480" s="27" t="s">
        <v>156</v>
      </c>
      <c r="I480" s="24" t="s">
        <v>998</v>
      </c>
      <c r="J480" s="24" t="s">
        <v>107</v>
      </c>
      <c r="K480" s="28" t="s">
        <v>108</v>
      </c>
      <c r="L480" s="29">
        <v>5.0000000000000001E-3</v>
      </c>
      <c r="M480" s="29">
        <v>5.0000000000000001E-3</v>
      </c>
      <c r="N480" s="29">
        <v>0.02</v>
      </c>
      <c r="O480" s="27" t="s">
        <v>161</v>
      </c>
      <c r="P480" s="30" t="s">
        <v>159</v>
      </c>
      <c r="Q480" s="31">
        <v>717217425.87</v>
      </c>
      <c r="R480" s="31">
        <v>4979.1000000000004</v>
      </c>
      <c r="S480" s="32">
        <v>5.0317000000000001E-2</v>
      </c>
      <c r="T480" s="32" t="s">
        <v>139</v>
      </c>
      <c r="U480" s="32">
        <v>1.2107E-2</v>
      </c>
      <c r="V480" s="32">
        <v>7.1595000000000006E-2</v>
      </c>
      <c r="W480" s="32">
        <v>3.6569999999999998E-2</v>
      </c>
      <c r="X480" s="32">
        <v>4.3622000000000001E-2</v>
      </c>
      <c r="Y480" s="32">
        <v>-4.6698999999999997E-2</v>
      </c>
      <c r="Z480" s="32">
        <v>0.50378299999999998</v>
      </c>
      <c r="AA480" s="32">
        <v>0.79006399999999999</v>
      </c>
      <c r="AB480" s="32">
        <v>0.71873900000000002</v>
      </c>
    </row>
    <row r="481" spans="1:28" ht="15.6" customHeight="1" x14ac:dyDescent="0.25">
      <c r="A481" s="24" t="s">
        <v>1540</v>
      </c>
      <c r="B481" s="50">
        <v>4084</v>
      </c>
      <c r="C481" s="25" t="s">
        <v>1541</v>
      </c>
      <c r="D481" s="25" t="s">
        <v>112</v>
      </c>
      <c r="E481" s="25" t="s">
        <v>194</v>
      </c>
      <c r="F481" s="25" t="s">
        <v>138</v>
      </c>
      <c r="G481" s="26" t="s">
        <v>139</v>
      </c>
      <c r="H481" s="27" t="s">
        <v>1232</v>
      </c>
      <c r="I481" s="24" t="s">
        <v>998</v>
      </c>
      <c r="J481" s="24" t="s">
        <v>107</v>
      </c>
      <c r="K481" s="28" t="s">
        <v>108</v>
      </c>
      <c r="L481" s="29">
        <v>0.03</v>
      </c>
      <c r="M481" s="29">
        <v>1.4999999999999999E-2</v>
      </c>
      <c r="N481" s="29">
        <v>0.02</v>
      </c>
      <c r="O481" s="27" t="s">
        <v>116</v>
      </c>
      <c r="P481" s="30" t="s">
        <v>112</v>
      </c>
      <c r="Q481" s="31">
        <v>1500493.07</v>
      </c>
      <c r="R481" s="31">
        <v>2143.56</v>
      </c>
      <c r="S481" s="32">
        <v>1.2135E-2</v>
      </c>
      <c r="T481" s="32" t="s">
        <v>139</v>
      </c>
      <c r="U481" s="32">
        <v>2.699E-3</v>
      </c>
      <c r="V481" s="32">
        <v>1.359E-2</v>
      </c>
      <c r="W481" s="32">
        <v>1.6454E-2</v>
      </c>
      <c r="X481" s="32">
        <v>8.9619999999999995E-3</v>
      </c>
      <c r="Y481" s="32">
        <v>-3.5560000000000001E-3</v>
      </c>
      <c r="Z481" s="32">
        <v>0.13206200000000001</v>
      </c>
      <c r="AA481" s="32">
        <v>0.217503</v>
      </c>
      <c r="AB481" s="32">
        <v>0.20816399999999999</v>
      </c>
    </row>
    <row r="482" spans="1:28" ht="15.6" customHeight="1" x14ac:dyDescent="0.25">
      <c r="A482" s="24" t="s">
        <v>1542</v>
      </c>
      <c r="B482" s="50">
        <v>4085</v>
      </c>
      <c r="C482" s="25" t="s">
        <v>1543</v>
      </c>
      <c r="D482" s="25" t="s">
        <v>112</v>
      </c>
      <c r="E482" s="25" t="s">
        <v>194</v>
      </c>
      <c r="F482" s="25" t="s">
        <v>113</v>
      </c>
      <c r="G482" s="26" t="s">
        <v>1257</v>
      </c>
      <c r="H482" s="27" t="s">
        <v>1519</v>
      </c>
      <c r="I482" s="24" t="s">
        <v>998</v>
      </c>
      <c r="J482" s="24" t="s">
        <v>107</v>
      </c>
      <c r="K482" s="28" t="s">
        <v>108</v>
      </c>
      <c r="L482" s="29">
        <v>0.03</v>
      </c>
      <c r="M482" s="29">
        <v>1.4999999999999999E-2</v>
      </c>
      <c r="N482" s="29">
        <v>0.02</v>
      </c>
      <c r="O482" s="27" t="s">
        <v>116</v>
      </c>
      <c r="P482" s="30" t="s">
        <v>112</v>
      </c>
      <c r="Q482" s="31">
        <v>458211724.70999998</v>
      </c>
      <c r="R482" s="31">
        <v>1851.17</v>
      </c>
      <c r="S482" s="32">
        <v>-1.354E-3</v>
      </c>
      <c r="T482" s="32" t="s">
        <v>139</v>
      </c>
      <c r="U482" s="32">
        <v>1.39E-3</v>
      </c>
      <c r="V482" s="32">
        <v>6.9080000000000001E-3</v>
      </c>
      <c r="W482" s="32">
        <v>6.5030000000000001E-3</v>
      </c>
      <c r="X482" s="32">
        <v>-1.397E-3</v>
      </c>
      <c r="Y482" s="32">
        <v>-9.9900000000000006E-3</v>
      </c>
      <c r="Z482" s="32">
        <v>9.8787E-2</v>
      </c>
      <c r="AA482" s="32">
        <v>0.198851</v>
      </c>
      <c r="AB482" s="32">
        <v>0.14809800000000001</v>
      </c>
    </row>
    <row r="483" spans="1:28" ht="15.6" customHeight="1" x14ac:dyDescent="0.25">
      <c r="A483" s="24" t="s">
        <v>1544</v>
      </c>
      <c r="B483" s="50">
        <v>4094</v>
      </c>
      <c r="C483" s="25" t="s">
        <v>1545</v>
      </c>
      <c r="D483" s="25" t="s">
        <v>821</v>
      </c>
      <c r="E483" s="25" t="s">
        <v>194</v>
      </c>
      <c r="F483" s="25" t="s">
        <v>113</v>
      </c>
      <c r="G483" s="26" t="s">
        <v>638</v>
      </c>
      <c r="H483" s="27" t="s">
        <v>327</v>
      </c>
      <c r="I483" s="24" t="s">
        <v>998</v>
      </c>
      <c r="J483" s="24" t="s">
        <v>107</v>
      </c>
      <c r="K483" s="28" t="s">
        <v>180</v>
      </c>
      <c r="L483" s="29">
        <v>0.03</v>
      </c>
      <c r="M483" s="29">
        <v>0.03</v>
      </c>
      <c r="N483" s="29">
        <v>0.02</v>
      </c>
      <c r="O483" s="27" t="s">
        <v>148</v>
      </c>
      <c r="P483" s="30" t="s">
        <v>821</v>
      </c>
      <c r="Q483" s="31">
        <v>3701113275.73</v>
      </c>
      <c r="R483" s="31">
        <v>161.01</v>
      </c>
      <c r="S483" s="32">
        <v>-2.5400000000000002E-3</v>
      </c>
      <c r="T483" s="32" t="s">
        <v>139</v>
      </c>
      <c r="U483" s="32">
        <v>5.5900000000000004E-4</v>
      </c>
      <c r="V483" s="32">
        <v>4.1159999999999999E-3</v>
      </c>
      <c r="W483" s="32">
        <v>4.4289999999999998E-3</v>
      </c>
      <c r="X483" s="32">
        <v>-8.0699999999999999E-4</v>
      </c>
      <c r="Y483" s="32">
        <v>-8.3759999999999998E-3</v>
      </c>
      <c r="Z483" s="32">
        <v>9.4625000000000001E-2</v>
      </c>
      <c r="AA483" s="32">
        <v>0.19021299999999999</v>
      </c>
      <c r="AB483" s="32">
        <v>0.13767799999999999</v>
      </c>
    </row>
    <row r="484" spans="1:28" ht="15.6" customHeight="1" x14ac:dyDescent="0.25">
      <c r="A484" s="24" t="s">
        <v>1546</v>
      </c>
      <c r="B484" s="50">
        <v>4095</v>
      </c>
      <c r="C484" s="25" t="s">
        <v>1547</v>
      </c>
      <c r="D484" s="25" t="s">
        <v>821</v>
      </c>
      <c r="E484" s="25" t="s">
        <v>194</v>
      </c>
      <c r="F484" s="25" t="s">
        <v>155</v>
      </c>
      <c r="G484" s="26" t="s">
        <v>139</v>
      </c>
      <c r="H484" s="27" t="s">
        <v>156</v>
      </c>
      <c r="I484" s="24" t="s">
        <v>998</v>
      </c>
      <c r="J484" s="24" t="s">
        <v>107</v>
      </c>
      <c r="K484" s="28" t="s">
        <v>180</v>
      </c>
      <c r="L484" s="29">
        <v>0.03</v>
      </c>
      <c r="M484" s="29">
        <v>0.03</v>
      </c>
      <c r="N484" s="29">
        <v>0.02</v>
      </c>
      <c r="O484" s="27" t="s">
        <v>148</v>
      </c>
      <c r="P484" s="30" t="s">
        <v>821</v>
      </c>
      <c r="Q484" s="31">
        <v>2293786627.5500002</v>
      </c>
      <c r="R484" s="31">
        <v>204.44</v>
      </c>
      <c r="S484" s="32">
        <v>1.5900999999999998E-2</v>
      </c>
      <c r="T484" s="32" t="s">
        <v>139</v>
      </c>
      <c r="U484" s="32">
        <v>2.5990000000000002E-3</v>
      </c>
      <c r="V484" s="32">
        <v>3.1795999999999998E-2</v>
      </c>
      <c r="W484" s="32">
        <v>3.7398000000000001E-2</v>
      </c>
      <c r="X484" s="32">
        <v>-4.0429999999999997E-3</v>
      </c>
      <c r="Y484" s="32">
        <v>-9.9693000000000004E-2</v>
      </c>
      <c r="Z484" s="32">
        <v>0.28225</v>
      </c>
      <c r="AA484" s="32">
        <v>0.43537199999999998</v>
      </c>
      <c r="AB484" s="32">
        <v>0.37143300000000001</v>
      </c>
    </row>
    <row r="485" spans="1:28" ht="15.6" customHeight="1" x14ac:dyDescent="0.25">
      <c r="A485" s="24" t="s">
        <v>1548</v>
      </c>
      <c r="B485" s="50">
        <v>4096</v>
      </c>
      <c r="C485" s="25" t="s">
        <v>1549</v>
      </c>
      <c r="D485" s="25" t="s">
        <v>821</v>
      </c>
      <c r="E485" s="25" t="s">
        <v>194</v>
      </c>
      <c r="F485" s="25" t="s">
        <v>155</v>
      </c>
      <c r="G485" s="26" t="s">
        <v>139</v>
      </c>
      <c r="H485" s="27" t="s">
        <v>156</v>
      </c>
      <c r="I485" s="24" t="s">
        <v>998</v>
      </c>
      <c r="J485" s="24" t="s">
        <v>107</v>
      </c>
      <c r="K485" s="28" t="s">
        <v>180</v>
      </c>
      <c r="L485" s="29">
        <v>0.03</v>
      </c>
      <c r="M485" s="29">
        <v>0.03</v>
      </c>
      <c r="N485" s="29">
        <v>0.02</v>
      </c>
      <c r="O485" s="27" t="s">
        <v>148</v>
      </c>
      <c r="P485" s="30" t="s">
        <v>821</v>
      </c>
      <c r="Q485" s="31">
        <v>1267307093.01</v>
      </c>
      <c r="R485" s="31">
        <v>304.2</v>
      </c>
      <c r="S485" s="32">
        <v>3.8295999999999997E-2</v>
      </c>
      <c r="T485" s="32" t="s">
        <v>139</v>
      </c>
      <c r="U485" s="32">
        <v>2.604E-3</v>
      </c>
      <c r="V485" s="32">
        <v>3.0661999999999998E-2</v>
      </c>
      <c r="W485" s="32">
        <v>3.8154E-2</v>
      </c>
      <c r="X485" s="32">
        <v>-1.0839999999999999E-3</v>
      </c>
      <c r="Y485" s="32">
        <v>-9.7115000000000007E-2</v>
      </c>
      <c r="Z485" s="32">
        <v>0.32619300000000001</v>
      </c>
      <c r="AA485" s="32">
        <v>0.46785900000000002</v>
      </c>
      <c r="AB485" s="32">
        <v>0.37482100000000002</v>
      </c>
    </row>
    <row r="486" spans="1:28" ht="15.6" customHeight="1" x14ac:dyDescent="0.25">
      <c r="A486" s="24" t="s">
        <v>1550</v>
      </c>
      <c r="B486" s="50">
        <v>4097</v>
      </c>
      <c r="C486" s="25" t="s">
        <v>1551</v>
      </c>
      <c r="D486" s="25" t="s">
        <v>112</v>
      </c>
      <c r="E486" s="25" t="s">
        <v>194</v>
      </c>
      <c r="F486" s="25" t="s">
        <v>113</v>
      </c>
      <c r="G486" s="26" t="s">
        <v>114</v>
      </c>
      <c r="H486" s="27" t="s">
        <v>115</v>
      </c>
      <c r="I486" s="24" t="s">
        <v>998</v>
      </c>
      <c r="J486" s="24" t="s">
        <v>121</v>
      </c>
      <c r="K486" s="28" t="s">
        <v>227</v>
      </c>
      <c r="L486" s="29">
        <v>0.03</v>
      </c>
      <c r="M486" s="29">
        <v>1.4999999999999999E-2</v>
      </c>
      <c r="N486" s="29">
        <v>0.02</v>
      </c>
      <c r="O486" s="27" t="s">
        <v>548</v>
      </c>
      <c r="P486" s="30" t="s">
        <v>112</v>
      </c>
      <c r="Q486" s="31">
        <v>1333499039.1900001</v>
      </c>
      <c r="R486" s="31">
        <v>1631.48</v>
      </c>
      <c r="S486" s="32">
        <v>-3.6459999999999999E-3</v>
      </c>
      <c r="T486" s="32" t="s">
        <v>139</v>
      </c>
      <c r="U486" s="32">
        <v>1.75E-3</v>
      </c>
      <c r="V486" s="32">
        <v>7.1729999999999997E-3</v>
      </c>
      <c r="W486" s="32">
        <v>4.5869999999999999E-3</v>
      </c>
      <c r="X486" s="32">
        <v>-3.4150000000000001E-3</v>
      </c>
      <c r="Y486" s="32">
        <v>-1.0709E-2</v>
      </c>
      <c r="Z486" s="32">
        <v>9.035E-2</v>
      </c>
      <c r="AA486" s="32">
        <v>0.181342</v>
      </c>
      <c r="AB486" s="32">
        <v>8.6138999999999993E-2</v>
      </c>
    </row>
    <row r="487" spans="1:28" ht="15.6" customHeight="1" x14ac:dyDescent="0.25">
      <c r="A487" s="24" t="s">
        <v>1552</v>
      </c>
      <c r="B487" s="50">
        <v>4098</v>
      </c>
      <c r="C487" s="25" t="s">
        <v>1553</v>
      </c>
      <c r="D487" s="25" t="s">
        <v>112</v>
      </c>
      <c r="E487" s="25" t="s">
        <v>194</v>
      </c>
      <c r="F487" s="25" t="s">
        <v>113</v>
      </c>
      <c r="G487" s="26" t="s">
        <v>114</v>
      </c>
      <c r="H487" s="27" t="s">
        <v>115</v>
      </c>
      <c r="I487" s="24" t="s">
        <v>998</v>
      </c>
      <c r="J487" s="24" t="s">
        <v>121</v>
      </c>
      <c r="K487" s="28" t="s">
        <v>108</v>
      </c>
      <c r="L487" s="29">
        <v>0</v>
      </c>
      <c r="M487" s="29">
        <v>1.4999999999999999E-2</v>
      </c>
      <c r="N487" s="29">
        <v>0.01</v>
      </c>
      <c r="O487" s="27" t="s">
        <v>116</v>
      </c>
      <c r="P487" s="30" t="s">
        <v>112</v>
      </c>
      <c r="Q487" s="31">
        <v>1135169.8700000001</v>
      </c>
      <c r="R487" s="31">
        <v>1474.24</v>
      </c>
      <c r="S487" s="32">
        <v>3.7309999999999999E-3</v>
      </c>
      <c r="T487" s="32" t="s">
        <v>139</v>
      </c>
      <c r="U487" s="32">
        <v>6.4499999999999996E-4</v>
      </c>
      <c r="V487" s="32">
        <v>1.4400000000000001E-3</v>
      </c>
      <c r="W487" s="32">
        <v>3.0820000000000001E-3</v>
      </c>
      <c r="X487" s="32">
        <v>3.875E-3</v>
      </c>
      <c r="Y487" s="32">
        <v>1.882E-3</v>
      </c>
      <c r="Z487" s="32">
        <v>4.3827999999999999E-2</v>
      </c>
      <c r="AA487" s="32">
        <v>9.4924999999999995E-2</v>
      </c>
      <c r="AB487" s="32">
        <v>3.3466999999999997E-2</v>
      </c>
    </row>
    <row r="488" spans="1:28" ht="15.6" customHeight="1" x14ac:dyDescent="0.25">
      <c r="A488" s="24" t="s">
        <v>1554</v>
      </c>
      <c r="B488" s="50">
        <v>4099</v>
      </c>
      <c r="C488" s="25" t="s">
        <v>1555</v>
      </c>
      <c r="D488" s="25" t="s">
        <v>112</v>
      </c>
      <c r="E488" s="25" t="s">
        <v>194</v>
      </c>
      <c r="F488" s="25" t="s">
        <v>113</v>
      </c>
      <c r="G488" s="26" t="s">
        <v>1168</v>
      </c>
      <c r="H488" s="27" t="s">
        <v>115</v>
      </c>
      <c r="I488" s="24" t="s">
        <v>998</v>
      </c>
      <c r="J488" s="24" t="s">
        <v>121</v>
      </c>
      <c r="K488" s="28" t="s">
        <v>108</v>
      </c>
      <c r="L488" s="29">
        <v>0.03</v>
      </c>
      <c r="M488" s="29">
        <v>1.4999999999999999E-2</v>
      </c>
      <c r="N488" s="29">
        <v>0.02</v>
      </c>
      <c r="O488" s="27" t="s">
        <v>548</v>
      </c>
      <c r="P488" s="30" t="s">
        <v>112</v>
      </c>
      <c r="Q488" s="31">
        <v>218167783.22999999</v>
      </c>
      <c r="R488" s="31">
        <v>2045.96</v>
      </c>
      <c r="S488" s="32">
        <v>-6.7900000000000002E-4</v>
      </c>
      <c r="T488" s="32" t="s">
        <v>139</v>
      </c>
      <c r="U488" s="32">
        <v>1.557E-3</v>
      </c>
      <c r="V488" s="32">
        <v>6.5180000000000004E-3</v>
      </c>
      <c r="W488" s="32">
        <v>6.5279999999999999E-3</v>
      </c>
      <c r="X488" s="32">
        <v>-9.7199999999999999E-4</v>
      </c>
      <c r="Y488" s="32">
        <v>-9.1199999999999996E-3</v>
      </c>
      <c r="Z488" s="32">
        <v>0.10735500000000001</v>
      </c>
      <c r="AA488" s="32">
        <v>0.21246399999999999</v>
      </c>
      <c r="AB488" s="32">
        <v>0.104712</v>
      </c>
    </row>
    <row r="489" spans="1:28" ht="15.6" customHeight="1" x14ac:dyDescent="0.25">
      <c r="A489" s="24" t="s">
        <v>1556</v>
      </c>
      <c r="B489" s="50">
        <v>4100</v>
      </c>
      <c r="C489" s="25" t="s">
        <v>70</v>
      </c>
      <c r="D489" s="25" t="s">
        <v>504</v>
      </c>
      <c r="E489" s="25" t="s">
        <v>194</v>
      </c>
      <c r="F489" s="25" t="s">
        <v>155</v>
      </c>
      <c r="G489" s="26" t="s">
        <v>139</v>
      </c>
      <c r="H489" s="27" t="s">
        <v>156</v>
      </c>
      <c r="I489" s="24" t="s">
        <v>998</v>
      </c>
      <c r="J489" s="24" t="s">
        <v>107</v>
      </c>
      <c r="K489" s="28" t="s">
        <v>108</v>
      </c>
      <c r="L489" s="29">
        <v>0.03</v>
      </c>
      <c r="M489" s="29">
        <v>1.4999999999999999E-2</v>
      </c>
      <c r="N489" s="29">
        <v>0.02</v>
      </c>
      <c r="O489" s="27" t="s">
        <v>663</v>
      </c>
      <c r="P489" s="30" t="s">
        <v>504</v>
      </c>
      <c r="Q489" s="31">
        <v>1642893154.77</v>
      </c>
      <c r="R489" s="31">
        <v>278.88</v>
      </c>
      <c r="S489" s="32">
        <v>-1.5984000000000002E-2</v>
      </c>
      <c r="T489" s="32" t="s">
        <v>139</v>
      </c>
      <c r="U489" s="32">
        <v>1.3114000000000001E-2</v>
      </c>
      <c r="V489" s="32">
        <v>6.7033999999999996E-2</v>
      </c>
      <c r="W489" s="32">
        <v>5.2775000000000002E-2</v>
      </c>
      <c r="X489" s="32">
        <v>-1.0501999999999999E-2</v>
      </c>
      <c r="Y489" s="32">
        <v>-0.131107</v>
      </c>
      <c r="Z489" s="32">
        <v>0.39985900000000002</v>
      </c>
      <c r="AA489" s="32">
        <v>0.77551400000000004</v>
      </c>
      <c r="AB489" s="32">
        <v>0.75583999999999996</v>
      </c>
    </row>
    <row r="490" spans="1:28" ht="15.6" customHeight="1" x14ac:dyDescent="0.25">
      <c r="A490" s="24" t="s">
        <v>1557</v>
      </c>
      <c r="B490" s="50">
        <v>4101</v>
      </c>
      <c r="C490" s="25" t="s">
        <v>1558</v>
      </c>
      <c r="D490" s="25" t="s">
        <v>504</v>
      </c>
      <c r="E490" s="25" t="s">
        <v>194</v>
      </c>
      <c r="F490" s="25" t="s">
        <v>113</v>
      </c>
      <c r="G490" s="26" t="s">
        <v>1559</v>
      </c>
      <c r="H490" s="27" t="s">
        <v>327</v>
      </c>
      <c r="I490" s="24" t="s">
        <v>998</v>
      </c>
      <c r="J490" s="24" t="s">
        <v>107</v>
      </c>
      <c r="K490" s="28" t="s">
        <v>108</v>
      </c>
      <c r="L490" s="29">
        <v>0.03</v>
      </c>
      <c r="M490" s="29">
        <v>1.4999999999999999E-2</v>
      </c>
      <c r="N490" s="29">
        <v>1.2E-2</v>
      </c>
      <c r="O490" s="27" t="s">
        <v>173</v>
      </c>
      <c r="P490" s="30" t="s">
        <v>504</v>
      </c>
      <c r="Q490" s="31">
        <v>2344957924.4699998</v>
      </c>
      <c r="R490" s="31">
        <v>163.38</v>
      </c>
      <c r="S490" s="32">
        <v>-1.101E-3</v>
      </c>
      <c r="T490" s="32" t="s">
        <v>139</v>
      </c>
      <c r="U490" s="32">
        <v>1.5939999999999999E-3</v>
      </c>
      <c r="V490" s="32">
        <v>6.7159999999999997E-3</v>
      </c>
      <c r="W490" s="32">
        <v>5.3540000000000003E-3</v>
      </c>
      <c r="X490" s="32">
        <v>-3.0600000000000001E-4</v>
      </c>
      <c r="Y490" s="32">
        <v>-1.1136999999999999E-2</v>
      </c>
      <c r="Z490" s="32">
        <v>9.0289999999999995E-2</v>
      </c>
      <c r="AA490" s="32">
        <v>0.183999</v>
      </c>
      <c r="AB490" s="32">
        <v>0.12396799999999999</v>
      </c>
    </row>
    <row r="491" spans="1:28" ht="15.6" customHeight="1" x14ac:dyDescent="0.25">
      <c r="A491" s="24" t="s">
        <v>817</v>
      </c>
      <c r="B491" s="50">
        <v>4102</v>
      </c>
      <c r="C491" s="25" t="s">
        <v>818</v>
      </c>
      <c r="D491" s="25" t="s">
        <v>504</v>
      </c>
      <c r="E491" s="25" t="s">
        <v>194</v>
      </c>
      <c r="F491" s="25" t="s">
        <v>103</v>
      </c>
      <c r="G491" s="26" t="s">
        <v>146</v>
      </c>
      <c r="H491" s="27" t="s">
        <v>509</v>
      </c>
      <c r="I491" s="24" t="s">
        <v>106</v>
      </c>
      <c r="J491" s="24" t="s">
        <v>107</v>
      </c>
      <c r="K491" s="28" t="s">
        <v>108</v>
      </c>
      <c r="L491" s="29">
        <v>0</v>
      </c>
      <c r="M491" s="29">
        <v>0</v>
      </c>
      <c r="N491" s="29">
        <v>8.0000000000000002E-3</v>
      </c>
      <c r="O491" s="27" t="s">
        <v>173</v>
      </c>
      <c r="P491" s="30" t="s">
        <v>504</v>
      </c>
      <c r="Q491" s="31">
        <v>2250754671.6599998</v>
      </c>
      <c r="R491" s="31">
        <v>154.53</v>
      </c>
      <c r="S491" s="32">
        <v>1.7246999999999998E-2</v>
      </c>
      <c r="T491" s="32" t="s">
        <v>139</v>
      </c>
      <c r="U491" s="32">
        <v>5.1800000000000001E-4</v>
      </c>
      <c r="V491" s="32">
        <v>2.0100000000000001E-3</v>
      </c>
      <c r="W491" s="32">
        <v>7.2350000000000001E-3</v>
      </c>
      <c r="X491" s="32">
        <v>1.3577000000000001E-2</v>
      </c>
      <c r="Y491" s="32">
        <v>2.5211000000000001E-2</v>
      </c>
      <c r="Z491" s="32">
        <v>5.5244000000000001E-2</v>
      </c>
      <c r="AA491" s="32">
        <v>9.0773999999999994E-2</v>
      </c>
      <c r="AB491" s="32">
        <v>0.13825899999999999</v>
      </c>
    </row>
    <row r="492" spans="1:28" ht="15.6" customHeight="1" x14ac:dyDescent="0.25">
      <c r="A492" s="24" t="s">
        <v>1560</v>
      </c>
      <c r="B492" s="50">
        <v>4103</v>
      </c>
      <c r="C492" s="25" t="s">
        <v>1561</v>
      </c>
      <c r="D492" s="25" t="s">
        <v>112</v>
      </c>
      <c r="E492" s="25" t="s">
        <v>194</v>
      </c>
      <c r="F492" s="25" t="s">
        <v>113</v>
      </c>
      <c r="G492" s="26" t="s">
        <v>114</v>
      </c>
      <c r="H492" s="27" t="s">
        <v>115</v>
      </c>
      <c r="I492" s="24" t="s">
        <v>998</v>
      </c>
      <c r="J492" s="24" t="s">
        <v>121</v>
      </c>
      <c r="K492" s="28" t="s">
        <v>227</v>
      </c>
      <c r="L492" s="29">
        <v>0.03</v>
      </c>
      <c r="M492" s="29">
        <v>1.4999999999999999E-2</v>
      </c>
      <c r="N492" s="29">
        <v>0.02</v>
      </c>
      <c r="O492" s="27" t="s">
        <v>161</v>
      </c>
      <c r="P492" s="30" t="s">
        <v>112</v>
      </c>
      <c r="Q492" s="31">
        <v>600425.79</v>
      </c>
      <c r="R492" s="31">
        <v>1859</v>
      </c>
      <c r="S492" s="32">
        <v>9.8320000000000005E-3</v>
      </c>
      <c r="T492" s="32" t="s">
        <v>139</v>
      </c>
      <c r="U492" s="32">
        <v>1.0020000000000001E-3</v>
      </c>
      <c r="V492" s="32">
        <v>2.751E-3</v>
      </c>
      <c r="W492" s="32">
        <v>5.5659999999999998E-3</v>
      </c>
      <c r="X492" s="32">
        <v>1.0128E-2</v>
      </c>
      <c r="Y492" s="32">
        <v>1.0041E-2</v>
      </c>
      <c r="Z492" s="32">
        <v>5.4739999999999997E-2</v>
      </c>
      <c r="AA492" s="32">
        <v>9.9278000000000005E-2</v>
      </c>
      <c r="AB492" s="32">
        <v>9.9746000000000001E-2</v>
      </c>
    </row>
    <row r="493" spans="1:28" ht="15.6" customHeight="1" x14ac:dyDescent="0.25">
      <c r="A493" s="24" t="s">
        <v>1562</v>
      </c>
      <c r="B493" s="50">
        <v>4104</v>
      </c>
      <c r="C493" s="25" t="s">
        <v>1563</v>
      </c>
      <c r="D493" s="25" t="s">
        <v>112</v>
      </c>
      <c r="E493" s="25" t="s">
        <v>194</v>
      </c>
      <c r="F493" s="25" t="s">
        <v>155</v>
      </c>
      <c r="G493" s="26" t="s">
        <v>139</v>
      </c>
      <c r="H493" s="27" t="s">
        <v>1564</v>
      </c>
      <c r="I493" s="24" t="s">
        <v>998</v>
      </c>
      <c r="J493" s="24" t="s">
        <v>107</v>
      </c>
      <c r="K493" s="28" t="s">
        <v>108</v>
      </c>
      <c r="L493" s="29">
        <v>0.03</v>
      </c>
      <c r="M493" s="29">
        <v>1.4999999999999999E-2</v>
      </c>
      <c r="N493" s="29">
        <v>0.02</v>
      </c>
      <c r="O493" s="27" t="s">
        <v>116</v>
      </c>
      <c r="P493" s="30" t="s">
        <v>112</v>
      </c>
      <c r="Q493" s="31">
        <v>1136813449.3299999</v>
      </c>
      <c r="R493" s="31">
        <v>2660.23</v>
      </c>
      <c r="S493" s="32">
        <v>-4.3257999999999998E-2</v>
      </c>
      <c r="T493" s="32" t="s">
        <v>139</v>
      </c>
      <c r="U493" s="32">
        <v>1.0526000000000001E-2</v>
      </c>
      <c r="V493" s="32">
        <v>6.7019999999999996E-2</v>
      </c>
      <c r="W493" s="32">
        <v>4.0529999999999997E-2</v>
      </c>
      <c r="X493" s="32">
        <v>-2.6644000000000001E-2</v>
      </c>
      <c r="Y493" s="32">
        <v>-0.141847</v>
      </c>
      <c r="Z493" s="32">
        <v>0.233764</v>
      </c>
      <c r="AA493" s="32">
        <v>0.436836</v>
      </c>
      <c r="AB493" s="32">
        <v>0.36053000000000002</v>
      </c>
    </row>
    <row r="494" spans="1:28" ht="15.6" customHeight="1" x14ac:dyDescent="0.25">
      <c r="A494" s="24" t="s">
        <v>1565</v>
      </c>
      <c r="B494" s="50">
        <v>4108</v>
      </c>
      <c r="C494" s="25" t="s">
        <v>1566</v>
      </c>
      <c r="D494" s="25" t="s">
        <v>821</v>
      </c>
      <c r="E494" s="25" t="s">
        <v>194</v>
      </c>
      <c r="F494" s="25" t="s">
        <v>138</v>
      </c>
      <c r="G494" s="26" t="s">
        <v>139</v>
      </c>
      <c r="H494" s="27" t="s">
        <v>1273</v>
      </c>
      <c r="I494" s="24" t="s">
        <v>998</v>
      </c>
      <c r="J494" s="24" t="s">
        <v>107</v>
      </c>
      <c r="K494" s="28" t="s">
        <v>108</v>
      </c>
      <c r="L494" s="29">
        <v>0.03</v>
      </c>
      <c r="M494" s="29">
        <v>0.03</v>
      </c>
      <c r="N494" s="29">
        <v>0.02</v>
      </c>
      <c r="O494" s="27" t="s">
        <v>148</v>
      </c>
      <c r="P494" s="30" t="s">
        <v>821</v>
      </c>
      <c r="Q494" s="31">
        <v>493987828.69999999</v>
      </c>
      <c r="R494" s="31">
        <v>230.94</v>
      </c>
      <c r="S494" s="32">
        <v>-8.6499999999999999E-4</v>
      </c>
      <c r="T494" s="32" t="s">
        <v>139</v>
      </c>
      <c r="U494" s="32">
        <v>5.836E-3</v>
      </c>
      <c r="V494" s="32">
        <v>4.768E-2</v>
      </c>
      <c r="W494" s="32">
        <v>4.1255E-2</v>
      </c>
      <c r="X494" s="32">
        <v>4.7699999999999999E-4</v>
      </c>
      <c r="Y494" s="32">
        <v>-8.5530999999999996E-2</v>
      </c>
      <c r="Z494" s="32">
        <v>0.32450099999999998</v>
      </c>
      <c r="AA494" s="32">
        <v>0.49369400000000002</v>
      </c>
      <c r="AB494" s="32">
        <v>0.49718000000000001</v>
      </c>
    </row>
    <row r="495" spans="1:28" ht="15.6" customHeight="1" x14ac:dyDescent="0.25">
      <c r="A495" s="24" t="s">
        <v>819</v>
      </c>
      <c r="B495" s="50">
        <v>4109</v>
      </c>
      <c r="C495" s="25" t="s">
        <v>820</v>
      </c>
      <c r="D495" s="25" t="s">
        <v>821</v>
      </c>
      <c r="E495" s="25" t="s">
        <v>194</v>
      </c>
      <c r="F495" s="25" t="s">
        <v>103</v>
      </c>
      <c r="G495" s="26" t="s">
        <v>822</v>
      </c>
      <c r="H495" s="27" t="s">
        <v>188</v>
      </c>
      <c r="I495" s="24" t="s">
        <v>106</v>
      </c>
      <c r="J495" s="24" t="s">
        <v>107</v>
      </c>
      <c r="K495" s="28" t="s">
        <v>108</v>
      </c>
      <c r="L495" s="29">
        <v>0</v>
      </c>
      <c r="M495" s="29">
        <v>0</v>
      </c>
      <c r="N495" s="29">
        <v>0.01</v>
      </c>
      <c r="O495" s="27" t="s">
        <v>148</v>
      </c>
      <c r="P495" s="30" t="s">
        <v>821</v>
      </c>
      <c r="Q495" s="31">
        <v>159567031.05000001</v>
      </c>
      <c r="R495" s="31">
        <v>103.09</v>
      </c>
      <c r="S495" s="32">
        <v>4.1103000000000001E-2</v>
      </c>
      <c r="T495" s="32" t="s">
        <v>139</v>
      </c>
      <c r="U495" s="32">
        <v>4.8500000000000003E-4</v>
      </c>
      <c r="V495" s="32">
        <v>1.7489999999999999E-3</v>
      </c>
      <c r="W495" s="32">
        <v>5.6579999999999998E-3</v>
      </c>
      <c r="X495" s="32">
        <v>3.7853999999999999E-2</v>
      </c>
      <c r="Y495" s="32">
        <v>4.8941999999999999E-2</v>
      </c>
      <c r="Z495" s="32">
        <v>0.10671</v>
      </c>
      <c r="AA495" s="32">
        <v>0.190966</v>
      </c>
      <c r="AB495" s="32">
        <v>0.32745299999999999</v>
      </c>
    </row>
    <row r="496" spans="1:28" ht="15.6" customHeight="1" x14ac:dyDescent="0.25">
      <c r="A496" s="24" t="s">
        <v>823</v>
      </c>
      <c r="B496" s="50">
        <v>4111</v>
      </c>
      <c r="C496" s="25" t="s">
        <v>824</v>
      </c>
      <c r="D496" s="25" t="s">
        <v>112</v>
      </c>
      <c r="E496" s="25" t="s">
        <v>194</v>
      </c>
      <c r="F496" s="25" t="s">
        <v>155</v>
      </c>
      <c r="G496" s="26" t="s">
        <v>139</v>
      </c>
      <c r="H496" s="27" t="s">
        <v>156</v>
      </c>
      <c r="I496" s="24" t="s">
        <v>106</v>
      </c>
      <c r="J496" s="24" t="s">
        <v>121</v>
      </c>
      <c r="K496" s="28" t="s">
        <v>108</v>
      </c>
      <c r="L496" s="29">
        <v>0.03</v>
      </c>
      <c r="M496" s="29">
        <v>1.4999999999999999E-2</v>
      </c>
      <c r="N496" s="29">
        <v>0.02</v>
      </c>
      <c r="O496" s="27" t="s">
        <v>116</v>
      </c>
      <c r="P496" s="30" t="s">
        <v>112</v>
      </c>
      <c r="Q496" s="31">
        <v>1256949268.98</v>
      </c>
      <c r="R496" s="31">
        <v>2855.08</v>
      </c>
      <c r="S496" s="32">
        <v>-3.6123000000000002E-2</v>
      </c>
      <c r="T496" s="32" t="s">
        <v>139</v>
      </c>
      <c r="U496" s="32">
        <v>1.1464E-2</v>
      </c>
      <c r="V496" s="32">
        <v>6.9181999999999994E-2</v>
      </c>
      <c r="W496" s="32">
        <v>5.1386000000000001E-2</v>
      </c>
      <c r="X496" s="32">
        <v>-1.9442000000000001E-2</v>
      </c>
      <c r="Y496" s="32">
        <v>-0.129469</v>
      </c>
      <c r="Z496" s="32">
        <v>0.30033500000000002</v>
      </c>
      <c r="AA496" s="32">
        <v>0.54179500000000003</v>
      </c>
      <c r="AB496" s="32">
        <v>0.54678099999999996</v>
      </c>
    </row>
    <row r="497" spans="1:28" ht="15.6" customHeight="1" x14ac:dyDescent="0.25">
      <c r="A497" s="24" t="s">
        <v>825</v>
      </c>
      <c r="B497" s="50">
        <v>4112</v>
      </c>
      <c r="C497" s="25" t="s">
        <v>826</v>
      </c>
      <c r="D497" s="25" t="s">
        <v>322</v>
      </c>
      <c r="E497" s="25" t="s">
        <v>194</v>
      </c>
      <c r="F497" s="25" t="s">
        <v>128</v>
      </c>
      <c r="G497" s="26" t="s">
        <v>289</v>
      </c>
      <c r="H497" s="27" t="s">
        <v>130</v>
      </c>
      <c r="I497" s="24" t="s">
        <v>106</v>
      </c>
      <c r="J497" s="24" t="s">
        <v>107</v>
      </c>
      <c r="K497" s="28" t="s">
        <v>108</v>
      </c>
      <c r="L497" s="29">
        <v>0.03</v>
      </c>
      <c r="M497" s="29">
        <v>1.4999999999999999E-2</v>
      </c>
      <c r="N497" s="29">
        <v>0.02</v>
      </c>
      <c r="O497" s="27" t="s">
        <v>166</v>
      </c>
      <c r="P497" s="30" t="s">
        <v>322</v>
      </c>
      <c r="Q497" s="31">
        <v>295632589.13999999</v>
      </c>
      <c r="R497" s="31">
        <v>151.47999999999999</v>
      </c>
      <c r="S497" s="32">
        <v>2.4205999999999998E-2</v>
      </c>
      <c r="T497" s="32" t="s">
        <v>139</v>
      </c>
      <c r="U497" s="32">
        <v>5.2800000000000004E-4</v>
      </c>
      <c r="V497" s="32">
        <v>1.719E-3</v>
      </c>
      <c r="W497" s="32">
        <v>1.8353000000000001E-2</v>
      </c>
      <c r="X497" s="32">
        <v>2.2270000000000002E-2</v>
      </c>
      <c r="Y497" s="32">
        <v>3.3217000000000003E-2</v>
      </c>
      <c r="Z497" s="32">
        <v>5.1214000000000003E-2</v>
      </c>
      <c r="AA497" s="32">
        <v>8.5567000000000004E-2</v>
      </c>
      <c r="AB497" s="32">
        <v>0.124239</v>
      </c>
    </row>
    <row r="498" spans="1:28" ht="15.6" customHeight="1" x14ac:dyDescent="0.25">
      <c r="A498" s="24" t="s">
        <v>1567</v>
      </c>
      <c r="B498" s="50">
        <v>4113</v>
      </c>
      <c r="C498" s="25" t="s">
        <v>1568</v>
      </c>
      <c r="D498" s="25" t="s">
        <v>164</v>
      </c>
      <c r="E498" s="25" t="s">
        <v>194</v>
      </c>
      <c r="F498" s="25" t="s">
        <v>361</v>
      </c>
      <c r="G498" s="26" t="s">
        <v>139</v>
      </c>
      <c r="H498" s="27" t="s">
        <v>1569</v>
      </c>
      <c r="I498" s="24" t="s">
        <v>998</v>
      </c>
      <c r="J498" s="24" t="s">
        <v>107</v>
      </c>
      <c r="K498" s="28" t="s">
        <v>108</v>
      </c>
      <c r="L498" s="29">
        <v>1.4999999999999999E-2</v>
      </c>
      <c r="M498" s="29">
        <v>0.02</v>
      </c>
      <c r="N498" s="29">
        <v>0.02</v>
      </c>
      <c r="O498" s="27" t="s">
        <v>166</v>
      </c>
      <c r="P498" s="30" t="s">
        <v>164</v>
      </c>
      <c r="Q498" s="31">
        <v>298570867.01999998</v>
      </c>
      <c r="R498" s="31">
        <v>2722.64</v>
      </c>
      <c r="S498" s="32">
        <v>4.1437000000000002E-2</v>
      </c>
      <c r="T498" s="32" t="s">
        <v>139</v>
      </c>
      <c r="U498" s="32">
        <v>5.5847000000000001E-2</v>
      </c>
      <c r="V498" s="32">
        <v>0.13208400000000001</v>
      </c>
      <c r="W498" s="32">
        <v>3.4630000000000001E-2</v>
      </c>
      <c r="X498" s="32">
        <v>-7.3222999999999996E-2</v>
      </c>
      <c r="Y498" s="32">
        <v>0.421269</v>
      </c>
      <c r="Z498" s="32">
        <v>0.76236300000000001</v>
      </c>
      <c r="AA498" s="32">
        <v>1.201465</v>
      </c>
      <c r="AB498" s="32">
        <v>1.615961</v>
      </c>
    </row>
    <row r="499" spans="1:28" ht="15.6" customHeight="1" x14ac:dyDescent="0.25">
      <c r="A499" s="24" t="s">
        <v>827</v>
      </c>
      <c r="B499" s="50">
        <v>4115</v>
      </c>
      <c r="C499" s="25" t="s">
        <v>828</v>
      </c>
      <c r="D499" s="25" t="s">
        <v>112</v>
      </c>
      <c r="E499" s="25" t="s">
        <v>194</v>
      </c>
      <c r="F499" s="25" t="s">
        <v>128</v>
      </c>
      <c r="G499" s="26" t="s">
        <v>289</v>
      </c>
      <c r="H499" s="27" t="s">
        <v>258</v>
      </c>
      <c r="I499" s="24" t="s">
        <v>106</v>
      </c>
      <c r="J499" s="24" t="s">
        <v>121</v>
      </c>
      <c r="K499" s="28" t="s">
        <v>108</v>
      </c>
      <c r="L499" s="29">
        <v>0.03</v>
      </c>
      <c r="M499" s="29">
        <v>1.4999999999999999E-2</v>
      </c>
      <c r="N499" s="29">
        <v>0.02</v>
      </c>
      <c r="O499" s="27" t="s">
        <v>116</v>
      </c>
      <c r="P499" s="30" t="s">
        <v>112</v>
      </c>
      <c r="Q499" s="31">
        <v>1406294102.5599999</v>
      </c>
      <c r="R499" s="31">
        <v>1709.84</v>
      </c>
      <c r="S499" s="32">
        <v>1.7864999999999999E-2</v>
      </c>
      <c r="T499" s="32" t="s">
        <v>139</v>
      </c>
      <c r="U499" s="32">
        <v>6.96E-4</v>
      </c>
      <c r="V499" s="32">
        <v>2.1689999999999999E-3</v>
      </c>
      <c r="W499" s="32">
        <v>7.3049999999999999E-3</v>
      </c>
      <c r="X499" s="32">
        <v>1.4381E-2</v>
      </c>
      <c r="Y499" s="32">
        <v>2.6234E-2</v>
      </c>
      <c r="Z499" s="32">
        <v>6.0589999999999998E-2</v>
      </c>
      <c r="AA499" s="32">
        <v>0.106807</v>
      </c>
      <c r="AB499" s="32">
        <v>0.14421800000000001</v>
      </c>
    </row>
    <row r="500" spans="1:28" ht="15.6" customHeight="1" x14ac:dyDescent="0.25">
      <c r="A500" s="24" t="s">
        <v>829</v>
      </c>
      <c r="B500" s="50">
        <v>4116</v>
      </c>
      <c r="C500" s="25" t="s">
        <v>830</v>
      </c>
      <c r="D500" s="25" t="s">
        <v>112</v>
      </c>
      <c r="E500" s="25" t="s">
        <v>194</v>
      </c>
      <c r="F500" s="25" t="s">
        <v>103</v>
      </c>
      <c r="G500" s="26" t="s">
        <v>336</v>
      </c>
      <c r="H500" s="27" t="s">
        <v>831</v>
      </c>
      <c r="I500" s="24" t="s">
        <v>106</v>
      </c>
      <c r="J500" s="24" t="s">
        <v>107</v>
      </c>
      <c r="K500" s="28" t="s">
        <v>108</v>
      </c>
      <c r="L500" s="29">
        <v>0.03</v>
      </c>
      <c r="M500" s="29">
        <v>1.4999999999999999E-2</v>
      </c>
      <c r="N500" s="29">
        <v>0.02</v>
      </c>
      <c r="O500" s="27" t="s">
        <v>116</v>
      </c>
      <c r="P500" s="30" t="s">
        <v>832</v>
      </c>
      <c r="Q500" s="31">
        <v>653118.91</v>
      </c>
      <c r="R500" s="31">
        <v>750.3</v>
      </c>
      <c r="S500" s="32">
        <v>1.1336000000000001E-2</v>
      </c>
      <c r="T500" s="32" t="s">
        <v>139</v>
      </c>
      <c r="U500" s="32">
        <v>3.2000000000000003E-4</v>
      </c>
      <c r="V500" s="32">
        <v>1.3749999999999999E-3</v>
      </c>
      <c r="W500" s="32">
        <v>4.3909999999999999E-3</v>
      </c>
      <c r="X500" s="32">
        <v>8.7390000000000002E-3</v>
      </c>
      <c r="Y500" s="32">
        <v>1.6749E-2</v>
      </c>
      <c r="Z500" s="32">
        <v>3.6842E-2</v>
      </c>
      <c r="AA500" s="32">
        <v>8.4640000000000007E-2</v>
      </c>
      <c r="AB500" s="32">
        <v>0.23502100000000001</v>
      </c>
    </row>
    <row r="501" spans="1:28" ht="15.6" customHeight="1" x14ac:dyDescent="0.25">
      <c r="A501" s="24" t="s">
        <v>1570</v>
      </c>
      <c r="B501" s="50">
        <v>4117</v>
      </c>
      <c r="C501" s="25" t="s">
        <v>1571</v>
      </c>
      <c r="D501" s="25" t="s">
        <v>112</v>
      </c>
      <c r="E501" s="25" t="s">
        <v>194</v>
      </c>
      <c r="F501" s="25" t="s">
        <v>113</v>
      </c>
      <c r="G501" s="26" t="s">
        <v>1572</v>
      </c>
      <c r="H501" s="27" t="s">
        <v>120</v>
      </c>
      <c r="I501" s="24" t="s">
        <v>998</v>
      </c>
      <c r="J501" s="24" t="s">
        <v>107</v>
      </c>
      <c r="K501" s="28" t="s">
        <v>108</v>
      </c>
      <c r="L501" s="29">
        <v>0.03</v>
      </c>
      <c r="M501" s="29">
        <v>1.4999999999999999E-2</v>
      </c>
      <c r="N501" s="29">
        <v>0.02</v>
      </c>
      <c r="O501" s="27" t="s">
        <v>116</v>
      </c>
      <c r="P501" s="30" t="s">
        <v>832</v>
      </c>
      <c r="Q501" s="31">
        <v>2000624776.6099999</v>
      </c>
      <c r="R501" s="31">
        <v>150.72999999999999</v>
      </c>
      <c r="S501" s="32">
        <v>6.6109999999999997E-3</v>
      </c>
      <c r="T501" s="32" t="s">
        <v>139</v>
      </c>
      <c r="U501" s="32">
        <v>1.0629999999999999E-3</v>
      </c>
      <c r="V501" s="32">
        <v>6.1409999999999998E-3</v>
      </c>
      <c r="W501" s="32">
        <v>8.0929999999999995E-3</v>
      </c>
      <c r="X501" s="32">
        <v>5.5370000000000003E-3</v>
      </c>
      <c r="Y501" s="32">
        <v>6.5440000000000003E-3</v>
      </c>
      <c r="Z501" s="32">
        <v>8.2830000000000001E-2</v>
      </c>
      <c r="AA501" s="32">
        <v>0.151226</v>
      </c>
      <c r="AB501" s="32">
        <v>0.14658499999999999</v>
      </c>
    </row>
    <row r="502" spans="1:28" ht="15.6" customHeight="1" x14ac:dyDescent="0.25">
      <c r="A502" s="24" t="s">
        <v>1573</v>
      </c>
      <c r="B502" s="50">
        <v>4118</v>
      </c>
      <c r="C502" s="25" t="s">
        <v>1574</v>
      </c>
      <c r="D502" s="25" t="s">
        <v>112</v>
      </c>
      <c r="E502" s="25" t="s">
        <v>194</v>
      </c>
      <c r="F502" s="25" t="s">
        <v>138</v>
      </c>
      <c r="G502" s="26" t="s">
        <v>139</v>
      </c>
      <c r="H502" s="27" t="s">
        <v>283</v>
      </c>
      <c r="I502" s="24" t="s">
        <v>998</v>
      </c>
      <c r="J502" s="24" t="s">
        <v>121</v>
      </c>
      <c r="K502" s="28" t="s">
        <v>227</v>
      </c>
      <c r="L502" s="29">
        <v>0.03</v>
      </c>
      <c r="M502" s="29">
        <v>1.4999999999999999E-2</v>
      </c>
      <c r="N502" s="29">
        <v>0.02</v>
      </c>
      <c r="O502" s="27" t="s">
        <v>116</v>
      </c>
      <c r="P502" s="30" t="s">
        <v>112</v>
      </c>
      <c r="Q502" s="31">
        <v>202730206.31</v>
      </c>
      <c r="R502" s="31">
        <v>996.52</v>
      </c>
      <c r="S502" s="32">
        <v>-4.4648E-2</v>
      </c>
      <c r="T502" s="32" t="s">
        <v>139</v>
      </c>
      <c r="U502" s="32">
        <v>5.104E-3</v>
      </c>
      <c r="V502" s="32">
        <v>3.5797000000000002E-2</v>
      </c>
      <c r="W502" s="32">
        <v>2.2019E-2</v>
      </c>
      <c r="X502" s="32">
        <v>-3.4028000000000003E-2</v>
      </c>
      <c r="Y502" s="32">
        <v>-8.9316999999999994E-2</v>
      </c>
      <c r="Z502" s="32">
        <v>0.13836899999999999</v>
      </c>
      <c r="AA502" s="32">
        <v>0.30299100000000001</v>
      </c>
      <c r="AB502" s="32">
        <v>0.229792</v>
      </c>
    </row>
    <row r="503" spans="1:28" ht="15.6" customHeight="1" x14ac:dyDescent="0.25">
      <c r="A503" s="24" t="s">
        <v>833</v>
      </c>
      <c r="B503" s="50">
        <v>4119</v>
      </c>
      <c r="C503" s="25" t="s">
        <v>834</v>
      </c>
      <c r="D503" s="25" t="s">
        <v>112</v>
      </c>
      <c r="E503" s="25" t="s">
        <v>194</v>
      </c>
      <c r="F503" s="25" t="s">
        <v>103</v>
      </c>
      <c r="G503" s="26" t="s">
        <v>336</v>
      </c>
      <c r="H503" s="27" t="s">
        <v>806</v>
      </c>
      <c r="I503" s="24" t="s">
        <v>106</v>
      </c>
      <c r="J503" s="24" t="s">
        <v>107</v>
      </c>
      <c r="K503" s="28" t="s">
        <v>108</v>
      </c>
      <c r="L503" s="29">
        <v>0.03</v>
      </c>
      <c r="M503" s="29">
        <v>1.4999999999999999E-2</v>
      </c>
      <c r="N503" s="29">
        <v>0.02</v>
      </c>
      <c r="O503" s="27" t="s">
        <v>116</v>
      </c>
      <c r="P503" s="30" t="s">
        <v>112</v>
      </c>
      <c r="Q503" s="31">
        <v>547578.73</v>
      </c>
      <c r="R503" s="31">
        <v>1348.62</v>
      </c>
      <c r="S503" s="32">
        <v>1.1923E-2</v>
      </c>
      <c r="T503" s="32" t="s">
        <v>139</v>
      </c>
      <c r="U503" s="32">
        <v>3.2600000000000001E-4</v>
      </c>
      <c r="V503" s="32">
        <v>1.441E-3</v>
      </c>
      <c r="W503" s="32">
        <v>4.6189999999999998E-3</v>
      </c>
      <c r="X503" s="32">
        <v>9.1819999999999992E-3</v>
      </c>
      <c r="Y503" s="32">
        <v>1.7673000000000001E-2</v>
      </c>
      <c r="Z503" s="32">
        <v>3.9045999999999997E-2</v>
      </c>
      <c r="AA503" s="32">
        <v>6.6245999999999999E-2</v>
      </c>
      <c r="AB503" s="32">
        <v>9.8028000000000004E-2</v>
      </c>
    </row>
    <row r="504" spans="1:28" ht="15.6" customHeight="1" x14ac:dyDescent="0.25">
      <c r="A504" s="24" t="s">
        <v>835</v>
      </c>
      <c r="B504" s="50">
        <v>4123</v>
      </c>
      <c r="C504" s="25" t="s">
        <v>836</v>
      </c>
      <c r="D504" s="25" t="s">
        <v>821</v>
      </c>
      <c r="E504" s="25" t="s">
        <v>194</v>
      </c>
      <c r="F504" s="25" t="s">
        <v>128</v>
      </c>
      <c r="G504" s="26" t="s">
        <v>289</v>
      </c>
      <c r="H504" s="27" t="s">
        <v>130</v>
      </c>
      <c r="I504" s="24" t="s">
        <v>106</v>
      </c>
      <c r="J504" s="24" t="s">
        <v>107</v>
      </c>
      <c r="K504" s="28" t="s">
        <v>108</v>
      </c>
      <c r="L504" s="29">
        <v>0.03</v>
      </c>
      <c r="M504" s="29">
        <v>0.02</v>
      </c>
      <c r="N504" s="29">
        <v>0.02</v>
      </c>
      <c r="O504" s="27" t="s">
        <v>148</v>
      </c>
      <c r="P504" s="30" t="s">
        <v>821</v>
      </c>
      <c r="Q504" s="31">
        <v>1232224.55</v>
      </c>
      <c r="R504" s="31">
        <v>123.22</v>
      </c>
      <c r="S504" s="32">
        <v>1.2906000000000001E-2</v>
      </c>
      <c r="T504" s="32" t="s">
        <v>139</v>
      </c>
      <c r="U504" s="32">
        <v>5.6800000000000004E-4</v>
      </c>
      <c r="V504" s="32">
        <v>1.6260000000000001E-3</v>
      </c>
      <c r="W504" s="32">
        <v>5.2209999999999999E-3</v>
      </c>
      <c r="X504" s="32">
        <v>1.0829E-2</v>
      </c>
      <c r="Y504" s="32">
        <v>1.8936999999999999E-2</v>
      </c>
      <c r="Z504" s="32">
        <v>4.2735000000000002E-2</v>
      </c>
      <c r="AA504" s="32">
        <v>7.2596999999999995E-2</v>
      </c>
      <c r="AB504" s="32">
        <v>9.9001000000000006E-2</v>
      </c>
    </row>
    <row r="505" spans="1:28" ht="15.6" customHeight="1" x14ac:dyDescent="0.25">
      <c r="A505" s="24" t="s">
        <v>1575</v>
      </c>
      <c r="B505" s="50">
        <v>4124</v>
      </c>
      <c r="C505" s="25" t="s">
        <v>1576</v>
      </c>
      <c r="D505" s="25" t="s">
        <v>821</v>
      </c>
      <c r="E505" s="25" t="s">
        <v>194</v>
      </c>
      <c r="F505" s="25" t="s">
        <v>113</v>
      </c>
      <c r="G505" s="26" t="s">
        <v>406</v>
      </c>
      <c r="H505" s="27" t="s">
        <v>120</v>
      </c>
      <c r="I505" s="24" t="s">
        <v>998</v>
      </c>
      <c r="J505" s="24" t="s">
        <v>107</v>
      </c>
      <c r="K505" s="28" t="s">
        <v>108</v>
      </c>
      <c r="L505" s="29">
        <v>0.03</v>
      </c>
      <c r="M505" s="29">
        <v>0.02</v>
      </c>
      <c r="N505" s="29">
        <v>0.02</v>
      </c>
      <c r="O505" s="27" t="s">
        <v>148</v>
      </c>
      <c r="P505" s="30" t="s">
        <v>821</v>
      </c>
      <c r="Q505" s="31">
        <v>122323562.83</v>
      </c>
      <c r="R505" s="31">
        <v>136.87</v>
      </c>
      <c r="S505" s="32">
        <v>1.3176E-2</v>
      </c>
      <c r="T505" s="32" t="s">
        <v>139</v>
      </c>
      <c r="U505" s="32">
        <v>9.5100000000000002E-4</v>
      </c>
      <c r="V505" s="32">
        <v>3.1519999999999999E-3</v>
      </c>
      <c r="W505" s="32">
        <v>7.3600000000000002E-3</v>
      </c>
      <c r="X505" s="32">
        <v>1.1679E-2</v>
      </c>
      <c r="Y505" s="32">
        <v>1.5959000000000001E-2</v>
      </c>
      <c r="Z505" s="32">
        <v>6.6131999999999996E-2</v>
      </c>
      <c r="AA505" s="32">
        <v>0.12761600000000001</v>
      </c>
      <c r="AB505" s="32">
        <v>0.13991799999999999</v>
      </c>
    </row>
    <row r="506" spans="1:28" ht="15.6" customHeight="1" x14ac:dyDescent="0.25">
      <c r="A506" s="24" t="s">
        <v>1577</v>
      </c>
      <c r="B506" s="50">
        <v>4125</v>
      </c>
      <c r="C506" s="25" t="s">
        <v>1578</v>
      </c>
      <c r="D506" s="25" t="s">
        <v>821</v>
      </c>
      <c r="E506" s="25" t="s">
        <v>194</v>
      </c>
      <c r="F506" s="25" t="s">
        <v>128</v>
      </c>
      <c r="G506" s="26" t="s">
        <v>289</v>
      </c>
      <c r="H506" s="27" t="s">
        <v>130</v>
      </c>
      <c r="I506" s="24" t="s">
        <v>998</v>
      </c>
      <c r="J506" s="24" t="s">
        <v>107</v>
      </c>
      <c r="K506" s="28" t="s">
        <v>108</v>
      </c>
      <c r="L506" s="29">
        <v>0.03</v>
      </c>
      <c r="M506" s="29">
        <v>0.02</v>
      </c>
      <c r="N506" s="29">
        <v>0.02</v>
      </c>
      <c r="O506" s="27" t="s">
        <v>148</v>
      </c>
      <c r="P506" s="30" t="s">
        <v>821</v>
      </c>
      <c r="Q506" s="31">
        <v>3283406.26</v>
      </c>
      <c r="R506" s="31">
        <v>1533.59</v>
      </c>
      <c r="S506" s="32">
        <v>3.9292000000000001E-2</v>
      </c>
      <c r="T506" s="32" t="s">
        <v>139</v>
      </c>
      <c r="U506" s="32">
        <v>6.5200000000000002E-4</v>
      </c>
      <c r="V506" s="32">
        <v>1.8090000000000001E-3</v>
      </c>
      <c r="W506" s="32">
        <v>5.653E-3</v>
      </c>
      <c r="X506" s="32">
        <v>3.6860999999999998E-2</v>
      </c>
      <c r="Y506" s="32">
        <v>4.5371000000000002E-2</v>
      </c>
      <c r="Z506" s="32">
        <v>0.100152</v>
      </c>
      <c r="AA506" s="32">
        <v>0.18667700000000001</v>
      </c>
      <c r="AB506" s="32">
        <v>0.34556100000000001</v>
      </c>
    </row>
    <row r="507" spans="1:28" ht="15.6" customHeight="1" x14ac:dyDescent="0.25">
      <c r="A507" s="24" t="s">
        <v>837</v>
      </c>
      <c r="B507" s="50">
        <v>4126</v>
      </c>
      <c r="C507" s="25" t="s">
        <v>838</v>
      </c>
      <c r="D507" s="25" t="s">
        <v>504</v>
      </c>
      <c r="E507" s="25" t="s">
        <v>194</v>
      </c>
      <c r="F507" s="25" t="s">
        <v>113</v>
      </c>
      <c r="G507" s="26" t="s">
        <v>209</v>
      </c>
      <c r="H507" s="27" t="s">
        <v>839</v>
      </c>
      <c r="I507" s="24" t="s">
        <v>106</v>
      </c>
      <c r="J507" s="24" t="s">
        <v>107</v>
      </c>
      <c r="K507" s="28" t="s">
        <v>108</v>
      </c>
      <c r="L507" s="29">
        <v>0.02</v>
      </c>
      <c r="M507" s="29">
        <v>0.02</v>
      </c>
      <c r="N507" s="29">
        <v>0.02</v>
      </c>
      <c r="O507" s="27" t="s">
        <v>161</v>
      </c>
      <c r="P507" s="30" t="s">
        <v>504</v>
      </c>
      <c r="Q507" s="31">
        <v>2186493334.4400001</v>
      </c>
      <c r="R507" s="31">
        <v>1455.07</v>
      </c>
      <c r="S507" s="32">
        <v>-2.3379999999999998E-3</v>
      </c>
      <c r="T507" s="32" t="s">
        <v>139</v>
      </c>
      <c r="U507" s="32">
        <v>1.5E-3</v>
      </c>
      <c r="V507" s="32">
        <v>5.0629999999999998E-3</v>
      </c>
      <c r="W507" s="32">
        <v>5.5009999999999998E-3</v>
      </c>
      <c r="X507" s="32">
        <v>-4.6700000000000002E-4</v>
      </c>
      <c r="Y507" s="32">
        <v>-8.038E-3</v>
      </c>
      <c r="Z507" s="32">
        <v>8.1160999999999997E-2</v>
      </c>
      <c r="AA507" s="32">
        <v>0.167793</v>
      </c>
      <c r="AB507" s="32">
        <v>0.17194100000000001</v>
      </c>
    </row>
    <row r="508" spans="1:28" ht="15.6" customHeight="1" x14ac:dyDescent="0.25">
      <c r="A508" s="24" t="s">
        <v>840</v>
      </c>
      <c r="B508" s="50">
        <v>4127</v>
      </c>
      <c r="C508" s="25" t="s">
        <v>841</v>
      </c>
      <c r="D508" s="25" t="s">
        <v>164</v>
      </c>
      <c r="E508" s="25" t="s">
        <v>194</v>
      </c>
      <c r="F508" s="25" t="s">
        <v>103</v>
      </c>
      <c r="G508" s="26" t="s">
        <v>842</v>
      </c>
      <c r="H508" s="27" t="s">
        <v>169</v>
      </c>
      <c r="I508" s="24" t="s">
        <v>106</v>
      </c>
      <c r="J508" s="24" t="s">
        <v>121</v>
      </c>
      <c r="K508" s="28" t="s">
        <v>108</v>
      </c>
      <c r="L508" s="29">
        <v>0.03</v>
      </c>
      <c r="M508" s="29">
        <v>1.4999999999999999E-2</v>
      </c>
      <c r="N508" s="29">
        <v>0.02</v>
      </c>
      <c r="O508" s="27" t="s">
        <v>166</v>
      </c>
      <c r="P508" s="30" t="s">
        <v>164</v>
      </c>
      <c r="Q508" s="31">
        <v>2254682335.0700002</v>
      </c>
      <c r="R508" s="31">
        <v>182.31</v>
      </c>
      <c r="S508" s="32">
        <v>1.5315E-2</v>
      </c>
      <c r="T508" s="32" t="s">
        <v>139</v>
      </c>
      <c r="U508" s="32">
        <v>5.4900000000000001E-4</v>
      </c>
      <c r="V508" s="32">
        <v>1.8680000000000001E-3</v>
      </c>
      <c r="W508" s="32">
        <v>5.9589999999999999E-3</v>
      </c>
      <c r="X508" s="32">
        <v>1.1709000000000001E-2</v>
      </c>
      <c r="Y508" s="32">
        <v>2.2547999999999999E-2</v>
      </c>
      <c r="Z508" s="32">
        <v>4.9387E-2</v>
      </c>
      <c r="AA508" s="32">
        <v>8.183E-2</v>
      </c>
      <c r="AB508" s="32">
        <v>0.118398</v>
      </c>
    </row>
    <row r="509" spans="1:28" ht="15.6" customHeight="1" x14ac:dyDescent="0.25">
      <c r="A509" s="24" t="s">
        <v>1579</v>
      </c>
      <c r="B509" s="50">
        <v>4128</v>
      </c>
      <c r="C509" s="25" t="s">
        <v>1580</v>
      </c>
      <c r="D509" s="25" t="s">
        <v>159</v>
      </c>
      <c r="E509" s="25" t="s">
        <v>194</v>
      </c>
      <c r="F509" s="25" t="s">
        <v>113</v>
      </c>
      <c r="G509" s="26" t="s">
        <v>439</v>
      </c>
      <c r="H509" s="27" t="s">
        <v>115</v>
      </c>
      <c r="I509" s="24" t="s">
        <v>998</v>
      </c>
      <c r="J509" s="24" t="s">
        <v>121</v>
      </c>
      <c r="K509" s="28" t="s">
        <v>227</v>
      </c>
      <c r="L509" s="29">
        <v>0</v>
      </c>
      <c r="M509" s="29">
        <v>0</v>
      </c>
      <c r="N509" s="29">
        <v>0.02</v>
      </c>
      <c r="O509" s="27" t="s">
        <v>161</v>
      </c>
      <c r="P509" s="30" t="s">
        <v>159</v>
      </c>
      <c r="Q509" s="31">
        <v>1333842984.5999999</v>
      </c>
      <c r="R509" s="31">
        <v>21156.5</v>
      </c>
      <c r="S509" s="32">
        <v>-8.4440000000000001E-3</v>
      </c>
      <c r="T509" s="32" t="s">
        <v>139</v>
      </c>
      <c r="U509" s="32">
        <v>1.0809999999999999E-3</v>
      </c>
      <c r="V509" s="32">
        <v>3.039E-3</v>
      </c>
      <c r="W509" s="32">
        <v>4.0130000000000001E-3</v>
      </c>
      <c r="X509" s="32">
        <v>-3.1480000000000002E-3</v>
      </c>
      <c r="Y509" s="32">
        <v>-1.0392999999999999E-2</v>
      </c>
      <c r="Z509" s="32">
        <v>8.7584999999999996E-2</v>
      </c>
      <c r="AA509" s="32">
        <v>0.19598599999999999</v>
      </c>
      <c r="AB509" s="32">
        <v>0.144928</v>
      </c>
    </row>
    <row r="510" spans="1:28" ht="15.6" customHeight="1" x14ac:dyDescent="0.25">
      <c r="A510" s="24" t="s">
        <v>843</v>
      </c>
      <c r="B510" s="50">
        <v>4129</v>
      </c>
      <c r="C510" s="25" t="s">
        <v>844</v>
      </c>
      <c r="D510" s="25" t="s">
        <v>112</v>
      </c>
      <c r="E510" s="25" t="s">
        <v>194</v>
      </c>
      <c r="F510" s="25" t="s">
        <v>103</v>
      </c>
      <c r="G510" s="26" t="s">
        <v>401</v>
      </c>
      <c r="H510" s="27" t="s">
        <v>831</v>
      </c>
      <c r="I510" s="24" t="s">
        <v>106</v>
      </c>
      <c r="J510" s="24" t="s">
        <v>107</v>
      </c>
      <c r="K510" s="28" t="s">
        <v>108</v>
      </c>
      <c r="L510" s="29">
        <v>0.03</v>
      </c>
      <c r="M510" s="29">
        <v>1.4999999999999999E-2</v>
      </c>
      <c r="N510" s="29">
        <v>0.02</v>
      </c>
      <c r="O510" s="27" t="s">
        <v>116</v>
      </c>
      <c r="P510" s="30" t="s">
        <v>112</v>
      </c>
      <c r="Q510" s="31">
        <v>34186008.380000003</v>
      </c>
      <c r="R510" s="31">
        <v>3069.58</v>
      </c>
      <c r="S510" s="32">
        <v>1.4935E-2</v>
      </c>
      <c r="T510" s="32" t="s">
        <v>139</v>
      </c>
      <c r="U510" s="32">
        <v>4.5600000000000003E-4</v>
      </c>
      <c r="V510" s="32">
        <v>1.805E-3</v>
      </c>
      <c r="W510" s="32">
        <v>5.8820000000000001E-3</v>
      </c>
      <c r="X510" s="32">
        <v>1.1584000000000001E-2</v>
      </c>
      <c r="Y510" s="32">
        <v>2.2058999999999999E-2</v>
      </c>
      <c r="Z510" s="32">
        <v>4.9243000000000002E-2</v>
      </c>
      <c r="AA510" s="32">
        <v>8.072E-2</v>
      </c>
      <c r="AB510" s="32">
        <v>0.120906</v>
      </c>
    </row>
    <row r="511" spans="1:28" ht="15.6" customHeight="1" x14ac:dyDescent="0.25">
      <c r="A511" s="24" t="s">
        <v>845</v>
      </c>
      <c r="B511" s="50">
        <v>4130</v>
      </c>
      <c r="C511" s="25" t="s">
        <v>846</v>
      </c>
      <c r="D511" s="25" t="s">
        <v>164</v>
      </c>
      <c r="E511" s="25" t="s">
        <v>194</v>
      </c>
      <c r="F511" s="25" t="s">
        <v>103</v>
      </c>
      <c r="G511" s="26" t="s">
        <v>244</v>
      </c>
      <c r="H511" s="27" t="s">
        <v>169</v>
      </c>
      <c r="I511" s="24" t="s">
        <v>106</v>
      </c>
      <c r="J511" s="24" t="s">
        <v>107</v>
      </c>
      <c r="K511" s="28" t="s">
        <v>108</v>
      </c>
      <c r="L511" s="29">
        <v>0</v>
      </c>
      <c r="M511" s="29">
        <v>0</v>
      </c>
      <c r="N511" s="29">
        <v>6.5000000000000006E-3</v>
      </c>
      <c r="O511" s="27" t="s">
        <v>173</v>
      </c>
      <c r="P511" s="30" t="s">
        <v>164</v>
      </c>
      <c r="Q511" s="31">
        <v>3042743476.4000001</v>
      </c>
      <c r="R511" s="31">
        <v>1283.9100000000001</v>
      </c>
      <c r="S511" s="32">
        <v>1.6330999999999998E-2</v>
      </c>
      <c r="T511" s="32" t="s">
        <v>139</v>
      </c>
      <c r="U511" s="32">
        <v>5.4600000000000004E-4</v>
      </c>
      <c r="V511" s="32">
        <v>1.9120000000000001E-3</v>
      </c>
      <c r="W511" s="32">
        <v>6.2230000000000002E-3</v>
      </c>
      <c r="X511" s="32">
        <v>1.2499E-2</v>
      </c>
      <c r="Y511" s="32">
        <v>2.3909E-2</v>
      </c>
      <c r="Z511" s="32">
        <v>5.3645999999999999E-2</v>
      </c>
      <c r="AA511" s="32">
        <v>8.9962E-2</v>
      </c>
      <c r="AB511" s="32">
        <v>0.13719000000000001</v>
      </c>
    </row>
    <row r="512" spans="1:28" ht="15.6" customHeight="1" x14ac:dyDescent="0.25">
      <c r="A512" s="24" t="s">
        <v>847</v>
      </c>
      <c r="B512" s="50">
        <v>4131</v>
      </c>
      <c r="C512" s="25" t="s">
        <v>848</v>
      </c>
      <c r="D512" s="25" t="s">
        <v>261</v>
      </c>
      <c r="E512" s="25" t="s">
        <v>194</v>
      </c>
      <c r="F512" s="25" t="s">
        <v>103</v>
      </c>
      <c r="G512" s="26" t="s">
        <v>244</v>
      </c>
      <c r="H512" s="27" t="s">
        <v>849</v>
      </c>
      <c r="I512" s="24" t="s">
        <v>106</v>
      </c>
      <c r="J512" s="24" t="s">
        <v>107</v>
      </c>
      <c r="K512" s="28" t="s">
        <v>108</v>
      </c>
      <c r="L512" s="29">
        <v>0</v>
      </c>
      <c r="M512" s="29">
        <v>0</v>
      </c>
      <c r="N512" s="29">
        <v>0.01</v>
      </c>
      <c r="O512" s="27" t="s">
        <v>548</v>
      </c>
      <c r="P512" s="30" t="s">
        <v>261</v>
      </c>
      <c r="Q512" s="31">
        <v>2217050887.9299998</v>
      </c>
      <c r="R512" s="31">
        <v>142.59</v>
      </c>
      <c r="S512" s="32">
        <v>1.6395E-2</v>
      </c>
      <c r="T512" s="32" t="s">
        <v>139</v>
      </c>
      <c r="U512" s="32">
        <v>5.6099999999999998E-4</v>
      </c>
      <c r="V512" s="32">
        <v>1.9680000000000001E-3</v>
      </c>
      <c r="W512" s="32">
        <v>6.4939999999999998E-3</v>
      </c>
      <c r="X512" s="32">
        <v>1.2784999999999999E-2</v>
      </c>
      <c r="Y512" s="32">
        <v>2.4427000000000001E-2</v>
      </c>
      <c r="Z512" s="32">
        <v>5.3490999999999997E-2</v>
      </c>
      <c r="AA512" s="32">
        <v>8.8722999999999996E-2</v>
      </c>
      <c r="AB512" s="32">
        <v>0.13292499999999999</v>
      </c>
    </row>
    <row r="513" spans="1:28" ht="15.6" customHeight="1" x14ac:dyDescent="0.25">
      <c r="A513" s="24" t="s">
        <v>850</v>
      </c>
      <c r="B513" s="50">
        <v>4132</v>
      </c>
      <c r="C513" s="25" t="s">
        <v>851</v>
      </c>
      <c r="D513" s="25" t="s">
        <v>261</v>
      </c>
      <c r="E513" s="25" t="s">
        <v>194</v>
      </c>
      <c r="F513" s="25" t="s">
        <v>113</v>
      </c>
      <c r="G513" s="26" t="s">
        <v>852</v>
      </c>
      <c r="H513" s="27" t="s">
        <v>115</v>
      </c>
      <c r="I513" s="24" t="s">
        <v>106</v>
      </c>
      <c r="J513" s="24" t="s">
        <v>107</v>
      </c>
      <c r="K513" s="28" t="s">
        <v>108</v>
      </c>
      <c r="L513" s="29">
        <v>0.01</v>
      </c>
      <c r="M513" s="29">
        <v>5.0000000000000001E-3</v>
      </c>
      <c r="N513" s="29">
        <v>0.01</v>
      </c>
      <c r="O513" s="27" t="s">
        <v>116</v>
      </c>
      <c r="P513" s="30" t="s">
        <v>261</v>
      </c>
      <c r="Q513" s="31">
        <v>1010262392.9299999</v>
      </c>
      <c r="R513" s="31">
        <v>140.36000000000001</v>
      </c>
      <c r="S513" s="32">
        <v>-7.3550000000000004E-3</v>
      </c>
      <c r="T513" s="32" t="s">
        <v>139</v>
      </c>
      <c r="U513" s="32">
        <v>1.07E-3</v>
      </c>
      <c r="V513" s="32">
        <v>6.5979999999999997E-3</v>
      </c>
      <c r="W513" s="32">
        <v>3.503E-3</v>
      </c>
      <c r="X513" s="32">
        <v>-5.3150000000000003E-3</v>
      </c>
      <c r="Y513" s="32">
        <v>-1.5225000000000001E-2</v>
      </c>
      <c r="Z513" s="32">
        <v>7.8614000000000003E-2</v>
      </c>
      <c r="AA513" s="32">
        <v>0.16733200000000001</v>
      </c>
      <c r="AB513" s="32">
        <v>3.0543000000000001E-2</v>
      </c>
    </row>
    <row r="514" spans="1:28" ht="15.6" customHeight="1" x14ac:dyDescent="0.25">
      <c r="A514" s="24" t="s">
        <v>853</v>
      </c>
      <c r="B514" s="50">
        <v>4133</v>
      </c>
      <c r="C514" s="25" t="s">
        <v>854</v>
      </c>
      <c r="D514" s="25" t="s">
        <v>261</v>
      </c>
      <c r="E514" s="25" t="s">
        <v>194</v>
      </c>
      <c r="F514" s="25" t="s">
        <v>155</v>
      </c>
      <c r="G514" s="26" t="s">
        <v>139</v>
      </c>
      <c r="H514" s="27" t="s">
        <v>202</v>
      </c>
      <c r="I514" s="24" t="s">
        <v>106</v>
      </c>
      <c r="J514" s="24" t="s">
        <v>107</v>
      </c>
      <c r="K514" s="28" t="s">
        <v>108</v>
      </c>
      <c r="L514" s="29">
        <v>0.02</v>
      </c>
      <c r="M514" s="29">
        <v>1.4999999999999999E-2</v>
      </c>
      <c r="N514" s="29">
        <v>0.02</v>
      </c>
      <c r="O514" s="27" t="s">
        <v>116</v>
      </c>
      <c r="P514" s="30" t="s">
        <v>261</v>
      </c>
      <c r="Q514" s="31">
        <v>4342693.78</v>
      </c>
      <c r="R514" s="31">
        <v>145.62</v>
      </c>
      <c r="S514" s="32">
        <v>-5.3801000000000002E-2</v>
      </c>
      <c r="T514" s="32" t="s">
        <v>139</v>
      </c>
      <c r="U514" s="32">
        <v>1.132E-2</v>
      </c>
      <c r="V514" s="32">
        <v>6.0983999999999997E-2</v>
      </c>
      <c r="W514" s="32">
        <v>5.2928000000000003E-2</v>
      </c>
      <c r="X514" s="32">
        <v>-4.0585000000000003E-2</v>
      </c>
      <c r="Y514" s="32">
        <v>-0.14416699999999999</v>
      </c>
      <c r="Z514" s="32">
        <v>0.14760799999999999</v>
      </c>
      <c r="AA514" s="32">
        <v>0.31627899999999998</v>
      </c>
      <c r="AB514" s="32">
        <v>0.23166700000000001</v>
      </c>
    </row>
    <row r="515" spans="1:28" ht="15.6" customHeight="1" x14ac:dyDescent="0.25">
      <c r="A515" s="24" t="s">
        <v>855</v>
      </c>
      <c r="B515" s="50">
        <v>4138</v>
      </c>
      <c r="C515" s="25" t="s">
        <v>856</v>
      </c>
      <c r="D515" s="25" t="s">
        <v>164</v>
      </c>
      <c r="E515" s="25" t="s">
        <v>194</v>
      </c>
      <c r="F515" s="25" t="s">
        <v>103</v>
      </c>
      <c r="G515" s="26" t="s">
        <v>244</v>
      </c>
      <c r="H515" s="27" t="s">
        <v>857</v>
      </c>
      <c r="I515" s="24" t="s">
        <v>106</v>
      </c>
      <c r="J515" s="24" t="s">
        <v>107</v>
      </c>
      <c r="K515" s="28" t="s">
        <v>108</v>
      </c>
      <c r="L515" s="29">
        <v>0.01</v>
      </c>
      <c r="M515" s="29">
        <v>0.01</v>
      </c>
      <c r="N515" s="29">
        <v>0.01</v>
      </c>
      <c r="O515" s="27" t="s">
        <v>166</v>
      </c>
      <c r="P515" s="30" t="s">
        <v>164</v>
      </c>
      <c r="Q515" s="31">
        <v>5961979787.6599998</v>
      </c>
      <c r="R515" s="31">
        <v>1234.04</v>
      </c>
      <c r="S515" s="32">
        <v>1.6473999999999999E-2</v>
      </c>
      <c r="T515" s="32" t="s">
        <v>139</v>
      </c>
      <c r="U515" s="32">
        <v>5.7600000000000001E-4</v>
      </c>
      <c r="V515" s="32">
        <v>2.0219999999999999E-3</v>
      </c>
      <c r="W515" s="32">
        <v>6.5170000000000002E-3</v>
      </c>
      <c r="X515" s="32">
        <v>1.2695E-2</v>
      </c>
      <c r="Y515" s="32">
        <v>2.4312E-2</v>
      </c>
      <c r="Z515" s="32">
        <v>5.6749000000000001E-2</v>
      </c>
      <c r="AA515" s="32">
        <v>9.1086E-2</v>
      </c>
      <c r="AB515" s="32">
        <v>0.13453000000000001</v>
      </c>
    </row>
    <row r="516" spans="1:28" ht="15.6" customHeight="1" x14ac:dyDescent="0.25">
      <c r="A516" s="24" t="s">
        <v>858</v>
      </c>
      <c r="B516" s="50">
        <v>4139</v>
      </c>
      <c r="C516" s="25" t="s">
        <v>859</v>
      </c>
      <c r="D516" s="25" t="s">
        <v>504</v>
      </c>
      <c r="E516" s="25" t="s">
        <v>194</v>
      </c>
      <c r="F516" s="25" t="s">
        <v>128</v>
      </c>
      <c r="G516" s="26" t="s">
        <v>289</v>
      </c>
      <c r="H516" s="27" t="s">
        <v>130</v>
      </c>
      <c r="I516" s="24" t="s">
        <v>106</v>
      </c>
      <c r="J516" s="24" t="s">
        <v>107</v>
      </c>
      <c r="K516" s="28" t="s">
        <v>108</v>
      </c>
      <c r="L516" s="29">
        <v>0.01</v>
      </c>
      <c r="M516" s="29">
        <v>0.01</v>
      </c>
      <c r="N516" s="29">
        <v>0.01</v>
      </c>
      <c r="O516" s="27" t="s">
        <v>161</v>
      </c>
      <c r="P516" s="30" t="s">
        <v>504</v>
      </c>
      <c r="Q516" s="31">
        <v>6634325603.1899996</v>
      </c>
      <c r="R516" s="31">
        <v>1325.45</v>
      </c>
      <c r="S516" s="32">
        <v>1.9678999999999999E-2</v>
      </c>
      <c r="T516" s="32" t="s">
        <v>139</v>
      </c>
      <c r="U516" s="32">
        <v>7.1699999999999997E-4</v>
      </c>
      <c r="V516" s="32">
        <v>2.3969999999999998E-3</v>
      </c>
      <c r="W516" s="32">
        <v>8.0459999999999993E-3</v>
      </c>
      <c r="X516" s="32">
        <v>1.5514999999999999E-2</v>
      </c>
      <c r="Y516" s="32">
        <v>2.7910999999999998E-2</v>
      </c>
      <c r="Z516" s="32">
        <v>6.5713999999999995E-2</v>
      </c>
      <c r="AA516" s="32">
        <v>0.11039</v>
      </c>
      <c r="AB516" s="32">
        <v>0.15684000000000001</v>
      </c>
    </row>
    <row r="517" spans="1:28" ht="15.6" customHeight="1" x14ac:dyDescent="0.25">
      <c r="A517" s="24" t="s">
        <v>860</v>
      </c>
      <c r="B517" s="50">
        <v>4140</v>
      </c>
      <c r="C517" s="25" t="s">
        <v>861</v>
      </c>
      <c r="D517" s="25" t="s">
        <v>322</v>
      </c>
      <c r="E517" s="25" t="s">
        <v>194</v>
      </c>
      <c r="F517" s="25" t="s">
        <v>128</v>
      </c>
      <c r="G517" s="26" t="s">
        <v>289</v>
      </c>
      <c r="H517" s="27" t="s">
        <v>130</v>
      </c>
      <c r="I517" s="24" t="s">
        <v>106</v>
      </c>
      <c r="J517" s="24" t="s">
        <v>107</v>
      </c>
      <c r="K517" s="28" t="s">
        <v>108</v>
      </c>
      <c r="L517" s="29">
        <v>0.03</v>
      </c>
      <c r="M517" s="29">
        <v>1.4999999999999999E-2</v>
      </c>
      <c r="N517" s="29">
        <v>0.02</v>
      </c>
      <c r="O517" s="27" t="s">
        <v>161</v>
      </c>
      <c r="P517" s="30" t="s">
        <v>322</v>
      </c>
      <c r="Q517" s="31">
        <v>664390.76</v>
      </c>
      <c r="R517" s="31">
        <v>127.38</v>
      </c>
      <c r="S517" s="32">
        <v>1.393E-2</v>
      </c>
      <c r="T517" s="32" t="s">
        <v>139</v>
      </c>
      <c r="U517" s="32">
        <v>5.5000000000000003E-4</v>
      </c>
      <c r="V517" s="32">
        <v>1.73E-3</v>
      </c>
      <c r="W517" s="32">
        <v>5.1289999999999999E-3</v>
      </c>
      <c r="X517" s="32">
        <v>1.1273E-2</v>
      </c>
      <c r="Y517" s="32">
        <v>1.9855999999999999E-2</v>
      </c>
      <c r="Z517" s="32">
        <v>4.3584999999999999E-2</v>
      </c>
      <c r="AA517" s="32">
        <v>7.5935000000000002E-2</v>
      </c>
      <c r="AB517" s="32">
        <v>0.11336400000000001</v>
      </c>
    </row>
    <row r="518" spans="1:28" ht="15.6" customHeight="1" x14ac:dyDescent="0.25">
      <c r="A518" s="24" t="s">
        <v>1581</v>
      </c>
      <c r="B518" s="50">
        <v>4141</v>
      </c>
      <c r="C518" s="25" t="s">
        <v>1582</v>
      </c>
      <c r="D518" s="25" t="s">
        <v>322</v>
      </c>
      <c r="E518" s="25" t="s">
        <v>194</v>
      </c>
      <c r="F518" s="25" t="s">
        <v>113</v>
      </c>
      <c r="G518" s="26" t="s">
        <v>431</v>
      </c>
      <c r="H518" s="27" t="s">
        <v>115</v>
      </c>
      <c r="I518" s="24" t="s">
        <v>998</v>
      </c>
      <c r="J518" s="24" t="s">
        <v>107</v>
      </c>
      <c r="K518" s="28" t="s">
        <v>108</v>
      </c>
      <c r="L518" s="29">
        <v>0.03</v>
      </c>
      <c r="M518" s="29">
        <v>1.4999999999999999E-2</v>
      </c>
      <c r="N518" s="29">
        <v>0.02</v>
      </c>
      <c r="O518" s="27" t="s">
        <v>161</v>
      </c>
      <c r="P518" s="30" t="s">
        <v>322</v>
      </c>
      <c r="Q518" s="31">
        <v>67577654.189999998</v>
      </c>
      <c r="R518" s="31">
        <v>124.35</v>
      </c>
      <c r="S518" s="32">
        <v>1.047E-3</v>
      </c>
      <c r="T518" s="32" t="s">
        <v>139</v>
      </c>
      <c r="U518" s="32">
        <v>7.2400000000000003E-4</v>
      </c>
      <c r="V518" s="32">
        <v>2.0950000000000001E-3</v>
      </c>
      <c r="W518" s="32">
        <v>3.065E-3</v>
      </c>
      <c r="X518" s="32">
        <v>1.2880000000000001E-3</v>
      </c>
      <c r="Y518" s="32">
        <v>-2.4069999999999999E-3</v>
      </c>
      <c r="Z518" s="32">
        <v>5.7938000000000003E-2</v>
      </c>
      <c r="AA518" s="32">
        <v>0.13303000000000001</v>
      </c>
      <c r="AB518" s="32">
        <v>2.7092000000000001E-2</v>
      </c>
    </row>
    <row r="519" spans="1:28" ht="15.6" customHeight="1" x14ac:dyDescent="0.25">
      <c r="A519" s="24" t="s">
        <v>1583</v>
      </c>
      <c r="B519" s="50">
        <v>4143</v>
      </c>
      <c r="C519" s="25" t="s">
        <v>1584</v>
      </c>
      <c r="D519" s="25" t="s">
        <v>164</v>
      </c>
      <c r="E519" s="25" t="s">
        <v>194</v>
      </c>
      <c r="F519" s="25" t="s">
        <v>155</v>
      </c>
      <c r="G519" s="26" t="s">
        <v>139</v>
      </c>
      <c r="H519" s="27" t="s">
        <v>1585</v>
      </c>
      <c r="I519" s="24" t="s">
        <v>998</v>
      </c>
      <c r="J519" s="24" t="s">
        <v>107</v>
      </c>
      <c r="K519" s="28" t="s">
        <v>108</v>
      </c>
      <c r="L519" s="29">
        <v>0.03</v>
      </c>
      <c r="M519" s="29">
        <v>1.4999999999999999E-2</v>
      </c>
      <c r="N519" s="29">
        <v>0.02</v>
      </c>
      <c r="O519" s="27" t="s">
        <v>173</v>
      </c>
      <c r="P519" s="30" t="s">
        <v>164</v>
      </c>
      <c r="Q519" s="31">
        <v>36341207.729999997</v>
      </c>
      <c r="R519" s="31">
        <v>1057.31</v>
      </c>
      <c r="S519" s="32">
        <v>7.6044E-2</v>
      </c>
      <c r="T519" s="32" t="s">
        <v>139</v>
      </c>
      <c r="U519" s="32">
        <v>1.6244000000000001E-2</v>
      </c>
      <c r="V519" s="32">
        <v>8.5969000000000004E-2</v>
      </c>
      <c r="W519" s="32">
        <v>7.1322999999999998E-2</v>
      </c>
      <c r="X519" s="32">
        <v>6.1950999999999999E-2</v>
      </c>
      <c r="Y519" s="32">
        <v>-2.7286999999999999E-2</v>
      </c>
      <c r="Z519" s="32">
        <v>0.35969200000000001</v>
      </c>
      <c r="AA519" s="32">
        <v>0.58814900000000003</v>
      </c>
      <c r="AB519" s="32">
        <v>0.48321500000000001</v>
      </c>
    </row>
    <row r="520" spans="1:28" ht="15.6" customHeight="1" x14ac:dyDescent="0.25">
      <c r="A520" s="24" t="s">
        <v>1586</v>
      </c>
      <c r="B520" s="50">
        <v>4144</v>
      </c>
      <c r="C520" s="25" t="s">
        <v>1587</v>
      </c>
      <c r="D520" s="25" t="s">
        <v>164</v>
      </c>
      <c r="E520" s="25" t="s">
        <v>194</v>
      </c>
      <c r="F520" s="25" t="s">
        <v>138</v>
      </c>
      <c r="G520" s="26" t="s">
        <v>139</v>
      </c>
      <c r="H520" s="27" t="s">
        <v>1588</v>
      </c>
      <c r="I520" s="24" t="s">
        <v>998</v>
      </c>
      <c r="J520" s="24" t="s">
        <v>107</v>
      </c>
      <c r="K520" s="28" t="s">
        <v>108</v>
      </c>
      <c r="L520" s="29">
        <v>0.03</v>
      </c>
      <c r="M520" s="29">
        <v>1.4999999999999999E-2</v>
      </c>
      <c r="N520" s="29">
        <v>1.4999999999999999E-2</v>
      </c>
      <c r="O520" s="27" t="s">
        <v>173</v>
      </c>
      <c r="P520" s="30" t="s">
        <v>164</v>
      </c>
      <c r="Q520" s="31">
        <v>649010447.48000002</v>
      </c>
      <c r="R520" s="31">
        <v>743.66</v>
      </c>
      <c r="S520" s="32">
        <v>5.1554999999999997E-2</v>
      </c>
      <c r="T520" s="32" t="s">
        <v>139</v>
      </c>
      <c r="U520" s="32">
        <v>1.2375000000000001E-2</v>
      </c>
      <c r="V520" s="32">
        <v>5.4912000000000002E-2</v>
      </c>
      <c r="W520" s="32">
        <v>4.3791999999999998E-2</v>
      </c>
      <c r="X520" s="32">
        <v>4.3060000000000001E-2</v>
      </c>
      <c r="Y520" s="32">
        <v>-2.2900000000000001E-4</v>
      </c>
      <c r="Z520" s="32">
        <v>0.246392</v>
      </c>
      <c r="AA520" s="32">
        <v>0.38270500000000002</v>
      </c>
      <c r="AB520" s="32">
        <v>0.32614100000000001</v>
      </c>
    </row>
    <row r="521" spans="1:28" ht="15.6" customHeight="1" x14ac:dyDescent="0.25">
      <c r="A521" s="24" t="s">
        <v>1589</v>
      </c>
      <c r="B521" s="50">
        <v>4145</v>
      </c>
      <c r="C521" s="25" t="s">
        <v>1590</v>
      </c>
      <c r="D521" s="25" t="s">
        <v>164</v>
      </c>
      <c r="E521" s="25" t="s">
        <v>194</v>
      </c>
      <c r="F521" s="25" t="s">
        <v>113</v>
      </c>
      <c r="G521" s="26" t="s">
        <v>176</v>
      </c>
      <c r="H521" s="27" t="s">
        <v>1591</v>
      </c>
      <c r="I521" s="24" t="s">
        <v>998</v>
      </c>
      <c r="J521" s="24" t="s">
        <v>107</v>
      </c>
      <c r="K521" s="28" t="s">
        <v>108</v>
      </c>
      <c r="L521" s="29">
        <v>0.03</v>
      </c>
      <c r="M521" s="29">
        <v>1.4999999999999999E-2</v>
      </c>
      <c r="N521" s="29">
        <v>0.01</v>
      </c>
      <c r="O521" s="27" t="s">
        <v>173</v>
      </c>
      <c r="P521" s="30" t="s">
        <v>164</v>
      </c>
      <c r="Q521" s="31">
        <v>31242235.960000001</v>
      </c>
      <c r="R521" s="31">
        <v>263.79000000000002</v>
      </c>
      <c r="S521" s="32">
        <v>6.9090000000000002E-3</v>
      </c>
      <c r="T521" s="32" t="s">
        <v>139</v>
      </c>
      <c r="U521" s="32">
        <v>2.4320000000000001E-3</v>
      </c>
      <c r="V521" s="32">
        <v>9.2980000000000007E-3</v>
      </c>
      <c r="W521" s="32">
        <v>9.1430000000000001E-3</v>
      </c>
      <c r="X521" s="32">
        <v>5.5659999999999998E-3</v>
      </c>
      <c r="Y521" s="32">
        <v>-5.2420000000000001E-3</v>
      </c>
      <c r="Z521" s="32">
        <v>5.8802E-2</v>
      </c>
      <c r="AA521" s="32">
        <v>0.163608</v>
      </c>
      <c r="AB521" s="32">
        <v>0.14666399999999999</v>
      </c>
    </row>
    <row r="522" spans="1:28" ht="15.6" customHeight="1" x14ac:dyDescent="0.25">
      <c r="A522" s="24" t="s">
        <v>1592</v>
      </c>
      <c r="B522" s="50">
        <v>4147</v>
      </c>
      <c r="C522" s="25" t="s">
        <v>1593</v>
      </c>
      <c r="D522" s="25" t="s">
        <v>164</v>
      </c>
      <c r="E522" s="25" t="s">
        <v>194</v>
      </c>
      <c r="F522" s="25" t="s">
        <v>155</v>
      </c>
      <c r="G522" s="26" t="s">
        <v>139</v>
      </c>
      <c r="H522" s="27" t="s">
        <v>156</v>
      </c>
      <c r="I522" s="24" t="s">
        <v>998</v>
      </c>
      <c r="J522" s="24" t="s">
        <v>107</v>
      </c>
      <c r="K522" s="28" t="s">
        <v>180</v>
      </c>
      <c r="L522" s="29">
        <v>0.03</v>
      </c>
      <c r="M522" s="29">
        <v>1.4999999999999999E-2</v>
      </c>
      <c r="N522" s="29">
        <v>0.02</v>
      </c>
      <c r="O522" s="27" t="s">
        <v>166</v>
      </c>
      <c r="P522" s="30" t="s">
        <v>627</v>
      </c>
      <c r="Q522" s="31">
        <v>180863048.93000001</v>
      </c>
      <c r="R522" s="31">
        <v>1149.07</v>
      </c>
      <c r="S522" s="32">
        <v>7.0443000000000006E-2</v>
      </c>
      <c r="T522" s="32" t="s">
        <v>139</v>
      </c>
      <c r="U522" s="32">
        <v>1.4864E-2</v>
      </c>
      <c r="V522" s="32">
        <v>7.6654E-2</v>
      </c>
      <c r="W522" s="32">
        <v>7.3446999999999998E-2</v>
      </c>
      <c r="X522" s="32">
        <v>5.3672999999999998E-2</v>
      </c>
      <c r="Y522" s="32">
        <v>-2.4976999999999999E-2</v>
      </c>
      <c r="Z522" s="32">
        <v>0.263733</v>
      </c>
      <c r="AA522" s="32">
        <v>0.417605</v>
      </c>
      <c r="AB522" s="32">
        <v>0.30137700000000001</v>
      </c>
    </row>
    <row r="523" spans="1:28" ht="15.6" customHeight="1" x14ac:dyDescent="0.25">
      <c r="A523" s="24" t="s">
        <v>862</v>
      </c>
      <c r="B523" s="50">
        <v>4150</v>
      </c>
      <c r="C523" s="25" t="s">
        <v>863</v>
      </c>
      <c r="D523" s="25" t="s">
        <v>164</v>
      </c>
      <c r="E523" s="25" t="s">
        <v>194</v>
      </c>
      <c r="F523" s="25" t="s">
        <v>113</v>
      </c>
      <c r="G523" s="26" t="s">
        <v>347</v>
      </c>
      <c r="H523" s="27" t="s">
        <v>115</v>
      </c>
      <c r="I523" s="24" t="s">
        <v>106</v>
      </c>
      <c r="J523" s="24" t="s">
        <v>121</v>
      </c>
      <c r="K523" s="28" t="s">
        <v>227</v>
      </c>
      <c r="L523" s="29">
        <v>0.03</v>
      </c>
      <c r="M523" s="29">
        <v>1.4999999999999999E-2</v>
      </c>
      <c r="N523" s="29">
        <v>0.02</v>
      </c>
      <c r="O523" s="27" t="s">
        <v>173</v>
      </c>
      <c r="P523" s="30" t="s">
        <v>663</v>
      </c>
      <c r="Q523" s="31">
        <v>1408120739.26</v>
      </c>
      <c r="R523" s="31">
        <v>1155.25</v>
      </c>
      <c r="S523" s="32">
        <v>-5.0769999999999999E-3</v>
      </c>
      <c r="T523" s="32" t="s">
        <v>139</v>
      </c>
      <c r="U523" s="32">
        <v>2.421E-3</v>
      </c>
      <c r="V523" s="32">
        <v>9.0399999999999994E-3</v>
      </c>
      <c r="W523" s="32">
        <v>4.836E-3</v>
      </c>
      <c r="X523" s="32">
        <v>-2.3400000000000001E-3</v>
      </c>
      <c r="Y523" s="32">
        <v>-1.2089000000000001E-2</v>
      </c>
      <c r="Z523" s="32">
        <v>9.6879000000000007E-2</v>
      </c>
      <c r="AA523" s="32">
        <v>0.20397100000000001</v>
      </c>
      <c r="AB523" s="32">
        <v>0.13783699999999999</v>
      </c>
    </row>
    <row r="524" spans="1:28" ht="15.6" customHeight="1" x14ac:dyDescent="0.25">
      <c r="A524" s="24" t="s">
        <v>864</v>
      </c>
      <c r="B524" s="50">
        <v>4151</v>
      </c>
      <c r="C524" s="25" t="s">
        <v>865</v>
      </c>
      <c r="D524" s="25" t="s">
        <v>164</v>
      </c>
      <c r="E524" s="25" t="s">
        <v>194</v>
      </c>
      <c r="F524" s="25" t="s">
        <v>113</v>
      </c>
      <c r="G524" s="26" t="s">
        <v>866</v>
      </c>
      <c r="H524" s="27" t="s">
        <v>115</v>
      </c>
      <c r="I524" s="24" t="s">
        <v>106</v>
      </c>
      <c r="J524" s="24" t="s">
        <v>107</v>
      </c>
      <c r="K524" s="28" t="s">
        <v>108</v>
      </c>
      <c r="L524" s="29">
        <v>0.03</v>
      </c>
      <c r="M524" s="29">
        <v>1.4999999999999999E-2</v>
      </c>
      <c r="N524" s="29">
        <v>0.02</v>
      </c>
      <c r="O524" s="27" t="s">
        <v>173</v>
      </c>
      <c r="P524" s="30" t="s">
        <v>663</v>
      </c>
      <c r="Q524" s="31">
        <v>148881960.24000001</v>
      </c>
      <c r="R524" s="31">
        <v>1242.2</v>
      </c>
      <c r="S524" s="32">
        <v>5.3090000000000004E-3</v>
      </c>
      <c r="T524" s="32" t="s">
        <v>139</v>
      </c>
      <c r="U524" s="32">
        <v>2.2109999999999999E-3</v>
      </c>
      <c r="V524" s="32">
        <v>7.8050000000000003E-3</v>
      </c>
      <c r="W524" s="32">
        <v>9.1059999999999995E-3</v>
      </c>
      <c r="X524" s="32">
        <v>3.8709999999999999E-3</v>
      </c>
      <c r="Y524" s="32">
        <v>-4.9659999999999999E-3</v>
      </c>
      <c r="Z524" s="32">
        <v>7.0954000000000003E-2</v>
      </c>
      <c r="AA524" s="32">
        <v>0.154225</v>
      </c>
      <c r="AB524" s="32">
        <v>0.15207300000000001</v>
      </c>
    </row>
    <row r="525" spans="1:28" ht="15.6" customHeight="1" x14ac:dyDescent="0.25">
      <c r="A525" s="24" t="s">
        <v>1594</v>
      </c>
      <c r="B525" s="50">
        <v>4152</v>
      </c>
      <c r="C525" s="25" t="s">
        <v>1595</v>
      </c>
      <c r="D525" s="25" t="s">
        <v>112</v>
      </c>
      <c r="E525" s="25" t="s">
        <v>194</v>
      </c>
      <c r="F525" s="25" t="s">
        <v>155</v>
      </c>
      <c r="G525" s="26" t="s">
        <v>139</v>
      </c>
      <c r="H525" s="27" t="s">
        <v>588</v>
      </c>
      <c r="I525" s="24" t="s">
        <v>998</v>
      </c>
      <c r="J525" s="24" t="s">
        <v>121</v>
      </c>
      <c r="K525" s="28" t="s">
        <v>108</v>
      </c>
      <c r="L525" s="29">
        <v>0.03</v>
      </c>
      <c r="M525" s="29">
        <v>1.4999999999999999E-2</v>
      </c>
      <c r="N525" s="29">
        <v>0.02</v>
      </c>
      <c r="O525" s="27" t="s">
        <v>116</v>
      </c>
      <c r="P525" s="30" t="s">
        <v>112</v>
      </c>
      <c r="Q525" s="31">
        <v>2674983358.1799998</v>
      </c>
      <c r="R525" s="31">
        <v>3384.44</v>
      </c>
      <c r="S525" s="32">
        <v>-1.3228E-2</v>
      </c>
      <c r="T525" s="32" t="s">
        <v>139</v>
      </c>
      <c r="U525" s="32">
        <v>1.4977000000000001E-2</v>
      </c>
      <c r="V525" s="32">
        <v>8.1553E-2</v>
      </c>
      <c r="W525" s="32">
        <v>6.7374000000000003E-2</v>
      </c>
      <c r="X525" s="32">
        <v>-9.68E-4</v>
      </c>
      <c r="Y525" s="32">
        <v>-0.11465400000000001</v>
      </c>
      <c r="Z525" s="32">
        <v>0.269206</v>
      </c>
      <c r="AA525" s="32">
        <v>0.47714099999999998</v>
      </c>
      <c r="AB525" s="32">
        <v>0.46066099999999999</v>
      </c>
    </row>
    <row r="526" spans="1:28" ht="15.6" customHeight="1" x14ac:dyDescent="0.25">
      <c r="A526" s="24" t="s">
        <v>1596</v>
      </c>
      <c r="B526" s="50">
        <v>4155</v>
      </c>
      <c r="C526" s="25" t="s">
        <v>1597</v>
      </c>
      <c r="D526" s="25" t="s">
        <v>164</v>
      </c>
      <c r="E526" s="25" t="s">
        <v>194</v>
      </c>
      <c r="F526" s="25" t="s">
        <v>155</v>
      </c>
      <c r="G526" s="26" t="s">
        <v>139</v>
      </c>
      <c r="H526" s="27" t="s">
        <v>139</v>
      </c>
      <c r="I526" s="24" t="s">
        <v>998</v>
      </c>
      <c r="J526" s="24" t="s">
        <v>121</v>
      </c>
      <c r="K526" s="28" t="s">
        <v>180</v>
      </c>
      <c r="L526" s="29">
        <v>0</v>
      </c>
      <c r="M526" s="29">
        <v>1.4999999999999999E-2</v>
      </c>
      <c r="N526" s="29">
        <v>0</v>
      </c>
      <c r="O526" s="27" t="s">
        <v>166</v>
      </c>
      <c r="P526" s="30" t="s">
        <v>164</v>
      </c>
      <c r="Q526" s="31">
        <v>983767487.51999998</v>
      </c>
      <c r="R526" s="31">
        <v>2601.58</v>
      </c>
      <c r="S526" s="32">
        <v>0.13977899999999999</v>
      </c>
      <c r="T526" s="32" t="s">
        <v>139</v>
      </c>
      <c r="U526" s="32">
        <v>1.7052999999999999E-2</v>
      </c>
      <c r="V526" s="32">
        <v>8.8104000000000002E-2</v>
      </c>
      <c r="W526" s="32">
        <v>6.5906999999999993E-2</v>
      </c>
      <c r="X526" s="32">
        <v>9.4880999999999993E-2</v>
      </c>
      <c r="Y526" s="32">
        <v>6.8247000000000002E-2</v>
      </c>
      <c r="Z526" s="32">
        <v>0.54221799999999998</v>
      </c>
      <c r="AA526" s="32">
        <v>0.77525599999999995</v>
      </c>
      <c r="AB526" s="32">
        <v>0.72512600000000005</v>
      </c>
    </row>
    <row r="527" spans="1:28" ht="15.6" customHeight="1" x14ac:dyDescent="0.25">
      <c r="A527" s="24" t="s">
        <v>1598</v>
      </c>
      <c r="B527" s="50">
        <v>4156</v>
      </c>
      <c r="C527" s="25" t="s">
        <v>1599</v>
      </c>
      <c r="D527" s="25" t="s">
        <v>127</v>
      </c>
      <c r="E527" s="25" t="s">
        <v>194</v>
      </c>
      <c r="F527" s="25" t="s">
        <v>138</v>
      </c>
      <c r="G527" s="26" t="s">
        <v>139</v>
      </c>
      <c r="H527" s="27" t="s">
        <v>1600</v>
      </c>
      <c r="I527" s="24" t="s">
        <v>998</v>
      </c>
      <c r="J527" s="24" t="s">
        <v>107</v>
      </c>
      <c r="K527" s="28" t="s">
        <v>227</v>
      </c>
      <c r="L527" s="29">
        <v>0.02</v>
      </c>
      <c r="M527" s="29">
        <v>0.02</v>
      </c>
      <c r="N527" s="29">
        <v>0.02</v>
      </c>
      <c r="O527" s="27" t="s">
        <v>131</v>
      </c>
      <c r="P527" s="30" t="s">
        <v>131</v>
      </c>
      <c r="Q527" s="31">
        <v>218738647.18000001</v>
      </c>
      <c r="R527" s="31">
        <v>1300.67</v>
      </c>
      <c r="S527" s="32">
        <v>-2.7878E-2</v>
      </c>
      <c r="T527" s="32" t="s">
        <v>139</v>
      </c>
      <c r="U527" s="32">
        <v>6.8820000000000001E-3</v>
      </c>
      <c r="V527" s="32">
        <v>3.3278000000000002E-2</v>
      </c>
      <c r="W527" s="32">
        <v>2.2459E-2</v>
      </c>
      <c r="X527" s="32">
        <v>1.1101E-2</v>
      </c>
      <c r="Y527" s="32">
        <v>-7.5257000000000004E-2</v>
      </c>
      <c r="Z527" s="32">
        <v>9.6870999999999999E-2</v>
      </c>
      <c r="AA527" s="32">
        <v>0.200046</v>
      </c>
      <c r="AB527" s="32">
        <v>0.181729</v>
      </c>
    </row>
    <row r="528" spans="1:28" ht="15.6" customHeight="1" x14ac:dyDescent="0.25">
      <c r="A528" s="24" t="s">
        <v>867</v>
      </c>
      <c r="B528" s="50">
        <v>4159</v>
      </c>
      <c r="C528" s="25" t="s">
        <v>868</v>
      </c>
      <c r="D528" s="25" t="s">
        <v>112</v>
      </c>
      <c r="E528" s="25" t="s">
        <v>194</v>
      </c>
      <c r="F528" s="25" t="s">
        <v>113</v>
      </c>
      <c r="G528" s="26" t="s">
        <v>531</v>
      </c>
      <c r="H528" s="27" t="s">
        <v>199</v>
      </c>
      <c r="I528" s="24" t="s">
        <v>106</v>
      </c>
      <c r="J528" s="24" t="s">
        <v>121</v>
      </c>
      <c r="K528" s="28" t="s">
        <v>108</v>
      </c>
      <c r="L528" s="29">
        <v>0.03</v>
      </c>
      <c r="M528" s="29">
        <v>1.4999999999999999E-2</v>
      </c>
      <c r="N528" s="29">
        <v>0.02</v>
      </c>
      <c r="O528" s="27" t="s">
        <v>116</v>
      </c>
      <c r="P528" s="30" t="s">
        <v>112</v>
      </c>
      <c r="Q528" s="31">
        <v>1997555939.8</v>
      </c>
      <c r="R528" s="31">
        <v>1225.25</v>
      </c>
      <c r="S528" s="32">
        <v>5.6629999999999996E-3</v>
      </c>
      <c r="T528" s="32" t="s">
        <v>139</v>
      </c>
      <c r="U528" s="32">
        <v>1.054E-3</v>
      </c>
      <c r="V528" s="32">
        <v>3.2179999999999999E-3</v>
      </c>
      <c r="W528" s="32">
        <v>6.3660000000000001E-3</v>
      </c>
      <c r="X528" s="32">
        <v>5.6059999999999999E-3</v>
      </c>
      <c r="Y528" s="32">
        <v>4.7809999999999997E-3</v>
      </c>
      <c r="Z528" s="32">
        <v>9.1264999999999999E-2</v>
      </c>
      <c r="AA528" s="32">
        <v>0.18146499999999999</v>
      </c>
      <c r="AB528" s="32">
        <v>0.186533</v>
      </c>
    </row>
    <row r="529" spans="1:28" ht="15.6" customHeight="1" x14ac:dyDescent="0.25">
      <c r="A529" s="24" t="s">
        <v>869</v>
      </c>
      <c r="B529" s="50">
        <v>4160</v>
      </c>
      <c r="C529" s="25" t="s">
        <v>870</v>
      </c>
      <c r="D529" s="25" t="s">
        <v>112</v>
      </c>
      <c r="E529" s="25" t="s">
        <v>194</v>
      </c>
      <c r="F529" s="25" t="s">
        <v>103</v>
      </c>
      <c r="G529" s="26" t="s">
        <v>244</v>
      </c>
      <c r="H529" s="27" t="s">
        <v>567</v>
      </c>
      <c r="I529" s="24" t="s">
        <v>106</v>
      </c>
      <c r="J529" s="24" t="s">
        <v>107</v>
      </c>
      <c r="K529" s="28" t="s">
        <v>108</v>
      </c>
      <c r="L529" s="29">
        <v>0.03</v>
      </c>
      <c r="M529" s="29">
        <v>1.4999999999999999E-2</v>
      </c>
      <c r="N529" s="29">
        <v>0.02</v>
      </c>
      <c r="O529" s="27" t="s">
        <v>161</v>
      </c>
      <c r="P529" s="30" t="s">
        <v>112</v>
      </c>
      <c r="Q529" s="31">
        <v>180532101.00999999</v>
      </c>
      <c r="R529" s="31">
        <v>1145.0899999999999</v>
      </c>
      <c r="S529" s="32">
        <v>1.7144E-2</v>
      </c>
      <c r="T529" s="32" t="s">
        <v>139</v>
      </c>
      <c r="U529" s="32">
        <v>6.1200000000000002E-4</v>
      </c>
      <c r="V529" s="32">
        <v>2.232E-3</v>
      </c>
      <c r="W529" s="32">
        <v>6.8849999999999996E-3</v>
      </c>
      <c r="X529" s="32">
        <v>1.3453E-2</v>
      </c>
      <c r="Y529" s="32">
        <v>2.5028000000000002E-2</v>
      </c>
      <c r="Z529" s="32">
        <v>5.5752000000000003E-2</v>
      </c>
      <c r="AA529" s="32">
        <v>9.0218999999999994E-2</v>
      </c>
      <c r="AB529" s="32">
        <v>0.13433600000000001</v>
      </c>
    </row>
    <row r="530" spans="1:28" ht="15.6" customHeight="1" x14ac:dyDescent="0.25">
      <c r="A530" s="24" t="s">
        <v>871</v>
      </c>
      <c r="B530" s="50">
        <v>4161</v>
      </c>
      <c r="C530" s="25" t="s">
        <v>872</v>
      </c>
      <c r="D530" s="25" t="s">
        <v>112</v>
      </c>
      <c r="E530" s="25" t="s">
        <v>194</v>
      </c>
      <c r="F530" s="25" t="s">
        <v>128</v>
      </c>
      <c r="G530" s="26" t="s">
        <v>289</v>
      </c>
      <c r="H530" s="27" t="s">
        <v>130</v>
      </c>
      <c r="I530" s="24" t="s">
        <v>106</v>
      </c>
      <c r="J530" s="24" t="s">
        <v>107</v>
      </c>
      <c r="K530" s="28" t="s">
        <v>108</v>
      </c>
      <c r="L530" s="29">
        <v>0.03</v>
      </c>
      <c r="M530" s="29">
        <v>1.4999999999999999E-2</v>
      </c>
      <c r="N530" s="29">
        <v>0.02</v>
      </c>
      <c r="O530" s="27" t="s">
        <v>161</v>
      </c>
      <c r="P530" s="30" t="s">
        <v>112</v>
      </c>
      <c r="Q530" s="31">
        <v>1115474.83</v>
      </c>
      <c r="R530" s="31">
        <v>1115.47</v>
      </c>
      <c r="S530" s="32">
        <v>1.3188999999999999E-2</v>
      </c>
      <c r="T530" s="32" t="s">
        <v>139</v>
      </c>
      <c r="U530" s="32">
        <v>5.2899999999999996E-4</v>
      </c>
      <c r="V530" s="32">
        <v>1.787E-3</v>
      </c>
      <c r="W530" s="32">
        <v>5.2449999999999997E-3</v>
      </c>
      <c r="X530" s="32">
        <v>1.0618000000000001E-2</v>
      </c>
      <c r="Y530" s="32">
        <v>1.8852000000000001E-2</v>
      </c>
      <c r="Z530" s="32">
        <v>4.4535999999999999E-2</v>
      </c>
      <c r="AA530" s="32">
        <v>7.4675000000000005E-2</v>
      </c>
      <c r="AB530" s="32">
        <v>0.10517</v>
      </c>
    </row>
    <row r="531" spans="1:28" ht="15.6" customHeight="1" x14ac:dyDescent="0.25">
      <c r="A531" s="24" t="s">
        <v>1601</v>
      </c>
      <c r="B531" s="50">
        <v>4162</v>
      </c>
      <c r="C531" s="25" t="s">
        <v>1602</v>
      </c>
      <c r="D531" s="25" t="s">
        <v>112</v>
      </c>
      <c r="E531" s="25" t="s">
        <v>194</v>
      </c>
      <c r="F531" s="25" t="s">
        <v>113</v>
      </c>
      <c r="G531" s="26" t="s">
        <v>638</v>
      </c>
      <c r="H531" s="27" t="s">
        <v>327</v>
      </c>
      <c r="I531" s="24" t="s">
        <v>998</v>
      </c>
      <c r="J531" s="24" t="s">
        <v>107</v>
      </c>
      <c r="K531" s="28" t="s">
        <v>108</v>
      </c>
      <c r="L531" s="29">
        <v>0.03</v>
      </c>
      <c r="M531" s="29">
        <v>1.4999999999999999E-2</v>
      </c>
      <c r="N531" s="29">
        <v>0.02</v>
      </c>
      <c r="O531" s="27" t="s">
        <v>116</v>
      </c>
      <c r="P531" s="30" t="s">
        <v>112</v>
      </c>
      <c r="Q531" s="31">
        <v>3582768452.7399998</v>
      </c>
      <c r="R531" s="31">
        <v>11629.3</v>
      </c>
      <c r="S531" s="32">
        <v>-5.5000000000000003E-4</v>
      </c>
      <c r="T531" s="32" t="s">
        <v>139</v>
      </c>
      <c r="U531" s="32">
        <v>1.7730000000000001E-3</v>
      </c>
      <c r="V531" s="32">
        <v>6.8950000000000001E-3</v>
      </c>
      <c r="W531" s="32">
        <v>7.234E-3</v>
      </c>
      <c r="X531" s="32">
        <v>-1.0510000000000001E-3</v>
      </c>
      <c r="Y531" s="32">
        <v>-7.4330000000000004E-3</v>
      </c>
      <c r="Z531" s="32">
        <v>0.101398</v>
      </c>
      <c r="AA531" s="32">
        <v>0.20599700000000001</v>
      </c>
      <c r="AB531" s="32">
        <v>0.158468</v>
      </c>
    </row>
    <row r="532" spans="1:28" ht="15.6" customHeight="1" x14ac:dyDescent="0.25">
      <c r="A532" s="24" t="s">
        <v>1603</v>
      </c>
      <c r="B532" s="50">
        <v>4163</v>
      </c>
      <c r="C532" s="25" t="s">
        <v>1604</v>
      </c>
      <c r="D532" s="25" t="s">
        <v>112</v>
      </c>
      <c r="E532" s="25" t="s">
        <v>194</v>
      </c>
      <c r="F532" s="25" t="s">
        <v>113</v>
      </c>
      <c r="G532" s="26" t="s">
        <v>347</v>
      </c>
      <c r="H532" s="27" t="s">
        <v>115</v>
      </c>
      <c r="I532" s="24" t="s">
        <v>998</v>
      </c>
      <c r="J532" s="24" t="s">
        <v>107</v>
      </c>
      <c r="K532" s="28" t="s">
        <v>108</v>
      </c>
      <c r="L532" s="29">
        <v>0.03</v>
      </c>
      <c r="M532" s="29">
        <v>1.4999999999999999E-2</v>
      </c>
      <c r="N532" s="29">
        <v>0.02</v>
      </c>
      <c r="O532" s="27" t="s">
        <v>116</v>
      </c>
      <c r="P532" s="30" t="s">
        <v>112</v>
      </c>
      <c r="Q532" s="31">
        <v>638453.81999999995</v>
      </c>
      <c r="R532" s="31">
        <v>1114.23</v>
      </c>
      <c r="S532" s="32">
        <v>9.0830000000000008E-3</v>
      </c>
      <c r="T532" s="32" t="s">
        <v>139</v>
      </c>
      <c r="U532" s="32">
        <v>7.6300000000000001E-4</v>
      </c>
      <c r="V532" s="32">
        <v>2.1050000000000001E-3</v>
      </c>
      <c r="W532" s="32">
        <v>5.0419999999999996E-3</v>
      </c>
      <c r="X532" s="32">
        <v>6.6769999999999998E-3</v>
      </c>
      <c r="Y532" s="32">
        <v>1.0062E-2</v>
      </c>
      <c r="Z532" s="32">
        <v>4.6628000000000003E-2</v>
      </c>
      <c r="AA532" s="32">
        <v>9.0031E-2</v>
      </c>
      <c r="AB532" s="32">
        <v>0.11003400000000001</v>
      </c>
    </row>
    <row r="533" spans="1:28" ht="15.6" customHeight="1" x14ac:dyDescent="0.25">
      <c r="A533" s="24" t="s">
        <v>1605</v>
      </c>
      <c r="B533" s="50">
        <v>4165</v>
      </c>
      <c r="C533" s="25" t="s">
        <v>1606</v>
      </c>
      <c r="D533" s="25" t="s">
        <v>127</v>
      </c>
      <c r="E533" s="25" t="s">
        <v>194</v>
      </c>
      <c r="F533" s="25" t="s">
        <v>113</v>
      </c>
      <c r="G533" s="26" t="s">
        <v>685</v>
      </c>
      <c r="H533" s="27" t="s">
        <v>1607</v>
      </c>
      <c r="I533" s="24" t="s">
        <v>998</v>
      </c>
      <c r="J533" s="24" t="s">
        <v>121</v>
      </c>
      <c r="K533" s="28" t="s">
        <v>108</v>
      </c>
      <c r="L533" s="29">
        <v>0.03</v>
      </c>
      <c r="M533" s="29">
        <v>0.03</v>
      </c>
      <c r="N533" s="29">
        <v>0.02</v>
      </c>
      <c r="O533" s="27" t="s">
        <v>131</v>
      </c>
      <c r="P533" s="30" t="s">
        <v>131</v>
      </c>
      <c r="Q533" s="31">
        <v>707832109.48000002</v>
      </c>
      <c r="R533" s="31">
        <v>1277.52</v>
      </c>
      <c r="S533" s="32">
        <v>-8.1300000000000003E-4</v>
      </c>
      <c r="T533" s="32" t="s">
        <v>139</v>
      </c>
      <c r="U533" s="32">
        <v>2.0630000000000002E-3</v>
      </c>
      <c r="V533" s="32">
        <v>7.842E-3</v>
      </c>
      <c r="W533" s="32">
        <v>6.5240000000000003E-3</v>
      </c>
      <c r="X533" s="32">
        <v>-1.0790000000000001E-3</v>
      </c>
      <c r="Y533" s="32">
        <v>-1.3589E-2</v>
      </c>
      <c r="Z533" s="32">
        <v>0.10080699999999999</v>
      </c>
      <c r="AA533" s="32">
        <v>0.22339700000000001</v>
      </c>
      <c r="AB533" s="32">
        <v>0.26900499999999999</v>
      </c>
    </row>
    <row r="534" spans="1:28" ht="15.6" customHeight="1" x14ac:dyDescent="0.25">
      <c r="A534" s="24" t="s">
        <v>873</v>
      </c>
      <c r="B534" s="50">
        <v>4166</v>
      </c>
      <c r="C534" s="25" t="s">
        <v>874</v>
      </c>
      <c r="D534" s="25" t="s">
        <v>164</v>
      </c>
      <c r="E534" s="25" t="s">
        <v>194</v>
      </c>
      <c r="F534" s="25" t="s">
        <v>138</v>
      </c>
      <c r="G534" s="26" t="s">
        <v>139</v>
      </c>
      <c r="H534" s="27" t="s">
        <v>875</v>
      </c>
      <c r="I534" s="24" t="s">
        <v>106</v>
      </c>
      <c r="J534" s="24" t="s">
        <v>121</v>
      </c>
      <c r="K534" s="28" t="s">
        <v>108</v>
      </c>
      <c r="L534" s="29">
        <v>0.03</v>
      </c>
      <c r="M534" s="29">
        <v>1.4999999999999999E-2</v>
      </c>
      <c r="N534" s="29">
        <v>0.02</v>
      </c>
      <c r="O534" s="27" t="s">
        <v>548</v>
      </c>
      <c r="P534" s="30" t="s">
        <v>164</v>
      </c>
      <c r="Q534" s="31">
        <v>6105102786.7299995</v>
      </c>
      <c r="R534" s="31">
        <v>1272.9000000000001</v>
      </c>
      <c r="S534" s="32">
        <v>3.6488E-2</v>
      </c>
      <c r="T534" s="32" t="s">
        <v>139</v>
      </c>
      <c r="U534" s="32">
        <v>9.0290000000000006E-3</v>
      </c>
      <c r="V534" s="32">
        <v>3.8686999999999999E-2</v>
      </c>
      <c r="W534" s="32">
        <v>3.3147999999999997E-2</v>
      </c>
      <c r="X534" s="32">
        <v>3.1925000000000002E-2</v>
      </c>
      <c r="Y534" s="32">
        <v>7.2240000000000004E-3</v>
      </c>
      <c r="Z534" s="32">
        <v>0.20208499999999999</v>
      </c>
      <c r="AA534" s="32">
        <v>0.33894999999999997</v>
      </c>
      <c r="AB534" s="32">
        <v>0.31727899999999998</v>
      </c>
    </row>
    <row r="535" spans="1:28" ht="15.6" customHeight="1" x14ac:dyDescent="0.25">
      <c r="A535" s="24" t="s">
        <v>1608</v>
      </c>
      <c r="B535" s="50">
        <v>4167</v>
      </c>
      <c r="C535" s="25" t="s">
        <v>1609</v>
      </c>
      <c r="D535" s="25" t="s">
        <v>127</v>
      </c>
      <c r="E535" s="25" t="s">
        <v>194</v>
      </c>
      <c r="F535" s="25" t="s">
        <v>113</v>
      </c>
      <c r="G535" s="26" t="s">
        <v>1610</v>
      </c>
      <c r="H535" s="27" t="s">
        <v>115</v>
      </c>
      <c r="I535" s="24" t="s">
        <v>998</v>
      </c>
      <c r="J535" s="24" t="s">
        <v>107</v>
      </c>
      <c r="K535" s="28" t="s">
        <v>108</v>
      </c>
      <c r="L535" s="29">
        <v>5.0000000000000001E-3</v>
      </c>
      <c r="M535" s="29">
        <v>1E-3</v>
      </c>
      <c r="N535" s="29">
        <v>0.02</v>
      </c>
      <c r="O535" s="27" t="s">
        <v>131</v>
      </c>
      <c r="P535" s="30" t="s">
        <v>131</v>
      </c>
      <c r="Q535" s="31">
        <v>612647445.64999998</v>
      </c>
      <c r="R535" s="31">
        <v>1988.43</v>
      </c>
      <c r="S535" s="32">
        <v>-4.4559999999999999E-3</v>
      </c>
      <c r="T535" s="32" t="s">
        <v>139</v>
      </c>
      <c r="U535" s="32">
        <v>1.5659999999999999E-3</v>
      </c>
      <c r="V535" s="32">
        <v>6.352E-3</v>
      </c>
      <c r="W535" s="32">
        <v>5.3800000000000002E-3</v>
      </c>
      <c r="X535" s="32">
        <v>-5.3169999999999997E-3</v>
      </c>
      <c r="Y535" s="32">
        <v>-1.8428E-2</v>
      </c>
      <c r="Z535" s="32">
        <v>8.5084999999999994E-2</v>
      </c>
      <c r="AA535" s="32">
        <v>0.173011</v>
      </c>
      <c r="AB535" s="32">
        <v>0.13639499999999999</v>
      </c>
    </row>
    <row r="536" spans="1:28" ht="15.6" customHeight="1" x14ac:dyDescent="0.25">
      <c r="A536" s="24" t="s">
        <v>876</v>
      </c>
      <c r="B536" s="50">
        <v>4168</v>
      </c>
      <c r="C536" s="25" t="s">
        <v>877</v>
      </c>
      <c r="D536" s="25" t="s">
        <v>127</v>
      </c>
      <c r="E536" s="25" t="s">
        <v>194</v>
      </c>
      <c r="F536" s="25" t="s">
        <v>103</v>
      </c>
      <c r="G536" s="26" t="s">
        <v>104</v>
      </c>
      <c r="H536" s="27" t="s">
        <v>217</v>
      </c>
      <c r="I536" s="24" t="s">
        <v>106</v>
      </c>
      <c r="J536" s="24" t="s">
        <v>107</v>
      </c>
      <c r="K536" s="28" t="s">
        <v>108</v>
      </c>
      <c r="L536" s="29">
        <v>0</v>
      </c>
      <c r="M536" s="29">
        <v>0</v>
      </c>
      <c r="N536" s="29">
        <v>5.0000000000000001E-3</v>
      </c>
      <c r="O536" s="27" t="s">
        <v>131</v>
      </c>
      <c r="P536" s="30" t="s">
        <v>131</v>
      </c>
      <c r="Q536" s="31">
        <v>3747417582.27</v>
      </c>
      <c r="R536" s="31">
        <v>16870.21</v>
      </c>
      <c r="S536" s="32">
        <v>1.7312000000000001E-2</v>
      </c>
      <c r="T536" s="32" t="s">
        <v>139</v>
      </c>
      <c r="U536" s="32">
        <v>6.0700000000000001E-4</v>
      </c>
      <c r="V536" s="32">
        <v>2.1440000000000001E-3</v>
      </c>
      <c r="W536" s="32">
        <v>6.8589999999999996E-3</v>
      </c>
      <c r="X536" s="32">
        <v>1.3507E-2</v>
      </c>
      <c r="Y536" s="32">
        <v>2.52E-2</v>
      </c>
      <c r="Z536" s="32">
        <v>5.4934999999999998E-2</v>
      </c>
      <c r="AA536" s="32">
        <v>9.1115000000000002E-2</v>
      </c>
      <c r="AB536" s="32">
        <v>0.13728599999999999</v>
      </c>
    </row>
    <row r="537" spans="1:28" ht="15.6" customHeight="1" x14ac:dyDescent="0.25">
      <c r="A537" s="24" t="s">
        <v>878</v>
      </c>
      <c r="B537" s="50">
        <v>4169</v>
      </c>
      <c r="C537" s="25" t="s">
        <v>879</v>
      </c>
      <c r="D537" s="25" t="s">
        <v>127</v>
      </c>
      <c r="E537" s="25" t="s">
        <v>194</v>
      </c>
      <c r="F537" s="25" t="s">
        <v>361</v>
      </c>
      <c r="G537" s="26" t="s">
        <v>139</v>
      </c>
      <c r="H537" s="27" t="s">
        <v>188</v>
      </c>
      <c r="I537" s="24" t="s">
        <v>106</v>
      </c>
      <c r="J537" s="24" t="s">
        <v>107</v>
      </c>
      <c r="K537" s="28" t="s">
        <v>108</v>
      </c>
      <c r="L537" s="29">
        <v>0</v>
      </c>
      <c r="M537" s="29">
        <v>0</v>
      </c>
      <c r="N537" s="29">
        <v>0.02</v>
      </c>
      <c r="O537" s="27" t="s">
        <v>131</v>
      </c>
      <c r="P537" s="30" t="s">
        <v>131</v>
      </c>
      <c r="Q537" s="31">
        <v>2468396963.5900002</v>
      </c>
      <c r="R537" s="31">
        <v>142856.79999999999</v>
      </c>
      <c r="S537" s="32">
        <v>1.2160000000000001E-2</v>
      </c>
      <c r="T537" s="32" t="s">
        <v>139</v>
      </c>
      <c r="U537" s="32">
        <v>3.6099999999999999E-4</v>
      </c>
      <c r="V537" s="32">
        <v>1.634E-3</v>
      </c>
      <c r="W537" s="32">
        <v>4.5659999999999997E-3</v>
      </c>
      <c r="X537" s="32">
        <v>9.1859999999999997E-3</v>
      </c>
      <c r="Y537" s="32">
        <v>1.8905000000000002E-2</v>
      </c>
      <c r="Z537" s="32">
        <v>4.0960000000000003E-2</v>
      </c>
      <c r="AA537" s="32">
        <v>6.8414000000000003E-2</v>
      </c>
      <c r="AB537" s="32">
        <v>0.104073</v>
      </c>
    </row>
    <row r="538" spans="1:28" ht="15.6" customHeight="1" x14ac:dyDescent="0.25">
      <c r="A538" s="24" t="s">
        <v>880</v>
      </c>
      <c r="B538" s="50">
        <v>4170</v>
      </c>
      <c r="C538" s="25" t="s">
        <v>6</v>
      </c>
      <c r="D538" s="25" t="s">
        <v>127</v>
      </c>
      <c r="E538" s="25" t="s">
        <v>194</v>
      </c>
      <c r="F538" s="25" t="s">
        <v>155</v>
      </c>
      <c r="G538" s="26" t="s">
        <v>139</v>
      </c>
      <c r="H538" s="27" t="s">
        <v>156</v>
      </c>
      <c r="I538" s="24" t="s">
        <v>106</v>
      </c>
      <c r="J538" s="24" t="s">
        <v>107</v>
      </c>
      <c r="K538" s="28" t="s">
        <v>108</v>
      </c>
      <c r="L538" s="29">
        <v>0.03</v>
      </c>
      <c r="M538" s="29">
        <v>1.4999999999999999E-2</v>
      </c>
      <c r="N538" s="29">
        <v>0.02</v>
      </c>
      <c r="O538" s="27" t="s">
        <v>131</v>
      </c>
      <c r="P538" s="30" t="s">
        <v>131</v>
      </c>
      <c r="Q538" s="31">
        <v>784981117.39999998</v>
      </c>
      <c r="R538" s="31">
        <v>262.60000000000002</v>
      </c>
      <c r="S538" s="32">
        <v>2.1829999999999999E-2</v>
      </c>
      <c r="T538" s="32" t="s">
        <v>139</v>
      </c>
      <c r="U538" s="32">
        <v>1.5429E-2</v>
      </c>
      <c r="V538" s="32">
        <v>7.7774999999999997E-2</v>
      </c>
      <c r="W538" s="32">
        <v>4.8555000000000001E-2</v>
      </c>
      <c r="X538" s="32">
        <v>1.9369999999999998E-2</v>
      </c>
      <c r="Y538" s="32">
        <v>-9.0278999999999998E-2</v>
      </c>
      <c r="Z538" s="32">
        <v>0.33543499999999998</v>
      </c>
      <c r="AA538" s="32">
        <v>0.63014499999999996</v>
      </c>
      <c r="AB538" s="32">
        <v>0.59839299999999995</v>
      </c>
    </row>
    <row r="539" spans="1:28" ht="15.6" customHeight="1" x14ac:dyDescent="0.25">
      <c r="A539" s="24" t="s">
        <v>881</v>
      </c>
      <c r="B539" s="50">
        <v>4171</v>
      </c>
      <c r="C539" s="25" t="s">
        <v>882</v>
      </c>
      <c r="D539" s="25" t="s">
        <v>127</v>
      </c>
      <c r="E539" s="25" t="s">
        <v>194</v>
      </c>
      <c r="F539" s="25" t="s">
        <v>128</v>
      </c>
      <c r="G539" s="26" t="s">
        <v>250</v>
      </c>
      <c r="H539" s="27" t="s">
        <v>130</v>
      </c>
      <c r="I539" s="24" t="s">
        <v>106</v>
      </c>
      <c r="J539" s="24" t="s">
        <v>107</v>
      </c>
      <c r="K539" s="28" t="s">
        <v>108</v>
      </c>
      <c r="L539" s="29">
        <v>0</v>
      </c>
      <c r="M539" s="29">
        <v>0</v>
      </c>
      <c r="N539" s="29">
        <v>0.02</v>
      </c>
      <c r="O539" s="27" t="s">
        <v>131</v>
      </c>
      <c r="P539" s="30" t="s">
        <v>131</v>
      </c>
      <c r="Q539" s="31">
        <v>6903383877.25</v>
      </c>
      <c r="R539" s="31">
        <v>1541.63</v>
      </c>
      <c r="S539" s="32">
        <v>1.934E-2</v>
      </c>
      <c r="T539" s="32" t="s">
        <v>139</v>
      </c>
      <c r="U539" s="32">
        <v>7.3399999999999995E-4</v>
      </c>
      <c r="V539" s="32">
        <v>2.4580000000000001E-3</v>
      </c>
      <c r="W539" s="32">
        <v>7.7130000000000002E-3</v>
      </c>
      <c r="X539" s="32">
        <v>1.4958000000000001E-2</v>
      </c>
      <c r="Y539" s="32">
        <v>2.6959E-2</v>
      </c>
      <c r="Z539" s="32">
        <v>6.2591999999999995E-2</v>
      </c>
      <c r="AA539" s="32">
        <v>0.10462</v>
      </c>
      <c r="AB539" s="32">
        <v>0.1512</v>
      </c>
    </row>
    <row r="540" spans="1:28" ht="15.6" customHeight="1" x14ac:dyDescent="0.25">
      <c r="A540" s="24" t="s">
        <v>883</v>
      </c>
      <c r="B540" s="50">
        <v>4172</v>
      </c>
      <c r="C540" s="25" t="s">
        <v>884</v>
      </c>
      <c r="D540" s="25" t="s">
        <v>127</v>
      </c>
      <c r="E540" s="25" t="s">
        <v>194</v>
      </c>
      <c r="F540" s="25" t="s">
        <v>138</v>
      </c>
      <c r="G540" s="26" t="s">
        <v>139</v>
      </c>
      <c r="H540" s="27" t="s">
        <v>885</v>
      </c>
      <c r="I540" s="24" t="s">
        <v>106</v>
      </c>
      <c r="J540" s="24" t="s">
        <v>107</v>
      </c>
      <c r="K540" s="28" t="s">
        <v>108</v>
      </c>
      <c r="L540" s="29">
        <v>0.02</v>
      </c>
      <c r="M540" s="29">
        <v>0.02</v>
      </c>
      <c r="N540" s="29">
        <v>0.02</v>
      </c>
      <c r="O540" s="27" t="s">
        <v>131</v>
      </c>
      <c r="P540" s="30" t="s">
        <v>131</v>
      </c>
      <c r="Q540" s="31">
        <v>2646923812.79</v>
      </c>
      <c r="R540" s="31">
        <v>1466.72</v>
      </c>
      <c r="S540" s="32">
        <v>5.9259999999999998E-3</v>
      </c>
      <c r="T540" s="32" t="s">
        <v>139</v>
      </c>
      <c r="U540" s="32">
        <v>6.5539999999999999E-3</v>
      </c>
      <c r="V540" s="32">
        <v>3.1681000000000001E-2</v>
      </c>
      <c r="W540" s="32">
        <v>1.9178000000000001E-2</v>
      </c>
      <c r="X540" s="32">
        <v>3.1800000000000001E-3</v>
      </c>
      <c r="Y540" s="32">
        <v>-4.811E-2</v>
      </c>
      <c r="Z540" s="32">
        <v>0.18303900000000001</v>
      </c>
      <c r="AA540" s="32">
        <v>0.34296599999999999</v>
      </c>
      <c r="AB540" s="32">
        <v>0.32624399999999998</v>
      </c>
    </row>
    <row r="541" spans="1:28" ht="15.6" customHeight="1" x14ac:dyDescent="0.25">
      <c r="A541" s="24" t="s">
        <v>886</v>
      </c>
      <c r="B541" s="50">
        <v>4173</v>
      </c>
      <c r="C541" s="25" t="s">
        <v>887</v>
      </c>
      <c r="D541" s="25" t="s">
        <v>127</v>
      </c>
      <c r="E541" s="25" t="s">
        <v>194</v>
      </c>
      <c r="F541" s="25" t="s">
        <v>138</v>
      </c>
      <c r="G541" s="26" t="s">
        <v>139</v>
      </c>
      <c r="H541" s="27" t="s">
        <v>283</v>
      </c>
      <c r="I541" s="24" t="s">
        <v>106</v>
      </c>
      <c r="J541" s="24" t="s">
        <v>107</v>
      </c>
      <c r="K541" s="28" t="s">
        <v>227</v>
      </c>
      <c r="L541" s="29">
        <v>0.02</v>
      </c>
      <c r="M541" s="29">
        <v>0.02</v>
      </c>
      <c r="N541" s="29">
        <v>0.02</v>
      </c>
      <c r="O541" s="27" t="s">
        <v>131</v>
      </c>
      <c r="P541" s="30" t="s">
        <v>131</v>
      </c>
      <c r="Q541" s="31">
        <v>211365639.72</v>
      </c>
      <c r="R541" s="31">
        <v>1501.26</v>
      </c>
      <c r="S541" s="32">
        <v>1.7347999999999999E-2</v>
      </c>
      <c r="T541" s="32" t="s">
        <v>139</v>
      </c>
      <c r="U541" s="32">
        <v>6.8269999999999997E-3</v>
      </c>
      <c r="V541" s="32">
        <v>3.3078999999999997E-2</v>
      </c>
      <c r="W541" s="32">
        <v>2.1981000000000001E-2</v>
      </c>
      <c r="X541" s="32">
        <v>1.3658999999999999E-2</v>
      </c>
      <c r="Y541" s="32">
        <v>-3.1807000000000002E-2</v>
      </c>
      <c r="Z541" s="32">
        <v>0.19960700000000001</v>
      </c>
      <c r="AA541" s="32">
        <v>0.36353000000000002</v>
      </c>
      <c r="AB541" s="32">
        <v>0.35742699999999999</v>
      </c>
    </row>
    <row r="542" spans="1:28" ht="15.6" customHeight="1" x14ac:dyDescent="0.25">
      <c r="A542" s="24" t="s">
        <v>888</v>
      </c>
      <c r="B542" s="50">
        <v>4174</v>
      </c>
      <c r="C542" s="25" t="s">
        <v>889</v>
      </c>
      <c r="D542" s="25" t="s">
        <v>127</v>
      </c>
      <c r="E542" s="25" t="s">
        <v>194</v>
      </c>
      <c r="F542" s="25" t="s">
        <v>103</v>
      </c>
      <c r="G542" s="26" t="s">
        <v>216</v>
      </c>
      <c r="H542" s="27" t="s">
        <v>806</v>
      </c>
      <c r="I542" s="24" t="s">
        <v>106</v>
      </c>
      <c r="J542" s="24" t="s">
        <v>107</v>
      </c>
      <c r="K542" s="28" t="s">
        <v>108</v>
      </c>
      <c r="L542" s="29">
        <v>0</v>
      </c>
      <c r="M542" s="29">
        <v>0</v>
      </c>
      <c r="N542" s="29">
        <v>0.02</v>
      </c>
      <c r="O542" s="27" t="s">
        <v>131</v>
      </c>
      <c r="P542" s="30" t="s">
        <v>131</v>
      </c>
      <c r="Q542" s="31">
        <v>223835536.81999999</v>
      </c>
      <c r="R542" s="31">
        <v>1151.76</v>
      </c>
      <c r="S542" s="32">
        <v>1.2633999999999999E-2</v>
      </c>
      <c r="T542" s="32" t="s">
        <v>139</v>
      </c>
      <c r="U542" s="32">
        <v>4.0000000000000002E-4</v>
      </c>
      <c r="V542" s="32">
        <v>1.565E-3</v>
      </c>
      <c r="W542" s="32">
        <v>4.895E-3</v>
      </c>
      <c r="X542" s="32">
        <v>9.7669999999999996E-3</v>
      </c>
      <c r="Y542" s="32">
        <v>1.8814999999999998E-2</v>
      </c>
      <c r="Z542" s="32">
        <v>4.1638000000000001E-2</v>
      </c>
      <c r="AA542" s="32">
        <v>7.2942000000000007E-2</v>
      </c>
      <c r="AB542" s="32">
        <v>0.112371</v>
      </c>
    </row>
    <row r="543" spans="1:28" ht="15.6" customHeight="1" x14ac:dyDescent="0.25">
      <c r="A543" s="24" t="s">
        <v>1611</v>
      </c>
      <c r="B543" s="50">
        <v>4177</v>
      </c>
      <c r="C543" s="25" t="s">
        <v>1612</v>
      </c>
      <c r="D543" s="25" t="s">
        <v>164</v>
      </c>
      <c r="E543" s="25" t="s">
        <v>194</v>
      </c>
      <c r="F543" s="25" t="s">
        <v>155</v>
      </c>
      <c r="G543" s="26" t="s">
        <v>139</v>
      </c>
      <c r="H543" s="27" t="s">
        <v>156</v>
      </c>
      <c r="I543" s="24" t="s">
        <v>998</v>
      </c>
      <c r="J543" s="24" t="s">
        <v>121</v>
      </c>
      <c r="K543" s="28" t="s">
        <v>180</v>
      </c>
      <c r="L543" s="29">
        <v>0</v>
      </c>
      <c r="M543" s="29">
        <v>0</v>
      </c>
      <c r="N543" s="29">
        <v>0.02</v>
      </c>
      <c r="O543" s="27" t="s">
        <v>166</v>
      </c>
      <c r="P543" s="30" t="s">
        <v>627</v>
      </c>
      <c r="Q543" s="31">
        <v>276781175.35000002</v>
      </c>
      <c r="R543" s="31">
        <v>1725.85</v>
      </c>
      <c r="S543" s="32">
        <v>8.7334999999999996E-2</v>
      </c>
      <c r="T543" s="32" t="s">
        <v>139</v>
      </c>
      <c r="U543" s="32">
        <v>1.6725E-2</v>
      </c>
      <c r="V543" s="32">
        <v>8.4839999999999999E-2</v>
      </c>
      <c r="W543" s="32">
        <v>6.9439000000000001E-2</v>
      </c>
      <c r="X543" s="32">
        <v>7.0733000000000004E-2</v>
      </c>
      <c r="Y543" s="32">
        <v>-1.0407E-2</v>
      </c>
      <c r="Z543" s="32">
        <v>0.39305299999999999</v>
      </c>
      <c r="AA543" s="32">
        <v>0.57045999999999997</v>
      </c>
      <c r="AB543" s="32">
        <v>0.47846899999999998</v>
      </c>
    </row>
    <row r="544" spans="1:28" ht="15.6" customHeight="1" x14ac:dyDescent="0.25">
      <c r="A544" s="24" t="s">
        <v>1613</v>
      </c>
      <c r="B544" s="50">
        <v>4178</v>
      </c>
      <c r="C544" s="25" t="s">
        <v>1614</v>
      </c>
      <c r="D544" s="25" t="s">
        <v>164</v>
      </c>
      <c r="E544" s="25" t="s">
        <v>194</v>
      </c>
      <c r="F544" s="25" t="s">
        <v>138</v>
      </c>
      <c r="G544" s="26" t="s">
        <v>139</v>
      </c>
      <c r="H544" s="27" t="s">
        <v>1615</v>
      </c>
      <c r="I544" s="24" t="s">
        <v>998</v>
      </c>
      <c r="J544" s="24" t="s">
        <v>121</v>
      </c>
      <c r="K544" s="28" t="s">
        <v>108</v>
      </c>
      <c r="L544" s="29">
        <v>0.03</v>
      </c>
      <c r="M544" s="29">
        <v>1.4999999999999999E-2</v>
      </c>
      <c r="N544" s="29">
        <v>0.02</v>
      </c>
      <c r="O544" s="27" t="s">
        <v>166</v>
      </c>
      <c r="P544" s="30" t="s">
        <v>164</v>
      </c>
      <c r="Q544" s="31">
        <v>254577827.22999999</v>
      </c>
      <c r="R544" s="31">
        <v>1373.16</v>
      </c>
      <c r="S544" s="32">
        <v>5.6959999999999997E-2</v>
      </c>
      <c r="T544" s="32" t="s">
        <v>139</v>
      </c>
      <c r="U544" s="32">
        <v>1.0628E-2</v>
      </c>
      <c r="V544" s="32">
        <v>4.6471999999999999E-2</v>
      </c>
      <c r="W544" s="32">
        <v>3.5354999999999998E-2</v>
      </c>
      <c r="X544" s="32">
        <v>4.7071000000000002E-2</v>
      </c>
      <c r="Y544" s="32">
        <v>1.7065E-2</v>
      </c>
      <c r="Z544" s="32">
        <v>0.23402400000000001</v>
      </c>
      <c r="AA544" s="32">
        <v>0.35068500000000002</v>
      </c>
      <c r="AB544" s="32">
        <v>0.36507899999999999</v>
      </c>
    </row>
    <row r="545" spans="1:28" ht="15.6" customHeight="1" x14ac:dyDescent="0.25">
      <c r="A545" s="24" t="s">
        <v>890</v>
      </c>
      <c r="B545" s="50">
        <v>4181</v>
      </c>
      <c r="C545" s="25" t="s">
        <v>891</v>
      </c>
      <c r="D545" s="25" t="s">
        <v>101</v>
      </c>
      <c r="E545" s="25" t="s">
        <v>194</v>
      </c>
      <c r="F545" s="25" t="s">
        <v>103</v>
      </c>
      <c r="G545" s="26" t="s">
        <v>244</v>
      </c>
      <c r="H545" s="27" t="s">
        <v>337</v>
      </c>
      <c r="I545" s="24" t="s">
        <v>106</v>
      </c>
      <c r="J545" s="24" t="s">
        <v>107</v>
      </c>
      <c r="K545" s="28" t="s">
        <v>108</v>
      </c>
      <c r="L545" s="29">
        <v>0</v>
      </c>
      <c r="M545" s="29">
        <v>0</v>
      </c>
      <c r="N545" s="29">
        <v>0.02</v>
      </c>
      <c r="O545" s="27" t="s">
        <v>109</v>
      </c>
      <c r="P545" s="30" t="s">
        <v>101</v>
      </c>
      <c r="Q545" s="31">
        <v>541364730.75</v>
      </c>
      <c r="R545" s="31">
        <v>14665.81</v>
      </c>
      <c r="S545" s="32">
        <v>1.434E-2</v>
      </c>
      <c r="T545" s="32" t="s">
        <v>139</v>
      </c>
      <c r="U545" s="32">
        <v>5.3600000000000002E-4</v>
      </c>
      <c r="V545" s="32">
        <v>1.8799999999999999E-3</v>
      </c>
      <c r="W545" s="32">
        <v>5.9170000000000004E-3</v>
      </c>
      <c r="X545" s="32">
        <v>1.1346999999999999E-2</v>
      </c>
      <c r="Y545" s="32">
        <v>2.0927000000000001E-2</v>
      </c>
      <c r="Z545" s="32">
        <v>4.5879999999999997E-2</v>
      </c>
      <c r="AA545" s="32">
        <v>7.5724E-2</v>
      </c>
      <c r="AB545" s="32">
        <v>0.109414</v>
      </c>
    </row>
    <row r="546" spans="1:28" ht="15.6" customHeight="1" x14ac:dyDescent="0.25">
      <c r="A546" s="24" t="s">
        <v>1616</v>
      </c>
      <c r="B546" s="50">
        <v>4182</v>
      </c>
      <c r="C546" s="25" t="s">
        <v>1617</v>
      </c>
      <c r="D546" s="25" t="s">
        <v>101</v>
      </c>
      <c r="E546" s="25" t="s">
        <v>194</v>
      </c>
      <c r="F546" s="25" t="s">
        <v>113</v>
      </c>
      <c r="G546" s="26" t="s">
        <v>151</v>
      </c>
      <c r="H546" s="27" t="s">
        <v>839</v>
      </c>
      <c r="I546" s="24" t="s">
        <v>998</v>
      </c>
      <c r="J546" s="24" t="s">
        <v>107</v>
      </c>
      <c r="K546" s="28" t="s">
        <v>227</v>
      </c>
      <c r="L546" s="29">
        <v>0</v>
      </c>
      <c r="M546" s="29">
        <v>0</v>
      </c>
      <c r="N546" s="29">
        <v>0.02</v>
      </c>
      <c r="O546" s="27" t="s">
        <v>109</v>
      </c>
      <c r="P546" s="30" t="s">
        <v>101</v>
      </c>
      <c r="Q546" s="31">
        <v>70459420.849999994</v>
      </c>
      <c r="R546" s="31">
        <v>16031.7</v>
      </c>
      <c r="S546" s="32">
        <v>5.8900000000000001E-4</v>
      </c>
      <c r="T546" s="32" t="s">
        <v>139</v>
      </c>
      <c r="U546" s="32">
        <v>1.09E-3</v>
      </c>
      <c r="V546" s="32">
        <v>6.1050000000000002E-3</v>
      </c>
      <c r="W546" s="32">
        <v>6.2839999999999997E-3</v>
      </c>
      <c r="X546" s="32">
        <v>1.825E-3</v>
      </c>
      <c r="Y546" s="32">
        <v>-7.0460000000000002E-3</v>
      </c>
      <c r="Z546" s="32">
        <v>6.2572000000000003E-2</v>
      </c>
      <c r="AA546" s="32">
        <v>0.13017599999999999</v>
      </c>
      <c r="AB546" s="32">
        <v>8.5324999999999998E-2</v>
      </c>
    </row>
    <row r="547" spans="1:28" ht="15.6" customHeight="1" x14ac:dyDescent="0.25">
      <c r="A547" s="24" t="s">
        <v>1618</v>
      </c>
      <c r="B547" s="50">
        <v>4183</v>
      </c>
      <c r="C547" s="25" t="s">
        <v>1619</v>
      </c>
      <c r="D547" s="25" t="s">
        <v>101</v>
      </c>
      <c r="E547" s="25" t="s">
        <v>194</v>
      </c>
      <c r="F547" s="25" t="s">
        <v>113</v>
      </c>
      <c r="G547" s="26" t="s">
        <v>198</v>
      </c>
      <c r="H547" s="27" t="s">
        <v>120</v>
      </c>
      <c r="I547" s="24" t="s">
        <v>998</v>
      </c>
      <c r="J547" s="24" t="s">
        <v>107</v>
      </c>
      <c r="K547" s="28" t="s">
        <v>108</v>
      </c>
      <c r="L547" s="29">
        <v>0</v>
      </c>
      <c r="M547" s="29">
        <v>0</v>
      </c>
      <c r="N547" s="29">
        <v>0.02</v>
      </c>
      <c r="O547" s="27" t="s">
        <v>109</v>
      </c>
      <c r="P547" s="30" t="s">
        <v>101</v>
      </c>
      <c r="Q547" s="31">
        <v>53784639.289999999</v>
      </c>
      <c r="R547" s="31">
        <v>19240.349999999999</v>
      </c>
      <c r="S547" s="32">
        <v>1.0621999999999999E-2</v>
      </c>
      <c r="T547" s="32" t="s">
        <v>139</v>
      </c>
      <c r="U547" s="32">
        <v>9.6599999999999995E-4</v>
      </c>
      <c r="V547" s="32">
        <v>2.5590000000000001E-3</v>
      </c>
      <c r="W547" s="32">
        <v>5.398E-3</v>
      </c>
      <c r="X547" s="32">
        <v>9.6579999999999999E-3</v>
      </c>
      <c r="Y547" s="32">
        <v>1.2498E-2</v>
      </c>
      <c r="Z547" s="32">
        <v>5.5114999999999997E-2</v>
      </c>
      <c r="AA547" s="32">
        <v>0.104918</v>
      </c>
      <c r="AB547" s="32">
        <v>0.113915</v>
      </c>
    </row>
    <row r="548" spans="1:28" ht="15.6" customHeight="1" x14ac:dyDescent="0.25">
      <c r="A548" s="24" t="s">
        <v>892</v>
      </c>
      <c r="B548" s="50">
        <v>4184</v>
      </c>
      <c r="C548" s="25" t="s">
        <v>893</v>
      </c>
      <c r="D548" s="25" t="s">
        <v>101</v>
      </c>
      <c r="E548" s="25" t="s">
        <v>194</v>
      </c>
      <c r="F548" s="25" t="s">
        <v>128</v>
      </c>
      <c r="G548" s="26" t="s">
        <v>289</v>
      </c>
      <c r="H548" s="27" t="s">
        <v>130</v>
      </c>
      <c r="I548" s="24" t="s">
        <v>106</v>
      </c>
      <c r="J548" s="24" t="s">
        <v>107</v>
      </c>
      <c r="K548" s="28" t="s">
        <v>108</v>
      </c>
      <c r="L548" s="29">
        <v>0</v>
      </c>
      <c r="M548" s="29">
        <v>0</v>
      </c>
      <c r="N548" s="29">
        <v>0.02</v>
      </c>
      <c r="O548" s="27" t="s">
        <v>109</v>
      </c>
      <c r="P548" s="30" t="s">
        <v>101</v>
      </c>
      <c r="Q548" s="31">
        <v>993175299.27999997</v>
      </c>
      <c r="R548" s="31">
        <v>126.55</v>
      </c>
      <c r="S548" s="32">
        <v>1.6711E-2</v>
      </c>
      <c r="T548" s="32" t="s">
        <v>139</v>
      </c>
      <c r="U548" s="32">
        <v>7.1199999999999996E-4</v>
      </c>
      <c r="V548" s="32">
        <v>2.297E-3</v>
      </c>
      <c r="W548" s="32">
        <v>7.1630000000000001E-3</v>
      </c>
      <c r="X548" s="32">
        <v>1.3211000000000001E-2</v>
      </c>
      <c r="Y548" s="32">
        <v>2.3866999999999999E-2</v>
      </c>
      <c r="Z548" s="32">
        <v>5.7491E-2</v>
      </c>
      <c r="AA548" s="32">
        <v>9.6430000000000002E-2</v>
      </c>
      <c r="AB548" s="32">
        <v>0.13284399999999999</v>
      </c>
    </row>
    <row r="549" spans="1:28" ht="15.6" customHeight="1" x14ac:dyDescent="0.25">
      <c r="A549" s="24" t="s">
        <v>894</v>
      </c>
      <c r="B549" s="50">
        <v>4185</v>
      </c>
      <c r="C549" s="25" t="s">
        <v>895</v>
      </c>
      <c r="D549" s="25" t="s">
        <v>101</v>
      </c>
      <c r="E549" s="25" t="s">
        <v>194</v>
      </c>
      <c r="F549" s="25" t="s">
        <v>138</v>
      </c>
      <c r="G549" s="26" t="s">
        <v>139</v>
      </c>
      <c r="H549" s="27" t="s">
        <v>896</v>
      </c>
      <c r="I549" s="24" t="s">
        <v>106</v>
      </c>
      <c r="J549" s="24" t="s">
        <v>107</v>
      </c>
      <c r="K549" s="28" t="s">
        <v>108</v>
      </c>
      <c r="L549" s="29">
        <v>2E-3</v>
      </c>
      <c r="M549" s="29">
        <v>9.0000000000000011E-3</v>
      </c>
      <c r="N549" s="29">
        <v>0.02</v>
      </c>
      <c r="O549" s="27" t="s">
        <v>109</v>
      </c>
      <c r="P549" s="30" t="s">
        <v>101</v>
      </c>
      <c r="Q549" s="31">
        <v>205611846.44</v>
      </c>
      <c r="R549" s="31">
        <v>15775.17</v>
      </c>
      <c r="S549" s="32">
        <v>-9.0240000000000008E-3</v>
      </c>
      <c r="T549" s="32" t="s">
        <v>139</v>
      </c>
      <c r="U549" s="32">
        <v>6.7349999999999997E-3</v>
      </c>
      <c r="V549" s="32">
        <v>3.2117E-2</v>
      </c>
      <c r="W549" s="32">
        <v>2.3632E-2</v>
      </c>
      <c r="X549" s="32">
        <v>-1.879E-3</v>
      </c>
      <c r="Y549" s="32">
        <v>-4.6212999999999997E-2</v>
      </c>
      <c r="Z549" s="32">
        <v>6.4491000000000007E-2</v>
      </c>
      <c r="AA549" s="32">
        <v>0.14888399999999999</v>
      </c>
      <c r="AB549" s="32">
        <v>0.12654699999999999</v>
      </c>
    </row>
    <row r="550" spans="1:28" ht="15.6" customHeight="1" x14ac:dyDescent="0.25">
      <c r="A550" s="24" t="s">
        <v>1620</v>
      </c>
      <c r="B550" s="50">
        <v>4186</v>
      </c>
      <c r="C550" s="25" t="s">
        <v>1621</v>
      </c>
      <c r="D550" s="25" t="s">
        <v>101</v>
      </c>
      <c r="E550" s="25" t="s">
        <v>194</v>
      </c>
      <c r="F550" s="25" t="s">
        <v>138</v>
      </c>
      <c r="G550" s="26" t="s">
        <v>139</v>
      </c>
      <c r="H550" s="27" t="s">
        <v>1622</v>
      </c>
      <c r="I550" s="24" t="s">
        <v>998</v>
      </c>
      <c r="J550" s="24" t="s">
        <v>107</v>
      </c>
      <c r="K550" s="28" t="s">
        <v>227</v>
      </c>
      <c r="L550" s="29">
        <v>0.03</v>
      </c>
      <c r="M550" s="29">
        <v>1.4999999999999999E-2</v>
      </c>
      <c r="N550" s="29">
        <v>0.02</v>
      </c>
      <c r="O550" s="27" t="s">
        <v>109</v>
      </c>
      <c r="P550" s="30" t="s">
        <v>101</v>
      </c>
      <c r="Q550" s="31">
        <v>144869657.99000001</v>
      </c>
      <c r="R550" s="31">
        <v>15666.08</v>
      </c>
      <c r="S550" s="32">
        <v>-7.3200000000000001E-4</v>
      </c>
      <c r="T550" s="32" t="s">
        <v>139</v>
      </c>
      <c r="U550" s="32">
        <v>2.3089999999999999E-3</v>
      </c>
      <c r="V550" s="32">
        <v>6.9670000000000001E-3</v>
      </c>
      <c r="W550" s="32">
        <v>7.5859999999999999E-3</v>
      </c>
      <c r="X550" s="32">
        <v>2.6999999999999999E-5</v>
      </c>
      <c r="Y550" s="32">
        <v>-3.653E-3</v>
      </c>
      <c r="Z550" s="32">
        <v>8.4902000000000005E-2</v>
      </c>
      <c r="AA550" s="32">
        <v>0.16753699999999999</v>
      </c>
      <c r="AB550" s="32">
        <v>0.16511799999999999</v>
      </c>
    </row>
    <row r="551" spans="1:28" ht="15.6" customHeight="1" x14ac:dyDescent="0.25">
      <c r="A551" s="24" t="s">
        <v>897</v>
      </c>
      <c r="B551" s="50">
        <v>4187</v>
      </c>
      <c r="C551" s="25" t="s">
        <v>898</v>
      </c>
      <c r="D551" s="25" t="s">
        <v>101</v>
      </c>
      <c r="E551" s="25" t="s">
        <v>194</v>
      </c>
      <c r="F551" s="25" t="s">
        <v>155</v>
      </c>
      <c r="G551" s="26" t="s">
        <v>139</v>
      </c>
      <c r="H551" s="27" t="s">
        <v>156</v>
      </c>
      <c r="I551" s="24" t="s">
        <v>106</v>
      </c>
      <c r="J551" s="24" t="s">
        <v>107</v>
      </c>
      <c r="K551" s="28" t="s">
        <v>108</v>
      </c>
      <c r="L551" s="29">
        <v>2E-3</v>
      </c>
      <c r="M551" s="29">
        <v>1E-3</v>
      </c>
      <c r="N551" s="29">
        <v>0.02</v>
      </c>
      <c r="O551" s="27" t="s">
        <v>109</v>
      </c>
      <c r="P551" s="30" t="s">
        <v>101</v>
      </c>
      <c r="Q551" s="31">
        <v>249331823.50999999</v>
      </c>
      <c r="R551" s="31">
        <v>23454.76</v>
      </c>
      <c r="S551" s="32">
        <v>1.2423E-2</v>
      </c>
      <c r="T551" s="32" t="s">
        <v>139</v>
      </c>
      <c r="U551" s="32">
        <v>1.4251E-2</v>
      </c>
      <c r="V551" s="32">
        <v>7.4548000000000003E-2</v>
      </c>
      <c r="W551" s="32">
        <v>6.2824000000000005E-2</v>
      </c>
      <c r="X551" s="32">
        <v>1.4848999999999999E-2</v>
      </c>
      <c r="Y551" s="32">
        <v>-8.5780999999999996E-2</v>
      </c>
      <c r="Z551" s="32">
        <v>0.32426199999999999</v>
      </c>
      <c r="AA551" s="32">
        <v>0.55229899999999998</v>
      </c>
      <c r="AB551" s="32">
        <v>0.52643499999999999</v>
      </c>
    </row>
    <row r="552" spans="1:28" ht="15.6" customHeight="1" x14ac:dyDescent="0.25">
      <c r="A552" s="24" t="s">
        <v>1623</v>
      </c>
      <c r="B552" s="50">
        <v>4188</v>
      </c>
      <c r="C552" s="25" t="s">
        <v>1624</v>
      </c>
      <c r="D552" s="25" t="s">
        <v>101</v>
      </c>
      <c r="E552" s="25" t="s">
        <v>194</v>
      </c>
      <c r="F552" s="25" t="s">
        <v>155</v>
      </c>
      <c r="G552" s="26" t="s">
        <v>139</v>
      </c>
      <c r="H552" s="27" t="s">
        <v>156</v>
      </c>
      <c r="I552" s="24" t="s">
        <v>998</v>
      </c>
      <c r="J552" s="24" t="s">
        <v>107</v>
      </c>
      <c r="K552" s="28" t="s">
        <v>180</v>
      </c>
      <c r="L552" s="29">
        <v>2E-3</v>
      </c>
      <c r="M552" s="29">
        <v>1E-3</v>
      </c>
      <c r="N552" s="29">
        <v>0.02</v>
      </c>
      <c r="O552" s="27" t="s">
        <v>109</v>
      </c>
      <c r="P552" s="30" t="s">
        <v>101</v>
      </c>
      <c r="Q552" s="31">
        <v>267459690.24000001</v>
      </c>
      <c r="R552" s="31">
        <v>16452.900000000001</v>
      </c>
      <c r="S552" s="32">
        <v>2.7467999999999999E-2</v>
      </c>
      <c r="T552" s="32" t="s">
        <v>139</v>
      </c>
      <c r="U552" s="32">
        <v>1.4121E-2</v>
      </c>
      <c r="V552" s="32">
        <v>8.2230999999999999E-2</v>
      </c>
      <c r="W552" s="32">
        <v>5.1589999999999997E-2</v>
      </c>
      <c r="X552" s="32">
        <v>3.2181000000000001E-2</v>
      </c>
      <c r="Y552" s="32">
        <v>-4.8292000000000002E-2</v>
      </c>
      <c r="Z552" s="32">
        <v>0.19140499999999999</v>
      </c>
      <c r="AA552" s="32">
        <v>0.33306999999999998</v>
      </c>
      <c r="AB552" s="32">
        <v>0.302006</v>
      </c>
    </row>
    <row r="553" spans="1:28" ht="15.6" customHeight="1" x14ac:dyDescent="0.25">
      <c r="A553" s="24" t="s">
        <v>899</v>
      </c>
      <c r="B553" s="50">
        <v>4189</v>
      </c>
      <c r="C553" s="25" t="s">
        <v>900</v>
      </c>
      <c r="D553" s="25" t="s">
        <v>101</v>
      </c>
      <c r="E553" s="25" t="s">
        <v>194</v>
      </c>
      <c r="F553" s="25" t="s">
        <v>103</v>
      </c>
      <c r="G553" s="26" t="s">
        <v>392</v>
      </c>
      <c r="H553" s="27" t="s">
        <v>217</v>
      </c>
      <c r="I553" s="24" t="s">
        <v>106</v>
      </c>
      <c r="J553" s="24" t="s">
        <v>107</v>
      </c>
      <c r="K553" s="28" t="s">
        <v>108</v>
      </c>
      <c r="L553" s="29">
        <v>0</v>
      </c>
      <c r="M553" s="29">
        <v>0</v>
      </c>
      <c r="N553" s="29">
        <v>0.02</v>
      </c>
      <c r="O553" s="27" t="s">
        <v>109</v>
      </c>
      <c r="P553" s="30" t="s">
        <v>101</v>
      </c>
      <c r="Q553" s="31">
        <v>275720311.18000001</v>
      </c>
      <c r="R553" s="31">
        <v>146407.57999999999</v>
      </c>
      <c r="S553" s="32">
        <v>1.7484E-2</v>
      </c>
      <c r="T553" s="32" t="s">
        <v>139</v>
      </c>
      <c r="U553" s="32">
        <v>5.0000000000000001E-4</v>
      </c>
      <c r="V553" s="32">
        <v>2.6710000000000002E-3</v>
      </c>
      <c r="W553" s="32">
        <v>7.4009999999999996E-3</v>
      </c>
      <c r="X553" s="32">
        <v>1.4194E-2</v>
      </c>
      <c r="Y553" s="32">
        <v>2.6147E-2</v>
      </c>
      <c r="Z553" s="32">
        <v>5.4269999999999999E-2</v>
      </c>
      <c r="AA553" s="32">
        <v>8.3787E-2</v>
      </c>
      <c r="AB553" s="32">
        <v>0.117128</v>
      </c>
    </row>
    <row r="554" spans="1:28" ht="15.6" customHeight="1" x14ac:dyDescent="0.25">
      <c r="A554" s="24" t="s">
        <v>901</v>
      </c>
      <c r="B554" s="50">
        <v>4193</v>
      </c>
      <c r="C554" s="25" t="s">
        <v>902</v>
      </c>
      <c r="D554" s="25" t="s">
        <v>127</v>
      </c>
      <c r="E554" s="25" t="s">
        <v>194</v>
      </c>
      <c r="F554" s="25" t="s">
        <v>103</v>
      </c>
      <c r="G554" s="26" t="s">
        <v>392</v>
      </c>
      <c r="H554" s="27" t="s">
        <v>903</v>
      </c>
      <c r="I554" s="24" t="s">
        <v>106</v>
      </c>
      <c r="J554" s="24" t="s">
        <v>107</v>
      </c>
      <c r="K554" s="28" t="s">
        <v>108</v>
      </c>
      <c r="L554" s="29">
        <v>0.02</v>
      </c>
      <c r="M554" s="29">
        <v>0.02</v>
      </c>
      <c r="N554" s="29">
        <v>0.02</v>
      </c>
      <c r="O554" s="27" t="s">
        <v>131</v>
      </c>
      <c r="P554" s="30" t="s">
        <v>131</v>
      </c>
      <c r="Q554" s="31">
        <v>132276205.84</v>
      </c>
      <c r="R554" s="31">
        <v>1176.5899999999999</v>
      </c>
      <c r="S554" s="32">
        <v>1.3219E-2</v>
      </c>
      <c r="T554" s="32" t="s">
        <v>139</v>
      </c>
      <c r="U554" s="32">
        <v>4.5899999999999999E-4</v>
      </c>
      <c r="V554" s="32">
        <v>1.72E-3</v>
      </c>
      <c r="W554" s="32">
        <v>5.1859999999999996E-3</v>
      </c>
      <c r="X554" s="32">
        <v>1.0295E-2</v>
      </c>
      <c r="Y554" s="32">
        <v>1.9125E-2</v>
      </c>
      <c r="Z554" s="32">
        <v>4.1396000000000002E-2</v>
      </c>
      <c r="AA554" s="32">
        <v>7.0755999999999999E-2</v>
      </c>
      <c r="AB554" s="32">
        <v>0.15148800000000001</v>
      </c>
    </row>
    <row r="555" spans="1:28" ht="15.6" customHeight="1" x14ac:dyDescent="0.25">
      <c r="A555" s="24" t="s">
        <v>1625</v>
      </c>
      <c r="B555" s="50">
        <v>4194</v>
      </c>
      <c r="C555" s="25" t="s">
        <v>1626</v>
      </c>
      <c r="D555" s="25" t="s">
        <v>127</v>
      </c>
      <c r="E555" s="25" t="s">
        <v>194</v>
      </c>
      <c r="F555" s="25" t="s">
        <v>113</v>
      </c>
      <c r="G555" s="26" t="s">
        <v>1627</v>
      </c>
      <c r="H555" s="27" t="s">
        <v>115</v>
      </c>
      <c r="I555" s="24" t="s">
        <v>998</v>
      </c>
      <c r="J555" s="24" t="s">
        <v>107</v>
      </c>
      <c r="K555" s="28" t="s">
        <v>108</v>
      </c>
      <c r="L555" s="29">
        <v>0.03</v>
      </c>
      <c r="M555" s="29">
        <v>0.03</v>
      </c>
      <c r="N555" s="29">
        <v>0.02</v>
      </c>
      <c r="O555" s="27" t="s">
        <v>131</v>
      </c>
      <c r="P555" s="30" t="s">
        <v>131</v>
      </c>
      <c r="Q555" s="31">
        <v>1342790.24</v>
      </c>
      <c r="R555" s="31">
        <v>1136.58</v>
      </c>
      <c r="S555" s="32">
        <v>9.3419999999999996E-3</v>
      </c>
      <c r="T555" s="32" t="s">
        <v>139</v>
      </c>
      <c r="U555" s="32">
        <v>7.9199999999999995E-4</v>
      </c>
      <c r="V555" s="32">
        <v>1.7979999999999999E-3</v>
      </c>
      <c r="W555" s="32">
        <v>4.6670000000000001E-3</v>
      </c>
      <c r="X555" s="32">
        <v>6.7499999999999999E-3</v>
      </c>
      <c r="Y555" s="32">
        <v>1.0553999999999999E-2</v>
      </c>
      <c r="Z555" s="32">
        <v>5.0016999999999999E-2</v>
      </c>
      <c r="AA555" s="32">
        <v>9.7212000000000007E-2</v>
      </c>
      <c r="AB555" s="32">
        <v>0.13505900000000001</v>
      </c>
    </row>
    <row r="556" spans="1:28" ht="15.6" customHeight="1" x14ac:dyDescent="0.25">
      <c r="A556" s="24" t="s">
        <v>1628</v>
      </c>
      <c r="B556" s="50">
        <v>4195</v>
      </c>
      <c r="C556" s="25" t="s">
        <v>1629</v>
      </c>
      <c r="D556" s="25" t="s">
        <v>127</v>
      </c>
      <c r="E556" s="25" t="s">
        <v>194</v>
      </c>
      <c r="F556" s="25" t="s">
        <v>155</v>
      </c>
      <c r="G556" s="26" t="s">
        <v>139</v>
      </c>
      <c r="H556" s="27" t="s">
        <v>156</v>
      </c>
      <c r="I556" s="24" t="s">
        <v>998</v>
      </c>
      <c r="J556" s="24" t="s">
        <v>107</v>
      </c>
      <c r="K556" s="28" t="s">
        <v>108</v>
      </c>
      <c r="L556" s="29">
        <v>0.03</v>
      </c>
      <c r="M556" s="29">
        <v>0.03</v>
      </c>
      <c r="N556" s="29">
        <v>0.02</v>
      </c>
      <c r="O556" s="27" t="s">
        <v>131</v>
      </c>
      <c r="P556" s="30" t="s">
        <v>131</v>
      </c>
      <c r="Q556" s="31">
        <v>148102049.81999999</v>
      </c>
      <c r="R556" s="31">
        <v>171.03</v>
      </c>
      <c r="S556" s="32">
        <v>1.2132E-2</v>
      </c>
      <c r="T556" s="32" t="s">
        <v>139</v>
      </c>
      <c r="U556" s="32">
        <v>1.4774000000000001E-2</v>
      </c>
      <c r="V556" s="32">
        <v>7.3230000000000003E-2</v>
      </c>
      <c r="W556" s="32">
        <v>3.1731000000000002E-2</v>
      </c>
      <c r="X556" s="32">
        <v>1.0874999999999999E-2</v>
      </c>
      <c r="Y556" s="32">
        <v>-9.8132999999999998E-2</v>
      </c>
      <c r="Z556" s="32">
        <v>0.34193800000000002</v>
      </c>
      <c r="AA556" s="32">
        <v>0.66956300000000002</v>
      </c>
      <c r="AB556" s="32">
        <v>0.70162199999999997</v>
      </c>
    </row>
    <row r="557" spans="1:28" ht="15.6" customHeight="1" x14ac:dyDescent="0.25">
      <c r="A557" s="24" t="s">
        <v>904</v>
      </c>
      <c r="B557" s="50">
        <v>4196</v>
      </c>
      <c r="C557" s="25" t="s">
        <v>905</v>
      </c>
      <c r="D557" s="25" t="s">
        <v>127</v>
      </c>
      <c r="E557" s="25" t="s">
        <v>194</v>
      </c>
      <c r="F557" s="25" t="s">
        <v>103</v>
      </c>
      <c r="G557" s="26" t="s">
        <v>216</v>
      </c>
      <c r="H557" s="27" t="s">
        <v>188</v>
      </c>
      <c r="I557" s="24" t="s">
        <v>106</v>
      </c>
      <c r="J557" s="24" t="s">
        <v>107</v>
      </c>
      <c r="K557" s="28" t="s">
        <v>227</v>
      </c>
      <c r="L557" s="29">
        <v>0.02</v>
      </c>
      <c r="M557" s="29">
        <v>0.06</v>
      </c>
      <c r="N557" s="29">
        <v>5.0000000000000001E-3</v>
      </c>
      <c r="O557" s="27" t="s">
        <v>131</v>
      </c>
      <c r="P557" s="30" t="s">
        <v>131</v>
      </c>
      <c r="Q557" s="31">
        <v>106072324.09999999</v>
      </c>
      <c r="R557" s="31">
        <v>1018.47</v>
      </c>
      <c r="S557" s="32">
        <v>-1.1981E-2</v>
      </c>
      <c r="T557" s="32" t="s">
        <v>139</v>
      </c>
      <c r="U557" s="32">
        <v>5.1099999999999995E-4</v>
      </c>
      <c r="V557" s="32">
        <v>1.859E-3</v>
      </c>
      <c r="W557" s="32">
        <v>-2.0833999999999998E-2</v>
      </c>
      <c r="X557" s="32">
        <v>-1.5296000000000001E-2</v>
      </c>
      <c r="Y557" s="32">
        <v>-4.7099999999999998E-3</v>
      </c>
      <c r="Z557" s="32">
        <v>2.2474000000000001E-2</v>
      </c>
      <c r="AA557" s="32">
        <v>5.5474000000000002E-2</v>
      </c>
      <c r="AB557" s="32" t="s">
        <v>139</v>
      </c>
    </row>
    <row r="558" spans="1:28" ht="15.6" customHeight="1" x14ac:dyDescent="0.25">
      <c r="A558" s="24" t="s">
        <v>906</v>
      </c>
      <c r="B558" s="50">
        <v>4197</v>
      </c>
      <c r="C558" s="25" t="s">
        <v>907</v>
      </c>
      <c r="D558" s="25" t="s">
        <v>908</v>
      </c>
      <c r="E558" s="25" t="s">
        <v>194</v>
      </c>
      <c r="F558" s="25" t="s">
        <v>155</v>
      </c>
      <c r="G558" s="26" t="s">
        <v>139</v>
      </c>
      <c r="H558" s="27" t="s">
        <v>139</v>
      </c>
      <c r="I558" s="24" t="s">
        <v>106</v>
      </c>
      <c r="J558" s="24" t="s">
        <v>107</v>
      </c>
      <c r="K558" s="28" t="s">
        <v>227</v>
      </c>
      <c r="L558" s="29">
        <v>5.0000000000000001E-3</v>
      </c>
      <c r="M558" s="29">
        <v>5.0000000000000001E-3</v>
      </c>
      <c r="N558" s="29">
        <v>0.02</v>
      </c>
      <c r="O558" s="27" t="s">
        <v>166</v>
      </c>
      <c r="P558" s="30" t="s">
        <v>908</v>
      </c>
      <c r="Q558" s="31">
        <v>203801838.47</v>
      </c>
      <c r="R558" s="31">
        <v>157.96</v>
      </c>
      <c r="S558" s="32">
        <v>9.6944000000000002E-2</v>
      </c>
      <c r="T558" s="32" t="s">
        <v>139</v>
      </c>
      <c r="U558" s="32">
        <v>1.2824E-2</v>
      </c>
      <c r="V558" s="32">
        <v>7.9034999999999994E-2</v>
      </c>
      <c r="W558" s="32">
        <v>7.4557999999999999E-2</v>
      </c>
      <c r="X558" s="32">
        <v>7.4191999999999994E-2</v>
      </c>
      <c r="Y558" s="32">
        <v>1.89E-2</v>
      </c>
      <c r="Z558" s="32">
        <v>0.50454299999999996</v>
      </c>
      <c r="AA558" s="32">
        <v>0.70308300000000001</v>
      </c>
      <c r="AB558" s="32" t="s">
        <v>139</v>
      </c>
    </row>
    <row r="559" spans="1:28" ht="15.6" customHeight="1" x14ac:dyDescent="0.25">
      <c r="A559" s="24" t="s">
        <v>1630</v>
      </c>
      <c r="B559" s="50">
        <v>4198</v>
      </c>
      <c r="C559" s="25" t="s">
        <v>1631</v>
      </c>
      <c r="D559" s="25" t="s">
        <v>908</v>
      </c>
      <c r="E559" s="25" t="s">
        <v>194</v>
      </c>
      <c r="F559" s="25" t="s">
        <v>155</v>
      </c>
      <c r="G559" s="26" t="s">
        <v>139</v>
      </c>
      <c r="H559" s="27" t="s">
        <v>156</v>
      </c>
      <c r="I559" s="24" t="s">
        <v>998</v>
      </c>
      <c r="J559" s="24" t="s">
        <v>107</v>
      </c>
      <c r="K559" s="28" t="s">
        <v>108</v>
      </c>
      <c r="L559" s="29">
        <v>0.02</v>
      </c>
      <c r="M559" s="29">
        <v>1.4999999999999999E-2</v>
      </c>
      <c r="N559" s="29">
        <v>0.02</v>
      </c>
      <c r="O559" s="27" t="s">
        <v>262</v>
      </c>
      <c r="P559" s="30" t="s">
        <v>908</v>
      </c>
      <c r="Q559" s="31">
        <v>1540309075.0599999</v>
      </c>
      <c r="R559" s="31">
        <v>4607.6499999999996</v>
      </c>
      <c r="S559" s="32">
        <v>8.3227999999999996E-2</v>
      </c>
      <c r="T559" s="32" t="s">
        <v>139</v>
      </c>
      <c r="U559" s="32">
        <v>1.3042E-2</v>
      </c>
      <c r="V559" s="32">
        <v>6.8887000000000004E-2</v>
      </c>
      <c r="W559" s="32">
        <v>6.8525000000000003E-2</v>
      </c>
      <c r="X559" s="32">
        <v>5.5393999999999999E-2</v>
      </c>
      <c r="Y559" s="32">
        <v>-3.1220000000000002E-3</v>
      </c>
      <c r="Z559" s="32">
        <v>0.442772</v>
      </c>
      <c r="AA559" s="32">
        <v>0.71970900000000004</v>
      </c>
      <c r="AB559" s="32">
        <v>0.67699699999999996</v>
      </c>
    </row>
    <row r="560" spans="1:28" ht="15.6" customHeight="1" x14ac:dyDescent="0.25">
      <c r="A560" s="24" t="s">
        <v>909</v>
      </c>
      <c r="B560" s="50">
        <v>4199</v>
      </c>
      <c r="C560" s="25" t="s">
        <v>910</v>
      </c>
      <c r="D560" s="25" t="s">
        <v>908</v>
      </c>
      <c r="E560" s="25" t="s">
        <v>194</v>
      </c>
      <c r="F560" s="25" t="s">
        <v>103</v>
      </c>
      <c r="G560" s="26" t="s">
        <v>104</v>
      </c>
      <c r="H560" s="27" t="s">
        <v>139</v>
      </c>
      <c r="I560" s="24" t="s">
        <v>106</v>
      </c>
      <c r="J560" s="24" t="s">
        <v>107</v>
      </c>
      <c r="K560" s="28" t="s">
        <v>108</v>
      </c>
      <c r="L560" s="29">
        <v>0</v>
      </c>
      <c r="M560" s="29">
        <v>0</v>
      </c>
      <c r="N560" s="29">
        <v>6.5000000000000006E-3</v>
      </c>
      <c r="O560" s="27" t="s">
        <v>262</v>
      </c>
      <c r="P560" s="30" t="s">
        <v>908</v>
      </c>
      <c r="Q560" s="31">
        <v>443169587.56999999</v>
      </c>
      <c r="R560" s="31">
        <v>1549.63</v>
      </c>
      <c r="S560" s="32">
        <v>1.6184E-2</v>
      </c>
      <c r="T560" s="32" t="s">
        <v>139</v>
      </c>
      <c r="U560" s="32">
        <v>4.9100000000000001E-4</v>
      </c>
      <c r="V560" s="32">
        <v>1.8940000000000001E-3</v>
      </c>
      <c r="W560" s="32">
        <v>6.2399999999999999E-3</v>
      </c>
      <c r="X560" s="32">
        <v>1.2453000000000001E-2</v>
      </c>
      <c r="Y560" s="32">
        <v>2.4021000000000001E-2</v>
      </c>
      <c r="Z560" s="32">
        <v>5.2974E-2</v>
      </c>
      <c r="AA560" s="32">
        <v>8.7169999999999997E-2</v>
      </c>
      <c r="AB560" s="32">
        <v>0.13073699999999999</v>
      </c>
    </row>
    <row r="561" spans="1:28" ht="15.6" customHeight="1" x14ac:dyDescent="0.25">
      <c r="A561" s="24" t="s">
        <v>1632</v>
      </c>
      <c r="B561" s="50">
        <v>4200</v>
      </c>
      <c r="C561" s="25" t="s">
        <v>1633</v>
      </c>
      <c r="D561" s="25" t="s">
        <v>908</v>
      </c>
      <c r="E561" s="25" t="s">
        <v>194</v>
      </c>
      <c r="F561" s="25" t="s">
        <v>138</v>
      </c>
      <c r="G561" s="26" t="s">
        <v>139</v>
      </c>
      <c r="H561" s="27" t="s">
        <v>1282</v>
      </c>
      <c r="I561" s="24" t="s">
        <v>998</v>
      </c>
      <c r="J561" s="24" t="s">
        <v>107</v>
      </c>
      <c r="K561" s="28" t="s">
        <v>227</v>
      </c>
      <c r="L561" s="29">
        <v>0.03</v>
      </c>
      <c r="M561" s="29">
        <v>0.03</v>
      </c>
      <c r="N561" s="29">
        <v>0.02</v>
      </c>
      <c r="O561" s="27" t="s">
        <v>262</v>
      </c>
      <c r="P561" s="30" t="s">
        <v>908</v>
      </c>
      <c r="Q561" s="31">
        <v>2073450705.1400001</v>
      </c>
      <c r="R561" s="31">
        <v>2202.5</v>
      </c>
      <c r="S561" s="32">
        <v>4.9258999999999997E-2</v>
      </c>
      <c r="T561" s="32" t="s">
        <v>139</v>
      </c>
      <c r="U561" s="32">
        <v>8.0459999999999993E-3</v>
      </c>
      <c r="V561" s="32">
        <v>3.8989000000000003E-2</v>
      </c>
      <c r="W561" s="32">
        <v>3.7290999999999998E-2</v>
      </c>
      <c r="X561" s="32">
        <v>3.3805000000000002E-2</v>
      </c>
      <c r="Y561" s="32">
        <v>5.5199999999999997E-3</v>
      </c>
      <c r="Z561" s="32">
        <v>0.25844200000000001</v>
      </c>
      <c r="AA561" s="32">
        <v>0.432278</v>
      </c>
      <c r="AB561" s="32">
        <v>0.42592600000000003</v>
      </c>
    </row>
    <row r="562" spans="1:28" ht="15.6" customHeight="1" x14ac:dyDescent="0.25">
      <c r="A562" s="24" t="s">
        <v>1634</v>
      </c>
      <c r="B562" s="50">
        <v>4201</v>
      </c>
      <c r="C562" s="25" t="s">
        <v>1635</v>
      </c>
      <c r="D562" s="25" t="s">
        <v>908</v>
      </c>
      <c r="E562" s="25" t="s">
        <v>194</v>
      </c>
      <c r="F562" s="25" t="s">
        <v>113</v>
      </c>
      <c r="G562" s="26" t="s">
        <v>1160</v>
      </c>
      <c r="H562" s="27" t="s">
        <v>839</v>
      </c>
      <c r="I562" s="24" t="s">
        <v>998</v>
      </c>
      <c r="J562" s="24" t="s">
        <v>107</v>
      </c>
      <c r="K562" s="28" t="s">
        <v>108</v>
      </c>
      <c r="L562" s="29">
        <v>5.0000000000000001E-3</v>
      </c>
      <c r="M562" s="29">
        <v>2.5000000000000001E-3</v>
      </c>
      <c r="N562" s="29">
        <v>9.0000000000000011E-3</v>
      </c>
      <c r="O562" s="27" t="s">
        <v>262</v>
      </c>
      <c r="P562" s="30" t="s">
        <v>908</v>
      </c>
      <c r="Q562" s="31">
        <v>22979431.109999999</v>
      </c>
      <c r="R562" s="31">
        <v>1842.21</v>
      </c>
      <c r="S562" s="32">
        <v>3.8470000000000002E-3</v>
      </c>
      <c r="T562" s="32" t="s">
        <v>139</v>
      </c>
      <c r="U562" s="32">
        <v>9.1299999999999997E-4</v>
      </c>
      <c r="V562" s="32">
        <v>2.9729999999999999E-3</v>
      </c>
      <c r="W562" s="32">
        <v>5.5950000000000001E-3</v>
      </c>
      <c r="X562" s="32">
        <v>4.4660000000000004E-3</v>
      </c>
      <c r="Y562" s="32">
        <v>3.1150000000000001E-3</v>
      </c>
      <c r="Z562" s="32">
        <v>9.3598000000000001E-2</v>
      </c>
      <c r="AA562" s="32">
        <v>0.180699</v>
      </c>
      <c r="AB562" s="32">
        <v>0.21427299999999999</v>
      </c>
    </row>
    <row r="563" spans="1:28" ht="15.6" customHeight="1" x14ac:dyDescent="0.25">
      <c r="A563" s="24" t="s">
        <v>911</v>
      </c>
      <c r="B563" s="50">
        <v>4202</v>
      </c>
      <c r="C563" s="25" t="s">
        <v>912</v>
      </c>
      <c r="D563" s="25" t="s">
        <v>908</v>
      </c>
      <c r="E563" s="25" t="s">
        <v>194</v>
      </c>
      <c r="F563" s="25" t="s">
        <v>128</v>
      </c>
      <c r="G563" s="26" t="s">
        <v>913</v>
      </c>
      <c r="H563" s="27" t="s">
        <v>130</v>
      </c>
      <c r="I563" s="24" t="s">
        <v>106</v>
      </c>
      <c r="J563" s="24" t="s">
        <v>107</v>
      </c>
      <c r="K563" s="28" t="s">
        <v>108</v>
      </c>
      <c r="L563" s="29">
        <v>0</v>
      </c>
      <c r="M563" s="29">
        <v>0</v>
      </c>
      <c r="N563" s="29">
        <v>0.02</v>
      </c>
      <c r="O563" s="27" t="s">
        <v>262</v>
      </c>
      <c r="P563" s="30" t="s">
        <v>908</v>
      </c>
      <c r="Q563" s="31">
        <v>206347583.72999999</v>
      </c>
      <c r="R563" s="31">
        <v>1362.2</v>
      </c>
      <c r="S563" s="32">
        <v>1.7554E-2</v>
      </c>
      <c r="T563" s="32" t="s">
        <v>139</v>
      </c>
      <c r="U563" s="32">
        <v>7.1299999999999998E-4</v>
      </c>
      <c r="V563" s="32">
        <v>2.2590000000000002E-3</v>
      </c>
      <c r="W563" s="32">
        <v>7.097E-3</v>
      </c>
      <c r="X563" s="32">
        <v>1.3602E-2</v>
      </c>
      <c r="Y563" s="32">
        <v>2.5467E-2</v>
      </c>
      <c r="Z563" s="32">
        <v>6.1317000000000003E-2</v>
      </c>
      <c r="AA563" s="32">
        <v>0.10389</v>
      </c>
      <c r="AB563" s="32">
        <v>0.15062300000000001</v>
      </c>
    </row>
    <row r="564" spans="1:28" ht="15.6" customHeight="1" x14ac:dyDescent="0.25">
      <c r="A564" s="24" t="s">
        <v>1636</v>
      </c>
      <c r="B564" s="50">
        <v>4203</v>
      </c>
      <c r="C564" s="25" t="s">
        <v>1637</v>
      </c>
      <c r="D564" s="25" t="s">
        <v>908</v>
      </c>
      <c r="E564" s="25" t="s">
        <v>194</v>
      </c>
      <c r="F564" s="25" t="s">
        <v>113</v>
      </c>
      <c r="G564" s="26" t="s">
        <v>1572</v>
      </c>
      <c r="H564" s="27" t="s">
        <v>327</v>
      </c>
      <c r="I564" s="24" t="s">
        <v>998</v>
      </c>
      <c r="J564" s="24" t="s">
        <v>107</v>
      </c>
      <c r="K564" s="28" t="s">
        <v>108</v>
      </c>
      <c r="L564" s="29">
        <v>0.03</v>
      </c>
      <c r="M564" s="29">
        <v>0.03</v>
      </c>
      <c r="N564" s="29">
        <v>0.02</v>
      </c>
      <c r="O564" s="27" t="s">
        <v>262</v>
      </c>
      <c r="P564" s="30" t="s">
        <v>908</v>
      </c>
      <c r="Q564" s="31">
        <v>228879499.37</v>
      </c>
      <c r="R564" s="31">
        <v>1540.1</v>
      </c>
      <c r="S564" s="32">
        <v>6.0000000000000002E-6</v>
      </c>
      <c r="T564" s="32" t="s">
        <v>139</v>
      </c>
      <c r="U564" s="32">
        <v>1.0399999999999999E-3</v>
      </c>
      <c r="V564" s="32">
        <v>2.8189999999999999E-3</v>
      </c>
      <c r="W564" s="32">
        <v>3.0609999999999999E-3</v>
      </c>
      <c r="X564" s="32">
        <v>9.8799999999999995E-4</v>
      </c>
      <c r="Y564" s="32">
        <v>-4.1830000000000001E-3</v>
      </c>
      <c r="Z564" s="32">
        <v>7.3091000000000003E-2</v>
      </c>
      <c r="AA564" s="32">
        <v>0.15610099999999999</v>
      </c>
      <c r="AB564" s="32">
        <v>0.19580400000000001</v>
      </c>
    </row>
    <row r="565" spans="1:28" ht="15.6" customHeight="1" x14ac:dyDescent="0.25">
      <c r="A565" s="24" t="s">
        <v>914</v>
      </c>
      <c r="B565" s="50">
        <v>4204</v>
      </c>
      <c r="C565" s="25" t="s">
        <v>915</v>
      </c>
      <c r="D565" s="25" t="s">
        <v>350</v>
      </c>
      <c r="E565" s="25" t="s">
        <v>194</v>
      </c>
      <c r="F565" s="25" t="s">
        <v>103</v>
      </c>
      <c r="G565" s="26" t="s">
        <v>392</v>
      </c>
      <c r="H565" s="27" t="s">
        <v>188</v>
      </c>
      <c r="I565" s="24" t="s">
        <v>106</v>
      </c>
      <c r="J565" s="24" t="s">
        <v>107</v>
      </c>
      <c r="K565" s="28" t="s">
        <v>108</v>
      </c>
      <c r="L565" s="29">
        <v>0.03</v>
      </c>
      <c r="M565" s="29">
        <v>0.03</v>
      </c>
      <c r="N565" s="29">
        <v>0.02</v>
      </c>
      <c r="O565" s="27" t="s">
        <v>262</v>
      </c>
      <c r="P565" s="30" t="s">
        <v>350</v>
      </c>
      <c r="Q565" s="31">
        <v>275243061.37</v>
      </c>
      <c r="R565" s="31">
        <v>126.31</v>
      </c>
      <c r="S565" s="32">
        <v>1.5108999999999999E-2</v>
      </c>
      <c r="T565" s="32" t="s">
        <v>139</v>
      </c>
      <c r="U565" s="32">
        <v>5.5400000000000002E-4</v>
      </c>
      <c r="V565" s="32">
        <v>1.9040000000000001E-3</v>
      </c>
      <c r="W565" s="32">
        <v>5.973E-3</v>
      </c>
      <c r="X565" s="32">
        <v>1.1937E-2</v>
      </c>
      <c r="Y565" s="32">
        <v>2.1595E-2</v>
      </c>
      <c r="Z565" s="32">
        <v>4.8911999999999997E-2</v>
      </c>
      <c r="AA565" s="32">
        <v>8.3461999999999995E-2</v>
      </c>
      <c r="AB565" s="32">
        <v>0.126661</v>
      </c>
    </row>
    <row r="566" spans="1:28" ht="15.6" customHeight="1" x14ac:dyDescent="0.25">
      <c r="A566" s="24" t="s">
        <v>916</v>
      </c>
      <c r="B566" s="50">
        <v>4205</v>
      </c>
      <c r="C566" s="25" t="s">
        <v>917</v>
      </c>
      <c r="D566" s="25" t="s">
        <v>350</v>
      </c>
      <c r="E566" s="25" t="s">
        <v>194</v>
      </c>
      <c r="F566" s="25" t="s">
        <v>103</v>
      </c>
      <c r="G566" s="26" t="s">
        <v>392</v>
      </c>
      <c r="H566" s="27" t="s">
        <v>188</v>
      </c>
      <c r="I566" s="24" t="s">
        <v>106</v>
      </c>
      <c r="J566" s="24" t="s">
        <v>107</v>
      </c>
      <c r="K566" s="28" t="s">
        <v>108</v>
      </c>
      <c r="L566" s="29">
        <v>0.03</v>
      </c>
      <c r="M566" s="29">
        <v>0.03</v>
      </c>
      <c r="N566" s="29">
        <v>0.02</v>
      </c>
      <c r="O566" s="27" t="s">
        <v>262</v>
      </c>
      <c r="P566" s="30" t="s">
        <v>350</v>
      </c>
      <c r="Q566" s="31">
        <v>1114019854.4300001</v>
      </c>
      <c r="R566" s="31">
        <v>123.53</v>
      </c>
      <c r="S566" s="32">
        <v>1.6708000000000001E-2</v>
      </c>
      <c r="T566" s="32" t="s">
        <v>139</v>
      </c>
      <c r="U566" s="32">
        <v>5.6700000000000001E-4</v>
      </c>
      <c r="V566" s="32">
        <v>2.0279999999999999E-3</v>
      </c>
      <c r="W566" s="32">
        <v>6.4359999999999999E-3</v>
      </c>
      <c r="X566" s="32">
        <v>1.2789999999999999E-2</v>
      </c>
      <c r="Y566" s="32">
        <v>2.4465000000000001E-2</v>
      </c>
      <c r="Z566" s="32">
        <v>5.3022E-2</v>
      </c>
      <c r="AA566" s="32">
        <v>8.7986999999999996E-2</v>
      </c>
      <c r="AB566" s="32">
        <v>0.131434</v>
      </c>
    </row>
    <row r="567" spans="1:28" ht="15.6" customHeight="1" x14ac:dyDescent="0.25">
      <c r="A567" s="24" t="s">
        <v>918</v>
      </c>
      <c r="B567" s="50">
        <v>4206</v>
      </c>
      <c r="C567" s="25" t="s">
        <v>919</v>
      </c>
      <c r="D567" s="25" t="s">
        <v>350</v>
      </c>
      <c r="E567" s="25" t="s">
        <v>194</v>
      </c>
      <c r="F567" s="25" t="s">
        <v>128</v>
      </c>
      <c r="G567" s="26" t="s">
        <v>289</v>
      </c>
      <c r="H567" s="27" t="s">
        <v>130</v>
      </c>
      <c r="I567" s="24" t="s">
        <v>106</v>
      </c>
      <c r="J567" s="24" t="s">
        <v>107</v>
      </c>
      <c r="K567" s="28" t="s">
        <v>108</v>
      </c>
      <c r="L567" s="29">
        <v>0.03</v>
      </c>
      <c r="M567" s="29">
        <v>0.03</v>
      </c>
      <c r="N567" s="29">
        <v>0.02</v>
      </c>
      <c r="O567" s="27" t="s">
        <v>262</v>
      </c>
      <c r="P567" s="30" t="s">
        <v>350</v>
      </c>
      <c r="Q567" s="31">
        <v>1169156029.6700001</v>
      </c>
      <c r="R567" s="31">
        <v>125.72</v>
      </c>
      <c r="S567" s="32">
        <v>1.8305999999999999E-2</v>
      </c>
      <c r="T567" s="32" t="s">
        <v>139</v>
      </c>
      <c r="U567" s="32">
        <v>7.1599999999999995E-4</v>
      </c>
      <c r="V567" s="32">
        <v>2.1519999999999998E-3</v>
      </c>
      <c r="W567" s="32">
        <v>7.2100000000000003E-3</v>
      </c>
      <c r="X567" s="32">
        <v>1.3953E-2</v>
      </c>
      <c r="Y567" s="32">
        <v>2.5364999999999999E-2</v>
      </c>
      <c r="Z567" s="32">
        <v>5.8605999999999998E-2</v>
      </c>
      <c r="AA567" s="32">
        <v>9.8183000000000006E-2</v>
      </c>
      <c r="AB567" s="32">
        <v>0.14446999999999999</v>
      </c>
    </row>
    <row r="568" spans="1:28" ht="15.6" customHeight="1" x14ac:dyDescent="0.25">
      <c r="A568" s="24" t="s">
        <v>1638</v>
      </c>
      <c r="B568" s="50">
        <v>4207</v>
      </c>
      <c r="C568" s="25" t="s">
        <v>1639</v>
      </c>
      <c r="D568" s="25" t="s">
        <v>350</v>
      </c>
      <c r="E568" s="25" t="s">
        <v>194</v>
      </c>
      <c r="F568" s="25" t="s">
        <v>113</v>
      </c>
      <c r="G568" s="26" t="s">
        <v>1640</v>
      </c>
      <c r="H568" s="27" t="s">
        <v>1641</v>
      </c>
      <c r="I568" s="24" t="s">
        <v>998</v>
      </c>
      <c r="J568" s="24" t="s">
        <v>107</v>
      </c>
      <c r="K568" s="28" t="s">
        <v>108</v>
      </c>
      <c r="L568" s="29">
        <v>0.03</v>
      </c>
      <c r="M568" s="29">
        <v>0.03</v>
      </c>
      <c r="N568" s="29">
        <v>0.02</v>
      </c>
      <c r="O568" s="27" t="s">
        <v>262</v>
      </c>
      <c r="P568" s="30" t="s">
        <v>350</v>
      </c>
      <c r="Q568" s="31">
        <v>1279539090.28</v>
      </c>
      <c r="R568" s="31">
        <v>137.47999999999999</v>
      </c>
      <c r="S568" s="32">
        <v>-3.1900000000000001E-3</v>
      </c>
      <c r="T568" s="32" t="s">
        <v>139</v>
      </c>
      <c r="U568" s="32">
        <v>9.4600000000000001E-4</v>
      </c>
      <c r="V568" s="32">
        <v>2.8449999999999999E-3</v>
      </c>
      <c r="W568" s="32">
        <v>2.2599999999999999E-3</v>
      </c>
      <c r="X568" s="32">
        <v>-1.5250000000000001E-3</v>
      </c>
      <c r="Y568" s="32">
        <v>-6.9340000000000001E-3</v>
      </c>
      <c r="Z568" s="32">
        <v>8.0223000000000003E-2</v>
      </c>
      <c r="AA568" s="32">
        <v>0.17074</v>
      </c>
      <c r="AB568" s="32">
        <v>0.150557</v>
      </c>
    </row>
    <row r="569" spans="1:28" ht="15.6" customHeight="1" x14ac:dyDescent="0.25">
      <c r="A569" s="24" t="s">
        <v>1642</v>
      </c>
      <c r="B569" s="50">
        <v>4208</v>
      </c>
      <c r="C569" s="25" t="s">
        <v>1643</v>
      </c>
      <c r="D569" s="25" t="s">
        <v>350</v>
      </c>
      <c r="E569" s="25" t="s">
        <v>194</v>
      </c>
      <c r="F569" s="25" t="s">
        <v>138</v>
      </c>
      <c r="G569" s="26" t="s">
        <v>139</v>
      </c>
      <c r="H569" s="27" t="s">
        <v>757</v>
      </c>
      <c r="I569" s="24" t="s">
        <v>998</v>
      </c>
      <c r="J569" s="24" t="s">
        <v>107</v>
      </c>
      <c r="K569" s="28" t="s">
        <v>108</v>
      </c>
      <c r="L569" s="29">
        <v>0.03</v>
      </c>
      <c r="M569" s="29">
        <v>0.03</v>
      </c>
      <c r="N569" s="29">
        <v>0.02</v>
      </c>
      <c r="O569" s="27" t="s">
        <v>262</v>
      </c>
      <c r="P569" s="30" t="s">
        <v>350</v>
      </c>
      <c r="Q569" s="31">
        <v>1390128080.23</v>
      </c>
      <c r="R569" s="31">
        <v>152.13</v>
      </c>
      <c r="S569" s="32">
        <v>2.1144E-2</v>
      </c>
      <c r="T569" s="32" t="s">
        <v>139</v>
      </c>
      <c r="U569" s="32">
        <v>8.0169999999999998E-3</v>
      </c>
      <c r="V569" s="32">
        <v>3.9565000000000003E-2</v>
      </c>
      <c r="W569" s="32">
        <v>3.4476E-2</v>
      </c>
      <c r="X569" s="32">
        <v>1.7659999999999999E-2</v>
      </c>
      <c r="Y569" s="32">
        <v>-3.7335E-2</v>
      </c>
      <c r="Z569" s="32">
        <v>0.22369700000000001</v>
      </c>
      <c r="AA569" s="32">
        <v>0.39033099999999998</v>
      </c>
      <c r="AB569" s="32">
        <v>0.36684600000000001</v>
      </c>
    </row>
    <row r="570" spans="1:28" ht="15.6" customHeight="1" x14ac:dyDescent="0.25">
      <c r="A570" s="24" t="s">
        <v>1644</v>
      </c>
      <c r="B570" s="50">
        <v>4209</v>
      </c>
      <c r="C570" s="25" t="s">
        <v>1645</v>
      </c>
      <c r="D570" s="25" t="s">
        <v>350</v>
      </c>
      <c r="E570" s="25" t="s">
        <v>194</v>
      </c>
      <c r="F570" s="25" t="s">
        <v>155</v>
      </c>
      <c r="G570" s="26" t="s">
        <v>139</v>
      </c>
      <c r="H570" s="27" t="s">
        <v>1099</v>
      </c>
      <c r="I570" s="24" t="s">
        <v>998</v>
      </c>
      <c r="J570" s="24" t="s">
        <v>107</v>
      </c>
      <c r="K570" s="28" t="s">
        <v>108</v>
      </c>
      <c r="L570" s="29">
        <v>0.03</v>
      </c>
      <c r="M570" s="29">
        <v>1.4999999999999999E-2</v>
      </c>
      <c r="N570" s="29">
        <v>0.02</v>
      </c>
      <c r="O570" s="27" t="s">
        <v>262</v>
      </c>
      <c r="P570" s="30" t="s">
        <v>350</v>
      </c>
      <c r="Q570" s="31">
        <v>142793030.22</v>
      </c>
      <c r="R570" s="31">
        <v>242.89</v>
      </c>
      <c r="S570" s="32">
        <v>3.8835000000000001E-2</v>
      </c>
      <c r="T570" s="32" t="s">
        <v>139</v>
      </c>
      <c r="U570" s="32">
        <v>1.4536E-2</v>
      </c>
      <c r="V570" s="32">
        <v>7.3404999999999998E-2</v>
      </c>
      <c r="W570" s="32">
        <v>6.5633999999999998E-2</v>
      </c>
      <c r="X570" s="32">
        <v>3.5867000000000003E-2</v>
      </c>
      <c r="Y570" s="32">
        <v>-5.3872000000000003E-2</v>
      </c>
      <c r="Z570" s="32">
        <v>0.38873600000000003</v>
      </c>
      <c r="AA570" s="32">
        <v>0.65253799999999995</v>
      </c>
      <c r="AB570" s="32">
        <v>0.67360299999999995</v>
      </c>
    </row>
    <row r="571" spans="1:28" ht="15.6" customHeight="1" x14ac:dyDescent="0.25">
      <c r="A571" s="24" t="s">
        <v>1646</v>
      </c>
      <c r="B571" s="50">
        <v>4210</v>
      </c>
      <c r="C571" s="25" t="s">
        <v>1647</v>
      </c>
      <c r="D571" s="25" t="s">
        <v>350</v>
      </c>
      <c r="E571" s="25" t="s">
        <v>194</v>
      </c>
      <c r="F571" s="25" t="s">
        <v>113</v>
      </c>
      <c r="G571" s="26" t="s">
        <v>1168</v>
      </c>
      <c r="H571" s="27" t="s">
        <v>152</v>
      </c>
      <c r="I571" s="24" t="s">
        <v>998</v>
      </c>
      <c r="J571" s="24" t="s">
        <v>121</v>
      </c>
      <c r="K571" s="28" t="s">
        <v>108</v>
      </c>
      <c r="L571" s="29">
        <v>0.03</v>
      </c>
      <c r="M571" s="29">
        <v>1.4999999999999999E-2</v>
      </c>
      <c r="N571" s="29">
        <v>0.02</v>
      </c>
      <c r="O571" s="27" t="s">
        <v>548</v>
      </c>
      <c r="P571" s="30" t="s">
        <v>350</v>
      </c>
      <c r="Q571" s="31">
        <v>2831571870.1100001</v>
      </c>
      <c r="R571" s="31">
        <v>256785.33</v>
      </c>
      <c r="S571" s="32">
        <v>1.495E-3</v>
      </c>
      <c r="T571" s="32" t="s">
        <v>139</v>
      </c>
      <c r="U571" s="32">
        <v>1.8519999999999999E-3</v>
      </c>
      <c r="V571" s="32">
        <v>7.3940000000000004E-3</v>
      </c>
      <c r="W571" s="32">
        <v>6.9519999999999998E-3</v>
      </c>
      <c r="X571" s="32">
        <v>1.358E-3</v>
      </c>
      <c r="Y571" s="32">
        <v>-9.4830000000000001E-3</v>
      </c>
      <c r="Z571" s="32">
        <v>9.7253999999999993E-2</v>
      </c>
      <c r="AA571" s="32">
        <v>0.18842</v>
      </c>
      <c r="AB571" s="32">
        <v>0.33316099999999998</v>
      </c>
    </row>
    <row r="572" spans="1:28" ht="15.6" customHeight="1" x14ac:dyDescent="0.25">
      <c r="A572" s="24" t="s">
        <v>920</v>
      </c>
      <c r="B572" s="50">
        <v>4211</v>
      </c>
      <c r="C572" s="25" t="s">
        <v>921</v>
      </c>
      <c r="D572" s="25" t="s">
        <v>164</v>
      </c>
      <c r="E572" s="25" t="s">
        <v>194</v>
      </c>
      <c r="F572" s="25" t="s">
        <v>138</v>
      </c>
      <c r="G572" s="26" t="s">
        <v>139</v>
      </c>
      <c r="H572" s="27" t="s">
        <v>922</v>
      </c>
      <c r="I572" s="24" t="s">
        <v>106</v>
      </c>
      <c r="J572" s="24" t="s">
        <v>107</v>
      </c>
      <c r="K572" s="28" t="s">
        <v>180</v>
      </c>
      <c r="L572" s="29">
        <v>0.02</v>
      </c>
      <c r="M572" s="29">
        <v>0.02</v>
      </c>
      <c r="N572" s="29">
        <v>0.02</v>
      </c>
      <c r="O572" s="27" t="s">
        <v>166</v>
      </c>
      <c r="P572" s="30" t="s">
        <v>627</v>
      </c>
      <c r="Q572" s="31">
        <v>2647480.2999999998</v>
      </c>
      <c r="R572" s="31">
        <v>155.37</v>
      </c>
      <c r="S572" s="32">
        <v>6.2141000000000002E-2</v>
      </c>
      <c r="T572" s="32" t="s">
        <v>139</v>
      </c>
      <c r="U572" s="32">
        <v>1.3701E-2</v>
      </c>
      <c r="V572" s="32">
        <v>6.3230999999999996E-2</v>
      </c>
      <c r="W572" s="32">
        <v>4.8522000000000003E-2</v>
      </c>
      <c r="X572" s="32">
        <v>5.7585999999999998E-2</v>
      </c>
      <c r="Y572" s="32">
        <v>8.1250000000000003E-3</v>
      </c>
      <c r="Z572" s="32">
        <v>0.29123500000000002</v>
      </c>
      <c r="AA572" s="32">
        <v>0.44829400000000003</v>
      </c>
      <c r="AB572" s="32" t="s">
        <v>139</v>
      </c>
    </row>
    <row r="573" spans="1:28" ht="15.6" customHeight="1" x14ac:dyDescent="0.25">
      <c r="A573" s="24" t="s">
        <v>923</v>
      </c>
      <c r="B573" s="50">
        <v>4212</v>
      </c>
      <c r="C573" s="25" t="s">
        <v>924</v>
      </c>
      <c r="D573" s="25" t="s">
        <v>164</v>
      </c>
      <c r="E573" s="25" t="s">
        <v>194</v>
      </c>
      <c r="F573" s="25" t="s">
        <v>113</v>
      </c>
      <c r="G573" s="26" t="s">
        <v>925</v>
      </c>
      <c r="H573" s="27" t="s">
        <v>120</v>
      </c>
      <c r="I573" s="24" t="s">
        <v>106</v>
      </c>
      <c r="J573" s="24" t="s">
        <v>107</v>
      </c>
      <c r="K573" s="28" t="s">
        <v>108</v>
      </c>
      <c r="L573" s="29">
        <v>0.03</v>
      </c>
      <c r="M573" s="29">
        <v>0.03</v>
      </c>
      <c r="N573" s="29">
        <v>0.02</v>
      </c>
      <c r="O573" s="27" t="s">
        <v>166</v>
      </c>
      <c r="P573" s="30" t="s">
        <v>627</v>
      </c>
      <c r="Q573" s="31">
        <v>371479933.11000001</v>
      </c>
      <c r="R573" s="31">
        <v>109.07</v>
      </c>
      <c r="S573" s="32">
        <v>-1.7390000000000001E-3</v>
      </c>
      <c r="T573" s="32" t="s">
        <v>139</v>
      </c>
      <c r="U573" s="32">
        <v>1.01E-3</v>
      </c>
      <c r="V573" s="32">
        <v>2.9429999999999999E-3</v>
      </c>
      <c r="W573" s="32">
        <v>-3.4719999999999998E-3</v>
      </c>
      <c r="X573" s="32">
        <v>-5.3800000000000002E-3</v>
      </c>
      <c r="Y573" s="32">
        <v>-8.2299999999999995E-4</v>
      </c>
      <c r="Z573" s="32">
        <v>3.7478999999999998E-2</v>
      </c>
      <c r="AA573" s="32">
        <v>9.0038000000000007E-2</v>
      </c>
      <c r="AB573" s="32" t="s">
        <v>139</v>
      </c>
    </row>
    <row r="574" spans="1:28" ht="15.6" customHeight="1" x14ac:dyDescent="0.25">
      <c r="A574" s="24" t="s">
        <v>1648</v>
      </c>
      <c r="B574" s="50">
        <v>4213</v>
      </c>
      <c r="C574" s="25" t="s">
        <v>12</v>
      </c>
      <c r="D574" s="25" t="s">
        <v>164</v>
      </c>
      <c r="E574" s="25" t="s">
        <v>194</v>
      </c>
      <c r="F574" s="25" t="s">
        <v>155</v>
      </c>
      <c r="G574" s="26" t="s">
        <v>139</v>
      </c>
      <c r="H574" s="27" t="s">
        <v>1649</v>
      </c>
      <c r="I574" s="24" t="s">
        <v>998</v>
      </c>
      <c r="J574" s="24" t="s">
        <v>107</v>
      </c>
      <c r="K574" s="28" t="s">
        <v>108</v>
      </c>
      <c r="L574" s="29">
        <v>0.02</v>
      </c>
      <c r="M574" s="29">
        <v>0.02</v>
      </c>
      <c r="N574" s="29">
        <v>0.02</v>
      </c>
      <c r="O574" s="27" t="s">
        <v>166</v>
      </c>
      <c r="P574" s="30" t="s">
        <v>627</v>
      </c>
      <c r="Q574" s="31">
        <v>317865381.08999997</v>
      </c>
      <c r="R574" s="31">
        <v>190.34</v>
      </c>
      <c r="S574" s="32">
        <v>8.8402999999999995E-2</v>
      </c>
      <c r="T574" s="32" t="s">
        <v>139</v>
      </c>
      <c r="U574" s="32">
        <v>1.4335000000000001E-2</v>
      </c>
      <c r="V574" s="32">
        <v>7.2095999999999993E-2</v>
      </c>
      <c r="W574" s="32">
        <v>6.9085999999999995E-2</v>
      </c>
      <c r="X574" s="32">
        <v>5.9563999999999999E-2</v>
      </c>
      <c r="Y574" s="32">
        <v>-1.8055999999999999E-2</v>
      </c>
      <c r="Z574" s="32">
        <v>0.41222700000000001</v>
      </c>
      <c r="AA574" s="32">
        <v>0.64355399999999996</v>
      </c>
      <c r="AB574" s="32" t="s">
        <v>139</v>
      </c>
    </row>
    <row r="575" spans="1:28" ht="15.6" customHeight="1" x14ac:dyDescent="0.25">
      <c r="A575" s="24" t="s">
        <v>926</v>
      </c>
      <c r="B575" s="50">
        <v>4214</v>
      </c>
      <c r="C575" s="25" t="s">
        <v>927</v>
      </c>
      <c r="D575" s="25" t="s">
        <v>164</v>
      </c>
      <c r="E575" s="25" t="s">
        <v>194</v>
      </c>
      <c r="F575" s="25" t="s">
        <v>361</v>
      </c>
      <c r="G575" s="26" t="s">
        <v>139</v>
      </c>
      <c r="H575" s="27" t="s">
        <v>188</v>
      </c>
      <c r="I575" s="24" t="s">
        <v>106</v>
      </c>
      <c r="J575" s="24" t="s">
        <v>107</v>
      </c>
      <c r="K575" s="28" t="s">
        <v>108</v>
      </c>
      <c r="L575" s="29">
        <v>0</v>
      </c>
      <c r="M575" s="29">
        <v>0</v>
      </c>
      <c r="N575" s="29">
        <v>1.5E-3</v>
      </c>
      <c r="O575" s="27" t="s">
        <v>166</v>
      </c>
      <c r="P575" s="30" t="s">
        <v>164</v>
      </c>
      <c r="Q575" s="31">
        <v>4012349390.4200001</v>
      </c>
      <c r="R575" s="31">
        <v>1090.6600000000001</v>
      </c>
      <c r="S575" s="32">
        <v>1.2759E-2</v>
      </c>
      <c r="T575" s="32" t="s">
        <v>139</v>
      </c>
      <c r="U575" s="32">
        <v>3.6699999999999998E-4</v>
      </c>
      <c r="V575" s="32">
        <v>1.6440000000000001E-3</v>
      </c>
      <c r="W575" s="32">
        <v>4.9389999999999998E-3</v>
      </c>
      <c r="X575" s="32">
        <v>9.7020000000000006E-3</v>
      </c>
      <c r="Y575" s="32">
        <v>1.9528E-2</v>
      </c>
      <c r="Z575" s="32">
        <v>4.1660000000000003E-2</v>
      </c>
      <c r="AA575" s="32">
        <v>7.0303000000000004E-2</v>
      </c>
      <c r="AB575" s="32" t="s">
        <v>139</v>
      </c>
    </row>
    <row r="576" spans="1:28" ht="15.6" customHeight="1" x14ac:dyDescent="0.25">
      <c r="A576" s="24" t="s">
        <v>928</v>
      </c>
      <c r="B576" s="50">
        <v>4215</v>
      </c>
      <c r="C576" s="25" t="s">
        <v>929</v>
      </c>
      <c r="D576" s="25" t="s">
        <v>241</v>
      </c>
      <c r="E576" s="25" t="s">
        <v>194</v>
      </c>
      <c r="F576" s="25" t="s">
        <v>128</v>
      </c>
      <c r="G576" s="26" t="s">
        <v>289</v>
      </c>
      <c r="H576" s="27" t="s">
        <v>130</v>
      </c>
      <c r="I576" s="24" t="s">
        <v>106</v>
      </c>
      <c r="J576" s="24" t="s">
        <v>107</v>
      </c>
      <c r="K576" s="28" t="s">
        <v>108</v>
      </c>
      <c r="L576" s="29">
        <v>0.03</v>
      </c>
      <c r="M576" s="29">
        <v>1.4999999999999999E-2</v>
      </c>
      <c r="N576" s="29">
        <v>0.02</v>
      </c>
      <c r="O576" s="27" t="s">
        <v>148</v>
      </c>
      <c r="P576" s="30" t="s">
        <v>930</v>
      </c>
      <c r="Q576" s="31">
        <v>6377412931.9899998</v>
      </c>
      <c r="R576" s="31">
        <v>1362.13</v>
      </c>
      <c r="S576" s="32">
        <v>1.8103000000000001E-2</v>
      </c>
      <c r="T576" s="32" t="s">
        <v>139</v>
      </c>
      <c r="U576" s="32">
        <v>6.7599999999999995E-4</v>
      </c>
      <c r="V576" s="32">
        <v>2.2369999999999998E-3</v>
      </c>
      <c r="W576" s="32">
        <v>7.3439999999999998E-3</v>
      </c>
      <c r="X576" s="32">
        <v>1.4078E-2</v>
      </c>
      <c r="Y576" s="32">
        <v>2.6543000000000001E-2</v>
      </c>
      <c r="Z576" s="32">
        <v>6.4188999999999996E-2</v>
      </c>
      <c r="AA576" s="32">
        <v>0.107765</v>
      </c>
      <c r="AB576" s="32">
        <v>0.15687699999999999</v>
      </c>
    </row>
    <row r="577" spans="1:28" ht="15.6" customHeight="1" x14ac:dyDescent="0.25">
      <c r="A577" s="24" t="s">
        <v>931</v>
      </c>
      <c r="B577" s="50">
        <v>4216</v>
      </c>
      <c r="C577" s="25" t="s">
        <v>932</v>
      </c>
      <c r="D577" s="25" t="s">
        <v>241</v>
      </c>
      <c r="E577" s="25" t="s">
        <v>194</v>
      </c>
      <c r="F577" s="25" t="s">
        <v>155</v>
      </c>
      <c r="G577" s="26" t="s">
        <v>139</v>
      </c>
      <c r="H577" s="27" t="s">
        <v>156</v>
      </c>
      <c r="I577" s="24" t="s">
        <v>106</v>
      </c>
      <c r="J577" s="24" t="s">
        <v>107</v>
      </c>
      <c r="K577" s="28" t="s">
        <v>108</v>
      </c>
      <c r="L577" s="29">
        <v>0.03</v>
      </c>
      <c r="M577" s="29">
        <v>1.4999999999999999E-2</v>
      </c>
      <c r="N577" s="29">
        <v>0.02</v>
      </c>
      <c r="O577" s="27" t="s">
        <v>148</v>
      </c>
      <c r="P577" s="30" t="s">
        <v>930</v>
      </c>
      <c r="Q577" s="31">
        <v>2391517871.2800002</v>
      </c>
      <c r="R577" s="31">
        <v>724.3</v>
      </c>
      <c r="S577" s="32">
        <v>-1.7639999999999999E-3</v>
      </c>
      <c r="T577" s="32" t="s">
        <v>139</v>
      </c>
      <c r="U577" s="32">
        <v>1.4539E-2</v>
      </c>
      <c r="V577" s="32">
        <v>7.8501000000000001E-2</v>
      </c>
      <c r="W577" s="32">
        <v>6.0685999999999997E-2</v>
      </c>
      <c r="X577" s="32">
        <v>2.588E-3</v>
      </c>
      <c r="Y577" s="32">
        <v>-0.10471900000000001</v>
      </c>
      <c r="Z577" s="32">
        <v>0.35728199999999999</v>
      </c>
      <c r="AA577" s="32">
        <v>0.62340899999999999</v>
      </c>
      <c r="AB577" s="32">
        <v>0.50707400000000002</v>
      </c>
    </row>
    <row r="578" spans="1:28" ht="15.6" customHeight="1" x14ac:dyDescent="0.25">
      <c r="A578" s="24" t="s">
        <v>933</v>
      </c>
      <c r="B578" s="50">
        <v>4217</v>
      </c>
      <c r="C578" s="25" t="s">
        <v>934</v>
      </c>
      <c r="D578" s="25" t="s">
        <v>241</v>
      </c>
      <c r="E578" s="25" t="s">
        <v>194</v>
      </c>
      <c r="F578" s="25" t="s">
        <v>103</v>
      </c>
      <c r="G578" s="26" t="s">
        <v>244</v>
      </c>
      <c r="H578" s="27" t="s">
        <v>446</v>
      </c>
      <c r="I578" s="24" t="s">
        <v>106</v>
      </c>
      <c r="J578" s="24" t="s">
        <v>107</v>
      </c>
      <c r="K578" s="28" t="s">
        <v>108</v>
      </c>
      <c r="L578" s="29">
        <v>0</v>
      </c>
      <c r="M578" s="29">
        <v>0</v>
      </c>
      <c r="N578" s="29">
        <v>0.02</v>
      </c>
      <c r="O578" s="27" t="s">
        <v>148</v>
      </c>
      <c r="P578" s="30" t="s">
        <v>466</v>
      </c>
      <c r="Q578" s="31">
        <v>2982991014.6700001</v>
      </c>
      <c r="R578" s="31">
        <v>1321.95</v>
      </c>
      <c r="S578" s="32">
        <v>1.6697E-2</v>
      </c>
      <c r="T578" s="32" t="s">
        <v>139</v>
      </c>
      <c r="U578" s="32">
        <v>5.8299999999999997E-4</v>
      </c>
      <c r="V578" s="32">
        <v>2.0539999999999998E-3</v>
      </c>
      <c r="W578" s="32">
        <v>6.6550000000000003E-3</v>
      </c>
      <c r="X578" s="32">
        <v>1.2957E-2</v>
      </c>
      <c r="Y578" s="32">
        <v>2.5156999999999999E-2</v>
      </c>
      <c r="Z578" s="32">
        <v>5.7103000000000001E-2</v>
      </c>
      <c r="AA578" s="32">
        <v>9.4601000000000005E-2</v>
      </c>
      <c r="AB578" s="32">
        <v>0.141541</v>
      </c>
    </row>
    <row r="579" spans="1:28" ht="15.6" customHeight="1" x14ac:dyDescent="0.25">
      <c r="A579" s="24" t="s">
        <v>935</v>
      </c>
      <c r="B579" s="50">
        <v>4218</v>
      </c>
      <c r="C579" s="25" t="s">
        <v>936</v>
      </c>
      <c r="D579" s="25" t="s">
        <v>241</v>
      </c>
      <c r="E579" s="25" t="s">
        <v>194</v>
      </c>
      <c r="F579" s="25" t="s">
        <v>113</v>
      </c>
      <c r="G579" s="26" t="s">
        <v>198</v>
      </c>
      <c r="H579" s="27" t="s">
        <v>440</v>
      </c>
      <c r="I579" s="24" t="s">
        <v>106</v>
      </c>
      <c r="J579" s="24" t="s">
        <v>107</v>
      </c>
      <c r="K579" s="28" t="s">
        <v>108</v>
      </c>
      <c r="L579" s="29">
        <v>0.03</v>
      </c>
      <c r="M579" s="29">
        <v>1.4999999999999999E-2</v>
      </c>
      <c r="N579" s="29">
        <v>0.02</v>
      </c>
      <c r="O579" s="27" t="s">
        <v>148</v>
      </c>
      <c r="P579" s="30" t="s">
        <v>930</v>
      </c>
      <c r="Q579" s="31">
        <v>3527233587.1599998</v>
      </c>
      <c r="R579" s="31">
        <v>1448.16</v>
      </c>
      <c r="S579" s="32">
        <v>-1.655E-3</v>
      </c>
      <c r="T579" s="32" t="s">
        <v>139</v>
      </c>
      <c r="U579" s="32">
        <v>1.598E-3</v>
      </c>
      <c r="V579" s="32">
        <v>6.764E-3</v>
      </c>
      <c r="W579" s="32">
        <v>5.0179999999999999E-3</v>
      </c>
      <c r="X579" s="32">
        <v>-1E-3</v>
      </c>
      <c r="Y579" s="32">
        <v>-1.2061000000000001E-2</v>
      </c>
      <c r="Z579" s="32">
        <v>8.4073999999999996E-2</v>
      </c>
      <c r="AA579" s="32">
        <v>0.16872899999999999</v>
      </c>
      <c r="AB579" s="32">
        <v>0.153058</v>
      </c>
    </row>
    <row r="580" spans="1:28" ht="15.6" customHeight="1" x14ac:dyDescent="0.25">
      <c r="A580" s="24" t="s">
        <v>1650</v>
      </c>
      <c r="B580" s="50">
        <v>4219</v>
      </c>
      <c r="C580" s="25" t="s">
        <v>1651</v>
      </c>
      <c r="D580" s="25" t="s">
        <v>164</v>
      </c>
      <c r="E580" s="25" t="s">
        <v>194</v>
      </c>
      <c r="F580" s="25" t="s">
        <v>138</v>
      </c>
      <c r="G580" s="26" t="s">
        <v>139</v>
      </c>
      <c r="H580" s="27" t="s">
        <v>1652</v>
      </c>
      <c r="I580" s="24" t="s">
        <v>998</v>
      </c>
      <c r="J580" s="24" t="s">
        <v>107</v>
      </c>
      <c r="K580" s="28" t="s">
        <v>227</v>
      </c>
      <c r="L580" s="29">
        <v>0.03</v>
      </c>
      <c r="M580" s="29">
        <v>1.4999999999999999E-2</v>
      </c>
      <c r="N580" s="29">
        <v>0.02</v>
      </c>
      <c r="O580" s="27" t="s">
        <v>166</v>
      </c>
      <c r="P580" s="30" t="s">
        <v>164</v>
      </c>
      <c r="Q580" s="31">
        <v>589633099.88</v>
      </c>
      <c r="R580" s="31">
        <v>1485.04</v>
      </c>
      <c r="S580" s="32">
        <v>4.9238999999999998E-2</v>
      </c>
      <c r="T580" s="32" t="s">
        <v>139</v>
      </c>
      <c r="U580" s="32">
        <v>1.2187E-2</v>
      </c>
      <c r="V580" s="32">
        <v>5.2748999999999997E-2</v>
      </c>
      <c r="W580" s="32">
        <v>3.4308999999999999E-2</v>
      </c>
      <c r="X580" s="32">
        <v>3.1607000000000003E-2</v>
      </c>
      <c r="Y580" s="32">
        <v>3.3179E-2</v>
      </c>
      <c r="Z580" s="32">
        <v>0.30054500000000001</v>
      </c>
      <c r="AA580" s="32">
        <v>0.47367799999999999</v>
      </c>
      <c r="AB580" s="32" t="s">
        <v>139</v>
      </c>
    </row>
    <row r="581" spans="1:28" ht="15.6" customHeight="1" x14ac:dyDescent="0.25">
      <c r="A581" s="24" t="s">
        <v>937</v>
      </c>
      <c r="B581" s="50">
        <v>4220</v>
      </c>
      <c r="C581" s="25" t="s">
        <v>938</v>
      </c>
      <c r="D581" s="25" t="s">
        <v>241</v>
      </c>
      <c r="E581" s="25" t="s">
        <v>194</v>
      </c>
      <c r="F581" s="25" t="s">
        <v>138</v>
      </c>
      <c r="G581" s="26" t="s">
        <v>139</v>
      </c>
      <c r="H581" s="27" t="s">
        <v>939</v>
      </c>
      <c r="I581" s="24" t="s">
        <v>106</v>
      </c>
      <c r="J581" s="24" t="s">
        <v>107</v>
      </c>
      <c r="K581" s="28" t="s">
        <v>108</v>
      </c>
      <c r="L581" s="29">
        <v>0.03</v>
      </c>
      <c r="M581" s="29">
        <v>1.4999999999999999E-2</v>
      </c>
      <c r="N581" s="29">
        <v>0.02</v>
      </c>
      <c r="O581" s="27" t="s">
        <v>148</v>
      </c>
      <c r="P581" s="30" t="s">
        <v>940</v>
      </c>
      <c r="Q581" s="31">
        <v>4233004741.2600002</v>
      </c>
      <c r="R581" s="31">
        <v>2065.27</v>
      </c>
      <c r="S581" s="32">
        <v>-1.1899E-2</v>
      </c>
      <c r="T581" s="32" t="s">
        <v>139</v>
      </c>
      <c r="U581" s="32">
        <v>5.5360000000000001E-3</v>
      </c>
      <c r="V581" s="32">
        <v>3.6600000000000001E-2</v>
      </c>
      <c r="W581" s="32">
        <v>2.6002000000000001E-2</v>
      </c>
      <c r="X581" s="32">
        <v>-1.1270000000000001E-2</v>
      </c>
      <c r="Y581" s="32">
        <v>-7.4119000000000004E-2</v>
      </c>
      <c r="Z581" s="32">
        <v>0.19162100000000001</v>
      </c>
      <c r="AA581" s="32">
        <v>0.34012700000000001</v>
      </c>
      <c r="AB581" s="32">
        <v>0.20778099999999999</v>
      </c>
    </row>
    <row r="582" spans="1:28" ht="15.6" customHeight="1" x14ac:dyDescent="0.25">
      <c r="A582" s="24" t="s">
        <v>941</v>
      </c>
      <c r="B582" s="50">
        <v>4221</v>
      </c>
      <c r="C582" s="25" t="s">
        <v>942</v>
      </c>
      <c r="D582" s="25" t="s">
        <v>241</v>
      </c>
      <c r="E582" s="25" t="s">
        <v>194</v>
      </c>
      <c r="F582" s="25" t="s">
        <v>113</v>
      </c>
      <c r="G582" s="26" t="s">
        <v>943</v>
      </c>
      <c r="H582" s="27" t="s">
        <v>309</v>
      </c>
      <c r="I582" s="24" t="s">
        <v>106</v>
      </c>
      <c r="J582" s="24" t="s">
        <v>107</v>
      </c>
      <c r="K582" s="28" t="s">
        <v>108</v>
      </c>
      <c r="L582" s="29">
        <v>0.03</v>
      </c>
      <c r="M582" s="29">
        <v>0.01</v>
      </c>
      <c r="N582" s="29">
        <v>0.02</v>
      </c>
      <c r="O582" s="27" t="s">
        <v>148</v>
      </c>
      <c r="P582" s="30" t="s">
        <v>940</v>
      </c>
      <c r="Q582" s="31">
        <v>3763249614.6399999</v>
      </c>
      <c r="R582" s="31">
        <v>1118.8499999999999</v>
      </c>
      <c r="S582" s="32">
        <v>-4.8300000000000001E-3</v>
      </c>
      <c r="T582" s="32" t="s">
        <v>139</v>
      </c>
      <c r="U582" s="32">
        <v>1.3339999999999999E-3</v>
      </c>
      <c r="V582" s="32">
        <v>4.6239999999999996E-3</v>
      </c>
      <c r="W582" s="32">
        <v>4.8050000000000002E-3</v>
      </c>
      <c r="X582" s="32">
        <v>-2.6830000000000001E-3</v>
      </c>
      <c r="Y582" s="32">
        <v>-1.4429000000000001E-2</v>
      </c>
      <c r="Z582" s="32">
        <v>7.5962000000000002E-2</v>
      </c>
      <c r="AA582" s="32">
        <v>0.15660099999999999</v>
      </c>
      <c r="AB582" s="32">
        <v>8.6674000000000001E-2</v>
      </c>
    </row>
    <row r="583" spans="1:28" ht="15.6" customHeight="1" x14ac:dyDescent="0.25">
      <c r="A583" s="24" t="s">
        <v>944</v>
      </c>
      <c r="B583" s="50">
        <v>4222</v>
      </c>
      <c r="C583" s="25" t="s">
        <v>945</v>
      </c>
      <c r="D583" s="25" t="s">
        <v>112</v>
      </c>
      <c r="E583" s="25" t="s">
        <v>194</v>
      </c>
      <c r="F583" s="25" t="s">
        <v>361</v>
      </c>
      <c r="G583" s="26" t="s">
        <v>139</v>
      </c>
      <c r="H583" s="27" t="s">
        <v>188</v>
      </c>
      <c r="I583" s="24" t="s">
        <v>106</v>
      </c>
      <c r="J583" s="24" t="s">
        <v>107</v>
      </c>
      <c r="K583" s="28" t="s">
        <v>108</v>
      </c>
      <c r="L583" s="29">
        <v>0.03</v>
      </c>
      <c r="M583" s="29">
        <v>1.4999999999999999E-2</v>
      </c>
      <c r="N583" s="29">
        <v>0.02</v>
      </c>
      <c r="O583" s="27" t="s">
        <v>548</v>
      </c>
      <c r="P583" s="30" t="s">
        <v>112</v>
      </c>
      <c r="Q583" s="31">
        <v>536511696.77999997</v>
      </c>
      <c r="R583" s="31">
        <v>1068.47</v>
      </c>
      <c r="S583" s="32">
        <v>1.3306E-2</v>
      </c>
      <c r="T583" s="32" t="s">
        <v>139</v>
      </c>
      <c r="U583" s="32">
        <v>3.8400000000000001E-4</v>
      </c>
      <c r="V583" s="32">
        <v>1.6869999999999999E-3</v>
      </c>
      <c r="W583" s="32">
        <v>5.1739999999999998E-3</v>
      </c>
      <c r="X583" s="32">
        <v>1.0201999999999999E-2</v>
      </c>
      <c r="Y583" s="32">
        <v>2.0146000000000001E-2</v>
      </c>
      <c r="Z583" s="32">
        <v>4.1820000000000003E-2</v>
      </c>
      <c r="AA583" s="32">
        <v>6.8053000000000002E-2</v>
      </c>
      <c r="AB583" s="32" t="s">
        <v>139</v>
      </c>
    </row>
    <row r="584" spans="1:28" ht="15.6" customHeight="1" x14ac:dyDescent="0.25">
      <c r="A584" s="24" t="s">
        <v>946</v>
      </c>
      <c r="B584" s="50">
        <v>4223</v>
      </c>
      <c r="C584" s="25" t="s">
        <v>947</v>
      </c>
      <c r="D584" s="25" t="s">
        <v>112</v>
      </c>
      <c r="E584" s="25" t="s">
        <v>194</v>
      </c>
      <c r="F584" s="25" t="s">
        <v>128</v>
      </c>
      <c r="G584" s="26" t="s">
        <v>289</v>
      </c>
      <c r="H584" s="27" t="s">
        <v>258</v>
      </c>
      <c r="I584" s="24" t="s">
        <v>106</v>
      </c>
      <c r="J584" s="24" t="s">
        <v>121</v>
      </c>
      <c r="K584" s="28" t="s">
        <v>108</v>
      </c>
      <c r="L584" s="29">
        <v>0</v>
      </c>
      <c r="M584" s="29">
        <v>0</v>
      </c>
      <c r="N584" s="29">
        <v>0.02</v>
      </c>
      <c r="O584" s="27" t="s">
        <v>548</v>
      </c>
      <c r="P584" s="30" t="s">
        <v>112</v>
      </c>
      <c r="Q584" s="31">
        <v>618959.53</v>
      </c>
      <c r="R584" s="31">
        <v>1095.5</v>
      </c>
      <c r="S584" s="32">
        <v>1.4944000000000001E-2</v>
      </c>
      <c r="T584" s="32" t="s">
        <v>139</v>
      </c>
      <c r="U584" s="32">
        <v>5.5699999999999999E-4</v>
      </c>
      <c r="V584" s="32">
        <v>1.921E-3</v>
      </c>
      <c r="W584" s="32">
        <v>6.1349999999999998E-3</v>
      </c>
      <c r="X584" s="32">
        <v>1.1962E-2</v>
      </c>
      <c r="Y584" s="32">
        <v>2.4205000000000001E-2</v>
      </c>
      <c r="Z584" s="32">
        <v>5.7799999999999997E-2</v>
      </c>
      <c r="AA584" s="32">
        <v>9.5006999999999994E-2</v>
      </c>
      <c r="AB584" s="32" t="s">
        <v>139</v>
      </c>
    </row>
    <row r="585" spans="1:28" ht="15.6" customHeight="1" x14ac:dyDescent="0.25">
      <c r="A585" s="24" t="s">
        <v>948</v>
      </c>
      <c r="B585" s="50">
        <v>4224</v>
      </c>
      <c r="C585" s="25" t="s">
        <v>949</v>
      </c>
      <c r="D585" s="25" t="s">
        <v>112</v>
      </c>
      <c r="E585" s="25" t="s">
        <v>194</v>
      </c>
      <c r="F585" s="25" t="s">
        <v>113</v>
      </c>
      <c r="G585" s="26" t="s">
        <v>531</v>
      </c>
      <c r="H585" s="27" t="s">
        <v>115</v>
      </c>
      <c r="I585" s="24" t="s">
        <v>106</v>
      </c>
      <c r="J585" s="24" t="s">
        <v>121</v>
      </c>
      <c r="K585" s="28" t="s">
        <v>108</v>
      </c>
      <c r="L585" s="29">
        <v>0</v>
      </c>
      <c r="M585" s="29">
        <v>0</v>
      </c>
      <c r="N585" s="29">
        <v>0.02</v>
      </c>
      <c r="O585" s="27" t="s">
        <v>548</v>
      </c>
      <c r="P585" s="30" t="s">
        <v>112</v>
      </c>
      <c r="Q585" s="31">
        <v>1463729452.3800001</v>
      </c>
      <c r="R585" s="31">
        <v>1116.57</v>
      </c>
      <c r="S585" s="32">
        <v>1.848E-3</v>
      </c>
      <c r="T585" s="32" t="s">
        <v>139</v>
      </c>
      <c r="U585" s="32">
        <v>1.66E-3</v>
      </c>
      <c r="V585" s="32">
        <v>6.1729999999999997E-3</v>
      </c>
      <c r="W585" s="32">
        <v>6.8259999999999996E-3</v>
      </c>
      <c r="X585" s="32">
        <v>9.0499999999999999E-4</v>
      </c>
      <c r="Y585" s="32">
        <v>-1.1720000000000001E-3</v>
      </c>
      <c r="Z585" s="32">
        <v>6.0944999999999999E-2</v>
      </c>
      <c r="AA585" s="32">
        <v>0.116068</v>
      </c>
      <c r="AB585" s="32" t="s">
        <v>139</v>
      </c>
    </row>
    <row r="586" spans="1:28" ht="15.6" customHeight="1" x14ac:dyDescent="0.25">
      <c r="A586" s="24" t="s">
        <v>1653</v>
      </c>
      <c r="B586" s="50">
        <v>4225</v>
      </c>
      <c r="C586" s="25" t="s">
        <v>1654</v>
      </c>
      <c r="D586" s="25" t="s">
        <v>164</v>
      </c>
      <c r="E586" s="25" t="s">
        <v>194</v>
      </c>
      <c r="F586" s="25" t="s">
        <v>138</v>
      </c>
      <c r="G586" s="26" t="s">
        <v>139</v>
      </c>
      <c r="H586" s="27" t="s">
        <v>1655</v>
      </c>
      <c r="I586" s="24" t="s">
        <v>998</v>
      </c>
      <c r="J586" s="24" t="s">
        <v>107</v>
      </c>
      <c r="K586" s="28" t="s">
        <v>227</v>
      </c>
      <c r="L586" s="29">
        <v>2E-3</v>
      </c>
      <c r="M586" s="29">
        <v>1E-3</v>
      </c>
      <c r="N586" s="29">
        <v>0.02</v>
      </c>
      <c r="O586" s="27" t="s">
        <v>166</v>
      </c>
      <c r="P586" s="30" t="s">
        <v>164</v>
      </c>
      <c r="Q586" s="31">
        <v>98950760.510000005</v>
      </c>
      <c r="R586" s="31">
        <v>141901.51</v>
      </c>
      <c r="S586" s="32">
        <v>-1.0150000000000001E-3</v>
      </c>
      <c r="T586" s="32" t="s">
        <v>139</v>
      </c>
      <c r="U586" s="32">
        <v>1.45E-4</v>
      </c>
      <c r="V586" s="32">
        <v>3.0739999999999999E-3</v>
      </c>
      <c r="W586" s="32">
        <v>2.1250000000000002E-3</v>
      </c>
      <c r="X586" s="32">
        <v>-6.0089999999999996E-3</v>
      </c>
      <c r="Y586" s="32">
        <v>-5.6099999999999998E-4</v>
      </c>
      <c r="Z586" s="32">
        <v>7.6671000000000003E-2</v>
      </c>
      <c r="AA586" s="32">
        <v>0.180169</v>
      </c>
      <c r="AB586" s="32">
        <v>0.15417</v>
      </c>
    </row>
    <row r="587" spans="1:28" ht="15.6" customHeight="1" x14ac:dyDescent="0.25">
      <c r="A587" s="24" t="s">
        <v>1656</v>
      </c>
      <c r="B587" s="50">
        <v>4226</v>
      </c>
      <c r="C587" s="25" t="s">
        <v>1657</v>
      </c>
      <c r="D587" s="25" t="s">
        <v>164</v>
      </c>
      <c r="E587" s="25" t="s">
        <v>194</v>
      </c>
      <c r="F587" s="25" t="s">
        <v>138</v>
      </c>
      <c r="G587" s="26" t="s">
        <v>139</v>
      </c>
      <c r="H587" s="27" t="s">
        <v>1658</v>
      </c>
      <c r="I587" s="24" t="s">
        <v>998</v>
      </c>
      <c r="J587" s="24" t="s">
        <v>107</v>
      </c>
      <c r="K587" s="28" t="s">
        <v>227</v>
      </c>
      <c r="L587" s="29">
        <v>0</v>
      </c>
      <c r="M587" s="29">
        <v>0</v>
      </c>
      <c r="N587" s="29">
        <v>0.02</v>
      </c>
      <c r="O587" s="27" t="s">
        <v>166</v>
      </c>
      <c r="P587" s="30" t="s">
        <v>164</v>
      </c>
      <c r="Q587" s="31">
        <v>357336720.63</v>
      </c>
      <c r="R587" s="31">
        <v>1730.02</v>
      </c>
      <c r="S587" s="32">
        <v>6.5887000000000001E-2</v>
      </c>
      <c r="T587" s="32" t="s">
        <v>139</v>
      </c>
      <c r="U587" s="32">
        <v>4.5929999999999999E-3</v>
      </c>
      <c r="V587" s="32">
        <v>4.8173000000000001E-2</v>
      </c>
      <c r="W587" s="32">
        <v>4.7315999999999997E-2</v>
      </c>
      <c r="X587" s="32">
        <v>5.1575000000000003E-2</v>
      </c>
      <c r="Y587" s="32">
        <v>3.5201999999999997E-2</v>
      </c>
      <c r="Z587" s="32">
        <v>0.32871</v>
      </c>
      <c r="AA587" s="32">
        <v>0.49399799999999999</v>
      </c>
      <c r="AB587" s="32">
        <v>0.451517</v>
      </c>
    </row>
    <row r="588" spans="1:28" ht="15.6" customHeight="1" x14ac:dyDescent="0.25">
      <c r="A588" s="24" t="s">
        <v>1659</v>
      </c>
      <c r="B588" s="50">
        <v>4227</v>
      </c>
      <c r="C588" s="25" t="s">
        <v>1660</v>
      </c>
      <c r="D588" s="25" t="s">
        <v>164</v>
      </c>
      <c r="E588" s="25" t="s">
        <v>194</v>
      </c>
      <c r="F588" s="25" t="s">
        <v>138</v>
      </c>
      <c r="G588" s="26" t="s">
        <v>139</v>
      </c>
      <c r="H588" s="27" t="s">
        <v>1661</v>
      </c>
      <c r="I588" s="24" t="s">
        <v>998</v>
      </c>
      <c r="J588" s="24" t="s">
        <v>107</v>
      </c>
      <c r="K588" s="28" t="s">
        <v>108</v>
      </c>
      <c r="L588" s="29">
        <v>0</v>
      </c>
      <c r="M588" s="29">
        <v>0</v>
      </c>
      <c r="N588" s="29">
        <v>0.02</v>
      </c>
      <c r="O588" s="27" t="s">
        <v>166</v>
      </c>
      <c r="P588" s="30" t="s">
        <v>164</v>
      </c>
      <c r="Q588" s="31">
        <v>202805277.18000001</v>
      </c>
      <c r="R588" s="31">
        <v>15214.91</v>
      </c>
      <c r="S588" s="32">
        <v>9.7302E-2</v>
      </c>
      <c r="T588" s="32" t="s">
        <v>139</v>
      </c>
      <c r="U588" s="32">
        <v>1.0567E-2</v>
      </c>
      <c r="V588" s="32">
        <v>4.7530999999999997E-2</v>
      </c>
      <c r="W588" s="32">
        <v>4.2636E-2</v>
      </c>
      <c r="X588" s="32">
        <v>7.5782000000000002E-2</v>
      </c>
      <c r="Y588" s="32">
        <v>7.4884000000000006E-2</v>
      </c>
      <c r="Z588" s="32">
        <v>0.32105299999999998</v>
      </c>
      <c r="AA588" s="32">
        <v>0.46811599999999998</v>
      </c>
      <c r="AB588" s="32">
        <v>0.44117299999999998</v>
      </c>
    </row>
    <row r="589" spans="1:28" ht="15.6" customHeight="1" x14ac:dyDescent="0.25">
      <c r="A589" s="24" t="s">
        <v>1662</v>
      </c>
      <c r="B589" s="50">
        <v>4228</v>
      </c>
      <c r="C589" s="25" t="s">
        <v>1663</v>
      </c>
      <c r="D589" s="25" t="s">
        <v>127</v>
      </c>
      <c r="E589" s="25" t="s">
        <v>194</v>
      </c>
      <c r="F589" s="25" t="s">
        <v>113</v>
      </c>
      <c r="G589" s="26" t="s">
        <v>191</v>
      </c>
      <c r="H589" s="27" t="s">
        <v>115</v>
      </c>
      <c r="I589" s="24" t="s">
        <v>998</v>
      </c>
      <c r="J589" s="24" t="s">
        <v>107</v>
      </c>
      <c r="K589" s="28" t="s">
        <v>227</v>
      </c>
      <c r="L589" s="29">
        <v>0.03</v>
      </c>
      <c r="M589" s="29">
        <v>0.03</v>
      </c>
      <c r="N589" s="29">
        <v>0.02</v>
      </c>
      <c r="O589" s="27" t="s">
        <v>131</v>
      </c>
      <c r="P589" s="30" t="s">
        <v>131</v>
      </c>
      <c r="Q589" s="31">
        <v>1110256.3899999999</v>
      </c>
      <c r="R589" s="31">
        <v>1110.25</v>
      </c>
      <c r="S589" s="32">
        <v>4.5149999999999999E-3</v>
      </c>
      <c r="T589" s="32" t="s">
        <v>139</v>
      </c>
      <c r="U589" s="32">
        <v>9.4700000000000003E-4</v>
      </c>
      <c r="V589" s="32">
        <v>2.2030000000000001E-3</v>
      </c>
      <c r="W589" s="32">
        <v>3.6340000000000001E-3</v>
      </c>
      <c r="X589" s="32">
        <v>1.967E-3</v>
      </c>
      <c r="Y589" s="32">
        <v>1.5969999999999999E-3</v>
      </c>
      <c r="Z589" s="32">
        <v>5.6485E-2</v>
      </c>
      <c r="AA589" s="32" t="s">
        <v>139</v>
      </c>
      <c r="AB589" s="32" t="s">
        <v>139</v>
      </c>
    </row>
    <row r="590" spans="1:28" ht="15.6" customHeight="1" x14ac:dyDescent="0.25">
      <c r="A590" s="24" t="s">
        <v>1664</v>
      </c>
      <c r="B590" s="50">
        <v>4229</v>
      </c>
      <c r="C590" s="25" t="s">
        <v>1665</v>
      </c>
      <c r="D590" s="25" t="s">
        <v>164</v>
      </c>
      <c r="E590" s="25" t="s">
        <v>194</v>
      </c>
      <c r="F590" s="25" t="s">
        <v>155</v>
      </c>
      <c r="G590" s="26" t="s">
        <v>139</v>
      </c>
      <c r="H590" s="27" t="s">
        <v>588</v>
      </c>
      <c r="I590" s="24" t="s">
        <v>998</v>
      </c>
      <c r="J590" s="24" t="s">
        <v>121</v>
      </c>
      <c r="K590" s="28" t="s">
        <v>227</v>
      </c>
      <c r="L590" s="29">
        <v>0</v>
      </c>
      <c r="M590" s="29">
        <v>0</v>
      </c>
      <c r="N590" s="29">
        <v>0.02</v>
      </c>
      <c r="O590" s="27" t="s">
        <v>166</v>
      </c>
      <c r="P590" s="30" t="s">
        <v>164</v>
      </c>
      <c r="Q590" s="31">
        <v>365536350.39999998</v>
      </c>
      <c r="R590" s="31">
        <v>2116.9899999999998</v>
      </c>
      <c r="S590" s="32">
        <v>6.9490000000000003E-3</v>
      </c>
      <c r="T590" s="32" t="s">
        <v>139</v>
      </c>
      <c r="U590" s="32">
        <v>3.722E-3</v>
      </c>
      <c r="V590" s="32">
        <v>4.2062000000000002E-2</v>
      </c>
      <c r="W590" s="32">
        <v>4.0714E-2</v>
      </c>
      <c r="X590" s="32">
        <v>7.3759999999999997E-3</v>
      </c>
      <c r="Y590" s="32">
        <v>-5.1506999999999997E-2</v>
      </c>
      <c r="Z590" s="32">
        <v>0.43273200000000001</v>
      </c>
      <c r="AA590" s="32">
        <v>0.716553</v>
      </c>
      <c r="AB590" s="32">
        <v>0.61471600000000004</v>
      </c>
    </row>
    <row r="591" spans="1:28" ht="15.6" customHeight="1" x14ac:dyDescent="0.25">
      <c r="A591" s="24" t="s">
        <v>1666</v>
      </c>
      <c r="B591" s="50">
        <v>4230</v>
      </c>
      <c r="C591" s="25" t="s">
        <v>1667</v>
      </c>
      <c r="D591" s="25" t="s">
        <v>164</v>
      </c>
      <c r="E591" s="25" t="s">
        <v>194</v>
      </c>
      <c r="F591" s="25" t="s">
        <v>155</v>
      </c>
      <c r="G591" s="26" t="s">
        <v>139</v>
      </c>
      <c r="H591" s="27" t="s">
        <v>1668</v>
      </c>
      <c r="I591" s="24" t="s">
        <v>998</v>
      </c>
      <c r="J591" s="24" t="s">
        <v>121</v>
      </c>
      <c r="K591" s="28" t="s">
        <v>227</v>
      </c>
      <c r="L591" s="29">
        <v>2E-3</v>
      </c>
      <c r="M591" s="29">
        <v>1E-3</v>
      </c>
      <c r="N591" s="29">
        <v>0.02</v>
      </c>
      <c r="O591" s="27" t="s">
        <v>166</v>
      </c>
      <c r="P591" s="30" t="s">
        <v>164</v>
      </c>
      <c r="Q591" s="31">
        <v>3370634823.7199998</v>
      </c>
      <c r="R591" s="31">
        <v>1512.63</v>
      </c>
      <c r="S591" s="32">
        <v>0.116827</v>
      </c>
      <c r="T591" s="32" t="s">
        <v>139</v>
      </c>
      <c r="U591" s="32">
        <v>1.8509999999999999E-2</v>
      </c>
      <c r="V591" s="32">
        <v>8.7807999999999997E-2</v>
      </c>
      <c r="W591" s="32">
        <v>7.2307999999999997E-2</v>
      </c>
      <c r="X591" s="32">
        <v>8.4898000000000001E-2</v>
      </c>
      <c r="Y591" s="32">
        <v>5.3913999999999997E-2</v>
      </c>
      <c r="Z591" s="32">
        <v>0.50371299999999997</v>
      </c>
      <c r="AA591" s="32">
        <v>0.75190500000000005</v>
      </c>
      <c r="AB591" s="32">
        <v>0.69215000000000004</v>
      </c>
    </row>
    <row r="592" spans="1:28" ht="15.6" customHeight="1" x14ac:dyDescent="0.25">
      <c r="A592" s="24" t="s">
        <v>1669</v>
      </c>
      <c r="B592" s="50">
        <v>4231</v>
      </c>
      <c r="C592" s="25" t="s">
        <v>1670</v>
      </c>
      <c r="D592" s="25" t="s">
        <v>164</v>
      </c>
      <c r="E592" s="25" t="s">
        <v>194</v>
      </c>
      <c r="F592" s="25" t="s">
        <v>155</v>
      </c>
      <c r="G592" s="26" t="s">
        <v>139</v>
      </c>
      <c r="H592" s="27" t="s">
        <v>156</v>
      </c>
      <c r="I592" s="24" t="s">
        <v>998</v>
      </c>
      <c r="J592" s="24" t="s">
        <v>107</v>
      </c>
      <c r="K592" s="28" t="s">
        <v>108</v>
      </c>
      <c r="L592" s="29">
        <v>0.02</v>
      </c>
      <c r="M592" s="29">
        <v>0.02</v>
      </c>
      <c r="N592" s="29">
        <v>1.4999999999999999E-2</v>
      </c>
      <c r="O592" s="27" t="s">
        <v>166</v>
      </c>
      <c r="P592" s="30" t="s">
        <v>627</v>
      </c>
      <c r="Q592" s="31">
        <v>2108010.35</v>
      </c>
      <c r="R592" s="31">
        <v>159.51</v>
      </c>
      <c r="S592" s="32">
        <v>4.4665999999999997E-2</v>
      </c>
      <c r="T592" s="32" t="s">
        <v>139</v>
      </c>
      <c r="U592" s="32">
        <v>1.1029000000000001E-2</v>
      </c>
      <c r="V592" s="32">
        <v>5.0583000000000003E-2</v>
      </c>
      <c r="W592" s="32">
        <v>6.9961999999999996E-2</v>
      </c>
      <c r="X592" s="32">
        <v>3.5778999999999998E-2</v>
      </c>
      <c r="Y592" s="32">
        <v>-6.4457E-2</v>
      </c>
      <c r="Z592" s="32">
        <v>0.32252700000000001</v>
      </c>
      <c r="AA592" s="32" t="s">
        <v>139</v>
      </c>
      <c r="AB592" s="32" t="s">
        <v>139</v>
      </c>
    </row>
    <row r="593" spans="1:28" ht="15.6" customHeight="1" x14ac:dyDescent="0.25">
      <c r="A593" s="24" t="s">
        <v>1671</v>
      </c>
      <c r="B593" s="50">
        <v>4232</v>
      </c>
      <c r="C593" s="25" t="s">
        <v>1672</v>
      </c>
      <c r="D593" s="25" t="s">
        <v>164</v>
      </c>
      <c r="E593" s="25" t="s">
        <v>194</v>
      </c>
      <c r="F593" s="25" t="s">
        <v>155</v>
      </c>
      <c r="G593" s="26" t="s">
        <v>139</v>
      </c>
      <c r="H593" s="27" t="s">
        <v>156</v>
      </c>
      <c r="I593" s="24" t="s">
        <v>998</v>
      </c>
      <c r="J593" s="24" t="s">
        <v>107</v>
      </c>
      <c r="K593" s="28" t="s">
        <v>108</v>
      </c>
      <c r="L593" s="29">
        <v>0.02</v>
      </c>
      <c r="M593" s="29">
        <v>0.02</v>
      </c>
      <c r="N593" s="29">
        <v>1.4999999999999999E-2</v>
      </c>
      <c r="O593" s="27" t="s">
        <v>166</v>
      </c>
      <c r="P593" s="30" t="s">
        <v>627</v>
      </c>
      <c r="Q593" s="31">
        <v>2636066.39</v>
      </c>
      <c r="R593" s="31">
        <v>135.88999999999999</v>
      </c>
      <c r="S593" s="32">
        <v>-1.1350000000000001E-2</v>
      </c>
      <c r="T593" s="32" t="s">
        <v>139</v>
      </c>
      <c r="U593" s="32">
        <v>1.7749999999999998E-2</v>
      </c>
      <c r="V593" s="32">
        <v>7.9176999999999997E-2</v>
      </c>
      <c r="W593" s="32">
        <v>7.8662999999999997E-2</v>
      </c>
      <c r="X593" s="32">
        <v>-1.5004E-2</v>
      </c>
      <c r="Y593" s="32">
        <v>-0.10492700000000001</v>
      </c>
      <c r="Z593" s="32">
        <v>0.19432199999999999</v>
      </c>
      <c r="AA593" s="32" t="s">
        <v>139</v>
      </c>
      <c r="AB593" s="32" t="s">
        <v>139</v>
      </c>
    </row>
    <row r="594" spans="1:28" ht="15.6" customHeight="1" x14ac:dyDescent="0.25">
      <c r="A594" s="24" t="s">
        <v>1673</v>
      </c>
      <c r="B594" s="50">
        <v>4233</v>
      </c>
      <c r="C594" s="25" t="s">
        <v>1674</v>
      </c>
      <c r="D594" s="25" t="s">
        <v>164</v>
      </c>
      <c r="E594" s="25" t="s">
        <v>194</v>
      </c>
      <c r="F594" s="25" t="s">
        <v>155</v>
      </c>
      <c r="G594" s="26" t="s">
        <v>139</v>
      </c>
      <c r="H594" s="27" t="s">
        <v>156</v>
      </c>
      <c r="I594" s="24" t="s">
        <v>998</v>
      </c>
      <c r="J594" s="24" t="s">
        <v>107</v>
      </c>
      <c r="K594" s="28" t="s">
        <v>108</v>
      </c>
      <c r="L594" s="29">
        <v>0.02</v>
      </c>
      <c r="M594" s="29">
        <v>0.02</v>
      </c>
      <c r="N594" s="29">
        <v>1.4999999999999999E-2</v>
      </c>
      <c r="O594" s="27" t="s">
        <v>166</v>
      </c>
      <c r="P594" s="30" t="s">
        <v>627</v>
      </c>
      <c r="Q594" s="31">
        <v>91757517.920000002</v>
      </c>
      <c r="R594" s="31">
        <v>185.67</v>
      </c>
      <c r="S594" s="32">
        <v>4.7681000000000001E-2</v>
      </c>
      <c r="T594" s="32" t="s">
        <v>139</v>
      </c>
      <c r="U594" s="32">
        <v>1.7035000000000002E-2</v>
      </c>
      <c r="V594" s="32">
        <v>7.9413999999999998E-2</v>
      </c>
      <c r="W594" s="32">
        <v>6.4499000000000001E-2</v>
      </c>
      <c r="X594" s="32">
        <v>4.1043000000000003E-2</v>
      </c>
      <c r="Y594" s="32">
        <v>-5.9422000000000003E-2</v>
      </c>
      <c r="Z594" s="32">
        <v>0.50718399999999997</v>
      </c>
      <c r="AA594" s="32" t="s">
        <v>139</v>
      </c>
      <c r="AB594" s="32" t="s">
        <v>139</v>
      </c>
    </row>
    <row r="595" spans="1:28" ht="15.6" customHeight="1" x14ac:dyDescent="0.25">
      <c r="A595" s="24" t="s">
        <v>1675</v>
      </c>
      <c r="B595" s="50">
        <v>4235</v>
      </c>
      <c r="C595" s="25" t="s">
        <v>1676</v>
      </c>
      <c r="D595" s="25" t="s">
        <v>112</v>
      </c>
      <c r="E595" s="25" t="s">
        <v>194</v>
      </c>
      <c r="F595" s="25" t="s">
        <v>155</v>
      </c>
      <c r="G595" s="26" t="s">
        <v>139</v>
      </c>
      <c r="H595" s="27" t="s">
        <v>156</v>
      </c>
      <c r="I595" s="24" t="s">
        <v>998</v>
      </c>
      <c r="J595" s="24" t="s">
        <v>107</v>
      </c>
      <c r="K595" s="28" t="s">
        <v>227</v>
      </c>
      <c r="L595" s="29">
        <v>0.03</v>
      </c>
      <c r="M595" s="29">
        <v>1.4999999999999999E-2</v>
      </c>
      <c r="N595" s="29">
        <v>0.02</v>
      </c>
      <c r="O595" s="27" t="s">
        <v>548</v>
      </c>
      <c r="P595" s="30" t="s">
        <v>112</v>
      </c>
      <c r="Q595" s="31">
        <v>44704908.770000003</v>
      </c>
      <c r="R595" s="31">
        <v>300.70999999999998</v>
      </c>
      <c r="S595" s="32">
        <v>-4.5032000000000003E-2</v>
      </c>
      <c r="T595" s="32" t="s">
        <v>139</v>
      </c>
      <c r="U595" s="32">
        <v>5.5510000000000004E-3</v>
      </c>
      <c r="V595" s="32">
        <v>5.4198000000000003E-2</v>
      </c>
      <c r="W595" s="32">
        <v>3.4077999999999997E-2</v>
      </c>
      <c r="X595" s="32">
        <v>-2.0361000000000001E-2</v>
      </c>
      <c r="Y595" s="32">
        <v>-0.107474</v>
      </c>
      <c r="Z595" s="32">
        <v>0.40263100000000002</v>
      </c>
      <c r="AA595" s="32">
        <v>0.62792300000000001</v>
      </c>
      <c r="AB595" s="32">
        <v>0.60165100000000005</v>
      </c>
    </row>
    <row r="596" spans="1:28" ht="15.6" customHeight="1" x14ac:dyDescent="0.25">
      <c r="A596" s="24" t="s">
        <v>950</v>
      </c>
      <c r="B596" s="50">
        <v>4236</v>
      </c>
      <c r="C596" s="25" t="s">
        <v>951</v>
      </c>
      <c r="D596" s="25" t="s">
        <v>164</v>
      </c>
      <c r="E596" s="25" t="s">
        <v>194</v>
      </c>
      <c r="F596" s="25" t="s">
        <v>113</v>
      </c>
      <c r="G596" s="26" t="s">
        <v>647</v>
      </c>
      <c r="H596" s="27" t="s">
        <v>952</v>
      </c>
      <c r="I596" s="24" t="s">
        <v>106</v>
      </c>
      <c r="J596" s="24" t="s">
        <v>121</v>
      </c>
      <c r="K596" s="28" t="s">
        <v>227</v>
      </c>
      <c r="L596" s="29">
        <v>0</v>
      </c>
      <c r="M596" s="29">
        <v>0</v>
      </c>
      <c r="N596" s="29">
        <v>0.02</v>
      </c>
      <c r="O596" s="27" t="s">
        <v>166</v>
      </c>
      <c r="P596" s="30" t="s">
        <v>164</v>
      </c>
      <c r="Q596" s="31">
        <v>3327930544.9099998</v>
      </c>
      <c r="R596" s="31">
        <v>1913.95</v>
      </c>
      <c r="S596" s="32">
        <v>6.3990000000000002E-3</v>
      </c>
      <c r="T596" s="32" t="s">
        <v>139</v>
      </c>
      <c r="U596" s="32">
        <v>5.6999999999999998E-4</v>
      </c>
      <c r="V596" s="32">
        <v>5.2209999999999999E-3</v>
      </c>
      <c r="W596" s="32">
        <v>2.3499999999999999E-4</v>
      </c>
      <c r="X596" s="32">
        <v>9.5099999999999994E-3</v>
      </c>
      <c r="Y596" s="32">
        <v>2.7994000000000002E-2</v>
      </c>
      <c r="Z596" s="32">
        <v>8.6194000000000007E-2</v>
      </c>
      <c r="AA596" s="32">
        <v>0.172455</v>
      </c>
      <c r="AB596" s="32">
        <v>0.18895100000000001</v>
      </c>
    </row>
    <row r="597" spans="1:28" ht="15.6" customHeight="1" x14ac:dyDescent="0.25">
      <c r="A597" s="24" t="s">
        <v>1677</v>
      </c>
      <c r="B597" s="50">
        <v>4237</v>
      </c>
      <c r="C597" s="25" t="s">
        <v>1678</v>
      </c>
      <c r="D597" s="25" t="s">
        <v>164</v>
      </c>
      <c r="E597" s="25" t="s">
        <v>194</v>
      </c>
      <c r="F597" s="25" t="s">
        <v>138</v>
      </c>
      <c r="G597" s="26" t="s">
        <v>139</v>
      </c>
      <c r="H597" s="27" t="s">
        <v>1679</v>
      </c>
      <c r="I597" s="24" t="s">
        <v>998</v>
      </c>
      <c r="J597" s="24" t="s">
        <v>121</v>
      </c>
      <c r="K597" s="28" t="s">
        <v>227</v>
      </c>
      <c r="L597" s="29">
        <v>0.03</v>
      </c>
      <c r="M597" s="29">
        <v>1.4999999999999999E-2</v>
      </c>
      <c r="N597" s="29">
        <v>0.02</v>
      </c>
      <c r="O597" s="27" t="s">
        <v>166</v>
      </c>
      <c r="P597" s="30" t="s">
        <v>164</v>
      </c>
      <c r="Q597" s="31">
        <v>1785727836.3699999</v>
      </c>
      <c r="R597" s="31">
        <v>1431.29</v>
      </c>
      <c r="S597" s="32">
        <v>3.39E-2</v>
      </c>
      <c r="T597" s="32" t="s">
        <v>139</v>
      </c>
      <c r="U597" s="32">
        <v>2.8699999999999998E-4</v>
      </c>
      <c r="V597" s="32">
        <v>2.7605000000000001E-2</v>
      </c>
      <c r="W597" s="32">
        <v>2.4053999999999999E-2</v>
      </c>
      <c r="X597" s="32">
        <v>2.6845999999999998E-2</v>
      </c>
      <c r="Y597" s="32">
        <v>1.6317000000000002E-2</v>
      </c>
      <c r="Z597" s="32">
        <v>0.18210299999999999</v>
      </c>
      <c r="AA597" s="32">
        <v>0.30854799999999999</v>
      </c>
      <c r="AB597" s="32">
        <v>0.39357999999999999</v>
      </c>
    </row>
    <row r="598" spans="1:28" ht="15.6" customHeight="1" x14ac:dyDescent="0.25">
      <c r="A598" s="24" t="s">
        <v>1680</v>
      </c>
      <c r="B598" s="50">
        <v>4238</v>
      </c>
      <c r="C598" s="25" t="s">
        <v>1681</v>
      </c>
      <c r="D598" s="25" t="s">
        <v>164</v>
      </c>
      <c r="E598" s="25" t="s">
        <v>194</v>
      </c>
      <c r="F598" s="25" t="s">
        <v>113</v>
      </c>
      <c r="G598" s="26" t="s">
        <v>866</v>
      </c>
      <c r="H598" s="27" t="s">
        <v>120</v>
      </c>
      <c r="I598" s="24" t="s">
        <v>998</v>
      </c>
      <c r="J598" s="24" t="s">
        <v>121</v>
      </c>
      <c r="K598" s="28" t="s">
        <v>108</v>
      </c>
      <c r="L598" s="29">
        <v>0</v>
      </c>
      <c r="M598" s="29">
        <v>0</v>
      </c>
      <c r="N598" s="29">
        <v>0.02</v>
      </c>
      <c r="O598" s="27" t="s">
        <v>166</v>
      </c>
      <c r="P598" s="30" t="s">
        <v>164</v>
      </c>
      <c r="Q598" s="31">
        <v>21120505804.049999</v>
      </c>
      <c r="R598" s="31">
        <v>169.98</v>
      </c>
      <c r="S598" s="32">
        <v>2.0900999999999999E-2</v>
      </c>
      <c r="T598" s="32" t="s">
        <v>139</v>
      </c>
      <c r="U598" s="32">
        <v>8.2399999999999997E-4</v>
      </c>
      <c r="V598" s="32">
        <v>2.5950000000000001E-3</v>
      </c>
      <c r="W598" s="32">
        <v>8.5439999999999995E-3</v>
      </c>
      <c r="X598" s="32">
        <v>1.6688000000000001E-2</v>
      </c>
      <c r="Y598" s="32">
        <v>2.7255999999999999E-2</v>
      </c>
      <c r="Z598" s="32">
        <v>6.4770999999999995E-2</v>
      </c>
      <c r="AA598" s="32">
        <v>0.108445</v>
      </c>
      <c r="AB598" s="32">
        <v>0.146809</v>
      </c>
    </row>
    <row r="599" spans="1:28" ht="15.6" customHeight="1" x14ac:dyDescent="0.25">
      <c r="A599" s="24" t="s">
        <v>953</v>
      </c>
      <c r="B599" s="50">
        <v>4239</v>
      </c>
      <c r="C599" s="25" t="s">
        <v>954</v>
      </c>
      <c r="D599" s="25" t="s">
        <v>164</v>
      </c>
      <c r="E599" s="25" t="s">
        <v>194</v>
      </c>
      <c r="F599" s="25" t="s">
        <v>138</v>
      </c>
      <c r="G599" s="26" t="s">
        <v>139</v>
      </c>
      <c r="H599" s="27" t="s">
        <v>955</v>
      </c>
      <c r="I599" s="24" t="s">
        <v>106</v>
      </c>
      <c r="J599" s="24" t="s">
        <v>107</v>
      </c>
      <c r="K599" s="28" t="s">
        <v>227</v>
      </c>
      <c r="L599" s="29">
        <v>0.03</v>
      </c>
      <c r="M599" s="29">
        <v>1.4999999999999999E-2</v>
      </c>
      <c r="N599" s="29">
        <v>0.02</v>
      </c>
      <c r="O599" s="27" t="s">
        <v>166</v>
      </c>
      <c r="P599" s="30" t="s">
        <v>164</v>
      </c>
      <c r="Q599" s="31">
        <v>132078092.06999999</v>
      </c>
      <c r="R599" s="31">
        <v>176820.36</v>
      </c>
      <c r="S599" s="32">
        <v>0.140711</v>
      </c>
      <c r="T599" s="32" t="s">
        <v>139</v>
      </c>
      <c r="U599" s="32">
        <v>1.6487000000000002E-2</v>
      </c>
      <c r="V599" s="32">
        <v>8.6241999999999999E-2</v>
      </c>
      <c r="W599" s="32">
        <v>7.7986E-2</v>
      </c>
      <c r="X599" s="32">
        <v>0.11698500000000001</v>
      </c>
      <c r="Y599" s="32">
        <v>0.15926399999999999</v>
      </c>
      <c r="Z599" s="32">
        <v>0.37194199999999999</v>
      </c>
      <c r="AA599" s="32">
        <v>0.52217400000000003</v>
      </c>
      <c r="AB599" s="32">
        <v>0.564774</v>
      </c>
    </row>
    <row r="600" spans="1:28" ht="15.6" customHeight="1" x14ac:dyDescent="0.25">
      <c r="A600" s="24" t="s">
        <v>1682</v>
      </c>
      <c r="B600" s="50">
        <v>4240</v>
      </c>
      <c r="C600" s="25" t="s">
        <v>1683</v>
      </c>
      <c r="D600" s="25" t="s">
        <v>164</v>
      </c>
      <c r="E600" s="25" t="s">
        <v>194</v>
      </c>
      <c r="F600" s="25" t="s">
        <v>113</v>
      </c>
      <c r="G600" s="26" t="s">
        <v>151</v>
      </c>
      <c r="H600" s="27" t="s">
        <v>1498</v>
      </c>
      <c r="I600" s="24" t="s">
        <v>998</v>
      </c>
      <c r="J600" s="24" t="s">
        <v>121</v>
      </c>
      <c r="K600" s="28" t="s">
        <v>108</v>
      </c>
      <c r="L600" s="29">
        <v>0</v>
      </c>
      <c r="M600" s="29">
        <v>0</v>
      </c>
      <c r="N600" s="29">
        <v>0.02</v>
      </c>
      <c r="O600" s="27" t="s">
        <v>166</v>
      </c>
      <c r="P600" s="30" t="s">
        <v>164</v>
      </c>
      <c r="Q600" s="31">
        <v>1646580865.3299999</v>
      </c>
      <c r="R600" s="31">
        <v>301.74</v>
      </c>
      <c r="S600" s="32">
        <v>5.2300000000000003E-3</v>
      </c>
      <c r="T600" s="32" t="s">
        <v>139</v>
      </c>
      <c r="U600" s="32">
        <v>1.593E-3</v>
      </c>
      <c r="V600" s="32">
        <v>5.0959999999999998E-3</v>
      </c>
      <c r="W600" s="32">
        <v>6.7400000000000003E-3</v>
      </c>
      <c r="X600" s="32">
        <v>4.2940000000000001E-3</v>
      </c>
      <c r="Y600" s="32">
        <v>2.9919999999999999E-3</v>
      </c>
      <c r="Z600" s="32">
        <v>9.4212000000000004E-2</v>
      </c>
      <c r="AA600" s="32">
        <v>0.196906</v>
      </c>
      <c r="AB600" s="32">
        <v>0.18232000000000001</v>
      </c>
    </row>
    <row r="601" spans="1:28" ht="15.6" customHeight="1" x14ac:dyDescent="0.25">
      <c r="A601" s="24" t="s">
        <v>956</v>
      </c>
      <c r="B601" s="50">
        <v>4241</v>
      </c>
      <c r="C601" s="25" t="s">
        <v>957</v>
      </c>
      <c r="D601" s="25" t="s">
        <v>164</v>
      </c>
      <c r="E601" s="25" t="s">
        <v>194</v>
      </c>
      <c r="F601" s="25" t="s">
        <v>113</v>
      </c>
      <c r="G601" s="26" t="s">
        <v>958</v>
      </c>
      <c r="H601" s="27" t="s">
        <v>327</v>
      </c>
      <c r="I601" s="24" t="s">
        <v>106</v>
      </c>
      <c r="J601" s="24" t="s">
        <v>121</v>
      </c>
      <c r="K601" s="28" t="s">
        <v>227</v>
      </c>
      <c r="L601" s="29">
        <v>0.03</v>
      </c>
      <c r="M601" s="29">
        <v>1.4999999999999999E-2</v>
      </c>
      <c r="N601" s="29">
        <v>0.02</v>
      </c>
      <c r="O601" s="27" t="s">
        <v>166</v>
      </c>
      <c r="P601" s="30" t="s">
        <v>164</v>
      </c>
      <c r="Q601" s="31">
        <v>323824017.75999999</v>
      </c>
      <c r="R601" s="31">
        <v>1103.74</v>
      </c>
      <c r="S601" s="32">
        <v>9.0270000000000003E-3</v>
      </c>
      <c r="T601" s="32" t="s">
        <v>139</v>
      </c>
      <c r="U601" s="32">
        <v>1.225E-3</v>
      </c>
      <c r="V601" s="32">
        <v>3.5639999999999999E-3</v>
      </c>
      <c r="W601" s="32">
        <v>6.3E-3</v>
      </c>
      <c r="X601" s="32">
        <v>7.9059999999999998E-3</v>
      </c>
      <c r="Y601" s="32">
        <v>9.2230000000000003E-3</v>
      </c>
      <c r="Z601" s="32">
        <v>9.1250999999999999E-2</v>
      </c>
      <c r="AA601" s="32">
        <v>0.153862</v>
      </c>
      <c r="AB601" s="32">
        <v>0.15528500000000001</v>
      </c>
    </row>
    <row r="602" spans="1:28" ht="15.6" customHeight="1" x14ac:dyDescent="0.25">
      <c r="A602" s="24" t="s">
        <v>1684</v>
      </c>
      <c r="B602" s="50">
        <v>4242</v>
      </c>
      <c r="C602" s="25" t="s">
        <v>1685</v>
      </c>
      <c r="D602" s="25" t="s">
        <v>101</v>
      </c>
      <c r="E602" s="25" t="s">
        <v>194</v>
      </c>
      <c r="F602" s="25" t="s">
        <v>155</v>
      </c>
      <c r="G602" s="26" t="s">
        <v>139</v>
      </c>
      <c r="H602" s="27" t="s">
        <v>156</v>
      </c>
      <c r="I602" s="24" t="s">
        <v>998</v>
      </c>
      <c r="J602" s="24" t="s">
        <v>107</v>
      </c>
      <c r="K602" s="28" t="s">
        <v>108</v>
      </c>
      <c r="L602" s="29">
        <v>0.03</v>
      </c>
      <c r="M602" s="29">
        <v>1.4999999999999999E-2</v>
      </c>
      <c r="N602" s="29">
        <v>0.02</v>
      </c>
      <c r="O602" s="27" t="s">
        <v>262</v>
      </c>
      <c r="P602" s="30" t="s">
        <v>101</v>
      </c>
      <c r="Q602" s="31">
        <v>42608085.689999998</v>
      </c>
      <c r="R602" s="31">
        <v>2759.64</v>
      </c>
      <c r="S602" s="32">
        <v>2.2467999999999998E-2</v>
      </c>
      <c r="T602" s="32" t="s">
        <v>139</v>
      </c>
      <c r="U602" s="32">
        <v>1.4618000000000001E-2</v>
      </c>
      <c r="V602" s="32">
        <v>7.6298000000000005E-2</v>
      </c>
      <c r="W602" s="32">
        <v>7.0508000000000001E-2</v>
      </c>
      <c r="X602" s="32">
        <v>1.7420000000000001E-2</v>
      </c>
      <c r="Y602" s="32">
        <v>-7.6339000000000004E-2</v>
      </c>
      <c r="Z602" s="32">
        <v>0.37191099999999999</v>
      </c>
      <c r="AA602" s="32">
        <v>0.58886700000000003</v>
      </c>
      <c r="AB602" s="32">
        <v>0.53766899999999995</v>
      </c>
    </row>
    <row r="603" spans="1:28" ht="15.6" customHeight="1" x14ac:dyDescent="0.25">
      <c r="A603" s="24" t="s">
        <v>959</v>
      </c>
      <c r="B603" s="50">
        <v>4243</v>
      </c>
      <c r="C603" s="25" t="s">
        <v>960</v>
      </c>
      <c r="D603" s="25" t="s">
        <v>101</v>
      </c>
      <c r="E603" s="25" t="s">
        <v>194</v>
      </c>
      <c r="F603" s="25" t="s">
        <v>103</v>
      </c>
      <c r="G603" s="26" t="s">
        <v>104</v>
      </c>
      <c r="H603" s="27" t="s">
        <v>961</v>
      </c>
      <c r="I603" s="24" t="s">
        <v>106</v>
      </c>
      <c r="J603" s="24" t="s">
        <v>107</v>
      </c>
      <c r="K603" s="28" t="s">
        <v>108</v>
      </c>
      <c r="L603" s="29">
        <v>0.03</v>
      </c>
      <c r="M603" s="29">
        <v>1.4999999999999999E-2</v>
      </c>
      <c r="N603" s="29">
        <v>0.02</v>
      </c>
      <c r="O603" s="27" t="s">
        <v>262</v>
      </c>
      <c r="P603" s="30" t="s">
        <v>291</v>
      </c>
      <c r="Q603" s="31">
        <v>4806935387.6599998</v>
      </c>
      <c r="R603" s="31">
        <v>1566.43</v>
      </c>
      <c r="S603" s="32">
        <v>1.7863E-2</v>
      </c>
      <c r="T603" s="32" t="s">
        <v>139</v>
      </c>
      <c r="U603" s="32">
        <v>5.7499999999999999E-4</v>
      </c>
      <c r="V603" s="32">
        <v>2.137E-3</v>
      </c>
      <c r="W603" s="32">
        <v>6.9940000000000002E-3</v>
      </c>
      <c r="X603" s="32">
        <v>1.3976000000000001E-2</v>
      </c>
      <c r="Y603" s="32">
        <v>2.6346000000000001E-2</v>
      </c>
      <c r="Z603" s="32">
        <v>5.6792000000000002E-2</v>
      </c>
      <c r="AA603" s="32">
        <v>9.01E-2</v>
      </c>
      <c r="AB603" s="32">
        <v>0.12982199999999999</v>
      </c>
    </row>
    <row r="604" spans="1:28" ht="15.6" customHeight="1" x14ac:dyDescent="0.25">
      <c r="A604" s="24" t="s">
        <v>1686</v>
      </c>
      <c r="B604" s="50">
        <v>4244</v>
      </c>
      <c r="C604" s="25" t="s">
        <v>1687</v>
      </c>
      <c r="D604" s="25" t="s">
        <v>101</v>
      </c>
      <c r="E604" s="25" t="s">
        <v>194</v>
      </c>
      <c r="F604" s="25" t="s">
        <v>138</v>
      </c>
      <c r="G604" s="26" t="s">
        <v>139</v>
      </c>
      <c r="H604" s="27" t="s">
        <v>1688</v>
      </c>
      <c r="I604" s="24" t="s">
        <v>998</v>
      </c>
      <c r="J604" s="24" t="s">
        <v>107</v>
      </c>
      <c r="K604" s="28" t="s">
        <v>108</v>
      </c>
      <c r="L604" s="29">
        <v>0.03</v>
      </c>
      <c r="M604" s="29">
        <v>1.4999999999999999E-2</v>
      </c>
      <c r="N604" s="29">
        <v>0.02</v>
      </c>
      <c r="O604" s="27" t="s">
        <v>262</v>
      </c>
      <c r="P604" s="30" t="s">
        <v>101</v>
      </c>
      <c r="Q604" s="31">
        <v>3963335.46</v>
      </c>
      <c r="R604" s="31">
        <v>2226.16</v>
      </c>
      <c r="S604" s="32">
        <v>3.3696999999999998E-2</v>
      </c>
      <c r="T604" s="32" t="s">
        <v>139</v>
      </c>
      <c r="U604" s="32">
        <v>8.3619999999999996E-3</v>
      </c>
      <c r="V604" s="32">
        <v>4.1673000000000002E-2</v>
      </c>
      <c r="W604" s="32">
        <v>3.0549E-2</v>
      </c>
      <c r="X604" s="32">
        <v>1.5362000000000001E-2</v>
      </c>
      <c r="Y604" s="32">
        <v>-3.496E-3</v>
      </c>
      <c r="Z604" s="32">
        <v>0.226683</v>
      </c>
      <c r="AA604" s="32">
        <v>0.34368300000000002</v>
      </c>
      <c r="AB604" s="32">
        <v>0.30626300000000001</v>
      </c>
    </row>
    <row r="605" spans="1:28" ht="15.6" customHeight="1" x14ac:dyDescent="0.25">
      <c r="A605" s="24" t="s">
        <v>962</v>
      </c>
      <c r="B605" s="50">
        <v>4245</v>
      </c>
      <c r="C605" s="25" t="s">
        <v>963</v>
      </c>
      <c r="D605" s="25" t="s">
        <v>101</v>
      </c>
      <c r="E605" s="25" t="s">
        <v>194</v>
      </c>
      <c r="F605" s="25" t="s">
        <v>128</v>
      </c>
      <c r="G605" s="26" t="s">
        <v>250</v>
      </c>
      <c r="H605" s="27" t="s">
        <v>964</v>
      </c>
      <c r="I605" s="24" t="s">
        <v>106</v>
      </c>
      <c r="J605" s="24" t="s">
        <v>107</v>
      </c>
      <c r="K605" s="28" t="s">
        <v>108</v>
      </c>
      <c r="L605" s="29">
        <v>0.03</v>
      </c>
      <c r="M605" s="29">
        <v>1.4999999999999999E-2</v>
      </c>
      <c r="N605" s="29">
        <v>0.02</v>
      </c>
      <c r="O605" s="27" t="s">
        <v>262</v>
      </c>
      <c r="P605" s="30" t="s">
        <v>291</v>
      </c>
      <c r="Q605" s="31">
        <v>2008640290.8199999</v>
      </c>
      <c r="R605" s="31">
        <v>1614.64</v>
      </c>
      <c r="S605" s="32">
        <v>1.9768000000000001E-2</v>
      </c>
      <c r="T605" s="32" t="s">
        <v>139</v>
      </c>
      <c r="U605" s="32">
        <v>7.8100000000000001E-4</v>
      </c>
      <c r="V605" s="32">
        <v>2.5079999999999998E-3</v>
      </c>
      <c r="W605" s="32">
        <v>8.1169999999999992E-3</v>
      </c>
      <c r="X605" s="32">
        <v>1.5573999999999999E-2</v>
      </c>
      <c r="Y605" s="32">
        <v>2.7581999999999999E-2</v>
      </c>
      <c r="Z605" s="32">
        <v>6.2403E-2</v>
      </c>
      <c r="AA605" s="32">
        <v>0.10023600000000001</v>
      </c>
      <c r="AB605" s="32">
        <v>0.13406799999999999</v>
      </c>
    </row>
    <row r="606" spans="1:28" ht="15.6" customHeight="1" x14ac:dyDescent="0.25">
      <c r="A606" s="24" t="s">
        <v>1689</v>
      </c>
      <c r="B606" s="50">
        <v>4246</v>
      </c>
      <c r="C606" s="25" t="s">
        <v>1690</v>
      </c>
      <c r="D606" s="25" t="s">
        <v>101</v>
      </c>
      <c r="E606" s="25" t="s">
        <v>194</v>
      </c>
      <c r="F606" s="25" t="s">
        <v>113</v>
      </c>
      <c r="G606" s="26" t="s">
        <v>114</v>
      </c>
      <c r="H606" s="27" t="s">
        <v>115</v>
      </c>
      <c r="I606" s="24" t="s">
        <v>998</v>
      </c>
      <c r="J606" s="24" t="s">
        <v>107</v>
      </c>
      <c r="K606" s="28" t="s">
        <v>108</v>
      </c>
      <c r="L606" s="29">
        <v>0.03</v>
      </c>
      <c r="M606" s="29">
        <v>1.4999999999999999E-2</v>
      </c>
      <c r="N606" s="29">
        <v>0.02</v>
      </c>
      <c r="O606" s="27" t="s">
        <v>262</v>
      </c>
      <c r="P606" s="30" t="s">
        <v>291</v>
      </c>
      <c r="Q606" s="31">
        <v>59381415.979999997</v>
      </c>
      <c r="R606" s="31">
        <v>1969.79</v>
      </c>
      <c r="S606" s="32">
        <v>2.6670000000000001E-3</v>
      </c>
      <c r="T606" s="32" t="s">
        <v>139</v>
      </c>
      <c r="U606" s="32">
        <v>1.077E-3</v>
      </c>
      <c r="V606" s="32">
        <v>3.9960000000000004E-3</v>
      </c>
      <c r="W606" s="32">
        <v>4.79E-3</v>
      </c>
      <c r="X606" s="32">
        <v>2.836E-3</v>
      </c>
      <c r="Y606" s="32">
        <v>2.4429999999999999E-3</v>
      </c>
      <c r="Z606" s="32">
        <v>0.13542399999999999</v>
      </c>
      <c r="AA606" s="32">
        <v>0.23724300000000001</v>
      </c>
      <c r="AB606" s="32">
        <v>0.21097099999999999</v>
      </c>
    </row>
    <row r="607" spans="1:28" ht="15.6" customHeight="1" x14ac:dyDescent="0.25">
      <c r="A607" s="24" t="s">
        <v>1691</v>
      </c>
      <c r="B607" s="50">
        <v>4247</v>
      </c>
      <c r="C607" s="25" t="s">
        <v>1692</v>
      </c>
      <c r="D607" s="25" t="s">
        <v>101</v>
      </c>
      <c r="E607" s="25" t="s">
        <v>194</v>
      </c>
      <c r="F607" s="25" t="s">
        <v>138</v>
      </c>
      <c r="G607" s="26" t="s">
        <v>139</v>
      </c>
      <c r="H607" s="27" t="s">
        <v>283</v>
      </c>
      <c r="I607" s="24" t="s">
        <v>998</v>
      </c>
      <c r="J607" s="24" t="s">
        <v>107</v>
      </c>
      <c r="K607" s="28" t="s">
        <v>108</v>
      </c>
      <c r="L607" s="29">
        <v>0.03</v>
      </c>
      <c r="M607" s="29">
        <v>1.4999999999999999E-2</v>
      </c>
      <c r="N607" s="29">
        <v>0.02</v>
      </c>
      <c r="O607" s="27" t="s">
        <v>262</v>
      </c>
      <c r="P607" s="30" t="s">
        <v>101</v>
      </c>
      <c r="Q607" s="31">
        <v>476200341.05000001</v>
      </c>
      <c r="R607" s="31">
        <v>1789.67</v>
      </c>
      <c r="S607" s="32">
        <v>-1.3858000000000001E-2</v>
      </c>
      <c r="T607" s="32" t="s">
        <v>139</v>
      </c>
      <c r="U607" s="32">
        <v>4.7949999999999998E-3</v>
      </c>
      <c r="V607" s="32">
        <v>2.3517E-2</v>
      </c>
      <c r="W607" s="32">
        <v>1.7996999999999999E-2</v>
      </c>
      <c r="X607" s="32">
        <v>-7.5579999999999996E-3</v>
      </c>
      <c r="Y607" s="32">
        <v>-4.2854999999999997E-2</v>
      </c>
      <c r="Z607" s="32">
        <v>0.113581</v>
      </c>
      <c r="AA607" s="32">
        <v>0.20318</v>
      </c>
      <c r="AB607" s="32">
        <v>0.14920600000000001</v>
      </c>
    </row>
    <row r="608" spans="1:28" ht="15.6" customHeight="1" x14ac:dyDescent="0.25">
      <c r="A608" s="24" t="s">
        <v>965</v>
      </c>
      <c r="B608" s="50">
        <v>4248</v>
      </c>
      <c r="C608" s="25" t="s">
        <v>966</v>
      </c>
      <c r="D608" s="25" t="s">
        <v>101</v>
      </c>
      <c r="E608" s="25" t="s">
        <v>194</v>
      </c>
      <c r="F608" s="25" t="s">
        <v>103</v>
      </c>
      <c r="G608" s="26" t="s">
        <v>104</v>
      </c>
      <c r="H608" s="27" t="s">
        <v>124</v>
      </c>
      <c r="I608" s="24" t="s">
        <v>106</v>
      </c>
      <c r="J608" s="24" t="s">
        <v>107</v>
      </c>
      <c r="K608" s="28" t="s">
        <v>108</v>
      </c>
      <c r="L608" s="29">
        <v>0.03</v>
      </c>
      <c r="M608" s="29">
        <v>1.4999999999999999E-2</v>
      </c>
      <c r="N608" s="29">
        <v>0.02</v>
      </c>
      <c r="O608" s="27" t="s">
        <v>262</v>
      </c>
      <c r="P608" s="30" t="s">
        <v>291</v>
      </c>
      <c r="Q608" s="31">
        <v>1655384.21</v>
      </c>
      <c r="R608" s="31">
        <v>1437.16</v>
      </c>
      <c r="S608" s="32">
        <v>5.6959999999999997E-3</v>
      </c>
      <c r="T608" s="32" t="s">
        <v>139</v>
      </c>
      <c r="U608" s="32">
        <v>2.23E-4</v>
      </c>
      <c r="V608" s="32">
        <v>7.0299999999999996E-4</v>
      </c>
      <c r="W608" s="32">
        <v>2.336E-3</v>
      </c>
      <c r="X608" s="32">
        <v>4.5500000000000002E-3</v>
      </c>
      <c r="Y608" s="32">
        <v>8.1089999999999999E-3</v>
      </c>
      <c r="Z608" s="32">
        <v>1.9407000000000001E-2</v>
      </c>
      <c r="AA608" s="32">
        <v>4.3764999999999998E-2</v>
      </c>
      <c r="AB608" s="32">
        <v>7.3477000000000001E-2</v>
      </c>
    </row>
    <row r="609" spans="1:28" ht="15.6" customHeight="1" x14ac:dyDescent="0.25">
      <c r="A609" s="24" t="s">
        <v>967</v>
      </c>
      <c r="B609" s="50">
        <v>4249</v>
      </c>
      <c r="C609" s="25" t="s">
        <v>968</v>
      </c>
      <c r="D609" s="25" t="s">
        <v>908</v>
      </c>
      <c r="E609" s="25" t="s">
        <v>194</v>
      </c>
      <c r="F609" s="25" t="s">
        <v>128</v>
      </c>
      <c r="G609" s="26" t="s">
        <v>289</v>
      </c>
      <c r="H609" s="27" t="s">
        <v>130</v>
      </c>
      <c r="I609" s="24" t="s">
        <v>106</v>
      </c>
      <c r="J609" s="24" t="s">
        <v>107</v>
      </c>
      <c r="K609" s="28" t="s">
        <v>108</v>
      </c>
      <c r="L609" s="29">
        <v>0</v>
      </c>
      <c r="M609" s="29">
        <v>0</v>
      </c>
      <c r="N609" s="29">
        <v>0.02</v>
      </c>
      <c r="O609" s="27" t="s">
        <v>166</v>
      </c>
      <c r="P609" s="30" t="s">
        <v>908</v>
      </c>
      <c r="Q609" s="31">
        <v>176752241.68000001</v>
      </c>
      <c r="R609" s="31">
        <v>1074.55</v>
      </c>
      <c r="S609" s="32">
        <v>2.0475E-2</v>
      </c>
      <c r="T609" s="32" t="s">
        <v>139</v>
      </c>
      <c r="U609" s="32">
        <v>7.6400000000000003E-4</v>
      </c>
      <c r="V609" s="32">
        <v>2.5469999999999998E-3</v>
      </c>
      <c r="W609" s="32">
        <v>7.9260000000000008E-3</v>
      </c>
      <c r="X609" s="32">
        <v>1.5816E-2</v>
      </c>
      <c r="Y609" s="32">
        <v>2.8760000000000001E-2</v>
      </c>
      <c r="Z609" s="32">
        <v>7.0727999999999999E-2</v>
      </c>
      <c r="AA609" s="32" t="s">
        <v>139</v>
      </c>
      <c r="AB609" s="32" t="s">
        <v>139</v>
      </c>
    </row>
    <row r="610" spans="1:28" ht="15.6" customHeight="1" x14ac:dyDescent="0.25">
      <c r="A610" s="24" t="s">
        <v>1693</v>
      </c>
      <c r="B610" s="50">
        <v>4250</v>
      </c>
      <c r="C610" s="25" t="s">
        <v>1694</v>
      </c>
      <c r="D610" s="25" t="s">
        <v>164</v>
      </c>
      <c r="E610" s="25" t="s">
        <v>194</v>
      </c>
      <c r="F610" s="25" t="s">
        <v>113</v>
      </c>
      <c r="G610" s="26" t="s">
        <v>1695</v>
      </c>
      <c r="H610" s="27" t="s">
        <v>115</v>
      </c>
      <c r="I610" s="24" t="s">
        <v>998</v>
      </c>
      <c r="J610" s="24" t="s">
        <v>121</v>
      </c>
      <c r="K610" s="28" t="s">
        <v>227</v>
      </c>
      <c r="L610" s="29">
        <v>0</v>
      </c>
      <c r="M610" s="29">
        <v>0</v>
      </c>
      <c r="N610" s="29">
        <v>0.02</v>
      </c>
      <c r="O610" s="27" t="s">
        <v>166</v>
      </c>
      <c r="P610" s="30" t="s">
        <v>164</v>
      </c>
      <c r="Q610" s="31">
        <v>2018131096.3499999</v>
      </c>
      <c r="R610" s="31">
        <v>141.18</v>
      </c>
      <c r="S610" s="32">
        <v>2.5560000000000001E-3</v>
      </c>
      <c r="T610" s="32" t="s">
        <v>139</v>
      </c>
      <c r="U610" s="32">
        <v>1.2769999999999999E-3</v>
      </c>
      <c r="V610" s="32">
        <v>3.4120000000000001E-3</v>
      </c>
      <c r="W610" s="32">
        <v>3.3400000000000001E-3</v>
      </c>
      <c r="X610" s="32">
        <v>7.7999999999999999E-4</v>
      </c>
      <c r="Y610" s="32">
        <v>7.0899999999999999E-4</v>
      </c>
      <c r="Z610" s="32">
        <v>-1.1136999999999999E-2</v>
      </c>
      <c r="AA610" s="32">
        <v>1.9129E-2</v>
      </c>
      <c r="AB610" s="32">
        <v>2.4230999999999999E-2</v>
      </c>
    </row>
    <row r="611" spans="1:28" ht="15.6" customHeight="1" x14ac:dyDescent="0.25">
      <c r="A611" s="24" t="s">
        <v>1696</v>
      </c>
      <c r="B611" s="50">
        <v>4251</v>
      </c>
      <c r="C611" s="25" t="s">
        <v>1697</v>
      </c>
      <c r="D611" s="25" t="s">
        <v>908</v>
      </c>
      <c r="E611" s="25" t="s">
        <v>194</v>
      </c>
      <c r="F611" s="25" t="s">
        <v>155</v>
      </c>
      <c r="G611" s="26" t="s">
        <v>139</v>
      </c>
      <c r="H611" s="27" t="s">
        <v>156</v>
      </c>
      <c r="I611" s="24" t="s">
        <v>998</v>
      </c>
      <c r="J611" s="24" t="s">
        <v>107</v>
      </c>
      <c r="K611" s="28" t="s">
        <v>180</v>
      </c>
      <c r="L611" s="29">
        <v>0.02</v>
      </c>
      <c r="M611" s="29">
        <v>1.4999999999999999E-2</v>
      </c>
      <c r="N611" s="29">
        <v>0.02</v>
      </c>
      <c r="O611" s="27" t="s">
        <v>166</v>
      </c>
      <c r="P611" s="30" t="s">
        <v>908</v>
      </c>
      <c r="Q611" s="31">
        <v>87769724.439999998</v>
      </c>
      <c r="R611" s="31">
        <v>1381.88</v>
      </c>
      <c r="S611" s="32">
        <v>8.7083999999999995E-2</v>
      </c>
      <c r="T611" s="32" t="s">
        <v>139</v>
      </c>
      <c r="U611" s="32">
        <v>1.3487000000000001E-2</v>
      </c>
      <c r="V611" s="32">
        <v>6.7813999999999999E-2</v>
      </c>
      <c r="W611" s="32">
        <v>7.1265999999999996E-2</v>
      </c>
      <c r="X611" s="32">
        <v>5.5780999999999997E-2</v>
      </c>
      <c r="Y611" s="32">
        <v>1.0011000000000001E-2</v>
      </c>
      <c r="Z611" s="32">
        <v>0.44543100000000002</v>
      </c>
      <c r="AA611" s="32" t="s">
        <v>139</v>
      </c>
      <c r="AB611" s="32" t="s">
        <v>139</v>
      </c>
    </row>
    <row r="612" spans="1:28" ht="15.6" customHeight="1" x14ac:dyDescent="0.25">
      <c r="A612" s="24" t="s">
        <v>1698</v>
      </c>
      <c r="B612" s="50">
        <v>4252</v>
      </c>
      <c r="C612" s="25" t="s">
        <v>1699</v>
      </c>
      <c r="D612" s="25" t="s">
        <v>164</v>
      </c>
      <c r="E612" s="25" t="s">
        <v>194</v>
      </c>
      <c r="F612" s="25" t="s">
        <v>138</v>
      </c>
      <c r="G612" s="26" t="s">
        <v>139</v>
      </c>
      <c r="H612" s="27" t="s">
        <v>641</v>
      </c>
      <c r="I612" s="24" t="s">
        <v>998</v>
      </c>
      <c r="J612" s="24" t="s">
        <v>107</v>
      </c>
      <c r="K612" s="28" t="s">
        <v>108</v>
      </c>
      <c r="L612" s="29">
        <v>0</v>
      </c>
      <c r="M612" s="29">
        <v>0</v>
      </c>
      <c r="N612" s="29">
        <v>0.02</v>
      </c>
      <c r="O612" s="27" t="s">
        <v>166</v>
      </c>
      <c r="P612" s="30" t="s">
        <v>164</v>
      </c>
      <c r="Q612" s="31">
        <v>252139727.87</v>
      </c>
      <c r="R612" s="31">
        <v>17961.16</v>
      </c>
      <c r="S612" s="32">
        <v>4.4995E-2</v>
      </c>
      <c r="T612" s="32" t="s">
        <v>139</v>
      </c>
      <c r="U612" s="32">
        <v>1.0135999999999999E-2</v>
      </c>
      <c r="V612" s="32">
        <v>4.6915999999999999E-2</v>
      </c>
      <c r="W612" s="32">
        <v>4.0901E-2</v>
      </c>
      <c r="X612" s="32">
        <v>3.9633000000000002E-2</v>
      </c>
      <c r="Y612" s="32">
        <v>1.2005999999999999E-2</v>
      </c>
      <c r="Z612" s="32">
        <v>0.27562500000000001</v>
      </c>
      <c r="AA612" s="32">
        <v>0.416796</v>
      </c>
      <c r="AB612" s="32">
        <v>0.40378199999999997</v>
      </c>
    </row>
    <row r="613" spans="1:28" ht="15.6" customHeight="1" x14ac:dyDescent="0.25">
      <c r="A613" s="24" t="s">
        <v>1700</v>
      </c>
      <c r="B613" s="50">
        <v>4253</v>
      </c>
      <c r="C613" s="25" t="s">
        <v>1701</v>
      </c>
      <c r="D613" s="25" t="s">
        <v>164</v>
      </c>
      <c r="E613" s="25" t="s">
        <v>194</v>
      </c>
      <c r="F613" s="25" t="s">
        <v>138</v>
      </c>
      <c r="G613" s="26" t="s">
        <v>139</v>
      </c>
      <c r="H613" s="27" t="s">
        <v>1030</v>
      </c>
      <c r="I613" s="24" t="s">
        <v>998</v>
      </c>
      <c r="J613" s="24" t="s">
        <v>107</v>
      </c>
      <c r="K613" s="28" t="s">
        <v>108</v>
      </c>
      <c r="L613" s="29">
        <v>0</v>
      </c>
      <c r="M613" s="29">
        <v>0</v>
      </c>
      <c r="N613" s="29">
        <v>0.02</v>
      </c>
      <c r="O613" s="27" t="s">
        <v>166</v>
      </c>
      <c r="P613" s="30" t="s">
        <v>164</v>
      </c>
      <c r="Q613" s="31">
        <v>124000152.84999999</v>
      </c>
      <c r="R613" s="31">
        <v>1016.95</v>
      </c>
      <c r="S613" s="32">
        <v>4.4011000000000002E-2</v>
      </c>
      <c r="T613" s="32" t="s">
        <v>139</v>
      </c>
      <c r="U613" s="32">
        <v>9.5300000000000003E-3</v>
      </c>
      <c r="V613" s="32">
        <v>4.5652999999999999E-2</v>
      </c>
      <c r="W613" s="32">
        <v>4.3914000000000002E-2</v>
      </c>
      <c r="X613" s="32">
        <v>3.9315999999999997E-2</v>
      </c>
      <c r="Y613" s="32">
        <v>1.6157000000000001E-2</v>
      </c>
      <c r="Z613" s="32" t="s">
        <v>139</v>
      </c>
      <c r="AA613" s="32" t="s">
        <v>139</v>
      </c>
      <c r="AB613" s="32" t="s">
        <v>139</v>
      </c>
    </row>
    <row r="614" spans="1:28" ht="15.6" customHeight="1" x14ac:dyDescent="0.25">
      <c r="A614" s="24" t="s">
        <v>1702</v>
      </c>
      <c r="B614" s="50">
        <v>4254</v>
      </c>
      <c r="C614" s="25" t="s">
        <v>1703</v>
      </c>
      <c r="D614" s="25" t="s">
        <v>164</v>
      </c>
      <c r="E614" s="25" t="s">
        <v>194</v>
      </c>
      <c r="F614" s="25" t="s">
        <v>138</v>
      </c>
      <c r="G614" s="26" t="s">
        <v>139</v>
      </c>
      <c r="H614" s="27" t="s">
        <v>1704</v>
      </c>
      <c r="I614" s="24" t="s">
        <v>998</v>
      </c>
      <c r="J614" s="24" t="s">
        <v>107</v>
      </c>
      <c r="K614" s="28" t="s">
        <v>227</v>
      </c>
      <c r="L614" s="29">
        <v>0</v>
      </c>
      <c r="M614" s="29">
        <v>0</v>
      </c>
      <c r="N614" s="29">
        <v>0.02</v>
      </c>
      <c r="O614" s="27" t="s">
        <v>166</v>
      </c>
      <c r="P614" s="30" t="s">
        <v>164</v>
      </c>
      <c r="Q614" s="31">
        <v>399165238.57999998</v>
      </c>
      <c r="R614" s="31">
        <v>184.41</v>
      </c>
      <c r="S614" s="32">
        <v>4.2748000000000001E-2</v>
      </c>
      <c r="T614" s="32" t="s">
        <v>139</v>
      </c>
      <c r="U614" s="32">
        <v>1.2630000000000001E-2</v>
      </c>
      <c r="V614" s="32">
        <v>5.7396999999999997E-2</v>
      </c>
      <c r="W614" s="32">
        <v>4.8856999999999998E-2</v>
      </c>
      <c r="X614" s="32">
        <v>4.1394E-2</v>
      </c>
      <c r="Y614" s="32">
        <v>1.2407E-2</v>
      </c>
      <c r="Z614" s="32">
        <v>0.172346</v>
      </c>
      <c r="AA614" s="32">
        <v>0.272671</v>
      </c>
      <c r="AB614" s="32">
        <v>0.34264699999999998</v>
      </c>
    </row>
    <row r="615" spans="1:28" ht="15.6" customHeight="1" x14ac:dyDescent="0.25">
      <c r="A615" s="24" t="s">
        <v>1705</v>
      </c>
      <c r="B615" s="50">
        <v>4255</v>
      </c>
      <c r="C615" s="25" t="s">
        <v>1706</v>
      </c>
      <c r="D615" s="25" t="s">
        <v>164</v>
      </c>
      <c r="E615" s="25" t="s">
        <v>194</v>
      </c>
      <c r="F615" s="25" t="s">
        <v>138</v>
      </c>
      <c r="G615" s="26" t="s">
        <v>139</v>
      </c>
      <c r="H615" s="27" t="s">
        <v>521</v>
      </c>
      <c r="I615" s="24" t="s">
        <v>998</v>
      </c>
      <c r="J615" s="24" t="s">
        <v>107</v>
      </c>
      <c r="K615" s="28" t="s">
        <v>108</v>
      </c>
      <c r="L615" s="29">
        <v>0</v>
      </c>
      <c r="M615" s="29">
        <v>0</v>
      </c>
      <c r="N615" s="29">
        <v>0.02</v>
      </c>
      <c r="O615" s="27" t="s">
        <v>166</v>
      </c>
      <c r="P615" s="30" t="s">
        <v>164</v>
      </c>
      <c r="Q615" s="31">
        <v>289412179.27999997</v>
      </c>
      <c r="R615" s="31">
        <v>6511.59</v>
      </c>
      <c r="S615" s="32">
        <v>6.3076999999999994E-2</v>
      </c>
      <c r="T615" s="32" t="s">
        <v>139</v>
      </c>
      <c r="U615" s="32">
        <v>1.0168999999999999E-2</v>
      </c>
      <c r="V615" s="32">
        <v>6.2302000000000003E-2</v>
      </c>
      <c r="W615" s="32">
        <v>4.7704999999999997E-2</v>
      </c>
      <c r="X615" s="32">
        <v>5.4252000000000002E-2</v>
      </c>
      <c r="Y615" s="32">
        <v>2.8461E-2</v>
      </c>
      <c r="Z615" s="32">
        <v>0.315749</v>
      </c>
      <c r="AA615" s="32">
        <v>0.478049</v>
      </c>
      <c r="AB615" s="32">
        <v>0.43316900000000003</v>
      </c>
    </row>
    <row r="616" spans="1:28" ht="15.6" customHeight="1" x14ac:dyDescent="0.25">
      <c r="A616" s="24" t="s">
        <v>1707</v>
      </c>
      <c r="B616" s="50">
        <v>4256</v>
      </c>
      <c r="C616" s="25" t="s">
        <v>1708</v>
      </c>
      <c r="D616" s="25" t="s">
        <v>112</v>
      </c>
      <c r="E616" s="25" t="s">
        <v>194</v>
      </c>
      <c r="F616" s="25" t="s">
        <v>113</v>
      </c>
      <c r="G616" s="26" t="s">
        <v>1709</v>
      </c>
      <c r="H616" s="27" t="s">
        <v>598</v>
      </c>
      <c r="I616" s="24" t="s">
        <v>998</v>
      </c>
      <c r="J616" s="24" t="s">
        <v>121</v>
      </c>
      <c r="K616" s="28" t="s">
        <v>227</v>
      </c>
      <c r="L616" s="29">
        <v>0</v>
      </c>
      <c r="M616" s="29">
        <v>0</v>
      </c>
      <c r="N616" s="29">
        <v>0.02</v>
      </c>
      <c r="O616" s="27" t="s">
        <v>116</v>
      </c>
      <c r="P616" s="30" t="s">
        <v>112</v>
      </c>
      <c r="Q616" s="31">
        <v>1103096.02</v>
      </c>
      <c r="R616" s="31">
        <v>1103.0899999999999</v>
      </c>
      <c r="S616" s="32">
        <v>7.9039999999999996E-3</v>
      </c>
      <c r="T616" s="32" t="s">
        <v>139</v>
      </c>
      <c r="U616" s="32">
        <v>9.5299999999999996E-4</v>
      </c>
      <c r="V616" s="32">
        <v>2.3530000000000001E-3</v>
      </c>
      <c r="W616" s="32">
        <v>4.7999999999999996E-3</v>
      </c>
      <c r="X616" s="32">
        <v>5.1850000000000004E-3</v>
      </c>
      <c r="Y616" s="32">
        <v>6.7999999999999996E-3</v>
      </c>
      <c r="Z616" s="32">
        <v>5.9991000000000003E-2</v>
      </c>
      <c r="AA616" s="32">
        <v>0.12546399999999999</v>
      </c>
      <c r="AB616" s="32">
        <v>9.8914000000000002E-2</v>
      </c>
    </row>
    <row r="617" spans="1:28" ht="15.6" customHeight="1" x14ac:dyDescent="0.25">
      <c r="A617" s="24" t="s">
        <v>969</v>
      </c>
      <c r="B617" s="50">
        <v>4257</v>
      </c>
      <c r="C617" s="25" t="s">
        <v>970</v>
      </c>
      <c r="D617" s="25" t="s">
        <v>127</v>
      </c>
      <c r="E617" s="25" t="s">
        <v>194</v>
      </c>
      <c r="F617" s="25" t="s">
        <v>128</v>
      </c>
      <c r="G617" s="26" t="s">
        <v>250</v>
      </c>
      <c r="H617" s="27" t="s">
        <v>130</v>
      </c>
      <c r="I617" s="24" t="s">
        <v>106</v>
      </c>
      <c r="J617" s="24" t="s">
        <v>107</v>
      </c>
      <c r="K617" s="28" t="s">
        <v>108</v>
      </c>
      <c r="L617" s="29">
        <v>0</v>
      </c>
      <c r="M617" s="29">
        <v>0</v>
      </c>
      <c r="N617" s="29">
        <v>7.4999999999999997E-3</v>
      </c>
      <c r="O617" s="27" t="s">
        <v>131</v>
      </c>
      <c r="P617" s="30" t="s">
        <v>131</v>
      </c>
      <c r="Q617" s="31">
        <v>596218773.26999998</v>
      </c>
      <c r="R617" s="31">
        <v>216.85</v>
      </c>
      <c r="S617" s="32">
        <v>1.6976999999999999E-2</v>
      </c>
      <c r="T617" s="32" t="s">
        <v>139</v>
      </c>
      <c r="U617" s="32">
        <v>6.9200000000000002E-4</v>
      </c>
      <c r="V617" s="32">
        <v>2.2179999999999999E-3</v>
      </c>
      <c r="W617" s="32">
        <v>7.1989999999999997E-3</v>
      </c>
      <c r="X617" s="32">
        <v>1.3554999999999999E-2</v>
      </c>
      <c r="Y617" s="32">
        <v>2.3843E-2</v>
      </c>
      <c r="Z617" s="32">
        <v>5.7444000000000002E-2</v>
      </c>
      <c r="AA617" s="32">
        <v>9.7252000000000005E-2</v>
      </c>
      <c r="AB617" s="32">
        <v>0.139517</v>
      </c>
    </row>
    <row r="618" spans="1:28" ht="15.6" customHeight="1" x14ac:dyDescent="0.25">
      <c r="A618" s="24" t="s">
        <v>1710</v>
      </c>
      <c r="B618" s="50">
        <v>4258</v>
      </c>
      <c r="C618" s="25" t="s">
        <v>1711</v>
      </c>
      <c r="D618" s="25" t="s">
        <v>127</v>
      </c>
      <c r="E618" s="25" t="s">
        <v>194</v>
      </c>
      <c r="F618" s="25" t="s">
        <v>155</v>
      </c>
      <c r="G618" s="26" t="s">
        <v>139</v>
      </c>
      <c r="H618" s="27" t="s">
        <v>156</v>
      </c>
      <c r="I618" s="24" t="s">
        <v>998</v>
      </c>
      <c r="J618" s="24" t="s">
        <v>107</v>
      </c>
      <c r="K618" s="28" t="s">
        <v>108</v>
      </c>
      <c r="L618" s="29">
        <v>0.02</v>
      </c>
      <c r="M618" s="29">
        <v>0.02</v>
      </c>
      <c r="N618" s="29">
        <v>0.02</v>
      </c>
      <c r="O618" s="27" t="s">
        <v>131</v>
      </c>
      <c r="P618" s="30" t="s">
        <v>131</v>
      </c>
      <c r="Q618" s="31">
        <v>30096711.550000001</v>
      </c>
      <c r="R618" s="31">
        <v>197.56</v>
      </c>
      <c r="S618" s="32">
        <v>-5.7263000000000001E-2</v>
      </c>
      <c r="T618" s="32" t="s">
        <v>139</v>
      </c>
      <c r="U618" s="32">
        <v>7.3419999999999996E-3</v>
      </c>
      <c r="V618" s="32">
        <v>3.3966999999999997E-2</v>
      </c>
      <c r="W618" s="32">
        <v>2.0771000000000001E-2</v>
      </c>
      <c r="X618" s="32">
        <v>-8.0174999999999996E-2</v>
      </c>
      <c r="Y618" s="32">
        <v>-0.16046199999999999</v>
      </c>
      <c r="Z618" s="32">
        <v>0.15181900000000001</v>
      </c>
      <c r="AA618" s="32">
        <v>0.45200600000000002</v>
      </c>
      <c r="AB618" s="32">
        <v>0.438998</v>
      </c>
    </row>
    <row r="619" spans="1:28" ht="15.6" customHeight="1" x14ac:dyDescent="0.25">
      <c r="A619" s="24" t="s">
        <v>1712</v>
      </c>
      <c r="B619" s="50">
        <v>4259</v>
      </c>
      <c r="C619" s="25" t="s">
        <v>1713</v>
      </c>
      <c r="D619" s="25" t="s">
        <v>127</v>
      </c>
      <c r="E619" s="25" t="s">
        <v>194</v>
      </c>
      <c r="F619" s="25" t="s">
        <v>155</v>
      </c>
      <c r="G619" s="26" t="s">
        <v>139</v>
      </c>
      <c r="H619" s="27" t="s">
        <v>156</v>
      </c>
      <c r="I619" s="24" t="s">
        <v>998</v>
      </c>
      <c r="J619" s="24" t="s">
        <v>107</v>
      </c>
      <c r="K619" s="28" t="s">
        <v>108</v>
      </c>
      <c r="L619" s="29">
        <v>0.02</v>
      </c>
      <c r="M619" s="29">
        <v>1.4999999999999999E-2</v>
      </c>
      <c r="N619" s="29">
        <v>0.02</v>
      </c>
      <c r="O619" s="27" t="s">
        <v>131</v>
      </c>
      <c r="P619" s="30" t="s">
        <v>131</v>
      </c>
      <c r="Q619" s="31">
        <v>620494712.13999999</v>
      </c>
      <c r="R619" s="31">
        <v>838.57</v>
      </c>
      <c r="S619" s="32">
        <v>1.2031999999999999E-2</v>
      </c>
      <c r="T619" s="32" t="s">
        <v>139</v>
      </c>
      <c r="U619" s="32">
        <v>1.4825E-2</v>
      </c>
      <c r="V619" s="32">
        <v>8.0268999999999993E-2</v>
      </c>
      <c r="W619" s="32">
        <v>2.6727999999999998E-2</v>
      </c>
      <c r="X619" s="32">
        <v>1.7818000000000001E-2</v>
      </c>
      <c r="Y619" s="32">
        <v>-9.5901E-2</v>
      </c>
      <c r="Z619" s="32">
        <v>0.39110200000000001</v>
      </c>
      <c r="AA619" s="32">
        <v>0.71732499999999999</v>
      </c>
      <c r="AB619" s="32">
        <v>0.642258</v>
      </c>
    </row>
    <row r="620" spans="1:28" ht="15.6" customHeight="1" x14ac:dyDescent="0.25">
      <c r="A620" s="24" t="s">
        <v>971</v>
      </c>
      <c r="B620" s="50">
        <v>4260</v>
      </c>
      <c r="C620" s="25" t="s">
        <v>972</v>
      </c>
      <c r="D620" s="25" t="s">
        <v>101</v>
      </c>
      <c r="E620" s="25" t="s">
        <v>194</v>
      </c>
      <c r="F620" s="25" t="s">
        <v>103</v>
      </c>
      <c r="G620" s="26" t="s">
        <v>392</v>
      </c>
      <c r="H620" s="27" t="s">
        <v>337</v>
      </c>
      <c r="I620" s="24" t="s">
        <v>106</v>
      </c>
      <c r="J620" s="24" t="s">
        <v>107</v>
      </c>
      <c r="K620" s="28" t="s">
        <v>108</v>
      </c>
      <c r="L620" s="29">
        <v>0.03</v>
      </c>
      <c r="M620" s="29">
        <v>0</v>
      </c>
      <c r="N620" s="29">
        <v>0.02</v>
      </c>
      <c r="O620" s="27" t="s">
        <v>109</v>
      </c>
      <c r="P620" s="30" t="s">
        <v>101</v>
      </c>
      <c r="Q620" s="31">
        <v>12363152.880000001</v>
      </c>
      <c r="R620" s="31">
        <v>140.88999999999999</v>
      </c>
      <c r="S620" s="32">
        <v>2.682E-2</v>
      </c>
      <c r="T620" s="32" t="s">
        <v>139</v>
      </c>
      <c r="U620" s="32">
        <v>4.26E-4</v>
      </c>
      <c r="V620" s="32">
        <v>6.9329999999999999E-3</v>
      </c>
      <c r="W620" s="32">
        <v>1.4108000000000001E-2</v>
      </c>
      <c r="X620" s="32">
        <v>2.4580000000000001E-2</v>
      </c>
      <c r="Y620" s="32">
        <v>4.4867999999999998E-2</v>
      </c>
      <c r="Z620" s="32">
        <v>8.3852999999999997E-2</v>
      </c>
      <c r="AA620" s="32">
        <v>0.101564</v>
      </c>
      <c r="AB620" s="32">
        <v>0.12004099999999999</v>
      </c>
    </row>
    <row r="621" spans="1:28" ht="15.6" customHeight="1" x14ac:dyDescent="0.25">
      <c r="A621" s="24" t="s">
        <v>973</v>
      </c>
      <c r="B621" s="50">
        <v>4263</v>
      </c>
      <c r="C621" s="25" t="s">
        <v>974</v>
      </c>
      <c r="D621" s="25" t="s">
        <v>908</v>
      </c>
      <c r="E621" s="25" t="s">
        <v>194</v>
      </c>
      <c r="F621" s="25" t="s">
        <v>138</v>
      </c>
      <c r="G621" s="26" t="s">
        <v>139</v>
      </c>
      <c r="H621" s="27" t="s">
        <v>975</v>
      </c>
      <c r="I621" s="24" t="s">
        <v>106</v>
      </c>
      <c r="J621" s="24" t="s">
        <v>107</v>
      </c>
      <c r="K621" s="28" t="s">
        <v>227</v>
      </c>
      <c r="L621" s="29">
        <v>0.03</v>
      </c>
      <c r="M621" s="29">
        <v>0.03</v>
      </c>
      <c r="N621" s="29">
        <v>0.02</v>
      </c>
      <c r="O621" s="27" t="s">
        <v>262</v>
      </c>
      <c r="P621" s="30" t="s">
        <v>908</v>
      </c>
      <c r="Q621" s="31">
        <v>632762.67000000004</v>
      </c>
      <c r="R621" s="31">
        <v>2041.16</v>
      </c>
      <c r="S621" s="32">
        <v>8.1346000000000002E-2</v>
      </c>
      <c r="T621" s="32" t="s">
        <v>139</v>
      </c>
      <c r="U621" s="32">
        <v>1.0395E-2</v>
      </c>
      <c r="V621" s="32">
        <v>4.3650000000000001E-2</v>
      </c>
      <c r="W621" s="32">
        <v>4.8738999999999998E-2</v>
      </c>
      <c r="X621" s="32">
        <v>5.3545000000000002E-2</v>
      </c>
      <c r="Y621" s="32">
        <v>2.0074999999999999E-2</v>
      </c>
      <c r="Z621" s="32">
        <v>0.52663700000000002</v>
      </c>
      <c r="AA621" s="32">
        <v>0.75989399999999996</v>
      </c>
      <c r="AB621" s="32">
        <v>0.74860099999999996</v>
      </c>
    </row>
    <row r="622" spans="1:28" ht="15.6" customHeight="1" x14ac:dyDescent="0.25">
      <c r="A622" s="24" t="s">
        <v>976</v>
      </c>
      <c r="B622" s="50">
        <v>4265</v>
      </c>
      <c r="C622" s="25" t="s">
        <v>977</v>
      </c>
      <c r="D622" s="25" t="s">
        <v>127</v>
      </c>
      <c r="E622" s="25" t="s">
        <v>194</v>
      </c>
      <c r="F622" s="25" t="s">
        <v>138</v>
      </c>
      <c r="G622" s="26" t="s">
        <v>139</v>
      </c>
      <c r="H622" s="27" t="s">
        <v>195</v>
      </c>
      <c r="I622" s="24" t="s">
        <v>106</v>
      </c>
      <c r="J622" s="24" t="s">
        <v>107</v>
      </c>
      <c r="K622" s="28" t="s">
        <v>227</v>
      </c>
      <c r="L622" s="29">
        <v>0.03</v>
      </c>
      <c r="M622" s="29">
        <v>1.4999999999999999E-2</v>
      </c>
      <c r="N622" s="29">
        <v>0.02</v>
      </c>
      <c r="O622" s="27" t="s">
        <v>131</v>
      </c>
      <c r="P622" s="30" t="s">
        <v>978</v>
      </c>
      <c r="Q622" s="31">
        <v>1018683.15</v>
      </c>
      <c r="R622" s="31">
        <v>101.86</v>
      </c>
      <c r="S622" s="32" t="s">
        <v>139</v>
      </c>
      <c r="T622" s="32" t="s">
        <v>139</v>
      </c>
      <c r="U622" s="32">
        <v>2.5590000000000001E-3</v>
      </c>
      <c r="V622" s="32">
        <v>1.7378999999999999E-2</v>
      </c>
      <c r="W622" s="32" t="s">
        <v>139</v>
      </c>
      <c r="X622" s="32" t="s">
        <v>139</v>
      </c>
      <c r="Y622" s="32" t="s">
        <v>139</v>
      </c>
      <c r="Z622" s="32" t="s">
        <v>139</v>
      </c>
      <c r="AA622" s="32" t="s">
        <v>139</v>
      </c>
      <c r="AB622" s="32" t="s">
        <v>139</v>
      </c>
    </row>
    <row r="623" spans="1:28" ht="15.6" customHeight="1" x14ac:dyDescent="0.25">
      <c r="A623" s="24" t="s">
        <v>979</v>
      </c>
      <c r="B623" s="50">
        <v>4266</v>
      </c>
      <c r="C623" s="25" t="s">
        <v>980</v>
      </c>
      <c r="D623" s="25" t="s">
        <v>127</v>
      </c>
      <c r="E623" s="25" t="s">
        <v>194</v>
      </c>
      <c r="F623" s="25" t="s">
        <v>155</v>
      </c>
      <c r="G623" s="26" t="s">
        <v>139</v>
      </c>
      <c r="H623" s="27" t="s">
        <v>632</v>
      </c>
      <c r="I623" s="24" t="s">
        <v>106</v>
      </c>
      <c r="J623" s="24" t="s">
        <v>107</v>
      </c>
      <c r="K623" s="28" t="s">
        <v>227</v>
      </c>
      <c r="L623" s="29">
        <v>0.03</v>
      </c>
      <c r="M623" s="29">
        <v>1.4999999999999999E-2</v>
      </c>
      <c r="N623" s="29">
        <v>0.02</v>
      </c>
      <c r="O623" s="27" t="s">
        <v>131</v>
      </c>
      <c r="P623" s="30" t="s">
        <v>978</v>
      </c>
      <c r="Q623" s="31">
        <v>1038583.3</v>
      </c>
      <c r="R623" s="31">
        <v>103.85</v>
      </c>
      <c r="S623" s="32" t="s">
        <v>139</v>
      </c>
      <c r="T623" s="32" t="s">
        <v>139</v>
      </c>
      <c r="U623" s="32">
        <v>4.8380000000000003E-3</v>
      </c>
      <c r="V623" s="32">
        <v>3.5497000000000001E-2</v>
      </c>
      <c r="W623" s="32" t="s">
        <v>139</v>
      </c>
      <c r="X623" s="32" t="s">
        <v>139</v>
      </c>
      <c r="Y623" s="32" t="s">
        <v>139</v>
      </c>
      <c r="Z623" s="32" t="s">
        <v>139</v>
      </c>
      <c r="AA623" s="32" t="s">
        <v>139</v>
      </c>
      <c r="AB623" s="32" t="s">
        <v>139</v>
      </c>
    </row>
    <row r="624" spans="1:28" ht="15.6" customHeight="1" x14ac:dyDescent="0.25">
      <c r="A624" s="24" t="s">
        <v>981</v>
      </c>
      <c r="B624" s="50">
        <v>30002</v>
      </c>
      <c r="C624" s="25" t="s">
        <v>982</v>
      </c>
      <c r="D624" s="25" t="s">
        <v>712</v>
      </c>
      <c r="E624" s="25" t="s">
        <v>194</v>
      </c>
      <c r="F624" s="25" t="s">
        <v>113</v>
      </c>
      <c r="G624" s="26" t="s">
        <v>748</v>
      </c>
      <c r="H624" s="27" t="s">
        <v>115</v>
      </c>
      <c r="I624" s="24" t="s">
        <v>106</v>
      </c>
      <c r="J624" s="24" t="s">
        <v>121</v>
      </c>
      <c r="K624" s="28" t="s">
        <v>108</v>
      </c>
      <c r="L624" s="29">
        <v>0</v>
      </c>
      <c r="M624" s="29">
        <v>0</v>
      </c>
      <c r="N624" s="29">
        <v>0.02</v>
      </c>
      <c r="O624" s="27" t="s">
        <v>548</v>
      </c>
      <c r="P624" s="30" t="s">
        <v>712</v>
      </c>
      <c r="Q624" s="31">
        <v>200846786.91</v>
      </c>
      <c r="R624" s="31">
        <v>1005.92</v>
      </c>
      <c r="S624" s="32" t="s">
        <v>139</v>
      </c>
      <c r="T624" s="32" t="s">
        <v>139</v>
      </c>
      <c r="U624" s="32">
        <v>4.8700000000000002E-4</v>
      </c>
      <c r="V624" s="32">
        <v>1.9319999999999999E-3</v>
      </c>
      <c r="W624" s="32">
        <v>5.5079999999999999E-3</v>
      </c>
      <c r="X624" s="32" t="s">
        <v>139</v>
      </c>
      <c r="Y624" s="32" t="s">
        <v>139</v>
      </c>
      <c r="Z624" s="32" t="s">
        <v>139</v>
      </c>
      <c r="AA624" s="32" t="s">
        <v>139</v>
      </c>
      <c r="AB624" s="32" t="s">
        <v>139</v>
      </c>
    </row>
    <row r="625" spans="1:28" ht="15.6" customHeight="1" x14ac:dyDescent="0.25">
      <c r="A625" s="24" t="s">
        <v>983</v>
      </c>
      <c r="B625" s="50">
        <v>30003</v>
      </c>
      <c r="C625" s="25" t="s">
        <v>984</v>
      </c>
      <c r="D625" s="25" t="s">
        <v>342</v>
      </c>
      <c r="E625" s="25" t="s">
        <v>194</v>
      </c>
      <c r="F625" s="25" t="s">
        <v>113</v>
      </c>
      <c r="G625" s="26" t="s">
        <v>985</v>
      </c>
      <c r="H625" s="27" t="s">
        <v>327</v>
      </c>
      <c r="I625" s="24" t="s">
        <v>106</v>
      </c>
      <c r="J625" s="24" t="s">
        <v>107</v>
      </c>
      <c r="K625" s="28" t="s">
        <v>227</v>
      </c>
      <c r="L625" s="29">
        <v>0.03</v>
      </c>
      <c r="M625" s="29">
        <v>1.4999999999999999E-2</v>
      </c>
      <c r="N625" s="29">
        <v>0.02</v>
      </c>
      <c r="O625" s="27" t="s">
        <v>659</v>
      </c>
      <c r="P625" s="30" t="s">
        <v>344</v>
      </c>
      <c r="Q625" s="31">
        <v>543127.54</v>
      </c>
      <c r="R625" s="31">
        <v>1005.79</v>
      </c>
      <c r="S625" s="32" t="s">
        <v>139</v>
      </c>
      <c r="T625" s="32" t="s">
        <v>139</v>
      </c>
      <c r="U625" s="32">
        <v>8.0599999999999997E-4</v>
      </c>
      <c r="V625" s="32">
        <v>2.5820000000000001E-3</v>
      </c>
      <c r="W625" s="32">
        <v>5.4580000000000002E-3</v>
      </c>
      <c r="X625" s="32" t="s">
        <v>139</v>
      </c>
      <c r="Y625" s="32" t="s">
        <v>139</v>
      </c>
      <c r="Z625" s="32" t="s">
        <v>139</v>
      </c>
      <c r="AA625" s="32" t="s">
        <v>139</v>
      </c>
      <c r="AB625" s="32" t="s">
        <v>139</v>
      </c>
    </row>
    <row r="626" spans="1:28" ht="15.6" customHeight="1" x14ac:dyDescent="0.25">
      <c r="A626" s="24" t="s">
        <v>986</v>
      </c>
      <c r="B626" s="50">
        <v>30004</v>
      </c>
      <c r="C626" s="25" t="s">
        <v>987</v>
      </c>
      <c r="D626" s="25" t="s">
        <v>342</v>
      </c>
      <c r="E626" s="25" t="s">
        <v>194</v>
      </c>
      <c r="F626" s="25" t="s">
        <v>155</v>
      </c>
      <c r="G626" s="26" t="s">
        <v>139</v>
      </c>
      <c r="H626" s="27" t="s">
        <v>156</v>
      </c>
      <c r="I626" s="24" t="s">
        <v>106</v>
      </c>
      <c r="J626" s="24" t="s">
        <v>107</v>
      </c>
      <c r="K626" s="28" t="s">
        <v>227</v>
      </c>
      <c r="L626" s="29">
        <v>0.03</v>
      </c>
      <c r="M626" s="29">
        <v>1.4999999999999999E-2</v>
      </c>
      <c r="N626" s="29">
        <v>0.02</v>
      </c>
      <c r="O626" s="27" t="s">
        <v>663</v>
      </c>
      <c r="P626" s="30" t="s">
        <v>344</v>
      </c>
      <c r="Q626" s="31">
        <v>548205</v>
      </c>
      <c r="R626" s="31">
        <v>1017.08</v>
      </c>
      <c r="S626" s="32" t="s">
        <v>139</v>
      </c>
      <c r="T626" s="32" t="s">
        <v>139</v>
      </c>
      <c r="U626" s="32">
        <v>4.2950000000000002E-3</v>
      </c>
      <c r="V626" s="32">
        <v>1.8282E-2</v>
      </c>
      <c r="W626" s="32">
        <v>1.7568E-2</v>
      </c>
      <c r="X626" s="32" t="s">
        <v>139</v>
      </c>
      <c r="Y626" s="32" t="s">
        <v>139</v>
      </c>
      <c r="Z626" s="32" t="s">
        <v>139</v>
      </c>
      <c r="AA626" s="32" t="s">
        <v>139</v>
      </c>
      <c r="AB626" s="32" t="s">
        <v>139</v>
      </c>
    </row>
    <row r="627" spans="1:28" ht="15.6" customHeight="1" x14ac:dyDescent="0.25">
      <c r="A627" s="24" t="s">
        <v>988</v>
      </c>
      <c r="B627" s="50">
        <v>30005</v>
      </c>
      <c r="C627" s="25" t="s">
        <v>989</v>
      </c>
      <c r="D627" s="25" t="s">
        <v>342</v>
      </c>
      <c r="E627" s="25" t="s">
        <v>194</v>
      </c>
      <c r="F627" s="25" t="s">
        <v>113</v>
      </c>
      <c r="G627" s="26" t="s">
        <v>985</v>
      </c>
      <c r="H627" s="27" t="s">
        <v>327</v>
      </c>
      <c r="I627" s="24" t="s">
        <v>106</v>
      </c>
      <c r="J627" s="24" t="s">
        <v>107</v>
      </c>
      <c r="K627" s="28" t="s">
        <v>227</v>
      </c>
      <c r="L627" s="29">
        <v>0.03</v>
      </c>
      <c r="M627" s="29">
        <v>1.4999999999999999E-2</v>
      </c>
      <c r="N627" s="29">
        <v>0.02</v>
      </c>
      <c r="O627" s="27" t="s">
        <v>131</v>
      </c>
      <c r="P627" s="30" t="s">
        <v>344</v>
      </c>
      <c r="Q627" s="31">
        <v>543511.69999999995</v>
      </c>
      <c r="R627" s="31">
        <v>1006.5</v>
      </c>
      <c r="S627" s="32" t="s">
        <v>139</v>
      </c>
      <c r="T627" s="32" t="s">
        <v>139</v>
      </c>
      <c r="U627" s="32">
        <v>8.5499999999999997E-4</v>
      </c>
      <c r="V627" s="32">
        <v>2.7399999999999998E-3</v>
      </c>
      <c r="W627" s="32">
        <v>6.1079999999999997E-3</v>
      </c>
      <c r="X627" s="32" t="s">
        <v>139</v>
      </c>
      <c r="Y627" s="32" t="s">
        <v>139</v>
      </c>
      <c r="Z627" s="32" t="s">
        <v>139</v>
      </c>
      <c r="AA627" s="32" t="s">
        <v>139</v>
      </c>
      <c r="AB627" s="32" t="s">
        <v>139</v>
      </c>
    </row>
    <row r="628" spans="1:28" ht="15.6" customHeight="1" x14ac:dyDescent="0.25">
      <c r="A628" s="24" t="s">
        <v>990</v>
      </c>
      <c r="B628" s="50">
        <v>30007</v>
      </c>
      <c r="C628" s="25" t="s">
        <v>991</v>
      </c>
      <c r="D628" s="25" t="s">
        <v>524</v>
      </c>
      <c r="E628" s="25" t="s">
        <v>194</v>
      </c>
      <c r="F628" s="25" t="s">
        <v>113</v>
      </c>
      <c r="G628" s="26" t="s">
        <v>748</v>
      </c>
      <c r="H628" s="27" t="s">
        <v>115</v>
      </c>
      <c r="I628" s="24" t="s">
        <v>106</v>
      </c>
      <c r="J628" s="24" t="s">
        <v>121</v>
      </c>
      <c r="K628" s="28" t="s">
        <v>108</v>
      </c>
      <c r="L628" s="29">
        <v>0</v>
      </c>
      <c r="M628" s="29">
        <v>0</v>
      </c>
      <c r="N628" s="29">
        <v>0.02</v>
      </c>
      <c r="O628" s="27" t="s">
        <v>548</v>
      </c>
      <c r="P628" s="30" t="s">
        <v>524</v>
      </c>
      <c r="Q628" s="31">
        <v>202097201.03999999</v>
      </c>
      <c r="R628" s="31">
        <v>1004.69</v>
      </c>
      <c r="S628" s="32" t="s">
        <v>139</v>
      </c>
      <c r="T628" s="32" t="s">
        <v>139</v>
      </c>
      <c r="U628" s="32">
        <v>1.2359999999999999E-3</v>
      </c>
      <c r="V628" s="32">
        <v>4.5189999999999996E-3</v>
      </c>
      <c r="W628" s="32" t="s">
        <v>139</v>
      </c>
      <c r="X628" s="32" t="s">
        <v>139</v>
      </c>
      <c r="Y628" s="32" t="s">
        <v>139</v>
      </c>
      <c r="Z628" s="32" t="s">
        <v>139</v>
      </c>
      <c r="AA628" s="32" t="s">
        <v>139</v>
      </c>
      <c r="AB628" s="32" t="s">
        <v>139</v>
      </c>
    </row>
    <row r="629" spans="1:28" ht="15.6" customHeight="1" x14ac:dyDescent="0.25">
      <c r="A629" s="24" t="s">
        <v>992</v>
      </c>
      <c r="B629" s="50">
        <v>30009</v>
      </c>
      <c r="C629" s="25" t="s">
        <v>993</v>
      </c>
      <c r="D629" s="25" t="s">
        <v>718</v>
      </c>
      <c r="E629" s="25" t="s">
        <v>194</v>
      </c>
      <c r="F629" s="25" t="s">
        <v>113</v>
      </c>
      <c r="G629" s="26" t="s">
        <v>994</v>
      </c>
      <c r="H629" s="27" t="s">
        <v>115</v>
      </c>
      <c r="I629" s="24" t="s">
        <v>106</v>
      </c>
      <c r="J629" s="24" t="s">
        <v>121</v>
      </c>
      <c r="K629" s="28" t="s">
        <v>108</v>
      </c>
      <c r="L629" s="29">
        <v>0</v>
      </c>
      <c r="M629" s="29">
        <v>0</v>
      </c>
      <c r="N629" s="29">
        <v>0.02</v>
      </c>
      <c r="O629" s="27" t="s">
        <v>548</v>
      </c>
      <c r="P629" s="30" t="s">
        <v>718</v>
      </c>
      <c r="Q629" s="31">
        <v>201383488.25</v>
      </c>
      <c r="R629" s="31">
        <v>1002.83</v>
      </c>
      <c r="S629" s="32" t="s">
        <v>139</v>
      </c>
      <c r="T629" s="32" t="s">
        <v>139</v>
      </c>
      <c r="U629" s="32">
        <v>7.2800000000000002E-4</v>
      </c>
      <c r="V629" s="32">
        <v>2.2390000000000001E-3</v>
      </c>
      <c r="W629" s="32" t="s">
        <v>139</v>
      </c>
      <c r="X629" s="32" t="s">
        <v>139</v>
      </c>
      <c r="Y629" s="32" t="s">
        <v>139</v>
      </c>
      <c r="Z629" s="32" t="s">
        <v>139</v>
      </c>
      <c r="AA629" s="32" t="s">
        <v>139</v>
      </c>
      <c r="AB629" s="32" t="s">
        <v>139</v>
      </c>
    </row>
    <row r="630" spans="1:28" ht="15.6" customHeight="1" x14ac:dyDescent="0.25">
      <c r="A630" s="24"/>
      <c r="B630" s="24"/>
      <c r="C630" s="25"/>
      <c r="D630" s="25"/>
      <c r="E630" s="25"/>
      <c r="F630" s="25"/>
      <c r="G630" s="26"/>
      <c r="H630" s="27"/>
      <c r="I630" s="24"/>
      <c r="J630" s="24"/>
      <c r="K630" s="28"/>
      <c r="L630" s="29"/>
      <c r="M630" s="29"/>
      <c r="N630" s="29"/>
      <c r="O630" s="27"/>
      <c r="P630" s="30"/>
      <c r="Q630" s="31"/>
      <c r="R630" s="31"/>
      <c r="S630" s="32"/>
      <c r="T630" s="32"/>
      <c r="U630" s="32"/>
      <c r="V630" s="32"/>
      <c r="W630" s="32"/>
      <c r="X630" s="32"/>
      <c r="Y630" s="32"/>
      <c r="Z630" s="32"/>
      <c r="AA630" s="32"/>
      <c r="AB630" s="32"/>
    </row>
    <row r="631" spans="1:28" ht="15.6" customHeight="1" x14ac:dyDescent="0.25">
      <c r="A631" s="24"/>
      <c r="B631" s="24"/>
      <c r="C631" s="25"/>
      <c r="D631" s="25"/>
      <c r="E631" s="25"/>
      <c r="F631" s="25"/>
      <c r="G631" s="26"/>
      <c r="H631" s="27"/>
      <c r="I631" s="24"/>
      <c r="J631" s="24"/>
      <c r="K631" s="28"/>
      <c r="L631" s="29"/>
      <c r="M631" s="29"/>
      <c r="N631" s="29"/>
      <c r="O631" s="27"/>
      <c r="P631" s="30"/>
      <c r="Q631" s="31"/>
      <c r="R631" s="31"/>
      <c r="S631" s="32"/>
      <c r="T631" s="32"/>
      <c r="U631" s="32"/>
      <c r="V631" s="32"/>
      <c r="W631" s="32"/>
      <c r="X631" s="32"/>
      <c r="Y631" s="32"/>
      <c r="Z631" s="32"/>
      <c r="AA631" s="32"/>
      <c r="AB631" s="32"/>
    </row>
    <row r="632" spans="1:28" ht="15.6" customHeight="1" x14ac:dyDescent="0.25">
      <c r="A632" s="24"/>
      <c r="B632" s="24"/>
      <c r="C632" s="25"/>
      <c r="D632" s="25"/>
      <c r="E632" s="25"/>
      <c r="F632" s="25"/>
      <c r="G632" s="26"/>
      <c r="H632" s="27"/>
      <c r="I632" s="24"/>
      <c r="J632" s="24"/>
      <c r="K632" s="28"/>
      <c r="L632" s="29"/>
      <c r="M632" s="29"/>
      <c r="N632" s="29"/>
      <c r="O632" s="27"/>
      <c r="P632" s="30"/>
      <c r="Q632" s="31"/>
      <c r="R632" s="31"/>
      <c r="S632" s="32"/>
      <c r="T632" s="32"/>
      <c r="U632" s="32"/>
      <c r="V632" s="32"/>
      <c r="W632" s="32"/>
      <c r="X632" s="32"/>
      <c r="Y632" s="32"/>
      <c r="Z632" s="32"/>
      <c r="AA632" s="32"/>
      <c r="AB632" s="32"/>
    </row>
    <row r="633" spans="1:28" ht="15.6" customHeight="1" x14ac:dyDescent="0.25">
      <c r="A633" s="24"/>
      <c r="B633" s="24"/>
      <c r="C633" s="25"/>
      <c r="D633" s="25"/>
      <c r="E633" s="25"/>
      <c r="F633" s="25"/>
      <c r="G633" s="26"/>
      <c r="H633" s="27"/>
      <c r="I633" s="24"/>
      <c r="J633" s="24"/>
      <c r="K633" s="28"/>
      <c r="L633" s="29"/>
      <c r="M633" s="29"/>
      <c r="N633" s="29"/>
      <c r="O633" s="27"/>
      <c r="P633" s="30"/>
      <c r="Q633" s="31"/>
      <c r="R633" s="31"/>
      <c r="S633" s="32"/>
      <c r="T633" s="32"/>
      <c r="U633" s="32"/>
      <c r="V633" s="32"/>
      <c r="W633" s="32"/>
      <c r="X633" s="32"/>
      <c r="Y633" s="32"/>
      <c r="Z633" s="32"/>
      <c r="AA633" s="32"/>
      <c r="AB633" s="32"/>
    </row>
    <row r="634" spans="1:28" ht="15.6" customHeight="1" x14ac:dyDescent="0.25">
      <c r="A634" s="24"/>
      <c r="B634" s="24"/>
      <c r="C634" s="25"/>
      <c r="D634" s="25"/>
      <c r="E634" s="25"/>
      <c r="F634" s="25"/>
      <c r="G634" s="26"/>
      <c r="H634" s="27"/>
      <c r="I634" s="24"/>
      <c r="J634" s="24"/>
      <c r="K634" s="28"/>
      <c r="L634" s="29"/>
      <c r="M634" s="29"/>
      <c r="N634" s="29"/>
      <c r="O634" s="27"/>
      <c r="P634" s="30"/>
      <c r="Q634" s="31"/>
      <c r="R634" s="31"/>
      <c r="S634" s="32"/>
      <c r="T634" s="32"/>
      <c r="U634" s="32"/>
      <c r="V634" s="32"/>
      <c r="W634" s="32"/>
      <c r="X634" s="32"/>
      <c r="Y634" s="32"/>
      <c r="Z634" s="32"/>
      <c r="AA634" s="32"/>
      <c r="AB634" s="32"/>
    </row>
    <row r="635" spans="1:28" ht="15.6" customHeight="1" x14ac:dyDescent="0.25">
      <c r="A635" s="24"/>
      <c r="B635" s="24"/>
      <c r="C635" s="25"/>
      <c r="D635" s="25"/>
      <c r="E635" s="25"/>
      <c r="F635" s="25"/>
      <c r="G635" s="26"/>
      <c r="H635" s="27"/>
      <c r="I635" s="24"/>
      <c r="J635" s="24"/>
      <c r="K635" s="28"/>
      <c r="L635" s="29"/>
      <c r="M635" s="29"/>
      <c r="N635" s="29"/>
      <c r="O635" s="27"/>
      <c r="P635" s="30"/>
      <c r="Q635" s="31"/>
      <c r="R635" s="31"/>
      <c r="S635" s="32"/>
      <c r="T635" s="32"/>
      <c r="U635" s="32"/>
      <c r="V635" s="32"/>
      <c r="W635" s="32"/>
      <c r="X635" s="32"/>
      <c r="Y635" s="32"/>
      <c r="Z635" s="32"/>
      <c r="AA635" s="32"/>
      <c r="AB635" s="32"/>
    </row>
    <row r="636" spans="1:28" ht="15.6" customHeight="1" x14ac:dyDescent="0.25">
      <c r="A636" s="24"/>
      <c r="B636" s="24"/>
      <c r="C636" s="25"/>
      <c r="D636" s="25"/>
      <c r="E636" s="25"/>
      <c r="F636" s="25"/>
      <c r="G636" s="26"/>
      <c r="H636" s="27"/>
      <c r="I636" s="24"/>
      <c r="J636" s="24"/>
      <c r="K636" s="28"/>
      <c r="L636" s="29"/>
      <c r="M636" s="29"/>
      <c r="N636" s="29"/>
      <c r="O636" s="27"/>
      <c r="P636" s="30"/>
      <c r="Q636" s="31"/>
      <c r="R636" s="31"/>
      <c r="S636" s="32"/>
      <c r="T636" s="32"/>
      <c r="U636" s="32"/>
      <c r="V636" s="32"/>
      <c r="W636" s="32"/>
      <c r="X636" s="32"/>
      <c r="Y636" s="32"/>
      <c r="Z636" s="32"/>
      <c r="AA636" s="32"/>
      <c r="AB636" s="32"/>
    </row>
    <row r="637" spans="1:28" ht="15.6" customHeight="1" x14ac:dyDescent="0.25">
      <c r="A637" s="24"/>
      <c r="B637" s="24"/>
      <c r="C637" s="25"/>
      <c r="D637" s="25"/>
      <c r="E637" s="25"/>
      <c r="F637" s="25"/>
      <c r="G637" s="26"/>
      <c r="H637" s="27"/>
      <c r="I637" s="24"/>
      <c r="J637" s="24"/>
      <c r="K637" s="28"/>
      <c r="L637" s="29"/>
      <c r="M637" s="29"/>
      <c r="N637" s="29"/>
      <c r="O637" s="27"/>
      <c r="P637" s="30"/>
      <c r="Q637" s="31"/>
      <c r="R637" s="31"/>
      <c r="S637" s="32"/>
      <c r="T637" s="32"/>
      <c r="U637" s="32"/>
      <c r="V637" s="32"/>
      <c r="W637" s="32"/>
      <c r="X637" s="32"/>
      <c r="Y637" s="32"/>
      <c r="Z637" s="32"/>
      <c r="AA637" s="32"/>
      <c r="AB637" s="32"/>
    </row>
    <row r="638" spans="1:28" ht="15.6" customHeight="1" x14ac:dyDescent="0.25">
      <c r="A638" s="24"/>
      <c r="B638" s="24"/>
      <c r="C638" s="25"/>
      <c r="D638" s="25"/>
      <c r="E638" s="25"/>
      <c r="F638" s="25"/>
      <c r="G638" s="26"/>
      <c r="H638" s="27"/>
      <c r="I638" s="24"/>
      <c r="J638" s="24"/>
      <c r="K638" s="28"/>
      <c r="L638" s="29"/>
      <c r="M638" s="29"/>
      <c r="N638" s="29"/>
      <c r="O638" s="27"/>
      <c r="P638" s="30"/>
      <c r="Q638" s="31"/>
      <c r="R638" s="31"/>
      <c r="S638" s="32"/>
      <c r="T638" s="32"/>
      <c r="U638" s="32"/>
      <c r="V638" s="32"/>
      <c r="W638" s="32"/>
      <c r="X638" s="32"/>
      <c r="Y638" s="32"/>
      <c r="Z638" s="32"/>
      <c r="AA638" s="32"/>
      <c r="AB638" s="32"/>
    </row>
    <row r="639" spans="1:28" ht="15.6" customHeight="1" x14ac:dyDescent="0.25">
      <c r="A639" s="24"/>
      <c r="B639" s="24"/>
      <c r="C639" s="25"/>
      <c r="D639" s="25"/>
      <c r="E639" s="25"/>
      <c r="F639" s="25"/>
      <c r="G639" s="26"/>
      <c r="H639" s="27"/>
      <c r="I639" s="24"/>
      <c r="J639" s="24"/>
      <c r="K639" s="28"/>
      <c r="L639" s="29"/>
      <c r="M639" s="29"/>
      <c r="N639" s="29"/>
      <c r="O639" s="27"/>
      <c r="P639" s="30"/>
      <c r="Q639" s="31"/>
      <c r="R639" s="31"/>
      <c r="S639" s="32"/>
      <c r="T639" s="32"/>
      <c r="U639" s="32"/>
      <c r="V639" s="32"/>
      <c r="W639" s="32"/>
      <c r="X639" s="32"/>
      <c r="Y639" s="32"/>
      <c r="Z639" s="32"/>
      <c r="AA639" s="32"/>
      <c r="AB639" s="32"/>
    </row>
    <row r="640" spans="1:28" ht="15.6" customHeight="1" x14ac:dyDescent="0.25">
      <c r="A640" s="24"/>
      <c r="B640" s="24"/>
      <c r="C640" s="25"/>
      <c r="D640" s="25"/>
      <c r="E640" s="25"/>
      <c r="F640" s="25"/>
      <c r="G640" s="26"/>
      <c r="H640" s="27"/>
      <c r="I640" s="24"/>
      <c r="J640" s="24"/>
      <c r="K640" s="28"/>
      <c r="L640" s="29"/>
      <c r="M640" s="29"/>
      <c r="N640" s="29"/>
      <c r="O640" s="27"/>
      <c r="P640" s="30"/>
      <c r="Q640" s="31"/>
      <c r="R640" s="31"/>
      <c r="S640" s="32"/>
      <c r="T640" s="32"/>
      <c r="U640" s="32"/>
      <c r="V640" s="32"/>
      <c r="W640" s="32"/>
      <c r="X640" s="32"/>
      <c r="Y640" s="32"/>
      <c r="Z640" s="32"/>
      <c r="AA640" s="32"/>
      <c r="AB640" s="32"/>
    </row>
    <row r="641" spans="1:28" ht="15.6" customHeight="1" x14ac:dyDescent="0.25">
      <c r="A641" s="24"/>
      <c r="B641" s="24"/>
      <c r="C641" s="25"/>
      <c r="D641" s="25"/>
      <c r="E641" s="25"/>
      <c r="F641" s="25"/>
      <c r="G641" s="26"/>
      <c r="H641" s="27"/>
      <c r="I641" s="24"/>
      <c r="J641" s="24"/>
      <c r="K641" s="28"/>
      <c r="L641" s="29"/>
      <c r="M641" s="29"/>
      <c r="N641" s="29"/>
      <c r="O641" s="27"/>
      <c r="P641" s="30"/>
      <c r="Q641" s="31"/>
      <c r="R641" s="31"/>
      <c r="S641" s="32"/>
      <c r="T641" s="32"/>
      <c r="U641" s="32"/>
      <c r="V641" s="32"/>
      <c r="W641" s="32"/>
      <c r="X641" s="32"/>
      <c r="Y641" s="32"/>
      <c r="Z641" s="32"/>
      <c r="AA641" s="32"/>
      <c r="AB641" s="32"/>
    </row>
    <row r="642" spans="1:28" ht="15.6" customHeight="1" x14ac:dyDescent="0.25">
      <c r="A642" s="24"/>
      <c r="B642" s="24"/>
      <c r="C642" s="25"/>
      <c r="D642" s="25"/>
      <c r="E642" s="25"/>
      <c r="F642" s="25"/>
      <c r="G642" s="26"/>
      <c r="H642" s="27"/>
      <c r="I642" s="24"/>
      <c r="J642" s="24"/>
      <c r="K642" s="28"/>
      <c r="L642" s="29"/>
      <c r="M642" s="29"/>
      <c r="N642" s="29"/>
      <c r="O642" s="27"/>
      <c r="P642" s="30"/>
      <c r="Q642" s="31"/>
      <c r="R642" s="31"/>
      <c r="S642" s="32"/>
      <c r="T642" s="32"/>
      <c r="U642" s="32"/>
      <c r="V642" s="32"/>
      <c r="W642" s="32"/>
      <c r="X642" s="32"/>
      <c r="Y642" s="32"/>
      <c r="Z642" s="32"/>
      <c r="AA642" s="32"/>
      <c r="AB642" s="32"/>
    </row>
    <row r="643" spans="1:28" ht="15.6" customHeight="1" x14ac:dyDescent="0.25">
      <c r="A643" s="24"/>
      <c r="B643" s="24"/>
      <c r="C643" s="25"/>
      <c r="D643" s="25"/>
      <c r="E643" s="25"/>
      <c r="F643" s="25"/>
      <c r="G643" s="26"/>
      <c r="H643" s="27"/>
      <c r="I643" s="24"/>
      <c r="J643" s="24"/>
      <c r="K643" s="28"/>
      <c r="L643" s="29"/>
      <c r="M643" s="29"/>
      <c r="N643" s="29"/>
      <c r="O643" s="27"/>
      <c r="P643" s="30"/>
      <c r="Q643" s="31"/>
      <c r="R643" s="31"/>
      <c r="S643" s="32"/>
      <c r="T643" s="32"/>
      <c r="U643" s="32"/>
      <c r="V643" s="32"/>
      <c r="W643" s="32"/>
      <c r="X643" s="32"/>
      <c r="Y643" s="32"/>
      <c r="Z643" s="32"/>
      <c r="AA643" s="32"/>
      <c r="AB643" s="32"/>
    </row>
    <row r="644" spans="1:28" ht="15.6" customHeight="1" x14ac:dyDescent="0.25">
      <c r="A644" s="24"/>
      <c r="B644" s="24"/>
      <c r="C644" s="25"/>
      <c r="D644" s="25"/>
      <c r="E644" s="25"/>
      <c r="F644" s="25"/>
      <c r="G644" s="26"/>
      <c r="H644" s="27"/>
      <c r="I644" s="24"/>
      <c r="J644" s="24"/>
      <c r="K644" s="28"/>
      <c r="L644" s="29"/>
      <c r="M644" s="29"/>
      <c r="N644" s="29"/>
      <c r="O644" s="27"/>
      <c r="P644" s="30"/>
      <c r="Q644" s="31"/>
      <c r="R644" s="31"/>
      <c r="S644" s="32"/>
      <c r="T644" s="32"/>
      <c r="U644" s="32"/>
      <c r="V644" s="32"/>
      <c r="W644" s="32"/>
      <c r="X644" s="32"/>
      <c r="Y644" s="32"/>
      <c r="Z644" s="32"/>
      <c r="AA644" s="32"/>
      <c r="AB644" s="32"/>
    </row>
    <row r="645" spans="1:28" ht="15.6" customHeight="1" x14ac:dyDescent="0.25">
      <c r="A645" s="24"/>
      <c r="B645" s="24"/>
      <c r="C645" s="25"/>
      <c r="D645" s="25"/>
      <c r="E645" s="25"/>
      <c r="F645" s="25"/>
      <c r="G645" s="26"/>
      <c r="H645" s="27"/>
      <c r="I645" s="24"/>
      <c r="J645" s="24"/>
      <c r="K645" s="28"/>
      <c r="L645" s="29"/>
      <c r="M645" s="29"/>
      <c r="N645" s="29"/>
      <c r="O645" s="27"/>
      <c r="P645" s="30"/>
      <c r="Q645" s="31"/>
      <c r="R645" s="31"/>
      <c r="S645" s="32"/>
      <c r="T645" s="32"/>
      <c r="U645" s="32"/>
      <c r="V645" s="32"/>
      <c r="W645" s="32"/>
      <c r="X645" s="32"/>
      <c r="Y645" s="32"/>
      <c r="Z645" s="32"/>
      <c r="AA645" s="32"/>
      <c r="AB645" s="32"/>
    </row>
    <row r="646" spans="1:28" ht="15.6" customHeight="1" x14ac:dyDescent="0.25">
      <c r="A646" s="24"/>
      <c r="B646" s="24"/>
      <c r="C646" s="25"/>
      <c r="D646" s="25"/>
      <c r="E646" s="25"/>
      <c r="F646" s="25"/>
      <c r="G646" s="26"/>
      <c r="H646" s="27"/>
      <c r="I646" s="24"/>
      <c r="J646" s="24"/>
      <c r="K646" s="28"/>
      <c r="L646" s="29"/>
      <c r="M646" s="29"/>
      <c r="N646" s="29"/>
      <c r="O646" s="27"/>
      <c r="P646" s="30"/>
      <c r="Q646" s="31"/>
      <c r="R646" s="31"/>
      <c r="S646" s="32"/>
      <c r="T646" s="32"/>
      <c r="U646" s="32"/>
      <c r="V646" s="32"/>
      <c r="W646" s="32"/>
      <c r="X646" s="32"/>
      <c r="Y646" s="32"/>
      <c r="Z646" s="32"/>
      <c r="AA646" s="32"/>
      <c r="AB646" s="32"/>
    </row>
    <row r="647" spans="1:28" ht="15.6" customHeight="1" x14ac:dyDescent="0.25">
      <c r="A647" s="24"/>
      <c r="B647" s="24"/>
      <c r="C647" s="25"/>
      <c r="D647" s="25"/>
      <c r="E647" s="25"/>
      <c r="F647" s="25"/>
      <c r="G647" s="26"/>
      <c r="H647" s="27"/>
      <c r="I647" s="24"/>
      <c r="J647" s="24"/>
      <c r="K647" s="28"/>
      <c r="L647" s="29"/>
      <c r="M647" s="29"/>
      <c r="N647" s="29"/>
      <c r="O647" s="27"/>
      <c r="P647" s="30"/>
      <c r="Q647" s="31"/>
      <c r="R647" s="31"/>
      <c r="S647" s="32"/>
      <c r="T647" s="32"/>
      <c r="U647" s="32"/>
      <c r="V647" s="32"/>
      <c r="W647" s="32"/>
      <c r="X647" s="32"/>
      <c r="Y647" s="32"/>
      <c r="Z647" s="32"/>
      <c r="AA647" s="32"/>
      <c r="AB647" s="32"/>
    </row>
    <row r="648" spans="1:28" ht="15.6" customHeight="1" x14ac:dyDescent="0.25">
      <c r="A648" s="24"/>
      <c r="B648" s="24"/>
      <c r="C648" s="25"/>
      <c r="D648" s="25"/>
      <c r="E648" s="25"/>
      <c r="F648" s="25"/>
      <c r="G648" s="26"/>
      <c r="H648" s="27"/>
      <c r="I648" s="24"/>
      <c r="J648" s="24"/>
      <c r="K648" s="28"/>
      <c r="L648" s="29"/>
      <c r="M648" s="29"/>
      <c r="N648" s="29"/>
      <c r="O648" s="27"/>
      <c r="P648" s="30"/>
      <c r="Q648" s="31"/>
      <c r="R648" s="31"/>
      <c r="S648" s="32"/>
      <c r="T648" s="32"/>
      <c r="U648" s="32"/>
      <c r="V648" s="32"/>
      <c r="W648" s="32"/>
      <c r="X648" s="32"/>
      <c r="Y648" s="32"/>
      <c r="Z648" s="32"/>
      <c r="AA648" s="32"/>
      <c r="AB648" s="32"/>
    </row>
    <row r="649" spans="1:28" ht="15.6" customHeight="1" x14ac:dyDescent="0.25">
      <c r="A649" s="24"/>
      <c r="B649" s="24"/>
      <c r="C649" s="25"/>
      <c r="D649" s="25"/>
      <c r="E649" s="25"/>
      <c r="F649" s="25"/>
      <c r="G649" s="26"/>
      <c r="H649" s="27"/>
      <c r="I649" s="24"/>
      <c r="J649" s="24"/>
      <c r="K649" s="28"/>
      <c r="L649" s="29"/>
      <c r="M649" s="29"/>
      <c r="N649" s="29"/>
      <c r="O649" s="27"/>
      <c r="P649" s="30"/>
      <c r="Q649" s="31"/>
      <c r="R649" s="31"/>
      <c r="S649" s="32"/>
      <c r="T649" s="32"/>
      <c r="U649" s="32"/>
      <c r="V649" s="32"/>
      <c r="W649" s="32"/>
      <c r="X649" s="32"/>
      <c r="Y649" s="32"/>
      <c r="Z649" s="32"/>
      <c r="AA649" s="32"/>
      <c r="AB649" s="32"/>
    </row>
    <row r="650" spans="1:28" ht="15.6" customHeight="1" x14ac:dyDescent="0.25">
      <c r="A650" s="24"/>
      <c r="B650" s="24"/>
      <c r="C650" s="25"/>
      <c r="D650" s="25"/>
      <c r="E650" s="25"/>
      <c r="F650" s="25"/>
      <c r="G650" s="26"/>
      <c r="H650" s="27"/>
      <c r="I650" s="24"/>
      <c r="J650" s="24"/>
      <c r="K650" s="28"/>
      <c r="L650" s="29"/>
      <c r="M650" s="29"/>
      <c r="N650" s="29"/>
      <c r="O650" s="27"/>
      <c r="P650" s="30"/>
      <c r="Q650" s="31"/>
      <c r="R650" s="31"/>
      <c r="S650" s="32"/>
      <c r="T650" s="32"/>
      <c r="U650" s="32"/>
      <c r="V650" s="32"/>
      <c r="W650" s="32"/>
      <c r="X650" s="32"/>
      <c r="Y650" s="32"/>
      <c r="Z650" s="32"/>
      <c r="AA650" s="32"/>
      <c r="AB650" s="32"/>
    </row>
    <row r="651" spans="1:28" ht="15.6" customHeight="1" x14ac:dyDescent="0.25">
      <c r="A651" s="24"/>
      <c r="B651" s="24"/>
      <c r="C651" s="25"/>
      <c r="D651" s="25"/>
      <c r="E651" s="25"/>
      <c r="F651" s="25"/>
      <c r="G651" s="26"/>
      <c r="H651" s="27"/>
      <c r="I651" s="24"/>
      <c r="J651" s="24"/>
      <c r="K651" s="28"/>
      <c r="L651" s="29"/>
      <c r="M651" s="29"/>
      <c r="N651" s="29"/>
      <c r="O651" s="27"/>
      <c r="P651" s="30"/>
      <c r="Q651" s="31"/>
      <c r="R651" s="31"/>
      <c r="S651" s="32"/>
      <c r="T651" s="32"/>
      <c r="U651" s="32"/>
      <c r="V651" s="32"/>
      <c r="W651" s="32"/>
      <c r="X651" s="32"/>
      <c r="Y651" s="32"/>
      <c r="Z651" s="32"/>
      <c r="AA651" s="32"/>
      <c r="AB651" s="32"/>
    </row>
    <row r="652" spans="1:28" ht="15.6" customHeight="1" x14ac:dyDescent="0.25">
      <c r="A652" s="24"/>
      <c r="B652" s="24"/>
      <c r="C652" s="25"/>
      <c r="D652" s="25"/>
      <c r="E652" s="25"/>
      <c r="F652" s="25"/>
      <c r="G652" s="26"/>
      <c r="H652" s="27"/>
      <c r="I652" s="24"/>
      <c r="J652" s="24"/>
      <c r="K652" s="28"/>
      <c r="L652" s="29"/>
      <c r="M652" s="29"/>
      <c r="N652" s="29"/>
      <c r="O652" s="27"/>
      <c r="P652" s="30"/>
      <c r="Q652" s="31"/>
      <c r="R652" s="31"/>
      <c r="S652" s="32"/>
      <c r="T652" s="32"/>
      <c r="U652" s="32"/>
      <c r="V652" s="32"/>
      <c r="W652" s="32"/>
      <c r="X652" s="32"/>
      <c r="Y652" s="32"/>
      <c r="Z652" s="32"/>
      <c r="AA652" s="32"/>
      <c r="AB652" s="32"/>
    </row>
    <row r="653" spans="1:28" ht="15.6" customHeight="1" x14ac:dyDescent="0.25">
      <c r="A653" s="24"/>
      <c r="B653" s="24"/>
      <c r="C653" s="25"/>
      <c r="D653" s="25"/>
      <c r="E653" s="25"/>
      <c r="F653" s="25"/>
      <c r="G653" s="26"/>
      <c r="H653" s="27"/>
      <c r="I653" s="24"/>
      <c r="J653" s="24"/>
      <c r="K653" s="28"/>
      <c r="L653" s="29"/>
      <c r="M653" s="29"/>
      <c r="N653" s="29"/>
      <c r="O653" s="27"/>
      <c r="P653" s="30"/>
      <c r="Q653" s="31"/>
      <c r="R653" s="31"/>
      <c r="S653" s="32"/>
      <c r="T653" s="32"/>
      <c r="U653" s="32"/>
      <c r="V653" s="32"/>
      <c r="W653" s="32"/>
      <c r="X653" s="32"/>
      <c r="Y653" s="32"/>
      <c r="Z653" s="32"/>
      <c r="AA653" s="32"/>
      <c r="AB653" s="32"/>
    </row>
    <row r="654" spans="1:28" ht="15.6" customHeight="1" x14ac:dyDescent="0.25">
      <c r="A654" s="24"/>
      <c r="B654" s="24"/>
      <c r="C654" s="25"/>
      <c r="D654" s="25"/>
      <c r="E654" s="25"/>
      <c r="F654" s="25"/>
      <c r="G654" s="26"/>
      <c r="H654" s="27"/>
      <c r="I654" s="24"/>
      <c r="J654" s="24"/>
      <c r="K654" s="28"/>
      <c r="L654" s="29"/>
      <c r="M654" s="29"/>
      <c r="N654" s="29"/>
      <c r="O654" s="27"/>
      <c r="P654" s="30"/>
      <c r="Q654" s="31"/>
      <c r="R654" s="31"/>
      <c r="S654" s="32"/>
      <c r="T654" s="32"/>
      <c r="U654" s="32"/>
      <c r="V654" s="32"/>
      <c r="W654" s="32"/>
      <c r="X654" s="32"/>
      <c r="Y654" s="32"/>
      <c r="Z654" s="32"/>
      <c r="AA654" s="32"/>
      <c r="AB654" s="32"/>
    </row>
    <row r="655" spans="1:28" ht="15.6" customHeight="1" x14ac:dyDescent="0.25">
      <c r="A655" s="24"/>
      <c r="B655" s="24"/>
      <c r="C655" s="25"/>
      <c r="D655" s="25"/>
      <c r="E655" s="25"/>
      <c r="F655" s="25"/>
      <c r="G655" s="26"/>
      <c r="H655" s="27"/>
      <c r="I655" s="24"/>
      <c r="J655" s="24"/>
      <c r="K655" s="28"/>
      <c r="L655" s="29"/>
      <c r="M655" s="29"/>
      <c r="N655" s="29"/>
      <c r="O655" s="27"/>
      <c r="P655" s="30"/>
      <c r="Q655" s="31"/>
      <c r="R655" s="31"/>
      <c r="S655" s="32"/>
      <c r="T655" s="32"/>
      <c r="U655" s="32"/>
      <c r="V655" s="32"/>
      <c r="W655" s="32"/>
      <c r="X655" s="32"/>
      <c r="Y655" s="32"/>
      <c r="Z655" s="32"/>
      <c r="AA655" s="32"/>
      <c r="AB655" s="32"/>
    </row>
    <row r="656" spans="1:28" ht="15.6" customHeight="1" x14ac:dyDescent="0.25">
      <c r="A656" s="24"/>
      <c r="B656" s="24"/>
      <c r="C656" s="25"/>
      <c r="D656" s="25"/>
      <c r="E656" s="25"/>
      <c r="F656" s="25"/>
      <c r="G656" s="26"/>
      <c r="H656" s="27"/>
      <c r="I656" s="24"/>
      <c r="J656" s="24"/>
      <c r="K656" s="28"/>
      <c r="L656" s="29"/>
      <c r="M656" s="29"/>
      <c r="N656" s="29"/>
      <c r="O656" s="27"/>
      <c r="P656" s="30"/>
      <c r="Q656" s="31"/>
      <c r="R656" s="31"/>
      <c r="S656" s="32"/>
      <c r="T656" s="32"/>
      <c r="U656" s="32"/>
      <c r="V656" s="32"/>
      <c r="W656" s="32"/>
      <c r="X656" s="32"/>
      <c r="Y656" s="32"/>
      <c r="Z656" s="32"/>
      <c r="AA656" s="32"/>
      <c r="AB656" s="32"/>
    </row>
    <row r="657" spans="1:28" ht="15.6" customHeight="1" x14ac:dyDescent="0.25">
      <c r="A657" s="24"/>
      <c r="B657" s="24"/>
      <c r="C657" s="25"/>
      <c r="D657" s="25"/>
      <c r="E657" s="25"/>
      <c r="F657" s="25"/>
      <c r="G657" s="26"/>
      <c r="H657" s="27"/>
      <c r="I657" s="24"/>
      <c r="J657" s="24"/>
      <c r="K657" s="28"/>
      <c r="L657" s="29"/>
      <c r="M657" s="29"/>
      <c r="N657" s="29"/>
      <c r="O657" s="27"/>
      <c r="P657" s="30"/>
      <c r="Q657" s="31"/>
      <c r="R657" s="31"/>
      <c r="S657" s="32"/>
      <c r="T657" s="32"/>
      <c r="U657" s="32"/>
      <c r="V657" s="32"/>
      <c r="W657" s="32"/>
      <c r="X657" s="32"/>
      <c r="Y657" s="32"/>
      <c r="Z657" s="32"/>
      <c r="AA657" s="32"/>
      <c r="AB657" s="32"/>
    </row>
    <row r="658" spans="1:28" ht="15.6" customHeight="1" x14ac:dyDescent="0.25">
      <c r="A658" s="24"/>
      <c r="B658" s="24"/>
      <c r="C658" s="25"/>
      <c r="D658" s="25"/>
      <c r="E658" s="25"/>
      <c r="F658" s="25"/>
      <c r="G658" s="26"/>
      <c r="H658" s="27"/>
      <c r="I658" s="24"/>
      <c r="J658" s="24"/>
      <c r="K658" s="28"/>
      <c r="L658" s="29"/>
      <c r="M658" s="29"/>
      <c r="N658" s="29"/>
      <c r="O658" s="27"/>
      <c r="P658" s="30"/>
      <c r="Q658" s="31"/>
      <c r="R658" s="31"/>
      <c r="S658" s="32"/>
      <c r="T658" s="32"/>
      <c r="U658" s="32"/>
      <c r="V658" s="32"/>
      <c r="W658" s="32"/>
      <c r="X658" s="32"/>
      <c r="Y658" s="32"/>
      <c r="Z658" s="32"/>
      <c r="AA658" s="32"/>
      <c r="AB658" s="32"/>
    </row>
    <row r="659" spans="1:28" ht="15.6" customHeight="1" x14ac:dyDescent="0.25">
      <c r="A659" s="24"/>
      <c r="B659" s="24"/>
      <c r="C659" s="25"/>
      <c r="D659" s="25"/>
      <c r="E659" s="25"/>
      <c r="F659" s="25"/>
      <c r="G659" s="26"/>
      <c r="H659" s="27"/>
      <c r="I659" s="24"/>
      <c r="J659" s="24"/>
      <c r="K659" s="28"/>
      <c r="L659" s="29"/>
      <c r="M659" s="29"/>
      <c r="N659" s="29"/>
      <c r="O659" s="27"/>
      <c r="P659" s="30"/>
      <c r="Q659" s="31"/>
      <c r="R659" s="31"/>
      <c r="S659" s="32"/>
      <c r="T659" s="32"/>
      <c r="U659" s="32"/>
      <c r="V659" s="32"/>
      <c r="W659" s="32"/>
      <c r="X659" s="32"/>
      <c r="Y659" s="32"/>
      <c r="Z659" s="32"/>
      <c r="AA659" s="32"/>
      <c r="AB659" s="32"/>
    </row>
    <row r="660" spans="1:28" ht="15.6" customHeight="1" x14ac:dyDescent="0.25">
      <c r="A660" s="24"/>
      <c r="B660" s="24"/>
      <c r="C660" s="25"/>
      <c r="D660" s="25"/>
      <c r="E660" s="25"/>
      <c r="F660" s="25"/>
      <c r="G660" s="26"/>
      <c r="H660" s="27"/>
      <c r="I660" s="24"/>
      <c r="J660" s="24"/>
      <c r="K660" s="28"/>
      <c r="L660" s="29"/>
      <c r="M660" s="29"/>
      <c r="N660" s="29"/>
      <c r="O660" s="27"/>
      <c r="P660" s="30"/>
      <c r="Q660" s="31"/>
      <c r="R660" s="31"/>
      <c r="S660" s="32"/>
      <c r="T660" s="32"/>
      <c r="U660" s="32"/>
      <c r="V660" s="32"/>
      <c r="W660" s="32"/>
      <c r="X660" s="32"/>
      <c r="Y660" s="32"/>
      <c r="Z660" s="32"/>
      <c r="AA660" s="32"/>
      <c r="AB660" s="32"/>
    </row>
    <row r="661" spans="1:28" ht="15.6" customHeight="1" x14ac:dyDescent="0.25">
      <c r="A661" s="24"/>
      <c r="B661" s="24"/>
      <c r="C661" s="25"/>
      <c r="D661" s="25"/>
      <c r="E661" s="25"/>
      <c r="F661" s="25"/>
      <c r="G661" s="26"/>
      <c r="H661" s="27"/>
      <c r="I661" s="24"/>
      <c r="J661" s="24"/>
      <c r="K661" s="28"/>
      <c r="L661" s="29"/>
      <c r="M661" s="29"/>
      <c r="N661" s="29"/>
      <c r="O661" s="27"/>
      <c r="P661" s="30"/>
      <c r="Q661" s="31"/>
      <c r="R661" s="31"/>
      <c r="S661" s="32"/>
      <c r="T661" s="32"/>
      <c r="U661" s="32"/>
      <c r="V661" s="32"/>
      <c r="W661" s="32"/>
      <c r="X661" s="32"/>
      <c r="Y661" s="32"/>
      <c r="Z661" s="32"/>
      <c r="AA661" s="32"/>
      <c r="AB661" s="32"/>
    </row>
    <row r="662" spans="1:28" ht="15.6" customHeight="1" x14ac:dyDescent="0.25">
      <c r="A662" s="24"/>
      <c r="B662" s="24"/>
      <c r="C662" s="25"/>
      <c r="D662" s="25"/>
      <c r="E662" s="25"/>
      <c r="F662" s="25"/>
      <c r="G662" s="26"/>
      <c r="H662" s="27"/>
      <c r="I662" s="24"/>
      <c r="J662" s="24"/>
      <c r="K662" s="28"/>
      <c r="L662" s="29"/>
      <c r="M662" s="29"/>
      <c r="N662" s="29"/>
      <c r="O662" s="27"/>
      <c r="P662" s="30"/>
      <c r="Q662" s="31"/>
      <c r="R662" s="31"/>
      <c r="S662" s="32"/>
      <c r="T662" s="32"/>
      <c r="U662" s="32"/>
      <c r="V662" s="32"/>
      <c r="W662" s="32"/>
      <c r="X662" s="32"/>
      <c r="Y662" s="32"/>
      <c r="Z662" s="32"/>
      <c r="AA662" s="32"/>
      <c r="AB662" s="32"/>
    </row>
    <row r="663" spans="1:28" ht="15.6" customHeight="1" x14ac:dyDescent="0.25">
      <c r="A663" s="24"/>
      <c r="B663" s="24"/>
      <c r="C663" s="25"/>
      <c r="D663" s="25"/>
      <c r="E663" s="25"/>
      <c r="F663" s="25"/>
      <c r="G663" s="26"/>
      <c r="H663" s="27"/>
      <c r="I663" s="24"/>
      <c r="J663" s="24"/>
      <c r="K663" s="28"/>
      <c r="L663" s="29"/>
      <c r="M663" s="29"/>
      <c r="N663" s="29"/>
      <c r="O663" s="27"/>
      <c r="P663" s="30"/>
      <c r="Q663" s="31"/>
      <c r="R663" s="31"/>
      <c r="S663" s="32"/>
      <c r="T663" s="32"/>
      <c r="U663" s="32"/>
      <c r="V663" s="32"/>
      <c r="W663" s="32"/>
      <c r="X663" s="32"/>
      <c r="Y663" s="32"/>
      <c r="Z663" s="32"/>
      <c r="AA663" s="32"/>
      <c r="AB663" s="32"/>
    </row>
    <row r="664" spans="1:28" ht="15.6" customHeight="1" x14ac:dyDescent="0.25">
      <c r="A664" s="24"/>
      <c r="B664" s="24"/>
      <c r="C664" s="25"/>
      <c r="D664" s="25"/>
      <c r="E664" s="25"/>
      <c r="F664" s="25"/>
      <c r="G664" s="26"/>
      <c r="H664" s="27"/>
      <c r="I664" s="24"/>
      <c r="J664" s="24"/>
      <c r="K664" s="28"/>
      <c r="L664" s="29"/>
      <c r="M664" s="29"/>
      <c r="N664" s="29"/>
      <c r="O664" s="27"/>
      <c r="P664" s="30"/>
      <c r="Q664" s="31"/>
      <c r="R664" s="31"/>
      <c r="S664" s="32"/>
      <c r="T664" s="32"/>
      <c r="U664" s="32"/>
      <c r="V664" s="32"/>
      <c r="W664" s="32"/>
      <c r="X664" s="32"/>
      <c r="Y664" s="32"/>
      <c r="Z664" s="32"/>
      <c r="AA664" s="32"/>
      <c r="AB664" s="32"/>
    </row>
    <row r="665" spans="1:28" ht="15.6" customHeight="1" x14ac:dyDescent="0.25">
      <c r="A665" s="24"/>
      <c r="B665" s="24"/>
      <c r="C665" s="25"/>
      <c r="D665" s="25"/>
      <c r="E665" s="25"/>
      <c r="F665" s="25"/>
      <c r="G665" s="26"/>
      <c r="H665" s="27"/>
      <c r="I665" s="24"/>
      <c r="J665" s="24"/>
      <c r="K665" s="28"/>
      <c r="L665" s="29"/>
      <c r="M665" s="29"/>
      <c r="N665" s="29"/>
      <c r="O665" s="27"/>
      <c r="P665" s="30"/>
      <c r="Q665" s="31"/>
      <c r="R665" s="31"/>
      <c r="S665" s="32"/>
      <c r="T665" s="32"/>
      <c r="U665" s="32"/>
      <c r="V665" s="32"/>
      <c r="W665" s="32"/>
      <c r="X665" s="32"/>
      <c r="Y665" s="32"/>
      <c r="Z665" s="32"/>
      <c r="AA665" s="32"/>
      <c r="AB665" s="32"/>
    </row>
    <row r="666" spans="1:28" ht="15.6" customHeight="1" x14ac:dyDescent="0.25">
      <c r="A666" s="24"/>
      <c r="B666" s="24"/>
      <c r="C666" s="25"/>
      <c r="D666" s="25"/>
      <c r="E666" s="25"/>
      <c r="F666" s="25"/>
      <c r="G666" s="26"/>
      <c r="H666" s="27"/>
      <c r="I666" s="24"/>
      <c r="J666" s="24"/>
      <c r="K666" s="28"/>
      <c r="L666" s="29"/>
      <c r="M666" s="29"/>
      <c r="N666" s="29"/>
      <c r="O666" s="27"/>
      <c r="P666" s="30"/>
      <c r="Q666" s="31"/>
      <c r="R666" s="31"/>
      <c r="S666" s="32"/>
      <c r="T666" s="32"/>
      <c r="U666" s="32"/>
      <c r="V666" s="32"/>
      <c r="W666" s="32"/>
      <c r="X666" s="32"/>
      <c r="Y666" s="32"/>
      <c r="Z666" s="32"/>
      <c r="AA666" s="32"/>
      <c r="AB666" s="32"/>
    </row>
    <row r="667" spans="1:28" ht="15.6" customHeight="1" x14ac:dyDescent="0.25">
      <c r="A667" s="24"/>
      <c r="B667" s="24"/>
      <c r="C667" s="25"/>
      <c r="D667" s="25"/>
      <c r="E667" s="25"/>
      <c r="F667" s="25"/>
      <c r="G667" s="26"/>
      <c r="H667" s="27"/>
      <c r="I667" s="24"/>
      <c r="J667" s="24"/>
      <c r="K667" s="28"/>
      <c r="L667" s="29"/>
      <c r="M667" s="29"/>
      <c r="N667" s="29"/>
      <c r="O667" s="27"/>
      <c r="P667" s="30"/>
      <c r="Q667" s="31"/>
      <c r="R667" s="31"/>
      <c r="S667" s="32"/>
      <c r="T667" s="32"/>
      <c r="U667" s="32"/>
      <c r="V667" s="32"/>
      <c r="W667" s="32"/>
      <c r="X667" s="32"/>
      <c r="Y667" s="32"/>
      <c r="Z667" s="32"/>
      <c r="AA667" s="32"/>
      <c r="AB667" s="32"/>
    </row>
    <row r="668" spans="1:28" ht="15.6" customHeight="1" x14ac:dyDescent="0.25">
      <c r="A668" s="24"/>
      <c r="B668" s="24"/>
      <c r="C668" s="25"/>
      <c r="D668" s="25"/>
      <c r="E668" s="25"/>
      <c r="F668" s="25"/>
      <c r="G668" s="26"/>
      <c r="H668" s="27"/>
      <c r="I668" s="24"/>
      <c r="J668" s="24"/>
      <c r="K668" s="28"/>
      <c r="L668" s="29"/>
      <c r="M668" s="29"/>
      <c r="N668" s="29"/>
      <c r="O668" s="27"/>
      <c r="P668" s="30"/>
      <c r="Q668" s="31"/>
      <c r="R668" s="31"/>
      <c r="S668" s="32"/>
      <c r="T668" s="32"/>
      <c r="U668" s="32"/>
      <c r="V668" s="32"/>
      <c r="W668" s="32"/>
      <c r="X668" s="32"/>
      <c r="Y668" s="32"/>
      <c r="Z668" s="32"/>
      <c r="AA668" s="32"/>
      <c r="AB668" s="32"/>
    </row>
    <row r="669" spans="1:28" ht="15.6" customHeight="1" x14ac:dyDescent="0.25">
      <c r="A669" s="24"/>
      <c r="B669" s="24"/>
      <c r="C669" s="25"/>
      <c r="D669" s="25"/>
      <c r="E669" s="25"/>
      <c r="F669" s="25"/>
      <c r="G669" s="26"/>
      <c r="H669" s="27"/>
      <c r="I669" s="24"/>
      <c r="J669" s="24"/>
      <c r="K669" s="28"/>
      <c r="L669" s="29"/>
      <c r="M669" s="29"/>
      <c r="N669" s="29"/>
      <c r="O669" s="27"/>
      <c r="P669" s="30"/>
      <c r="Q669" s="31"/>
      <c r="R669" s="31"/>
      <c r="S669" s="32"/>
      <c r="T669" s="32"/>
      <c r="U669" s="32"/>
      <c r="V669" s="32"/>
      <c r="W669" s="32"/>
      <c r="X669" s="32"/>
      <c r="Y669" s="32"/>
      <c r="Z669" s="32"/>
      <c r="AA669" s="32"/>
      <c r="AB669" s="32"/>
    </row>
    <row r="670" spans="1:28" ht="15.6" customHeight="1" x14ac:dyDescent="0.25">
      <c r="A670" s="24"/>
      <c r="B670" s="24"/>
      <c r="C670" s="25"/>
      <c r="D670" s="25"/>
      <c r="E670" s="25"/>
      <c r="F670" s="25"/>
      <c r="G670" s="26"/>
      <c r="H670" s="27"/>
      <c r="I670" s="24"/>
      <c r="J670" s="24"/>
      <c r="K670" s="28"/>
      <c r="L670" s="29"/>
      <c r="M670" s="29"/>
      <c r="N670" s="29"/>
      <c r="O670" s="27"/>
      <c r="P670" s="30"/>
      <c r="Q670" s="31"/>
      <c r="R670" s="31"/>
      <c r="S670" s="32"/>
      <c r="T670" s="32"/>
      <c r="U670" s="32"/>
      <c r="V670" s="32"/>
      <c r="W670" s="32"/>
      <c r="X670" s="32"/>
      <c r="Y670" s="32"/>
      <c r="Z670" s="32"/>
      <c r="AA670" s="32"/>
      <c r="AB670" s="32"/>
    </row>
    <row r="671" spans="1:28" ht="15.6" customHeight="1" x14ac:dyDescent="0.25">
      <c r="A671" s="24"/>
      <c r="B671" s="24"/>
      <c r="C671" s="25"/>
      <c r="D671" s="25"/>
      <c r="E671" s="25"/>
      <c r="F671" s="25"/>
      <c r="G671" s="26"/>
      <c r="H671" s="27"/>
      <c r="I671" s="24"/>
      <c r="J671" s="24"/>
      <c r="K671" s="28"/>
      <c r="L671" s="29"/>
      <c r="M671" s="29"/>
      <c r="N671" s="29"/>
      <c r="O671" s="27"/>
      <c r="P671" s="30"/>
      <c r="Q671" s="31"/>
      <c r="R671" s="31"/>
      <c r="S671" s="32"/>
      <c r="T671" s="32"/>
      <c r="U671" s="32"/>
      <c r="V671" s="32"/>
      <c r="W671" s="32"/>
      <c r="X671" s="32"/>
      <c r="Y671" s="32"/>
      <c r="Z671" s="32"/>
      <c r="AA671" s="32"/>
      <c r="AB671" s="32"/>
    </row>
    <row r="672" spans="1:28" ht="15.6" customHeight="1" x14ac:dyDescent="0.25">
      <c r="A672" s="24"/>
      <c r="B672" s="24"/>
      <c r="C672" s="25"/>
      <c r="D672" s="25"/>
      <c r="E672" s="25"/>
      <c r="F672" s="25"/>
      <c r="G672" s="26"/>
      <c r="H672" s="27"/>
      <c r="I672" s="24"/>
      <c r="J672" s="24"/>
      <c r="K672" s="28"/>
      <c r="L672" s="29"/>
      <c r="M672" s="29"/>
      <c r="N672" s="29"/>
      <c r="O672" s="27"/>
      <c r="P672" s="30"/>
      <c r="Q672" s="31"/>
      <c r="R672" s="31"/>
      <c r="S672" s="32"/>
      <c r="T672" s="32"/>
      <c r="U672" s="32"/>
      <c r="V672" s="32"/>
      <c r="W672" s="32"/>
      <c r="X672" s="32"/>
      <c r="Y672" s="32"/>
      <c r="Z672" s="32"/>
      <c r="AA672" s="32"/>
      <c r="AB672" s="32"/>
    </row>
    <row r="673" spans="1:28" ht="15.6" customHeight="1" x14ac:dyDescent="0.25">
      <c r="A673" s="24"/>
      <c r="B673" s="24"/>
      <c r="C673" s="25"/>
      <c r="D673" s="25"/>
      <c r="E673" s="25"/>
      <c r="F673" s="25"/>
      <c r="G673" s="26"/>
      <c r="H673" s="27"/>
      <c r="I673" s="24"/>
      <c r="J673" s="24"/>
      <c r="K673" s="28"/>
      <c r="L673" s="29"/>
      <c r="M673" s="29"/>
      <c r="N673" s="29"/>
      <c r="O673" s="27"/>
      <c r="P673" s="30"/>
      <c r="Q673" s="31"/>
      <c r="R673" s="31"/>
      <c r="S673" s="32"/>
      <c r="T673" s="32"/>
      <c r="U673" s="32"/>
      <c r="V673" s="32"/>
      <c r="W673" s="32"/>
      <c r="X673" s="32"/>
      <c r="Y673" s="32"/>
      <c r="Z673" s="32"/>
      <c r="AA673" s="32"/>
      <c r="AB673" s="32"/>
    </row>
    <row r="674" spans="1:28" ht="15.6" customHeight="1" x14ac:dyDescent="0.25">
      <c r="A674" s="24"/>
      <c r="B674" s="24"/>
      <c r="C674" s="25"/>
      <c r="D674" s="25"/>
      <c r="E674" s="25"/>
      <c r="F674" s="25"/>
      <c r="G674" s="26"/>
      <c r="H674" s="27"/>
      <c r="I674" s="24"/>
      <c r="J674" s="24"/>
      <c r="K674" s="28"/>
      <c r="L674" s="29"/>
      <c r="M674" s="29"/>
      <c r="N674" s="29"/>
      <c r="O674" s="27"/>
      <c r="P674" s="30"/>
      <c r="Q674" s="31"/>
      <c r="R674" s="31"/>
      <c r="S674" s="32"/>
      <c r="T674" s="32"/>
      <c r="U674" s="32"/>
      <c r="V674" s="32"/>
      <c r="W674" s="32"/>
      <c r="X674" s="32"/>
      <c r="Y674" s="32"/>
      <c r="Z674" s="32"/>
      <c r="AA674" s="32"/>
      <c r="AB674" s="32"/>
    </row>
    <row r="675" spans="1:28" ht="15.6" customHeight="1" x14ac:dyDescent="0.25">
      <c r="A675" s="24"/>
      <c r="B675" s="24"/>
      <c r="C675" s="25"/>
      <c r="D675" s="25"/>
      <c r="E675" s="25"/>
      <c r="F675" s="25"/>
      <c r="G675" s="26"/>
      <c r="H675" s="27"/>
      <c r="I675" s="24"/>
      <c r="J675" s="24"/>
      <c r="K675" s="28"/>
      <c r="L675" s="29"/>
      <c r="M675" s="29"/>
      <c r="N675" s="29"/>
      <c r="O675" s="27"/>
      <c r="P675" s="30"/>
      <c r="Q675" s="31"/>
      <c r="R675" s="31"/>
      <c r="S675" s="32"/>
      <c r="T675" s="32"/>
      <c r="U675" s="32"/>
      <c r="V675" s="32"/>
      <c r="W675" s="32"/>
      <c r="X675" s="32"/>
      <c r="Y675" s="32"/>
      <c r="Z675" s="32"/>
      <c r="AA675" s="32"/>
      <c r="AB675" s="32"/>
    </row>
    <row r="676" spans="1:28" ht="15.6" customHeight="1" x14ac:dyDescent="0.25">
      <c r="A676" s="24"/>
      <c r="B676" s="24"/>
      <c r="C676" s="25"/>
      <c r="D676" s="25"/>
      <c r="E676" s="25"/>
      <c r="F676" s="25"/>
      <c r="G676" s="26"/>
      <c r="H676" s="27"/>
      <c r="I676" s="24"/>
      <c r="J676" s="24"/>
      <c r="K676" s="28"/>
      <c r="L676" s="29"/>
      <c r="M676" s="29"/>
      <c r="N676" s="29"/>
      <c r="O676" s="27"/>
      <c r="P676" s="30"/>
      <c r="Q676" s="31"/>
      <c r="R676" s="31"/>
      <c r="S676" s="32"/>
      <c r="T676" s="32"/>
      <c r="U676" s="32"/>
      <c r="V676" s="32"/>
      <c r="W676" s="32"/>
      <c r="X676" s="32"/>
      <c r="Y676" s="32"/>
      <c r="Z676" s="32"/>
      <c r="AA676" s="32"/>
      <c r="AB676" s="32"/>
    </row>
    <row r="677" spans="1:28" ht="15.6" customHeight="1" x14ac:dyDescent="0.25">
      <c r="A677" s="24"/>
      <c r="B677" s="24"/>
      <c r="C677" s="25"/>
      <c r="D677" s="25"/>
      <c r="E677" s="25"/>
      <c r="F677" s="25"/>
      <c r="G677" s="26"/>
      <c r="H677" s="27"/>
      <c r="I677" s="24"/>
      <c r="J677" s="24"/>
      <c r="K677" s="28"/>
      <c r="L677" s="29"/>
      <c r="M677" s="29"/>
      <c r="N677" s="29"/>
      <c r="O677" s="27"/>
      <c r="P677" s="30"/>
      <c r="Q677" s="31"/>
      <c r="R677" s="31"/>
      <c r="S677" s="32"/>
      <c r="T677" s="32"/>
      <c r="U677" s="32"/>
      <c r="V677" s="32"/>
      <c r="W677" s="32"/>
      <c r="X677" s="32"/>
      <c r="Y677" s="32"/>
      <c r="Z677" s="32"/>
      <c r="AA677" s="32"/>
      <c r="AB677" s="32"/>
    </row>
    <row r="678" spans="1:28" ht="15.6" customHeight="1" x14ac:dyDescent="0.25">
      <c r="A678" s="24"/>
      <c r="B678" s="24"/>
      <c r="C678" s="25"/>
      <c r="D678" s="25"/>
      <c r="E678" s="25"/>
      <c r="F678" s="25"/>
      <c r="G678" s="26"/>
      <c r="H678" s="27"/>
      <c r="I678" s="24"/>
      <c r="J678" s="24"/>
      <c r="K678" s="28"/>
      <c r="L678" s="29"/>
      <c r="M678" s="29"/>
      <c r="N678" s="29"/>
      <c r="O678" s="27"/>
      <c r="P678" s="30"/>
      <c r="Q678" s="31"/>
      <c r="R678" s="31"/>
      <c r="S678" s="32"/>
      <c r="T678" s="32"/>
      <c r="U678" s="32"/>
      <c r="V678" s="32"/>
      <c r="W678" s="32"/>
      <c r="X678" s="32"/>
      <c r="Y678" s="32"/>
      <c r="Z678" s="32"/>
      <c r="AA678" s="32"/>
      <c r="AB678" s="32"/>
    </row>
    <row r="679" spans="1:28" ht="15.6" customHeight="1" x14ac:dyDescent="0.25">
      <c r="A679" s="24"/>
      <c r="B679" s="24"/>
      <c r="C679" s="25"/>
      <c r="D679" s="25"/>
      <c r="E679" s="25"/>
      <c r="F679" s="25"/>
      <c r="G679" s="26"/>
      <c r="H679" s="27"/>
      <c r="I679" s="24"/>
      <c r="J679" s="24"/>
      <c r="K679" s="28"/>
      <c r="L679" s="29"/>
      <c r="M679" s="29"/>
      <c r="N679" s="29"/>
      <c r="O679" s="27"/>
      <c r="P679" s="30"/>
      <c r="Q679" s="31"/>
      <c r="R679" s="31"/>
      <c r="S679" s="32"/>
      <c r="T679" s="32"/>
      <c r="U679" s="32"/>
      <c r="V679" s="32"/>
      <c r="W679" s="32"/>
      <c r="X679" s="32"/>
      <c r="Y679" s="32"/>
      <c r="Z679" s="32"/>
      <c r="AA679" s="32"/>
      <c r="AB679" s="32"/>
    </row>
    <row r="680" spans="1:28" ht="15.6" customHeight="1" x14ac:dyDescent="0.25">
      <c r="A680" s="24"/>
      <c r="B680" s="24"/>
      <c r="C680" s="25"/>
      <c r="D680" s="25"/>
      <c r="E680" s="25"/>
      <c r="F680" s="25"/>
      <c r="G680" s="26"/>
      <c r="H680" s="27"/>
      <c r="I680" s="24"/>
      <c r="J680" s="24"/>
      <c r="K680" s="28"/>
      <c r="L680" s="29"/>
      <c r="M680" s="29"/>
      <c r="N680" s="29"/>
      <c r="O680" s="27"/>
      <c r="P680" s="30"/>
      <c r="Q680" s="31"/>
      <c r="R680" s="31"/>
      <c r="S680" s="32"/>
      <c r="T680" s="32"/>
      <c r="U680" s="32"/>
      <c r="V680" s="32"/>
      <c r="W680" s="32"/>
      <c r="X680" s="32"/>
      <c r="Y680" s="32"/>
      <c r="Z680" s="32"/>
      <c r="AA680" s="32"/>
      <c r="AB680" s="32"/>
    </row>
    <row r="681" spans="1:28" ht="15.6" customHeight="1" x14ac:dyDescent="0.25">
      <c r="A681" s="24"/>
      <c r="B681" s="24"/>
      <c r="C681" s="25"/>
      <c r="D681" s="25"/>
      <c r="E681" s="25"/>
      <c r="F681" s="25"/>
      <c r="G681" s="26"/>
      <c r="H681" s="27"/>
      <c r="I681" s="24"/>
      <c r="J681" s="24"/>
      <c r="K681" s="28"/>
      <c r="L681" s="29"/>
      <c r="M681" s="29"/>
      <c r="N681" s="29"/>
      <c r="O681" s="27"/>
      <c r="P681" s="30"/>
      <c r="Q681" s="31"/>
      <c r="R681" s="31"/>
      <c r="S681" s="32"/>
      <c r="T681" s="32"/>
      <c r="U681" s="32"/>
      <c r="V681" s="32"/>
      <c r="W681" s="32"/>
      <c r="X681" s="32"/>
      <c r="Y681" s="32"/>
      <c r="Z681" s="32"/>
      <c r="AA681" s="32"/>
      <c r="AB681" s="32"/>
    </row>
    <row r="682" spans="1:28" ht="15.6" customHeight="1" x14ac:dyDescent="0.25">
      <c r="A682" s="24"/>
      <c r="B682" s="24"/>
      <c r="C682" s="25"/>
      <c r="D682" s="25"/>
      <c r="E682" s="25"/>
      <c r="F682" s="25"/>
      <c r="G682" s="26"/>
      <c r="H682" s="27"/>
      <c r="I682" s="24"/>
      <c r="J682" s="24"/>
      <c r="K682" s="28"/>
      <c r="L682" s="29"/>
      <c r="M682" s="29"/>
      <c r="N682" s="29"/>
      <c r="O682" s="27"/>
      <c r="P682" s="30"/>
      <c r="Q682" s="31"/>
      <c r="R682" s="31"/>
      <c r="S682" s="32"/>
      <c r="T682" s="32"/>
      <c r="U682" s="32"/>
      <c r="V682" s="32"/>
      <c r="W682" s="32"/>
      <c r="X682" s="32"/>
      <c r="Y682" s="32"/>
      <c r="Z682" s="32"/>
      <c r="AA682" s="32"/>
      <c r="AB682" s="32"/>
    </row>
    <row r="683" spans="1:28" ht="15.6" customHeight="1" x14ac:dyDescent="0.25">
      <c r="A683" s="24"/>
      <c r="B683" s="24"/>
      <c r="C683" s="25"/>
      <c r="D683" s="25"/>
      <c r="E683" s="25"/>
      <c r="F683" s="25"/>
      <c r="G683" s="26"/>
      <c r="H683" s="27"/>
      <c r="I683" s="24"/>
      <c r="J683" s="24"/>
      <c r="K683" s="28"/>
      <c r="L683" s="29"/>
      <c r="M683" s="29"/>
      <c r="N683" s="29"/>
      <c r="O683" s="27"/>
      <c r="P683" s="30"/>
      <c r="Q683" s="31"/>
      <c r="R683" s="31"/>
      <c r="S683" s="32"/>
      <c r="T683" s="32"/>
      <c r="U683" s="32"/>
      <c r="V683" s="32"/>
      <c r="W683" s="32"/>
      <c r="X683" s="32"/>
      <c r="Y683" s="32"/>
      <c r="Z683" s="32"/>
      <c r="AA683" s="32"/>
      <c r="AB683" s="32"/>
    </row>
    <row r="684" spans="1:28" ht="15.6" customHeight="1" x14ac:dyDescent="0.25">
      <c r="A684" s="24"/>
      <c r="B684" s="24"/>
      <c r="C684" s="25"/>
      <c r="D684" s="25"/>
      <c r="E684" s="25"/>
      <c r="F684" s="25"/>
      <c r="G684" s="26"/>
      <c r="H684" s="27"/>
      <c r="I684" s="24"/>
      <c r="J684" s="24"/>
      <c r="K684" s="28"/>
      <c r="L684" s="29"/>
      <c r="M684" s="29"/>
      <c r="N684" s="29"/>
      <c r="O684" s="27"/>
      <c r="P684" s="30"/>
      <c r="Q684" s="31"/>
      <c r="R684" s="31"/>
      <c r="S684" s="32"/>
      <c r="T684" s="32"/>
      <c r="U684" s="32"/>
      <c r="V684" s="32"/>
      <c r="W684" s="32"/>
      <c r="X684" s="32"/>
      <c r="Y684" s="32"/>
      <c r="Z684" s="32"/>
      <c r="AA684" s="32"/>
      <c r="AB684" s="32"/>
    </row>
    <row r="685" spans="1:28" ht="15.6" customHeight="1" x14ac:dyDescent="0.25">
      <c r="A685" s="24"/>
      <c r="B685" s="24"/>
      <c r="C685" s="25"/>
      <c r="D685" s="25"/>
      <c r="E685" s="25"/>
      <c r="F685" s="25"/>
      <c r="G685" s="26"/>
      <c r="H685" s="27"/>
      <c r="I685" s="24"/>
      <c r="J685" s="24"/>
      <c r="K685" s="28"/>
      <c r="L685" s="29"/>
      <c r="M685" s="29"/>
      <c r="N685" s="29"/>
      <c r="O685" s="27"/>
      <c r="P685" s="30"/>
      <c r="Q685" s="31"/>
      <c r="R685" s="31"/>
      <c r="S685" s="32"/>
      <c r="T685" s="32"/>
      <c r="U685" s="32"/>
      <c r="V685" s="32"/>
      <c r="W685" s="32"/>
      <c r="X685" s="32"/>
      <c r="Y685" s="32"/>
      <c r="Z685" s="32"/>
      <c r="AA685" s="32"/>
      <c r="AB685" s="32"/>
    </row>
    <row r="686" spans="1:28" ht="15.6" customHeight="1" x14ac:dyDescent="0.25">
      <c r="A686" s="24"/>
      <c r="B686" s="24"/>
      <c r="C686" s="25"/>
      <c r="D686" s="25"/>
      <c r="E686" s="25"/>
      <c r="F686" s="25"/>
      <c r="G686" s="26"/>
      <c r="H686" s="27"/>
      <c r="I686" s="24"/>
      <c r="J686" s="24"/>
      <c r="K686" s="28"/>
      <c r="L686" s="29"/>
      <c r="M686" s="29"/>
      <c r="N686" s="29"/>
      <c r="O686" s="27"/>
      <c r="P686" s="30"/>
      <c r="Q686" s="31"/>
      <c r="R686" s="31"/>
      <c r="S686" s="32"/>
      <c r="T686" s="32"/>
      <c r="U686" s="32"/>
      <c r="V686" s="32"/>
      <c r="W686" s="32"/>
      <c r="X686" s="32"/>
      <c r="Y686" s="32"/>
      <c r="Z686" s="32"/>
      <c r="AA686" s="32"/>
      <c r="AB686" s="32"/>
    </row>
    <row r="687" spans="1:28" ht="15.6" customHeight="1" x14ac:dyDescent="0.25">
      <c r="A687" s="24"/>
      <c r="B687" s="24"/>
      <c r="C687" s="25"/>
      <c r="D687" s="25"/>
      <c r="E687" s="25"/>
      <c r="F687" s="25"/>
      <c r="G687" s="26"/>
      <c r="H687" s="27"/>
      <c r="I687" s="24"/>
      <c r="J687" s="24"/>
      <c r="K687" s="28"/>
      <c r="L687" s="29"/>
      <c r="M687" s="29"/>
      <c r="N687" s="29"/>
      <c r="O687" s="27"/>
      <c r="P687" s="30"/>
      <c r="Q687" s="31"/>
      <c r="R687" s="31"/>
      <c r="S687" s="32"/>
      <c r="T687" s="32"/>
      <c r="U687" s="32"/>
      <c r="V687" s="32"/>
      <c r="W687" s="32"/>
      <c r="X687" s="32"/>
      <c r="Y687" s="32"/>
      <c r="Z687" s="32"/>
      <c r="AA687" s="32"/>
      <c r="AB687" s="32"/>
    </row>
    <row r="688" spans="1:28" ht="15.6" customHeight="1" x14ac:dyDescent="0.25">
      <c r="A688" s="24"/>
      <c r="B688" s="24"/>
      <c r="C688" s="25"/>
      <c r="D688" s="25"/>
      <c r="E688" s="25"/>
      <c r="F688" s="25"/>
      <c r="G688" s="26"/>
      <c r="H688" s="27"/>
      <c r="I688" s="24"/>
      <c r="J688" s="24"/>
      <c r="K688" s="28"/>
      <c r="L688" s="29"/>
      <c r="M688" s="29"/>
      <c r="N688" s="29"/>
      <c r="O688" s="27"/>
      <c r="P688" s="30"/>
      <c r="Q688" s="31"/>
      <c r="R688" s="31"/>
      <c r="S688" s="32"/>
      <c r="T688" s="32"/>
      <c r="U688" s="32"/>
      <c r="V688" s="32"/>
      <c r="W688" s="32"/>
      <c r="X688" s="32"/>
      <c r="Y688" s="32"/>
      <c r="Z688" s="32"/>
      <c r="AA688" s="32"/>
      <c r="AB688" s="32"/>
    </row>
    <row r="689" spans="1:28" ht="15.6" customHeight="1" x14ac:dyDescent="0.25">
      <c r="A689" s="24"/>
      <c r="B689" s="24"/>
      <c r="C689" s="25"/>
      <c r="D689" s="25"/>
      <c r="E689" s="25"/>
      <c r="F689" s="25"/>
      <c r="G689" s="26"/>
      <c r="H689" s="27"/>
      <c r="I689" s="24"/>
      <c r="J689" s="24"/>
      <c r="K689" s="28"/>
      <c r="L689" s="29"/>
      <c r="M689" s="29"/>
      <c r="N689" s="29"/>
      <c r="O689" s="27"/>
      <c r="P689" s="30"/>
      <c r="Q689" s="31"/>
      <c r="R689" s="31"/>
      <c r="S689" s="32"/>
      <c r="T689" s="32"/>
      <c r="U689" s="32"/>
      <c r="V689" s="32"/>
      <c r="W689" s="32"/>
      <c r="X689" s="32"/>
      <c r="Y689" s="32"/>
      <c r="Z689" s="32"/>
      <c r="AA689" s="32"/>
      <c r="AB689" s="32"/>
    </row>
    <row r="690" spans="1:28" ht="15.6" customHeight="1" x14ac:dyDescent="0.25">
      <c r="A690" s="24"/>
      <c r="B690" s="24"/>
      <c r="C690" s="25"/>
      <c r="D690" s="25"/>
      <c r="E690" s="25"/>
      <c r="F690" s="25"/>
      <c r="G690" s="26"/>
      <c r="H690" s="27"/>
      <c r="I690" s="24"/>
      <c r="J690" s="24"/>
      <c r="K690" s="28"/>
      <c r="L690" s="29"/>
      <c r="M690" s="29"/>
      <c r="N690" s="29"/>
      <c r="O690" s="27"/>
      <c r="P690" s="30"/>
      <c r="Q690" s="31"/>
      <c r="R690" s="31"/>
      <c r="S690" s="32"/>
      <c r="T690" s="32"/>
      <c r="U690" s="32"/>
      <c r="V690" s="32"/>
      <c r="W690" s="32"/>
      <c r="X690" s="32"/>
      <c r="Y690" s="32"/>
      <c r="Z690" s="32"/>
      <c r="AA690" s="32"/>
      <c r="AB690" s="32"/>
    </row>
    <row r="691" spans="1:28" ht="15.6" customHeight="1" x14ac:dyDescent="0.25">
      <c r="A691" s="24"/>
      <c r="B691" s="24"/>
      <c r="C691" s="25"/>
      <c r="D691" s="25"/>
      <c r="E691" s="25"/>
      <c r="F691" s="25"/>
      <c r="G691" s="26"/>
      <c r="H691" s="27"/>
      <c r="I691" s="24"/>
      <c r="J691" s="24"/>
      <c r="K691" s="28"/>
      <c r="L691" s="29"/>
      <c r="M691" s="29"/>
      <c r="N691" s="29"/>
      <c r="O691" s="27"/>
      <c r="P691" s="30"/>
      <c r="Q691" s="31"/>
      <c r="R691" s="31"/>
      <c r="S691" s="32"/>
      <c r="T691" s="32"/>
      <c r="U691" s="32"/>
      <c r="V691" s="32"/>
      <c r="W691" s="32"/>
      <c r="X691" s="32"/>
      <c r="Y691" s="32"/>
      <c r="Z691" s="32"/>
      <c r="AA691" s="32"/>
      <c r="AB691" s="32"/>
    </row>
    <row r="692" spans="1:28" ht="15.6" customHeight="1" x14ac:dyDescent="0.25">
      <c r="A692" s="24"/>
      <c r="B692" s="24"/>
      <c r="C692" s="25"/>
      <c r="D692" s="25"/>
      <c r="E692" s="25"/>
      <c r="F692" s="25"/>
      <c r="G692" s="26"/>
      <c r="H692" s="27"/>
      <c r="I692" s="24"/>
      <c r="J692" s="24"/>
      <c r="K692" s="28"/>
      <c r="L692" s="29"/>
      <c r="M692" s="29"/>
      <c r="N692" s="29"/>
      <c r="O692" s="27"/>
      <c r="P692" s="30"/>
      <c r="Q692" s="31"/>
      <c r="R692" s="31"/>
      <c r="S692" s="32"/>
      <c r="T692" s="32"/>
      <c r="U692" s="32"/>
      <c r="V692" s="32"/>
      <c r="W692" s="32"/>
      <c r="X692" s="32"/>
      <c r="Y692" s="32"/>
      <c r="Z692" s="32"/>
      <c r="AA692" s="32"/>
      <c r="AB692" s="32"/>
    </row>
    <row r="693" spans="1:28" ht="15.6" customHeight="1" x14ac:dyDescent="0.25">
      <c r="A693" s="24"/>
      <c r="B693" s="24"/>
      <c r="C693" s="25"/>
      <c r="D693" s="25"/>
      <c r="E693" s="25"/>
      <c r="F693" s="25"/>
      <c r="G693" s="26"/>
      <c r="H693" s="27"/>
      <c r="I693" s="24"/>
      <c r="J693" s="24"/>
      <c r="K693" s="28"/>
      <c r="L693" s="29"/>
      <c r="M693" s="29"/>
      <c r="N693" s="29"/>
      <c r="O693" s="27"/>
      <c r="P693" s="30"/>
      <c r="Q693" s="31"/>
      <c r="R693" s="31"/>
      <c r="S693" s="32"/>
      <c r="T693" s="32"/>
      <c r="U693" s="32"/>
      <c r="V693" s="32"/>
      <c r="W693" s="32"/>
      <c r="X693" s="32"/>
      <c r="Y693" s="32"/>
      <c r="Z693" s="32"/>
      <c r="AA693" s="32"/>
      <c r="AB693" s="32"/>
    </row>
    <row r="694" spans="1:28" ht="15.6" customHeight="1" x14ac:dyDescent="0.25">
      <c r="A694" s="24"/>
      <c r="B694" s="24"/>
      <c r="C694" s="25"/>
      <c r="D694" s="25"/>
      <c r="E694" s="25"/>
      <c r="F694" s="25"/>
      <c r="G694" s="26"/>
      <c r="H694" s="27"/>
      <c r="I694" s="24"/>
      <c r="J694" s="24"/>
      <c r="K694" s="28"/>
      <c r="L694" s="29"/>
      <c r="M694" s="29"/>
      <c r="N694" s="29"/>
      <c r="O694" s="27"/>
      <c r="P694" s="30"/>
      <c r="Q694" s="31"/>
      <c r="R694" s="31"/>
      <c r="S694" s="32"/>
      <c r="T694" s="32"/>
      <c r="U694" s="32"/>
      <c r="V694" s="32"/>
      <c r="W694" s="32"/>
      <c r="X694" s="32"/>
      <c r="Y694" s="32"/>
      <c r="Z694" s="32"/>
      <c r="AA694" s="32"/>
      <c r="AB694" s="32"/>
    </row>
    <row r="695" spans="1:28" ht="15.6" customHeight="1" x14ac:dyDescent="0.25">
      <c r="A695" s="24"/>
      <c r="B695" s="24"/>
      <c r="C695" s="25"/>
      <c r="D695" s="25"/>
      <c r="E695" s="25"/>
      <c r="F695" s="25"/>
      <c r="G695" s="26"/>
      <c r="H695" s="27"/>
      <c r="I695" s="24"/>
      <c r="J695" s="24"/>
      <c r="K695" s="28"/>
      <c r="L695" s="29"/>
      <c r="M695" s="29"/>
      <c r="N695" s="29"/>
      <c r="O695" s="27"/>
      <c r="P695" s="30"/>
      <c r="Q695" s="31"/>
      <c r="R695" s="31"/>
      <c r="S695" s="32"/>
      <c r="T695" s="32"/>
      <c r="U695" s="32"/>
      <c r="V695" s="32"/>
      <c r="W695" s="32"/>
      <c r="X695" s="32"/>
      <c r="Y695" s="32"/>
      <c r="Z695" s="32"/>
      <c r="AA695" s="32"/>
      <c r="AB695" s="32"/>
    </row>
    <row r="696" spans="1:28" ht="15.6" customHeight="1" x14ac:dyDescent="0.25">
      <c r="A696" s="24"/>
      <c r="B696" s="24"/>
      <c r="C696" s="25"/>
      <c r="D696" s="25"/>
      <c r="E696" s="25"/>
      <c r="F696" s="25"/>
      <c r="G696" s="26"/>
      <c r="H696" s="27"/>
      <c r="I696" s="24"/>
      <c r="J696" s="24"/>
      <c r="K696" s="28"/>
      <c r="L696" s="29"/>
      <c r="M696" s="29"/>
      <c r="N696" s="29"/>
      <c r="O696" s="27"/>
      <c r="P696" s="30"/>
      <c r="Q696" s="31"/>
      <c r="R696" s="31"/>
      <c r="S696" s="32"/>
      <c r="T696" s="32"/>
      <c r="U696" s="32"/>
      <c r="V696" s="32"/>
      <c r="W696" s="32"/>
      <c r="X696" s="32"/>
      <c r="Y696" s="32"/>
      <c r="Z696" s="32"/>
      <c r="AA696" s="32"/>
      <c r="AB696" s="32"/>
    </row>
    <row r="697" spans="1:28" ht="15.6" customHeight="1" x14ac:dyDescent="0.25">
      <c r="A697" s="24"/>
      <c r="B697" s="24"/>
      <c r="C697" s="25"/>
      <c r="D697" s="25"/>
      <c r="E697" s="25"/>
      <c r="F697" s="25"/>
      <c r="G697" s="26"/>
      <c r="H697" s="27"/>
      <c r="I697" s="24"/>
      <c r="J697" s="24"/>
      <c r="K697" s="28"/>
      <c r="L697" s="29"/>
      <c r="M697" s="29"/>
      <c r="N697" s="29"/>
      <c r="O697" s="27"/>
      <c r="P697" s="30"/>
      <c r="Q697" s="31"/>
      <c r="R697" s="31"/>
      <c r="S697" s="32"/>
      <c r="T697" s="32"/>
      <c r="U697" s="32"/>
      <c r="V697" s="32"/>
      <c r="W697" s="32"/>
      <c r="X697" s="32"/>
      <c r="Y697" s="32"/>
      <c r="Z697" s="32"/>
      <c r="AA697" s="32"/>
      <c r="AB697" s="32"/>
    </row>
    <row r="698" spans="1:28" ht="15.6" customHeight="1" x14ac:dyDescent="0.25">
      <c r="A698" s="24"/>
      <c r="B698" s="24"/>
      <c r="C698" s="25"/>
      <c r="D698" s="25"/>
      <c r="E698" s="25"/>
      <c r="F698" s="25"/>
      <c r="G698" s="26"/>
      <c r="H698" s="27"/>
      <c r="I698" s="24"/>
      <c r="J698" s="24"/>
      <c r="K698" s="28"/>
      <c r="L698" s="29"/>
      <c r="M698" s="29"/>
      <c r="N698" s="29"/>
      <c r="O698" s="27"/>
      <c r="P698" s="30"/>
      <c r="Q698" s="31"/>
      <c r="R698" s="31"/>
      <c r="S698" s="32"/>
      <c r="T698" s="32"/>
      <c r="U698" s="32"/>
      <c r="V698" s="32"/>
      <c r="W698" s="32"/>
      <c r="X698" s="32"/>
      <c r="Y698" s="32"/>
      <c r="Z698" s="32"/>
      <c r="AA698" s="32"/>
      <c r="AB698" s="32"/>
    </row>
    <row r="699" spans="1:28" ht="15.6" customHeight="1" x14ac:dyDescent="0.25">
      <c r="A699" s="24"/>
      <c r="B699" s="24"/>
      <c r="C699" s="25"/>
      <c r="D699" s="25"/>
      <c r="E699" s="25"/>
      <c r="F699" s="25"/>
      <c r="G699" s="26"/>
      <c r="H699" s="27"/>
      <c r="I699" s="24"/>
      <c r="J699" s="24"/>
      <c r="K699" s="28"/>
      <c r="L699" s="29"/>
      <c r="M699" s="29"/>
      <c r="N699" s="29"/>
      <c r="O699" s="27"/>
      <c r="P699" s="30"/>
      <c r="Q699" s="31"/>
      <c r="R699" s="31"/>
      <c r="S699" s="32"/>
      <c r="T699" s="32"/>
      <c r="U699" s="32"/>
      <c r="V699" s="32"/>
      <c r="W699" s="32"/>
      <c r="X699" s="32"/>
      <c r="Y699" s="32"/>
      <c r="Z699" s="32"/>
      <c r="AA699" s="32"/>
      <c r="AB699" s="32"/>
    </row>
    <row r="700" spans="1:28" ht="15.6" customHeight="1" x14ac:dyDescent="0.25">
      <c r="A700" s="24"/>
      <c r="B700" s="24"/>
      <c r="C700" s="25"/>
      <c r="D700" s="25"/>
      <c r="E700" s="25"/>
      <c r="F700" s="25"/>
      <c r="G700" s="26"/>
      <c r="H700" s="27"/>
      <c r="I700" s="24"/>
      <c r="J700" s="24"/>
      <c r="K700" s="28"/>
      <c r="L700" s="29"/>
      <c r="M700" s="29"/>
      <c r="N700" s="29"/>
      <c r="O700" s="27"/>
      <c r="P700" s="30"/>
      <c r="Q700" s="31"/>
      <c r="R700" s="31"/>
      <c r="S700" s="32"/>
      <c r="T700" s="32"/>
      <c r="U700" s="32"/>
      <c r="V700" s="32"/>
      <c r="W700" s="32"/>
      <c r="X700" s="32"/>
      <c r="Y700" s="32"/>
      <c r="Z700" s="32"/>
      <c r="AA700" s="32"/>
      <c r="AB700" s="32"/>
    </row>
    <row r="701" spans="1:28" ht="15.6" customHeight="1" x14ac:dyDescent="0.25">
      <c r="A701" s="24"/>
      <c r="B701" s="24"/>
      <c r="C701" s="25"/>
      <c r="D701" s="25"/>
      <c r="E701" s="25"/>
      <c r="F701" s="25"/>
      <c r="G701" s="26"/>
      <c r="H701" s="27"/>
      <c r="I701" s="24"/>
      <c r="J701" s="24"/>
      <c r="K701" s="28"/>
      <c r="L701" s="29"/>
      <c r="M701" s="29"/>
      <c r="N701" s="29"/>
      <c r="O701" s="27"/>
      <c r="P701" s="30"/>
      <c r="Q701" s="31"/>
      <c r="R701" s="31"/>
      <c r="S701" s="32"/>
      <c r="T701" s="32"/>
      <c r="U701" s="32"/>
      <c r="V701" s="32"/>
      <c r="W701" s="32"/>
      <c r="X701" s="32"/>
      <c r="Y701" s="32"/>
      <c r="Z701" s="32"/>
      <c r="AA701" s="32"/>
      <c r="AB701" s="32"/>
    </row>
    <row r="702" spans="1:28" ht="15.6" customHeight="1" x14ac:dyDescent="0.25">
      <c r="A702" s="24"/>
      <c r="B702" s="24"/>
      <c r="C702" s="25"/>
      <c r="D702" s="25"/>
      <c r="E702" s="25"/>
      <c r="F702" s="25"/>
      <c r="G702" s="26"/>
      <c r="H702" s="27"/>
      <c r="I702" s="24"/>
      <c r="J702" s="24"/>
      <c r="K702" s="28"/>
      <c r="L702" s="29"/>
      <c r="M702" s="29"/>
      <c r="N702" s="29"/>
      <c r="O702" s="27"/>
      <c r="P702" s="30"/>
      <c r="Q702" s="31"/>
      <c r="R702" s="31"/>
      <c r="S702" s="32"/>
      <c r="T702" s="32"/>
      <c r="U702" s="32"/>
      <c r="V702" s="32"/>
      <c r="W702" s="32"/>
      <c r="X702" s="32"/>
      <c r="Y702" s="32"/>
      <c r="Z702" s="32"/>
      <c r="AA702" s="32"/>
      <c r="AB702" s="32"/>
    </row>
    <row r="703" spans="1:28" ht="15.6" customHeight="1" x14ac:dyDescent="0.25">
      <c r="A703" s="24"/>
      <c r="B703" s="24"/>
      <c r="C703" s="25"/>
      <c r="D703" s="25"/>
      <c r="E703" s="25"/>
      <c r="F703" s="25"/>
      <c r="G703" s="26"/>
      <c r="H703" s="27"/>
      <c r="I703" s="24"/>
      <c r="J703" s="24"/>
      <c r="K703" s="28"/>
      <c r="L703" s="29"/>
      <c r="M703" s="29"/>
      <c r="N703" s="29"/>
      <c r="O703" s="27"/>
      <c r="P703" s="30"/>
      <c r="Q703" s="31"/>
      <c r="R703" s="31"/>
      <c r="S703" s="32"/>
      <c r="T703" s="32"/>
      <c r="U703" s="32"/>
      <c r="V703" s="32"/>
      <c r="W703" s="32"/>
      <c r="X703" s="32"/>
      <c r="Y703" s="32"/>
      <c r="Z703" s="32"/>
      <c r="AA703" s="32"/>
      <c r="AB703" s="32"/>
    </row>
    <row r="704" spans="1:28" ht="15.6" customHeight="1" x14ac:dyDescent="0.25">
      <c r="A704" s="24"/>
      <c r="B704" s="24"/>
      <c r="C704" s="25"/>
      <c r="D704" s="25"/>
      <c r="E704" s="25"/>
      <c r="F704" s="25"/>
      <c r="G704" s="26"/>
      <c r="H704" s="27"/>
      <c r="I704" s="24"/>
      <c r="J704" s="24"/>
      <c r="K704" s="28"/>
      <c r="L704" s="29"/>
      <c r="M704" s="29"/>
      <c r="N704" s="29"/>
      <c r="O704" s="27"/>
      <c r="P704" s="30"/>
      <c r="Q704" s="31"/>
      <c r="R704" s="31"/>
      <c r="S704" s="32"/>
      <c r="T704" s="32"/>
      <c r="U704" s="32"/>
      <c r="V704" s="32"/>
      <c r="W704" s="32"/>
      <c r="X704" s="32"/>
      <c r="Y704" s="32"/>
      <c r="Z704" s="32"/>
      <c r="AA704" s="32"/>
      <c r="AB704" s="32"/>
    </row>
    <row r="705" spans="1:28" ht="15.6" customHeight="1" x14ac:dyDescent="0.25">
      <c r="A705" s="24"/>
      <c r="B705" s="24"/>
      <c r="C705" s="25"/>
      <c r="D705" s="25"/>
      <c r="E705" s="25"/>
      <c r="F705" s="25"/>
      <c r="G705" s="26"/>
      <c r="H705" s="27"/>
      <c r="I705" s="24"/>
      <c r="J705" s="24"/>
      <c r="K705" s="28"/>
      <c r="L705" s="29"/>
      <c r="M705" s="29"/>
      <c r="N705" s="29"/>
      <c r="O705" s="27"/>
      <c r="P705" s="30"/>
      <c r="Q705" s="31"/>
      <c r="R705" s="31"/>
      <c r="S705" s="32"/>
      <c r="T705" s="32"/>
      <c r="U705" s="32"/>
      <c r="V705" s="32"/>
      <c r="W705" s="32"/>
      <c r="X705" s="32"/>
      <c r="Y705" s="32"/>
      <c r="Z705" s="32"/>
      <c r="AA705" s="32"/>
      <c r="AB705" s="32"/>
    </row>
    <row r="706" spans="1:28" ht="15.6" customHeight="1" x14ac:dyDescent="0.25">
      <c r="A706" s="24"/>
      <c r="B706" s="24"/>
      <c r="C706" s="25"/>
      <c r="D706" s="25"/>
      <c r="E706" s="25"/>
      <c r="F706" s="25"/>
      <c r="G706" s="26"/>
      <c r="H706" s="27"/>
      <c r="I706" s="24"/>
      <c r="J706" s="24"/>
      <c r="K706" s="28"/>
      <c r="L706" s="29"/>
      <c r="M706" s="29"/>
      <c r="N706" s="29"/>
      <c r="O706" s="27"/>
      <c r="P706" s="30"/>
      <c r="Q706" s="31"/>
      <c r="R706" s="31"/>
      <c r="S706" s="32"/>
      <c r="T706" s="32"/>
      <c r="U706" s="32"/>
      <c r="V706" s="32"/>
      <c r="W706" s="32"/>
      <c r="X706" s="32"/>
      <c r="Y706" s="32"/>
      <c r="Z706" s="32"/>
      <c r="AA706" s="32"/>
      <c r="AB706" s="32"/>
    </row>
    <row r="707" spans="1:28" ht="15.6" customHeight="1" x14ac:dyDescent="0.25">
      <c r="A707" s="24"/>
      <c r="B707" s="24"/>
      <c r="C707" s="25"/>
      <c r="D707" s="25"/>
      <c r="E707" s="25"/>
      <c r="F707" s="25"/>
      <c r="G707" s="26"/>
      <c r="H707" s="27"/>
      <c r="I707" s="24"/>
      <c r="J707" s="24"/>
      <c r="K707" s="28"/>
      <c r="L707" s="29"/>
      <c r="M707" s="29"/>
      <c r="N707" s="29"/>
      <c r="O707" s="27"/>
      <c r="P707" s="30"/>
      <c r="Q707" s="31"/>
      <c r="R707" s="31"/>
      <c r="S707" s="32"/>
      <c r="T707" s="32"/>
      <c r="U707" s="32"/>
      <c r="V707" s="32"/>
      <c r="W707" s="32"/>
      <c r="X707" s="32"/>
      <c r="Y707" s="32"/>
      <c r="Z707" s="32"/>
      <c r="AA707" s="32"/>
      <c r="AB707" s="32"/>
    </row>
    <row r="708" spans="1:28" ht="15.6" customHeight="1" x14ac:dyDescent="0.25">
      <c r="A708" s="24"/>
      <c r="B708" s="24"/>
      <c r="C708" s="25"/>
      <c r="D708" s="25"/>
      <c r="E708" s="25"/>
      <c r="F708" s="25"/>
      <c r="G708" s="26"/>
      <c r="H708" s="27"/>
      <c r="I708" s="24"/>
      <c r="J708" s="24"/>
      <c r="K708" s="28"/>
      <c r="L708" s="29"/>
      <c r="M708" s="29"/>
      <c r="N708" s="29"/>
      <c r="O708" s="27"/>
      <c r="P708" s="30"/>
      <c r="Q708" s="31"/>
      <c r="R708" s="31"/>
      <c r="S708" s="32"/>
      <c r="T708" s="32"/>
      <c r="U708" s="32"/>
      <c r="V708" s="32"/>
      <c r="W708" s="32"/>
      <c r="X708" s="32"/>
      <c r="Y708" s="32"/>
      <c r="Z708" s="32"/>
      <c r="AA708" s="32"/>
      <c r="AB708" s="32"/>
    </row>
    <row r="709" spans="1:28" ht="15.6" customHeight="1" x14ac:dyDescent="0.25">
      <c r="A709" s="24"/>
      <c r="B709" s="24"/>
      <c r="C709" s="25"/>
      <c r="D709" s="25"/>
      <c r="E709" s="25"/>
      <c r="F709" s="25"/>
      <c r="G709" s="26"/>
      <c r="H709" s="27"/>
      <c r="I709" s="24"/>
      <c r="J709" s="24"/>
      <c r="K709" s="28"/>
      <c r="L709" s="29"/>
      <c r="M709" s="29"/>
      <c r="N709" s="29"/>
      <c r="O709" s="27"/>
      <c r="P709" s="30"/>
      <c r="Q709" s="31"/>
      <c r="R709" s="31"/>
      <c r="S709" s="32"/>
      <c r="T709" s="32"/>
      <c r="U709" s="32"/>
      <c r="V709" s="32"/>
      <c r="W709" s="32"/>
      <c r="X709" s="32"/>
      <c r="Y709" s="32"/>
      <c r="Z709" s="32"/>
      <c r="AA709" s="32"/>
      <c r="AB709" s="32"/>
    </row>
    <row r="710" spans="1:28" ht="15.6" customHeight="1" x14ac:dyDescent="0.25">
      <c r="A710" s="24"/>
      <c r="B710" s="24"/>
      <c r="C710" s="25"/>
      <c r="D710" s="25"/>
      <c r="E710" s="25"/>
      <c r="F710" s="25"/>
      <c r="G710" s="26"/>
      <c r="H710" s="27"/>
      <c r="I710" s="24"/>
      <c r="J710" s="24"/>
      <c r="K710" s="28"/>
      <c r="L710" s="29"/>
      <c r="M710" s="29"/>
      <c r="N710" s="29"/>
      <c r="O710" s="27"/>
      <c r="P710" s="30"/>
      <c r="Q710" s="31"/>
      <c r="R710" s="31"/>
      <c r="S710" s="32"/>
      <c r="T710" s="32"/>
      <c r="U710" s="32"/>
      <c r="V710" s="32"/>
      <c r="W710" s="32"/>
      <c r="X710" s="32"/>
      <c r="Y710" s="32"/>
      <c r="Z710" s="32"/>
      <c r="AA710" s="32"/>
      <c r="AB710" s="32"/>
    </row>
    <row r="711" spans="1:28" ht="15.6" customHeight="1" x14ac:dyDescent="0.25">
      <c r="A711" s="24"/>
      <c r="B711" s="24"/>
      <c r="C711" s="25"/>
      <c r="D711" s="25"/>
      <c r="E711" s="25"/>
      <c r="F711" s="25"/>
      <c r="G711" s="26"/>
      <c r="H711" s="27"/>
      <c r="I711" s="24"/>
      <c r="J711" s="24"/>
      <c r="K711" s="28"/>
      <c r="L711" s="29"/>
      <c r="M711" s="29"/>
      <c r="N711" s="29"/>
      <c r="O711" s="27"/>
      <c r="P711" s="30"/>
      <c r="Q711" s="31"/>
      <c r="R711" s="31"/>
      <c r="S711" s="32"/>
      <c r="T711" s="32"/>
      <c r="U711" s="32"/>
      <c r="V711" s="32"/>
      <c r="W711" s="32"/>
      <c r="X711" s="32"/>
      <c r="Y711" s="32"/>
      <c r="Z711" s="32"/>
      <c r="AA711" s="32"/>
      <c r="AB711" s="32"/>
    </row>
    <row r="712" spans="1:28" ht="15.6" customHeight="1" x14ac:dyDescent="0.25">
      <c r="A712" s="24"/>
      <c r="B712" s="24"/>
      <c r="C712" s="25"/>
      <c r="D712" s="25"/>
      <c r="E712" s="25"/>
      <c r="F712" s="25"/>
      <c r="G712" s="26"/>
      <c r="H712" s="27"/>
      <c r="I712" s="24"/>
      <c r="J712" s="24"/>
      <c r="K712" s="28"/>
      <c r="L712" s="29"/>
      <c r="M712" s="29"/>
      <c r="N712" s="29"/>
      <c r="O712" s="27"/>
      <c r="P712" s="30"/>
      <c r="Q712" s="31"/>
      <c r="R712" s="31"/>
      <c r="S712" s="32"/>
      <c r="T712" s="32"/>
      <c r="U712" s="32"/>
      <c r="V712" s="32"/>
      <c r="W712" s="32"/>
      <c r="X712" s="32"/>
      <c r="Y712" s="32"/>
      <c r="Z712" s="32"/>
      <c r="AA712" s="32"/>
      <c r="AB712" s="32"/>
    </row>
    <row r="713" spans="1:28" ht="15.6" customHeight="1" x14ac:dyDescent="0.25">
      <c r="A713" s="24"/>
      <c r="B713" s="24"/>
      <c r="C713" s="25"/>
      <c r="D713" s="25"/>
      <c r="E713" s="25"/>
      <c r="F713" s="25"/>
      <c r="G713" s="26"/>
      <c r="H713" s="27"/>
      <c r="I713" s="24"/>
      <c r="J713" s="24"/>
      <c r="K713" s="28"/>
      <c r="L713" s="29"/>
      <c r="M713" s="29"/>
      <c r="N713" s="29"/>
      <c r="O713" s="27"/>
      <c r="P713" s="30"/>
      <c r="Q713" s="31"/>
      <c r="R713" s="31"/>
      <c r="S713" s="32"/>
      <c r="T713" s="32"/>
      <c r="U713" s="32"/>
      <c r="V713" s="32"/>
      <c r="W713" s="32"/>
      <c r="X713" s="32"/>
      <c r="Y713" s="32"/>
      <c r="Z713" s="32"/>
      <c r="AA713" s="32"/>
      <c r="AB713" s="32"/>
    </row>
    <row r="714" spans="1:28" ht="15.6" customHeight="1" x14ac:dyDescent="0.25">
      <c r="A714" s="24"/>
      <c r="B714" s="24"/>
      <c r="C714" s="25"/>
      <c r="D714" s="25"/>
      <c r="E714" s="25"/>
      <c r="F714" s="25"/>
      <c r="G714" s="26"/>
      <c r="H714" s="27"/>
      <c r="I714" s="24"/>
      <c r="J714" s="24"/>
      <c r="K714" s="28"/>
      <c r="L714" s="29"/>
      <c r="M714" s="29"/>
      <c r="N714" s="29"/>
      <c r="O714" s="27"/>
      <c r="P714" s="30"/>
      <c r="Q714" s="31"/>
      <c r="R714" s="31"/>
      <c r="S714" s="32"/>
      <c r="T714" s="32"/>
      <c r="U714" s="32"/>
      <c r="V714" s="32"/>
      <c r="W714" s="32"/>
      <c r="X714" s="32"/>
      <c r="Y714" s="32"/>
      <c r="Z714" s="32"/>
      <c r="AA714" s="32"/>
      <c r="AB714" s="32"/>
    </row>
    <row r="715" spans="1:28" ht="15.6" customHeight="1" x14ac:dyDescent="0.25">
      <c r="A715" s="24"/>
      <c r="B715" s="24"/>
      <c r="C715" s="25"/>
      <c r="D715" s="25"/>
      <c r="E715" s="25"/>
      <c r="F715" s="25"/>
      <c r="G715" s="26"/>
      <c r="H715" s="27"/>
      <c r="I715" s="24"/>
      <c r="J715" s="24"/>
      <c r="K715" s="28"/>
      <c r="L715" s="29"/>
      <c r="M715" s="29"/>
      <c r="N715" s="29"/>
      <c r="O715" s="27"/>
      <c r="P715" s="30"/>
      <c r="Q715" s="31"/>
      <c r="R715" s="31"/>
      <c r="S715" s="32"/>
      <c r="T715" s="32"/>
      <c r="U715" s="32"/>
      <c r="V715" s="32"/>
      <c r="W715" s="32"/>
      <c r="X715" s="32"/>
      <c r="Y715" s="32"/>
      <c r="Z715" s="32"/>
      <c r="AA715" s="32"/>
      <c r="AB715" s="32"/>
    </row>
    <row r="716" spans="1:28" ht="15.6" customHeight="1" x14ac:dyDescent="0.25">
      <c r="A716" s="24"/>
      <c r="B716" s="24"/>
      <c r="C716" s="25"/>
      <c r="D716" s="25"/>
      <c r="E716" s="25"/>
      <c r="F716" s="25"/>
      <c r="G716" s="26"/>
      <c r="H716" s="27"/>
      <c r="I716" s="24"/>
      <c r="J716" s="24"/>
      <c r="K716" s="28"/>
      <c r="L716" s="29"/>
      <c r="M716" s="29"/>
      <c r="N716" s="29"/>
      <c r="O716" s="27"/>
      <c r="P716" s="30"/>
      <c r="Q716" s="31"/>
      <c r="R716" s="31"/>
      <c r="S716" s="32"/>
      <c r="T716" s="32"/>
      <c r="U716" s="32"/>
      <c r="V716" s="32"/>
      <c r="W716" s="32"/>
      <c r="X716" s="32"/>
      <c r="Y716" s="32"/>
      <c r="Z716" s="32"/>
      <c r="AA716" s="32"/>
      <c r="AB716" s="32"/>
    </row>
    <row r="717" spans="1:28" ht="15.6" customHeight="1" x14ac:dyDescent="0.25">
      <c r="A717" s="24"/>
      <c r="B717" s="24"/>
      <c r="C717" s="25"/>
      <c r="D717" s="25"/>
      <c r="E717" s="25"/>
      <c r="F717" s="25"/>
      <c r="G717" s="26"/>
      <c r="H717" s="27"/>
      <c r="I717" s="24"/>
      <c r="J717" s="24"/>
      <c r="K717" s="28"/>
      <c r="L717" s="29"/>
      <c r="M717" s="29"/>
      <c r="N717" s="29"/>
      <c r="O717" s="27"/>
      <c r="P717" s="30"/>
      <c r="Q717" s="31"/>
      <c r="R717" s="31"/>
      <c r="S717" s="32"/>
      <c r="T717" s="32"/>
      <c r="U717" s="32"/>
      <c r="V717" s="32"/>
      <c r="W717" s="32"/>
      <c r="X717" s="32"/>
      <c r="Y717" s="32"/>
      <c r="Z717" s="32"/>
      <c r="AA717" s="32"/>
      <c r="AB717" s="32"/>
    </row>
    <row r="718" spans="1:28" ht="15.6" customHeight="1" x14ac:dyDescent="0.25">
      <c r="A718" s="24"/>
      <c r="B718" s="24"/>
      <c r="C718" s="25"/>
      <c r="D718" s="25"/>
      <c r="E718" s="25"/>
      <c r="F718" s="25"/>
      <c r="G718" s="26"/>
      <c r="H718" s="27"/>
      <c r="I718" s="24"/>
      <c r="J718" s="24"/>
      <c r="K718" s="28"/>
      <c r="L718" s="29"/>
      <c r="M718" s="29"/>
      <c r="N718" s="29"/>
      <c r="O718" s="27"/>
      <c r="P718" s="30"/>
      <c r="Q718" s="31"/>
      <c r="R718" s="31"/>
      <c r="S718" s="32"/>
      <c r="T718" s="32"/>
      <c r="U718" s="32"/>
      <c r="V718" s="32"/>
      <c r="W718" s="32"/>
      <c r="X718" s="32"/>
      <c r="Y718" s="32"/>
      <c r="Z718" s="32"/>
      <c r="AA718" s="32"/>
      <c r="AB718" s="32"/>
    </row>
    <row r="719" spans="1:28" ht="15.6" customHeight="1" x14ac:dyDescent="0.25">
      <c r="A719" s="24"/>
      <c r="B719" s="24"/>
      <c r="C719" s="25"/>
      <c r="D719" s="25"/>
      <c r="E719" s="25"/>
      <c r="F719" s="25"/>
      <c r="G719" s="26"/>
      <c r="H719" s="27"/>
      <c r="I719" s="24"/>
      <c r="J719" s="24"/>
      <c r="K719" s="28"/>
      <c r="L719" s="29"/>
      <c r="M719" s="29"/>
      <c r="N719" s="29"/>
      <c r="O719" s="27"/>
      <c r="P719" s="30"/>
      <c r="Q719" s="31"/>
      <c r="R719" s="31"/>
      <c r="S719" s="32"/>
      <c r="T719" s="32"/>
      <c r="U719" s="32"/>
      <c r="V719" s="32"/>
      <c r="W719" s="32"/>
      <c r="X719" s="32"/>
      <c r="Y719" s="32"/>
      <c r="Z719" s="32"/>
      <c r="AA719" s="32"/>
      <c r="AB719" s="32"/>
    </row>
    <row r="720" spans="1:28" ht="15.6" customHeight="1" x14ac:dyDescent="0.25">
      <c r="A720" s="24"/>
      <c r="B720" s="24"/>
      <c r="C720" s="25"/>
      <c r="D720" s="25"/>
      <c r="E720" s="25"/>
      <c r="F720" s="25"/>
      <c r="G720" s="26"/>
      <c r="H720" s="27"/>
      <c r="I720" s="24"/>
      <c r="J720" s="24"/>
      <c r="K720" s="28"/>
      <c r="L720" s="29"/>
      <c r="M720" s="29"/>
      <c r="N720" s="29"/>
      <c r="O720" s="27"/>
      <c r="P720" s="30"/>
      <c r="Q720" s="31"/>
      <c r="R720" s="31"/>
      <c r="S720" s="32"/>
      <c r="T720" s="32"/>
      <c r="U720" s="32"/>
      <c r="V720" s="32"/>
      <c r="W720" s="32"/>
      <c r="X720" s="32"/>
      <c r="Y720" s="32"/>
      <c r="Z720" s="32"/>
      <c r="AA720" s="32"/>
      <c r="AB720" s="32"/>
    </row>
    <row r="721" spans="1:28" ht="15.6" customHeight="1" x14ac:dyDescent="0.25">
      <c r="A721" s="24"/>
      <c r="B721" s="24"/>
      <c r="C721" s="25"/>
      <c r="D721" s="25"/>
      <c r="E721" s="25"/>
      <c r="F721" s="25"/>
      <c r="G721" s="26"/>
      <c r="H721" s="27"/>
      <c r="I721" s="24"/>
      <c r="J721" s="24"/>
      <c r="K721" s="28"/>
      <c r="L721" s="29"/>
      <c r="M721" s="29"/>
      <c r="N721" s="29"/>
      <c r="O721" s="27"/>
      <c r="P721" s="30"/>
      <c r="Q721" s="31"/>
      <c r="R721" s="31"/>
      <c r="S721" s="32"/>
      <c r="T721" s="32"/>
      <c r="U721" s="32"/>
      <c r="V721" s="32"/>
      <c r="W721" s="32"/>
      <c r="X721" s="32"/>
      <c r="Y721" s="32"/>
      <c r="Z721" s="32"/>
      <c r="AA721" s="32"/>
      <c r="AB721" s="32"/>
    </row>
    <row r="722" spans="1:28" ht="15.6" customHeight="1" x14ac:dyDescent="0.25">
      <c r="A722" s="24"/>
      <c r="B722" s="24"/>
      <c r="C722" s="25"/>
      <c r="D722" s="25"/>
      <c r="E722" s="25"/>
      <c r="F722" s="25"/>
      <c r="G722" s="26"/>
      <c r="H722" s="27"/>
      <c r="I722" s="24"/>
      <c r="J722" s="24"/>
      <c r="K722" s="28"/>
      <c r="L722" s="29"/>
      <c r="M722" s="29"/>
      <c r="N722" s="29"/>
      <c r="O722" s="27"/>
      <c r="P722" s="30"/>
      <c r="Q722" s="31"/>
      <c r="R722" s="31"/>
      <c r="S722" s="32"/>
      <c r="T722" s="32"/>
      <c r="U722" s="32"/>
      <c r="V722" s="32"/>
      <c r="W722" s="32"/>
      <c r="X722" s="32"/>
      <c r="Y722" s="32"/>
      <c r="Z722" s="32"/>
      <c r="AA722" s="32"/>
      <c r="AB722" s="32"/>
    </row>
    <row r="723" spans="1:28" ht="15.6" customHeight="1" x14ac:dyDescent="0.25">
      <c r="A723" s="24"/>
      <c r="B723" s="24"/>
      <c r="C723" s="25"/>
      <c r="D723" s="25"/>
      <c r="E723" s="25"/>
      <c r="F723" s="25"/>
      <c r="G723" s="26"/>
      <c r="H723" s="27"/>
      <c r="I723" s="24"/>
      <c r="J723" s="24"/>
      <c r="K723" s="28"/>
      <c r="L723" s="29"/>
      <c r="M723" s="29"/>
      <c r="N723" s="29"/>
      <c r="O723" s="27"/>
      <c r="P723" s="30"/>
      <c r="Q723" s="31"/>
      <c r="R723" s="31"/>
      <c r="S723" s="32"/>
      <c r="T723" s="32"/>
      <c r="U723" s="32"/>
      <c r="V723" s="32"/>
      <c r="W723" s="32"/>
      <c r="X723" s="32"/>
      <c r="Y723" s="32"/>
      <c r="Z723" s="32"/>
      <c r="AA723" s="32"/>
      <c r="AB723" s="32"/>
    </row>
    <row r="724" spans="1:28" ht="15.6" customHeight="1" x14ac:dyDescent="0.25">
      <c r="A724" s="24"/>
      <c r="B724" s="24"/>
      <c r="C724" s="25"/>
      <c r="D724" s="25"/>
      <c r="E724" s="25"/>
      <c r="F724" s="25"/>
      <c r="G724" s="26"/>
      <c r="H724" s="27"/>
      <c r="I724" s="24"/>
      <c r="J724" s="24"/>
      <c r="K724" s="28"/>
      <c r="L724" s="29"/>
      <c r="M724" s="29"/>
      <c r="N724" s="29"/>
      <c r="O724" s="27"/>
      <c r="P724" s="30"/>
      <c r="Q724" s="31"/>
      <c r="R724" s="31"/>
      <c r="S724" s="32"/>
      <c r="T724" s="32"/>
      <c r="U724" s="32"/>
      <c r="V724" s="32"/>
      <c r="W724" s="32"/>
      <c r="X724" s="32"/>
      <c r="Y724" s="32"/>
      <c r="Z724" s="32"/>
      <c r="AA724" s="32"/>
      <c r="AB724" s="32"/>
    </row>
    <row r="725" spans="1:28" ht="15.6" customHeight="1" x14ac:dyDescent="0.25">
      <c r="A725" s="24"/>
      <c r="B725" s="24"/>
      <c r="C725" s="25"/>
      <c r="D725" s="25"/>
      <c r="E725" s="25"/>
      <c r="F725" s="25"/>
      <c r="G725" s="26"/>
      <c r="H725" s="27"/>
      <c r="I725" s="24"/>
      <c r="J725" s="24"/>
      <c r="K725" s="28"/>
      <c r="L725" s="29"/>
      <c r="M725" s="29"/>
      <c r="N725" s="29"/>
      <c r="O725" s="27"/>
      <c r="P725" s="30"/>
      <c r="Q725" s="31"/>
      <c r="R725" s="31"/>
      <c r="S725" s="32"/>
      <c r="T725" s="32"/>
      <c r="U725" s="32"/>
      <c r="V725" s="32"/>
      <c r="W725" s="32"/>
      <c r="X725" s="32"/>
      <c r="Y725" s="32"/>
      <c r="Z725" s="32"/>
      <c r="AA725" s="32"/>
      <c r="AB725" s="32"/>
    </row>
    <row r="726" spans="1:28" ht="15.6" customHeight="1" x14ac:dyDescent="0.25">
      <c r="A726" s="24"/>
      <c r="B726" s="24"/>
      <c r="C726" s="25"/>
      <c r="D726" s="25"/>
      <c r="E726" s="25"/>
      <c r="F726" s="25"/>
      <c r="G726" s="26"/>
      <c r="H726" s="27"/>
      <c r="I726" s="24"/>
      <c r="J726" s="24"/>
      <c r="K726" s="28"/>
      <c r="L726" s="29"/>
      <c r="M726" s="29"/>
      <c r="N726" s="29"/>
      <c r="O726" s="27"/>
      <c r="P726" s="30"/>
      <c r="Q726" s="31"/>
      <c r="R726" s="31"/>
      <c r="S726" s="32"/>
      <c r="T726" s="32"/>
      <c r="U726" s="32"/>
      <c r="V726" s="32"/>
      <c r="W726" s="32"/>
      <c r="X726" s="32"/>
      <c r="Y726" s="32"/>
      <c r="Z726" s="32"/>
      <c r="AA726" s="32"/>
      <c r="AB726" s="32"/>
    </row>
    <row r="727" spans="1:28" ht="15.6" customHeight="1" x14ac:dyDescent="0.25">
      <c r="A727" s="24"/>
      <c r="B727" s="24"/>
      <c r="C727" s="25"/>
      <c r="D727" s="25"/>
      <c r="E727" s="25"/>
      <c r="F727" s="25"/>
      <c r="G727" s="26"/>
      <c r="H727" s="27"/>
      <c r="I727" s="24"/>
      <c r="J727" s="24"/>
      <c r="K727" s="28"/>
      <c r="L727" s="29"/>
      <c r="M727" s="29"/>
      <c r="N727" s="29"/>
      <c r="O727" s="27"/>
      <c r="P727" s="30"/>
      <c r="Q727" s="31"/>
      <c r="R727" s="31"/>
      <c r="S727" s="32"/>
      <c r="T727" s="32"/>
      <c r="U727" s="32"/>
      <c r="V727" s="32"/>
      <c r="W727" s="32"/>
      <c r="X727" s="32"/>
      <c r="Y727" s="32"/>
      <c r="Z727" s="32"/>
      <c r="AA727" s="32"/>
      <c r="AB727" s="32"/>
    </row>
    <row r="728" spans="1:28" ht="15.6" customHeight="1" x14ac:dyDescent="0.25">
      <c r="A728" s="24"/>
      <c r="B728" s="24"/>
      <c r="C728" s="25"/>
      <c r="D728" s="25"/>
      <c r="E728" s="25"/>
      <c r="F728" s="25"/>
      <c r="G728" s="26"/>
      <c r="H728" s="27"/>
      <c r="I728" s="24"/>
      <c r="J728" s="24"/>
      <c r="K728" s="28"/>
      <c r="L728" s="29"/>
      <c r="M728" s="29"/>
      <c r="N728" s="29"/>
      <c r="O728" s="27"/>
      <c r="P728" s="30"/>
      <c r="Q728" s="31"/>
      <c r="R728" s="31"/>
      <c r="S728" s="32"/>
      <c r="T728" s="32"/>
      <c r="U728" s="32"/>
      <c r="V728" s="32"/>
      <c r="W728" s="32"/>
      <c r="X728" s="32"/>
      <c r="Y728" s="32"/>
      <c r="Z728" s="32"/>
      <c r="AA728" s="32"/>
      <c r="AB728" s="32"/>
    </row>
    <row r="729" spans="1:28" ht="15.6" customHeight="1" x14ac:dyDescent="0.25">
      <c r="A729" s="24"/>
      <c r="B729" s="24"/>
      <c r="C729" s="25"/>
      <c r="D729" s="25"/>
      <c r="E729" s="25"/>
      <c r="F729" s="25"/>
      <c r="G729" s="26"/>
      <c r="H729" s="27"/>
      <c r="I729" s="24"/>
      <c r="J729" s="24"/>
      <c r="K729" s="28"/>
      <c r="L729" s="29"/>
      <c r="M729" s="29"/>
      <c r="N729" s="29"/>
      <c r="O729" s="27"/>
      <c r="P729" s="30"/>
      <c r="Q729" s="31"/>
      <c r="R729" s="31"/>
      <c r="S729" s="32"/>
      <c r="T729" s="32"/>
      <c r="U729" s="32"/>
      <c r="V729" s="32"/>
      <c r="W729" s="32"/>
      <c r="X729" s="32"/>
      <c r="Y729" s="32"/>
      <c r="Z729" s="32"/>
      <c r="AA729" s="32"/>
      <c r="AB729" s="32"/>
    </row>
    <row r="730" spans="1:28" ht="15.6" customHeight="1" x14ac:dyDescent="0.25">
      <c r="A730" s="24"/>
      <c r="B730" s="24"/>
      <c r="C730" s="25"/>
      <c r="D730" s="25"/>
      <c r="E730" s="25"/>
      <c r="F730" s="25"/>
      <c r="G730" s="26"/>
      <c r="H730" s="27"/>
      <c r="I730" s="24"/>
      <c r="J730" s="24"/>
      <c r="K730" s="28"/>
      <c r="L730" s="29"/>
      <c r="M730" s="29"/>
      <c r="N730" s="29"/>
      <c r="O730" s="27"/>
      <c r="P730" s="30"/>
      <c r="Q730" s="31"/>
      <c r="R730" s="31"/>
      <c r="S730" s="32"/>
      <c r="T730" s="32"/>
      <c r="U730" s="32"/>
      <c r="V730" s="32"/>
      <c r="W730" s="32"/>
      <c r="X730" s="32"/>
      <c r="Y730" s="32"/>
      <c r="Z730" s="32"/>
      <c r="AA730" s="32"/>
      <c r="AB730" s="32"/>
    </row>
    <row r="731" spans="1:28" ht="15.6" customHeight="1" x14ac:dyDescent="0.25">
      <c r="A731" s="24"/>
      <c r="B731" s="24"/>
      <c r="C731" s="25"/>
      <c r="D731" s="25"/>
      <c r="E731" s="25"/>
      <c r="F731" s="25"/>
      <c r="G731" s="26"/>
      <c r="H731" s="27"/>
      <c r="I731" s="24"/>
      <c r="J731" s="24"/>
      <c r="K731" s="28"/>
      <c r="L731" s="29"/>
      <c r="M731" s="29"/>
      <c r="N731" s="29"/>
      <c r="O731" s="27"/>
      <c r="P731" s="30"/>
      <c r="Q731" s="31"/>
      <c r="R731" s="31"/>
      <c r="S731" s="32"/>
      <c r="T731" s="32"/>
      <c r="U731" s="32"/>
      <c r="V731" s="32"/>
      <c r="W731" s="32"/>
      <c r="X731" s="32"/>
      <c r="Y731" s="32"/>
      <c r="Z731" s="32"/>
      <c r="AA731" s="32"/>
      <c r="AB731" s="32"/>
    </row>
    <row r="732" spans="1:28" ht="15.6" customHeight="1" x14ac:dyDescent="0.25">
      <c r="A732" s="24"/>
      <c r="B732" s="24"/>
      <c r="C732" s="25"/>
      <c r="D732" s="25"/>
      <c r="E732" s="25"/>
      <c r="F732" s="25"/>
      <c r="G732" s="26"/>
      <c r="H732" s="27"/>
      <c r="I732" s="24"/>
      <c r="J732" s="24"/>
      <c r="K732" s="28"/>
      <c r="L732" s="29"/>
      <c r="M732" s="29"/>
      <c r="N732" s="29"/>
      <c r="O732" s="27"/>
      <c r="P732" s="30"/>
      <c r="Q732" s="31"/>
      <c r="R732" s="31"/>
      <c r="S732" s="32"/>
      <c r="T732" s="32"/>
      <c r="U732" s="32"/>
      <c r="V732" s="32"/>
      <c r="W732" s="32"/>
      <c r="X732" s="32"/>
      <c r="Y732" s="32"/>
      <c r="Z732" s="32"/>
      <c r="AA732" s="32"/>
      <c r="AB732" s="32"/>
    </row>
    <row r="733" spans="1:28" ht="15.6" customHeight="1" x14ac:dyDescent="0.25">
      <c r="A733" s="24"/>
      <c r="B733" s="24"/>
      <c r="C733" s="25"/>
      <c r="D733" s="25"/>
      <c r="E733" s="25"/>
      <c r="F733" s="25"/>
      <c r="G733" s="26"/>
      <c r="H733" s="27"/>
      <c r="I733" s="24"/>
      <c r="J733" s="24"/>
      <c r="K733" s="28"/>
      <c r="L733" s="29"/>
      <c r="M733" s="29"/>
      <c r="N733" s="29"/>
      <c r="O733" s="27"/>
      <c r="P733" s="30"/>
      <c r="Q733" s="31"/>
      <c r="R733" s="31"/>
      <c r="S733" s="32"/>
      <c r="T733" s="32"/>
      <c r="U733" s="32"/>
      <c r="V733" s="32"/>
      <c r="W733" s="32"/>
      <c r="X733" s="32"/>
      <c r="Y733" s="32"/>
      <c r="Z733" s="32"/>
      <c r="AA733" s="32"/>
      <c r="AB733" s="32"/>
    </row>
    <row r="734" spans="1:28" ht="15.6" customHeight="1" x14ac:dyDescent="0.25">
      <c r="A734" s="24"/>
      <c r="B734" s="24"/>
      <c r="C734" s="25"/>
      <c r="D734" s="25"/>
      <c r="E734" s="25"/>
      <c r="F734" s="25"/>
      <c r="G734" s="26"/>
      <c r="H734" s="27"/>
      <c r="I734" s="24"/>
      <c r="J734" s="24"/>
      <c r="K734" s="28"/>
      <c r="L734" s="29"/>
      <c r="M734" s="29"/>
      <c r="N734" s="29"/>
      <c r="O734" s="27"/>
      <c r="P734" s="30"/>
      <c r="Q734" s="31"/>
      <c r="R734" s="31"/>
      <c r="S734" s="32"/>
      <c r="T734" s="32"/>
      <c r="U734" s="32"/>
      <c r="V734" s="32"/>
      <c r="W734" s="32"/>
      <c r="X734" s="32"/>
      <c r="Y734" s="32"/>
      <c r="Z734" s="32"/>
      <c r="AA734" s="32"/>
      <c r="AB734" s="32"/>
    </row>
    <row r="735" spans="1:28" ht="15.6" customHeight="1" x14ac:dyDescent="0.25">
      <c r="A735" s="24"/>
      <c r="B735" s="24"/>
      <c r="C735" s="25"/>
      <c r="D735" s="25"/>
      <c r="E735" s="25"/>
      <c r="F735" s="25"/>
      <c r="G735" s="26"/>
      <c r="H735" s="27"/>
      <c r="I735" s="24"/>
      <c r="J735" s="24"/>
      <c r="K735" s="28"/>
      <c r="L735" s="29"/>
      <c r="M735" s="29"/>
      <c r="N735" s="29"/>
      <c r="O735" s="27"/>
      <c r="P735" s="30"/>
      <c r="Q735" s="31"/>
      <c r="R735" s="31"/>
      <c r="S735" s="32"/>
      <c r="T735" s="32"/>
      <c r="U735" s="32"/>
      <c r="V735" s="32"/>
      <c r="W735" s="32"/>
      <c r="X735" s="32"/>
      <c r="Y735" s="32"/>
      <c r="Z735" s="32"/>
      <c r="AA735" s="32"/>
      <c r="AB735" s="32"/>
    </row>
    <row r="736" spans="1:28" ht="15.6" customHeight="1" x14ac:dyDescent="0.25">
      <c r="A736" s="24"/>
      <c r="B736" s="24"/>
      <c r="C736" s="25"/>
      <c r="D736" s="25"/>
      <c r="E736" s="25"/>
      <c r="F736" s="25"/>
      <c r="G736" s="26"/>
      <c r="H736" s="27"/>
      <c r="I736" s="24"/>
      <c r="J736" s="24"/>
      <c r="K736" s="28"/>
      <c r="L736" s="29"/>
      <c r="M736" s="29"/>
      <c r="N736" s="29"/>
      <c r="O736" s="27"/>
      <c r="P736" s="30"/>
      <c r="Q736" s="31"/>
      <c r="R736" s="31"/>
      <c r="S736" s="32"/>
      <c r="T736" s="32"/>
      <c r="U736" s="32"/>
      <c r="V736" s="32"/>
      <c r="W736" s="32"/>
      <c r="X736" s="32"/>
      <c r="Y736" s="32"/>
      <c r="Z736" s="32"/>
      <c r="AA736" s="32"/>
      <c r="AB736" s="32"/>
    </row>
    <row r="737" spans="1:28" ht="15.6" customHeight="1" x14ac:dyDescent="0.25">
      <c r="A737" s="24"/>
      <c r="B737" s="24"/>
      <c r="C737" s="25"/>
      <c r="D737" s="25"/>
      <c r="E737" s="25"/>
      <c r="F737" s="25"/>
      <c r="G737" s="26"/>
      <c r="H737" s="27"/>
      <c r="I737" s="24"/>
      <c r="J737" s="24"/>
      <c r="K737" s="28"/>
      <c r="L737" s="29"/>
      <c r="M737" s="29"/>
      <c r="N737" s="29"/>
      <c r="O737" s="27"/>
      <c r="P737" s="30"/>
      <c r="Q737" s="31"/>
      <c r="R737" s="31"/>
      <c r="S737" s="32"/>
      <c r="T737" s="32"/>
      <c r="U737" s="32"/>
      <c r="V737" s="32"/>
      <c r="W737" s="32"/>
      <c r="X737" s="32"/>
      <c r="Y737" s="32"/>
      <c r="Z737" s="32"/>
      <c r="AA737" s="32"/>
      <c r="AB737" s="32"/>
    </row>
    <row r="738" spans="1:28" ht="15.6" customHeight="1" x14ac:dyDescent="0.25">
      <c r="A738" s="24"/>
      <c r="B738" s="24"/>
      <c r="C738" s="25"/>
      <c r="D738" s="25"/>
      <c r="E738" s="25"/>
      <c r="F738" s="25"/>
      <c r="G738" s="26"/>
      <c r="H738" s="27"/>
      <c r="I738" s="24"/>
      <c r="J738" s="24"/>
      <c r="K738" s="28"/>
      <c r="L738" s="29"/>
      <c r="M738" s="29"/>
      <c r="N738" s="29"/>
      <c r="O738" s="27"/>
      <c r="P738" s="30"/>
      <c r="Q738" s="31"/>
      <c r="R738" s="31"/>
      <c r="S738" s="32"/>
      <c r="T738" s="32"/>
      <c r="U738" s="32"/>
      <c r="V738" s="32"/>
      <c r="W738" s="32"/>
      <c r="X738" s="32"/>
      <c r="Y738" s="32"/>
      <c r="Z738" s="32"/>
      <c r="AA738" s="32"/>
      <c r="AB738" s="32"/>
    </row>
    <row r="739" spans="1:28" ht="15.6" customHeight="1" x14ac:dyDescent="0.25">
      <c r="A739" s="24"/>
      <c r="B739" s="24"/>
      <c r="C739" s="25"/>
      <c r="D739" s="25"/>
      <c r="E739" s="25"/>
      <c r="F739" s="25"/>
      <c r="G739" s="26"/>
      <c r="H739" s="27"/>
      <c r="I739" s="24"/>
      <c r="J739" s="24"/>
      <c r="K739" s="28"/>
      <c r="L739" s="29"/>
      <c r="M739" s="29"/>
      <c r="N739" s="29"/>
      <c r="O739" s="27"/>
      <c r="P739" s="30"/>
      <c r="Q739" s="31"/>
      <c r="R739" s="31"/>
      <c r="S739" s="32"/>
      <c r="T739" s="32"/>
      <c r="U739" s="32"/>
      <c r="V739" s="32"/>
      <c r="W739" s="32"/>
      <c r="X739" s="32"/>
      <c r="Y739" s="32"/>
      <c r="Z739" s="32"/>
      <c r="AA739" s="32"/>
      <c r="AB739" s="32"/>
    </row>
    <row r="740" spans="1:28" ht="15.6" customHeight="1" x14ac:dyDescent="0.25">
      <c r="A740" s="24"/>
      <c r="B740" s="24"/>
      <c r="C740" s="25"/>
      <c r="D740" s="25"/>
      <c r="E740" s="25"/>
      <c r="F740" s="25"/>
      <c r="G740" s="26"/>
      <c r="H740" s="27"/>
      <c r="I740" s="24"/>
      <c r="J740" s="24"/>
      <c r="K740" s="28"/>
      <c r="L740" s="29"/>
      <c r="M740" s="29"/>
      <c r="N740" s="29"/>
      <c r="O740" s="27"/>
      <c r="P740" s="30"/>
      <c r="Q740" s="31"/>
      <c r="R740" s="31"/>
      <c r="S740" s="32"/>
      <c r="T740" s="32"/>
      <c r="U740" s="32"/>
      <c r="V740" s="32"/>
      <c r="W740" s="32"/>
      <c r="X740" s="32"/>
      <c r="Y740" s="32"/>
      <c r="Z740" s="32"/>
      <c r="AA740" s="32"/>
      <c r="AB740" s="32"/>
    </row>
    <row r="741" spans="1:28" ht="15.6" customHeight="1" x14ac:dyDescent="0.25">
      <c r="A741" s="24"/>
      <c r="B741" s="24"/>
      <c r="C741" s="25"/>
      <c r="D741" s="25"/>
      <c r="E741" s="25"/>
      <c r="F741" s="25"/>
      <c r="G741" s="26"/>
      <c r="H741" s="27"/>
      <c r="I741" s="24"/>
      <c r="J741" s="24"/>
      <c r="K741" s="28"/>
      <c r="L741" s="29"/>
      <c r="M741" s="29"/>
      <c r="N741" s="29"/>
      <c r="O741" s="27"/>
      <c r="P741" s="30"/>
      <c r="Q741" s="31"/>
      <c r="R741" s="31"/>
      <c r="S741" s="32"/>
      <c r="T741" s="32"/>
      <c r="U741" s="32"/>
      <c r="V741" s="32"/>
      <c r="W741" s="32"/>
      <c r="X741" s="32"/>
      <c r="Y741" s="32"/>
      <c r="Z741" s="32"/>
      <c r="AA741" s="32"/>
      <c r="AB741" s="32"/>
    </row>
    <row r="742" spans="1:28" ht="15.6" customHeight="1" x14ac:dyDescent="0.25">
      <c r="A742" s="24"/>
      <c r="B742" s="24"/>
      <c r="C742" s="25"/>
      <c r="D742" s="25"/>
      <c r="E742" s="25"/>
      <c r="F742" s="25"/>
      <c r="G742" s="26"/>
      <c r="H742" s="27"/>
      <c r="I742" s="24"/>
      <c r="J742" s="24"/>
      <c r="K742" s="28"/>
      <c r="L742" s="29"/>
      <c r="M742" s="29"/>
      <c r="N742" s="29"/>
      <c r="O742" s="27"/>
      <c r="P742" s="30"/>
      <c r="Q742" s="31"/>
      <c r="R742" s="31"/>
      <c r="S742" s="32"/>
      <c r="T742" s="32"/>
      <c r="U742" s="32"/>
      <c r="V742" s="32"/>
      <c r="W742" s="32"/>
      <c r="X742" s="32"/>
      <c r="Y742" s="32"/>
      <c r="Z742" s="32"/>
      <c r="AA742" s="32"/>
      <c r="AB742" s="32"/>
    </row>
    <row r="743" spans="1:28" ht="15.6" customHeight="1" x14ac:dyDescent="0.25">
      <c r="A743" s="24"/>
      <c r="B743" s="24"/>
      <c r="C743" s="25"/>
      <c r="D743" s="25"/>
      <c r="E743" s="25"/>
      <c r="F743" s="25"/>
      <c r="G743" s="26"/>
      <c r="H743" s="27"/>
      <c r="I743" s="24"/>
      <c r="J743" s="24"/>
      <c r="K743" s="28"/>
      <c r="L743" s="29"/>
      <c r="M743" s="29"/>
      <c r="N743" s="29"/>
      <c r="O743" s="27"/>
      <c r="P743" s="30"/>
      <c r="Q743" s="31"/>
      <c r="R743" s="31"/>
      <c r="S743" s="32"/>
      <c r="T743" s="32"/>
      <c r="U743" s="32"/>
      <c r="V743" s="32"/>
      <c r="W743" s="32"/>
      <c r="X743" s="32"/>
      <c r="Y743" s="32"/>
      <c r="Z743" s="32"/>
      <c r="AA743" s="32"/>
      <c r="AB743" s="32"/>
    </row>
    <row r="744" spans="1:28" ht="15.6" customHeight="1" x14ac:dyDescent="0.25">
      <c r="A744" s="24"/>
      <c r="B744" s="24"/>
      <c r="C744" s="25"/>
      <c r="D744" s="25"/>
      <c r="E744" s="25"/>
      <c r="F744" s="25"/>
      <c r="G744" s="26"/>
      <c r="H744" s="27"/>
      <c r="I744" s="24"/>
      <c r="J744" s="24"/>
      <c r="K744" s="28"/>
      <c r="L744" s="29"/>
      <c r="M744" s="29"/>
      <c r="N744" s="29"/>
      <c r="O744" s="27"/>
      <c r="P744" s="30"/>
      <c r="Q744" s="31"/>
      <c r="R744" s="31"/>
      <c r="S744" s="32"/>
      <c r="T744" s="32"/>
      <c r="U744" s="32"/>
      <c r="V744" s="32"/>
      <c r="W744" s="32"/>
      <c r="X744" s="32"/>
      <c r="Y744" s="32"/>
      <c r="Z744" s="32"/>
      <c r="AA744" s="32"/>
      <c r="AB744" s="32"/>
    </row>
    <row r="745" spans="1:28" ht="15.6" customHeight="1" x14ac:dyDescent="0.25">
      <c r="A745" s="24"/>
      <c r="B745" s="24"/>
      <c r="C745" s="25"/>
      <c r="D745" s="25"/>
      <c r="E745" s="25"/>
      <c r="F745" s="25"/>
      <c r="G745" s="26"/>
      <c r="H745" s="27"/>
      <c r="I745" s="24"/>
      <c r="J745" s="24"/>
      <c r="K745" s="28"/>
      <c r="L745" s="29"/>
      <c r="M745" s="29"/>
      <c r="N745" s="29"/>
      <c r="O745" s="27"/>
      <c r="P745" s="30"/>
      <c r="Q745" s="31"/>
      <c r="R745" s="31"/>
      <c r="S745" s="32"/>
      <c r="T745" s="32"/>
      <c r="U745" s="32"/>
      <c r="V745" s="32"/>
      <c r="W745" s="32"/>
      <c r="X745" s="32"/>
      <c r="Y745" s="32"/>
      <c r="Z745" s="32"/>
      <c r="AA745" s="32"/>
      <c r="AB745" s="32"/>
    </row>
    <row r="746" spans="1:28" ht="15.6" customHeight="1" x14ac:dyDescent="0.25">
      <c r="A746" s="24"/>
      <c r="B746" s="24"/>
      <c r="C746" s="25"/>
      <c r="D746" s="25"/>
      <c r="E746" s="25"/>
      <c r="F746" s="25"/>
      <c r="G746" s="26"/>
      <c r="H746" s="27"/>
      <c r="I746" s="24"/>
      <c r="J746" s="24"/>
      <c r="K746" s="28"/>
      <c r="L746" s="29"/>
      <c r="M746" s="29"/>
      <c r="N746" s="29"/>
      <c r="O746" s="27"/>
      <c r="P746" s="30"/>
      <c r="Q746" s="31"/>
      <c r="R746" s="31"/>
      <c r="S746" s="32"/>
      <c r="T746" s="32"/>
      <c r="U746" s="32"/>
      <c r="V746" s="32"/>
      <c r="W746" s="32"/>
      <c r="X746" s="32"/>
      <c r="Y746" s="32"/>
      <c r="Z746" s="32"/>
      <c r="AA746" s="32"/>
      <c r="AB746" s="32"/>
    </row>
    <row r="747" spans="1:28" ht="15.6" customHeight="1" x14ac:dyDescent="0.25">
      <c r="A747" s="24"/>
      <c r="B747" s="24"/>
      <c r="C747" s="25"/>
      <c r="D747" s="25"/>
      <c r="E747" s="25"/>
      <c r="F747" s="25"/>
      <c r="G747" s="26"/>
      <c r="H747" s="27"/>
      <c r="I747" s="24"/>
      <c r="J747" s="24"/>
      <c r="K747" s="28"/>
      <c r="L747" s="29"/>
      <c r="M747" s="29"/>
      <c r="N747" s="29"/>
      <c r="O747" s="27"/>
      <c r="P747" s="30"/>
      <c r="Q747" s="31"/>
      <c r="R747" s="31"/>
      <c r="S747" s="32"/>
      <c r="T747" s="32"/>
      <c r="U747" s="32"/>
      <c r="V747" s="32"/>
      <c r="W747" s="32"/>
      <c r="X747" s="32"/>
      <c r="Y747" s="32"/>
      <c r="Z747" s="32"/>
      <c r="AA747" s="32"/>
      <c r="AB747" s="32"/>
    </row>
    <row r="748" spans="1:28" ht="15.6" customHeight="1" x14ac:dyDescent="0.25">
      <c r="A748" s="24"/>
      <c r="B748" s="24"/>
      <c r="C748" s="25"/>
      <c r="D748" s="25"/>
      <c r="E748" s="25"/>
      <c r="F748" s="25"/>
      <c r="G748" s="26"/>
      <c r="H748" s="27"/>
      <c r="I748" s="24"/>
      <c r="J748" s="24"/>
      <c r="K748" s="28"/>
      <c r="L748" s="29"/>
      <c r="M748" s="29"/>
      <c r="N748" s="29"/>
      <c r="O748" s="27"/>
      <c r="P748" s="30"/>
      <c r="Q748" s="31"/>
      <c r="R748" s="31"/>
      <c r="S748" s="32"/>
      <c r="T748" s="32"/>
      <c r="U748" s="32"/>
      <c r="V748" s="32"/>
      <c r="W748" s="32"/>
      <c r="X748" s="32"/>
      <c r="Y748" s="32"/>
      <c r="Z748" s="32"/>
      <c r="AA748" s="32"/>
      <c r="AB748" s="32"/>
    </row>
    <row r="749" spans="1:28" ht="15.6" customHeight="1" x14ac:dyDescent="0.25">
      <c r="A749" s="24"/>
      <c r="B749" s="24"/>
      <c r="C749" s="25"/>
      <c r="D749" s="25"/>
      <c r="E749" s="25"/>
      <c r="F749" s="25"/>
      <c r="G749" s="26"/>
      <c r="H749" s="27"/>
      <c r="I749" s="24"/>
      <c r="J749" s="24"/>
      <c r="K749" s="28"/>
      <c r="L749" s="29"/>
      <c r="M749" s="29"/>
      <c r="N749" s="29"/>
      <c r="O749" s="27"/>
      <c r="P749" s="30"/>
      <c r="Q749" s="31"/>
      <c r="R749" s="31"/>
      <c r="S749" s="32"/>
      <c r="T749" s="32"/>
      <c r="U749" s="32"/>
      <c r="V749" s="32"/>
      <c r="W749" s="32"/>
      <c r="X749" s="32"/>
      <c r="Y749" s="32"/>
      <c r="Z749" s="32"/>
      <c r="AA749" s="32"/>
      <c r="AB749" s="32"/>
    </row>
    <row r="750" spans="1:28" ht="15.6" customHeight="1" x14ac:dyDescent="0.25">
      <c r="A750" s="24"/>
      <c r="B750" s="24"/>
      <c r="C750" s="25"/>
      <c r="D750" s="25"/>
      <c r="E750" s="25"/>
      <c r="F750" s="25"/>
      <c r="G750" s="26"/>
      <c r="H750" s="27"/>
      <c r="I750" s="24"/>
      <c r="J750" s="24"/>
      <c r="K750" s="28"/>
      <c r="L750" s="29"/>
      <c r="M750" s="29"/>
      <c r="N750" s="29"/>
      <c r="O750" s="27"/>
      <c r="P750" s="30"/>
      <c r="Q750" s="31"/>
      <c r="R750" s="31"/>
      <c r="S750" s="32"/>
      <c r="T750" s="32"/>
      <c r="U750" s="32"/>
      <c r="V750" s="32"/>
      <c r="W750" s="32"/>
      <c r="X750" s="32"/>
      <c r="Y750" s="32"/>
      <c r="Z750" s="32"/>
      <c r="AA750" s="32"/>
      <c r="AB750" s="32"/>
    </row>
    <row r="751" spans="1:28" ht="15.6" customHeight="1" x14ac:dyDescent="0.25">
      <c r="A751" s="24"/>
      <c r="B751" s="24"/>
      <c r="C751" s="25"/>
      <c r="D751" s="25"/>
      <c r="E751" s="25"/>
      <c r="F751" s="25"/>
      <c r="G751" s="26"/>
      <c r="H751" s="27"/>
      <c r="I751" s="24"/>
      <c r="J751" s="24"/>
      <c r="K751" s="28"/>
      <c r="L751" s="29"/>
      <c r="M751" s="29"/>
      <c r="N751" s="29"/>
      <c r="O751" s="27"/>
      <c r="P751" s="30"/>
      <c r="Q751" s="31"/>
      <c r="R751" s="31"/>
      <c r="S751" s="32"/>
      <c r="T751" s="32"/>
      <c r="U751" s="32"/>
      <c r="V751" s="32"/>
      <c r="W751" s="32"/>
      <c r="X751" s="32"/>
      <c r="Y751" s="32"/>
      <c r="Z751" s="32"/>
      <c r="AA751" s="32"/>
      <c r="AB751" s="32"/>
    </row>
    <row r="752" spans="1:28" ht="15.6" customHeight="1" x14ac:dyDescent="0.25">
      <c r="A752" s="24"/>
      <c r="B752" s="24"/>
      <c r="C752" s="25"/>
      <c r="D752" s="25"/>
      <c r="E752" s="25"/>
      <c r="F752" s="25"/>
      <c r="G752" s="26"/>
      <c r="H752" s="27"/>
      <c r="I752" s="24"/>
      <c r="J752" s="24"/>
      <c r="K752" s="28"/>
      <c r="L752" s="29"/>
      <c r="M752" s="29"/>
      <c r="N752" s="29"/>
      <c r="O752" s="27"/>
      <c r="P752" s="30"/>
      <c r="Q752" s="31"/>
      <c r="R752" s="31"/>
      <c r="S752" s="32"/>
      <c r="T752" s="32"/>
      <c r="U752" s="32"/>
      <c r="V752" s="32"/>
      <c r="W752" s="32"/>
      <c r="X752" s="32"/>
      <c r="Y752" s="32"/>
      <c r="Z752" s="32"/>
      <c r="AA752" s="32"/>
      <c r="AB752" s="32"/>
    </row>
    <row r="753" spans="1:28" ht="15.6" customHeight="1" x14ac:dyDescent="0.25">
      <c r="A753" s="24"/>
      <c r="B753" s="24"/>
      <c r="C753" s="25"/>
      <c r="D753" s="25"/>
      <c r="E753" s="25"/>
      <c r="F753" s="25"/>
      <c r="G753" s="26"/>
      <c r="H753" s="27"/>
      <c r="I753" s="24"/>
      <c r="J753" s="24"/>
      <c r="K753" s="28"/>
      <c r="L753" s="29"/>
      <c r="M753" s="29"/>
      <c r="N753" s="29"/>
      <c r="O753" s="27"/>
      <c r="P753" s="30"/>
      <c r="Q753" s="31"/>
      <c r="R753" s="31"/>
      <c r="S753" s="32"/>
      <c r="T753" s="32"/>
      <c r="U753" s="32"/>
      <c r="V753" s="32"/>
      <c r="W753" s="32"/>
      <c r="X753" s="32"/>
      <c r="Y753" s="32"/>
      <c r="Z753" s="32"/>
      <c r="AA753" s="32"/>
      <c r="AB753" s="32"/>
    </row>
    <row r="754" spans="1:28" ht="15.6" customHeight="1" x14ac:dyDescent="0.25">
      <c r="A754" s="24"/>
      <c r="B754" s="24"/>
      <c r="C754" s="25"/>
      <c r="D754" s="25"/>
      <c r="E754" s="25"/>
      <c r="F754" s="25"/>
      <c r="G754" s="26"/>
      <c r="H754" s="27"/>
      <c r="I754" s="24"/>
      <c r="J754" s="24"/>
      <c r="K754" s="28"/>
      <c r="L754" s="29"/>
      <c r="M754" s="29"/>
      <c r="N754" s="29"/>
      <c r="O754" s="27"/>
      <c r="P754" s="30"/>
      <c r="Q754" s="31"/>
      <c r="R754" s="31"/>
      <c r="S754" s="32"/>
      <c r="T754" s="32"/>
      <c r="U754" s="32"/>
      <c r="V754" s="32"/>
      <c r="W754" s="32"/>
      <c r="X754" s="32"/>
      <c r="Y754" s="32"/>
      <c r="Z754" s="32"/>
      <c r="AA754" s="32"/>
      <c r="AB754" s="32"/>
    </row>
    <row r="755" spans="1:28" ht="15.6" customHeight="1" x14ac:dyDescent="0.25">
      <c r="A755" s="24"/>
      <c r="B755" s="24"/>
      <c r="C755" s="25"/>
      <c r="D755" s="25"/>
      <c r="E755" s="25"/>
      <c r="F755" s="25"/>
      <c r="G755" s="26"/>
      <c r="H755" s="27"/>
      <c r="I755" s="24"/>
      <c r="J755" s="24"/>
      <c r="K755" s="28"/>
      <c r="L755" s="29"/>
      <c r="M755" s="29"/>
      <c r="N755" s="29"/>
      <c r="O755" s="27"/>
      <c r="P755" s="30"/>
      <c r="Q755" s="31"/>
      <c r="R755" s="31"/>
      <c r="S755" s="32"/>
      <c r="T755" s="32"/>
      <c r="U755" s="32"/>
      <c r="V755" s="32"/>
      <c r="W755" s="32"/>
      <c r="X755" s="32"/>
      <c r="Y755" s="32"/>
      <c r="Z755" s="32"/>
      <c r="AA755" s="32"/>
      <c r="AB755" s="32"/>
    </row>
    <row r="756" spans="1:28" ht="15.6" customHeight="1" x14ac:dyDescent="0.25">
      <c r="A756" s="24"/>
      <c r="B756" s="24"/>
      <c r="C756" s="25"/>
      <c r="D756" s="25"/>
      <c r="E756" s="25"/>
      <c r="F756" s="25"/>
      <c r="G756" s="26"/>
      <c r="H756" s="27"/>
      <c r="I756" s="24"/>
      <c r="J756" s="24"/>
      <c r="K756" s="28"/>
      <c r="L756" s="29"/>
      <c r="M756" s="29"/>
      <c r="N756" s="29"/>
      <c r="O756" s="27"/>
      <c r="P756" s="30"/>
      <c r="Q756" s="31"/>
      <c r="R756" s="31"/>
      <c r="S756" s="32"/>
      <c r="T756" s="32"/>
      <c r="U756" s="32"/>
      <c r="V756" s="32"/>
      <c r="W756" s="32"/>
      <c r="X756" s="32"/>
      <c r="Y756" s="32"/>
      <c r="Z756" s="32"/>
      <c r="AA756" s="32"/>
      <c r="AB756" s="32"/>
    </row>
    <row r="757" spans="1:28" ht="15.6" customHeight="1" x14ac:dyDescent="0.25">
      <c r="A757" s="24"/>
      <c r="B757" s="24"/>
      <c r="C757" s="25"/>
      <c r="D757" s="25"/>
      <c r="E757" s="25"/>
      <c r="F757" s="25"/>
      <c r="G757" s="26"/>
      <c r="H757" s="27"/>
      <c r="I757" s="24"/>
      <c r="J757" s="24"/>
      <c r="K757" s="28"/>
      <c r="L757" s="29"/>
      <c r="M757" s="29"/>
      <c r="N757" s="29"/>
      <c r="O757" s="27"/>
      <c r="P757" s="30"/>
      <c r="Q757" s="31"/>
      <c r="R757" s="31"/>
      <c r="S757" s="32"/>
      <c r="T757" s="32"/>
      <c r="U757" s="32"/>
      <c r="V757" s="32"/>
      <c r="W757" s="32"/>
      <c r="X757" s="32"/>
      <c r="Y757" s="32"/>
      <c r="Z757" s="32"/>
      <c r="AA757" s="32"/>
      <c r="AB757" s="32"/>
    </row>
    <row r="758" spans="1:28" ht="15.6" customHeight="1" x14ac:dyDescent="0.25">
      <c r="A758" s="24"/>
      <c r="B758" s="24"/>
      <c r="C758" s="25"/>
      <c r="D758" s="25"/>
      <c r="E758" s="25"/>
      <c r="F758" s="25"/>
      <c r="G758" s="26"/>
      <c r="H758" s="27"/>
      <c r="I758" s="24"/>
      <c r="J758" s="24"/>
      <c r="K758" s="28"/>
      <c r="L758" s="29"/>
      <c r="M758" s="29"/>
      <c r="N758" s="29"/>
      <c r="O758" s="27"/>
      <c r="P758" s="30"/>
      <c r="Q758" s="31"/>
      <c r="R758" s="31"/>
      <c r="S758" s="32"/>
      <c r="T758" s="32"/>
      <c r="U758" s="32"/>
      <c r="V758" s="32"/>
      <c r="W758" s="32"/>
      <c r="X758" s="32"/>
      <c r="Y758" s="32"/>
      <c r="Z758" s="32"/>
      <c r="AA758" s="32"/>
      <c r="AB758" s="32"/>
    </row>
    <row r="759" spans="1:28" ht="15.6" customHeight="1" x14ac:dyDescent="0.25">
      <c r="A759" s="24"/>
      <c r="B759" s="24"/>
      <c r="C759" s="25"/>
      <c r="D759" s="25"/>
      <c r="E759" s="25"/>
      <c r="F759" s="25"/>
      <c r="G759" s="26"/>
      <c r="H759" s="27"/>
      <c r="I759" s="24"/>
      <c r="J759" s="24"/>
      <c r="K759" s="28"/>
      <c r="L759" s="29"/>
      <c r="M759" s="29"/>
      <c r="N759" s="29"/>
      <c r="O759" s="27"/>
      <c r="P759" s="30"/>
      <c r="Q759" s="31"/>
      <c r="R759" s="31"/>
      <c r="S759" s="32"/>
      <c r="T759" s="32"/>
      <c r="U759" s="32"/>
      <c r="V759" s="32"/>
      <c r="W759" s="32"/>
      <c r="X759" s="32"/>
      <c r="Y759" s="32"/>
      <c r="Z759" s="32"/>
      <c r="AA759" s="32"/>
      <c r="AB759" s="32"/>
    </row>
    <row r="760" spans="1:28" ht="15.6" customHeight="1" x14ac:dyDescent="0.25">
      <c r="A760" s="24"/>
      <c r="B760" s="24"/>
      <c r="C760" s="25"/>
      <c r="D760" s="25"/>
      <c r="E760" s="25"/>
      <c r="F760" s="25"/>
      <c r="G760" s="26"/>
      <c r="H760" s="27"/>
      <c r="I760" s="24"/>
      <c r="J760" s="24"/>
      <c r="K760" s="28"/>
      <c r="L760" s="29"/>
      <c r="M760" s="29"/>
      <c r="N760" s="29"/>
      <c r="O760" s="27"/>
      <c r="P760" s="30"/>
      <c r="Q760" s="31"/>
      <c r="R760" s="31"/>
      <c r="S760" s="32"/>
      <c r="T760" s="32"/>
      <c r="U760" s="32"/>
      <c r="V760" s="32"/>
      <c r="W760" s="32"/>
      <c r="X760" s="32"/>
      <c r="Y760" s="32"/>
      <c r="Z760" s="32"/>
      <c r="AA760" s="32"/>
      <c r="AB760" s="32"/>
    </row>
    <row r="761" spans="1:28" ht="15.6" customHeight="1" x14ac:dyDescent="0.25">
      <c r="A761" s="24"/>
      <c r="B761" s="24"/>
      <c r="C761" s="25"/>
      <c r="D761" s="25"/>
      <c r="E761" s="25"/>
      <c r="F761" s="25"/>
      <c r="G761" s="26"/>
      <c r="H761" s="27"/>
      <c r="I761" s="24"/>
      <c r="J761" s="24"/>
      <c r="K761" s="28"/>
      <c r="L761" s="29"/>
      <c r="M761" s="29"/>
      <c r="N761" s="29"/>
      <c r="O761" s="27"/>
      <c r="P761" s="30"/>
      <c r="Q761" s="31"/>
      <c r="R761" s="31"/>
      <c r="S761" s="32"/>
      <c r="T761" s="32"/>
      <c r="U761" s="32"/>
      <c r="V761" s="32"/>
      <c r="W761" s="32"/>
      <c r="X761" s="32"/>
      <c r="Y761" s="32"/>
      <c r="Z761" s="32"/>
      <c r="AA761" s="32"/>
      <c r="AB761" s="32"/>
    </row>
    <row r="762" spans="1:28" ht="15.6" customHeight="1" x14ac:dyDescent="0.25">
      <c r="A762" s="24"/>
      <c r="B762" s="24"/>
      <c r="C762" s="25"/>
      <c r="D762" s="25"/>
      <c r="E762" s="25"/>
      <c r="F762" s="25"/>
      <c r="G762" s="26"/>
      <c r="H762" s="27"/>
      <c r="I762" s="24"/>
      <c r="J762" s="24"/>
      <c r="K762" s="28"/>
      <c r="L762" s="29"/>
      <c r="M762" s="29"/>
      <c r="N762" s="29"/>
      <c r="O762" s="27"/>
      <c r="P762" s="30"/>
      <c r="Q762" s="31"/>
      <c r="R762" s="31"/>
      <c r="S762" s="32"/>
      <c r="T762" s="32"/>
      <c r="U762" s="32"/>
      <c r="V762" s="32"/>
      <c r="W762" s="32"/>
      <c r="X762" s="32"/>
      <c r="Y762" s="32"/>
      <c r="Z762" s="32"/>
      <c r="AA762" s="32"/>
      <c r="AB762" s="32"/>
    </row>
    <row r="763" spans="1:28" ht="15.6" customHeight="1" x14ac:dyDescent="0.25">
      <c r="A763" s="24"/>
      <c r="B763" s="24"/>
      <c r="C763" s="25"/>
      <c r="D763" s="25"/>
      <c r="E763" s="25"/>
      <c r="F763" s="25"/>
      <c r="G763" s="26"/>
      <c r="H763" s="27"/>
      <c r="I763" s="24"/>
      <c r="J763" s="24"/>
      <c r="K763" s="28"/>
      <c r="L763" s="29"/>
      <c r="M763" s="29"/>
      <c r="N763" s="29"/>
      <c r="O763" s="27"/>
      <c r="P763" s="30"/>
      <c r="Q763" s="31"/>
      <c r="R763" s="31"/>
      <c r="S763" s="32"/>
      <c r="T763" s="32"/>
      <c r="U763" s="32"/>
      <c r="V763" s="32"/>
      <c r="W763" s="32"/>
      <c r="X763" s="32"/>
      <c r="Y763" s="32"/>
      <c r="Z763" s="32"/>
      <c r="AA763" s="32"/>
      <c r="AB763" s="32"/>
    </row>
    <row r="764" spans="1:28" ht="15.6" customHeight="1" x14ac:dyDescent="0.25">
      <c r="A764" s="24"/>
      <c r="B764" s="24"/>
      <c r="C764" s="25"/>
      <c r="D764" s="25"/>
      <c r="E764" s="25"/>
      <c r="F764" s="25"/>
      <c r="G764" s="26"/>
      <c r="H764" s="27"/>
      <c r="I764" s="24"/>
      <c r="J764" s="24"/>
      <c r="K764" s="28"/>
      <c r="L764" s="29"/>
      <c r="M764" s="29"/>
      <c r="N764" s="29"/>
      <c r="O764" s="27"/>
      <c r="P764" s="30"/>
      <c r="Q764" s="31"/>
      <c r="R764" s="31"/>
      <c r="S764" s="32"/>
      <c r="T764" s="32"/>
      <c r="U764" s="32"/>
      <c r="V764" s="32"/>
      <c r="W764" s="32"/>
      <c r="X764" s="32"/>
      <c r="Y764" s="32"/>
      <c r="Z764" s="32"/>
      <c r="AA764" s="32"/>
      <c r="AB764" s="32"/>
    </row>
    <row r="765" spans="1:28" ht="15.6" customHeight="1" x14ac:dyDescent="0.25">
      <c r="A765" s="24"/>
      <c r="B765" s="24"/>
      <c r="C765" s="25"/>
      <c r="D765" s="25"/>
      <c r="E765" s="25"/>
      <c r="F765" s="25"/>
      <c r="G765" s="26"/>
      <c r="H765" s="27"/>
      <c r="I765" s="24"/>
      <c r="J765" s="24"/>
      <c r="K765" s="28"/>
      <c r="L765" s="29"/>
      <c r="M765" s="29"/>
      <c r="N765" s="29"/>
      <c r="O765" s="27"/>
      <c r="P765" s="30"/>
      <c r="Q765" s="31"/>
      <c r="R765" s="31"/>
      <c r="S765" s="32"/>
      <c r="T765" s="32"/>
      <c r="U765" s="32"/>
      <c r="V765" s="32"/>
      <c r="W765" s="32"/>
      <c r="X765" s="32"/>
      <c r="Y765" s="32"/>
      <c r="Z765" s="32"/>
      <c r="AA765" s="32"/>
      <c r="AB765" s="32"/>
    </row>
    <row r="766" spans="1:28" ht="15.6" customHeight="1" x14ac:dyDescent="0.25">
      <c r="A766" s="24"/>
      <c r="B766" s="24"/>
      <c r="C766" s="25"/>
      <c r="D766" s="25"/>
      <c r="E766" s="25"/>
      <c r="F766" s="25"/>
      <c r="G766" s="26"/>
      <c r="H766" s="27"/>
      <c r="I766" s="24"/>
      <c r="J766" s="24"/>
      <c r="K766" s="28"/>
      <c r="L766" s="29"/>
      <c r="M766" s="29"/>
      <c r="N766" s="29"/>
      <c r="O766" s="27"/>
      <c r="P766" s="30"/>
      <c r="Q766" s="31"/>
      <c r="R766" s="31"/>
      <c r="S766" s="32"/>
      <c r="T766" s="32"/>
      <c r="U766" s="32"/>
      <c r="V766" s="32"/>
      <c r="W766" s="32"/>
      <c r="X766" s="32"/>
      <c r="Y766" s="32"/>
      <c r="Z766" s="32"/>
      <c r="AA766" s="32"/>
      <c r="AB766" s="32"/>
    </row>
    <row r="767" spans="1:28" ht="15.6" customHeight="1" x14ac:dyDescent="0.25">
      <c r="A767" s="24"/>
      <c r="B767" s="24"/>
      <c r="C767" s="25"/>
      <c r="D767" s="25"/>
      <c r="E767" s="25"/>
      <c r="F767" s="25"/>
      <c r="G767" s="26"/>
      <c r="H767" s="27"/>
      <c r="I767" s="24"/>
      <c r="J767" s="24"/>
      <c r="K767" s="28"/>
      <c r="L767" s="29"/>
      <c r="M767" s="29"/>
      <c r="N767" s="29"/>
      <c r="O767" s="27"/>
      <c r="P767" s="30"/>
      <c r="Q767" s="31"/>
      <c r="R767" s="31"/>
      <c r="S767" s="32"/>
      <c r="T767" s="32"/>
      <c r="U767" s="32"/>
      <c r="V767" s="32"/>
      <c r="W767" s="32"/>
      <c r="X767" s="32"/>
      <c r="Y767" s="32"/>
      <c r="Z767" s="32"/>
      <c r="AA767" s="32"/>
      <c r="AB767" s="32"/>
    </row>
    <row r="768" spans="1:28" ht="15.6" customHeight="1" x14ac:dyDescent="0.25">
      <c r="A768" s="24"/>
      <c r="B768" s="24"/>
      <c r="C768" s="25"/>
      <c r="D768" s="25"/>
      <c r="E768" s="25"/>
      <c r="F768" s="25"/>
      <c r="G768" s="26"/>
      <c r="H768" s="27"/>
      <c r="I768" s="24"/>
      <c r="J768" s="24"/>
      <c r="K768" s="28"/>
      <c r="L768" s="29"/>
      <c r="M768" s="29"/>
      <c r="N768" s="29"/>
      <c r="O768" s="27"/>
      <c r="P768" s="30"/>
      <c r="Q768" s="31"/>
      <c r="R768" s="31"/>
      <c r="S768" s="32"/>
      <c r="T768" s="32"/>
      <c r="U768" s="32"/>
      <c r="V768" s="32"/>
      <c r="W768" s="32"/>
      <c r="X768" s="32"/>
      <c r="Y768" s="32"/>
      <c r="Z768" s="32"/>
      <c r="AA768" s="32"/>
      <c r="AB768" s="32"/>
    </row>
    <row r="769" spans="1:28" ht="15.6" customHeight="1" x14ac:dyDescent="0.25">
      <c r="A769" s="24"/>
      <c r="B769" s="24"/>
      <c r="C769" s="25"/>
      <c r="D769" s="25"/>
      <c r="E769" s="25"/>
      <c r="F769" s="25"/>
      <c r="G769" s="26"/>
      <c r="H769" s="27"/>
      <c r="I769" s="24"/>
      <c r="J769" s="24"/>
      <c r="K769" s="28"/>
      <c r="L769" s="29"/>
      <c r="M769" s="29"/>
      <c r="N769" s="29"/>
      <c r="O769" s="27"/>
      <c r="P769" s="30"/>
      <c r="Q769" s="31"/>
      <c r="R769" s="31"/>
      <c r="S769" s="32"/>
      <c r="T769" s="32"/>
      <c r="U769" s="32"/>
      <c r="V769" s="32"/>
      <c r="W769" s="32"/>
      <c r="X769" s="32"/>
      <c r="Y769" s="32"/>
      <c r="Z769" s="32"/>
      <c r="AA769" s="32"/>
      <c r="AB769" s="32"/>
    </row>
    <row r="770" spans="1:28" ht="15.6" customHeight="1" x14ac:dyDescent="0.25">
      <c r="A770" s="24"/>
      <c r="B770" s="24"/>
      <c r="C770" s="25"/>
      <c r="D770" s="25"/>
      <c r="E770" s="25"/>
      <c r="F770" s="25"/>
      <c r="G770" s="26"/>
      <c r="H770" s="27"/>
      <c r="I770" s="24"/>
      <c r="J770" s="24"/>
      <c r="K770" s="28"/>
      <c r="L770" s="29"/>
      <c r="M770" s="29"/>
      <c r="N770" s="29"/>
      <c r="O770" s="27"/>
      <c r="P770" s="30"/>
      <c r="Q770" s="31"/>
      <c r="R770" s="31"/>
      <c r="S770" s="32"/>
      <c r="T770" s="32"/>
      <c r="U770" s="32"/>
      <c r="V770" s="32"/>
      <c r="W770" s="32"/>
      <c r="X770" s="32"/>
      <c r="Y770" s="32"/>
      <c r="Z770" s="32"/>
      <c r="AA770" s="32"/>
      <c r="AB770" s="32"/>
    </row>
    <row r="771" spans="1:28" ht="15.6" customHeight="1" x14ac:dyDescent="0.25">
      <c r="A771" s="24"/>
      <c r="B771" s="24"/>
      <c r="C771" s="25"/>
      <c r="D771" s="25"/>
      <c r="E771" s="25"/>
      <c r="F771" s="25"/>
      <c r="G771" s="26"/>
      <c r="H771" s="27"/>
      <c r="I771" s="24"/>
      <c r="J771" s="24"/>
      <c r="K771" s="28"/>
      <c r="L771" s="29"/>
      <c r="M771" s="29"/>
      <c r="N771" s="29"/>
      <c r="O771" s="27"/>
      <c r="P771" s="30"/>
      <c r="Q771" s="31"/>
      <c r="R771" s="31"/>
      <c r="S771" s="32"/>
      <c r="T771" s="32"/>
      <c r="U771" s="32"/>
      <c r="V771" s="32"/>
      <c r="W771" s="32"/>
      <c r="X771" s="32"/>
      <c r="Y771" s="32"/>
      <c r="Z771" s="32"/>
      <c r="AA771" s="32"/>
      <c r="AB771" s="32"/>
    </row>
    <row r="772" spans="1:28" ht="15.6" customHeight="1" x14ac:dyDescent="0.25">
      <c r="A772" s="24"/>
      <c r="B772" s="24"/>
      <c r="C772" s="25"/>
      <c r="D772" s="25"/>
      <c r="E772" s="25"/>
      <c r="F772" s="25"/>
      <c r="G772" s="26"/>
      <c r="H772" s="27"/>
      <c r="I772" s="24"/>
      <c r="J772" s="24"/>
      <c r="K772" s="28"/>
      <c r="L772" s="29"/>
      <c r="M772" s="29"/>
      <c r="N772" s="29"/>
      <c r="O772" s="27"/>
      <c r="P772" s="30"/>
      <c r="Q772" s="31"/>
      <c r="R772" s="31"/>
      <c r="S772" s="32"/>
      <c r="T772" s="32"/>
      <c r="U772" s="32"/>
      <c r="V772" s="32"/>
      <c r="W772" s="32"/>
      <c r="X772" s="32"/>
      <c r="Y772" s="32"/>
      <c r="Z772" s="32"/>
      <c r="AA772" s="32"/>
      <c r="AB772" s="32"/>
    </row>
    <row r="773" spans="1:28" ht="15.6" customHeight="1" x14ac:dyDescent="0.25">
      <c r="A773" s="24"/>
      <c r="B773" s="24"/>
      <c r="C773" s="25"/>
      <c r="D773" s="25"/>
      <c r="E773" s="25"/>
      <c r="F773" s="25"/>
      <c r="G773" s="26"/>
      <c r="H773" s="27"/>
      <c r="I773" s="24"/>
      <c r="J773" s="24"/>
      <c r="K773" s="28"/>
      <c r="L773" s="29"/>
      <c r="M773" s="29"/>
      <c r="N773" s="29"/>
      <c r="O773" s="27"/>
      <c r="P773" s="30"/>
      <c r="Q773" s="31"/>
      <c r="R773" s="31"/>
      <c r="S773" s="32"/>
      <c r="T773" s="32"/>
      <c r="U773" s="32"/>
      <c r="V773" s="32"/>
      <c r="W773" s="32"/>
      <c r="X773" s="32"/>
      <c r="Y773" s="32"/>
      <c r="Z773" s="32"/>
      <c r="AA773" s="32"/>
      <c r="AB773" s="32"/>
    </row>
    <row r="774" spans="1:28" ht="15.6" customHeight="1" x14ac:dyDescent="0.25">
      <c r="A774" s="24"/>
      <c r="B774" s="24"/>
      <c r="C774" s="25"/>
      <c r="D774" s="25"/>
      <c r="E774" s="25"/>
      <c r="F774" s="25"/>
      <c r="G774" s="26"/>
      <c r="H774" s="27"/>
      <c r="I774" s="24"/>
      <c r="J774" s="24"/>
      <c r="K774" s="28"/>
      <c r="L774" s="29"/>
      <c r="M774" s="29"/>
      <c r="N774" s="29"/>
      <c r="O774" s="27"/>
      <c r="P774" s="30"/>
      <c r="Q774" s="31"/>
      <c r="R774" s="31"/>
      <c r="S774" s="32"/>
      <c r="T774" s="32"/>
      <c r="U774" s="32"/>
      <c r="V774" s="32"/>
      <c r="W774" s="32"/>
      <c r="X774" s="32"/>
      <c r="Y774" s="32"/>
      <c r="Z774" s="32"/>
      <c r="AA774" s="32"/>
      <c r="AB774" s="32"/>
    </row>
    <row r="775" spans="1:28" ht="15.6" customHeight="1" x14ac:dyDescent="0.25">
      <c r="A775" s="24"/>
      <c r="B775" s="24"/>
      <c r="C775" s="25"/>
      <c r="D775" s="25"/>
      <c r="E775" s="25"/>
      <c r="F775" s="25"/>
      <c r="G775" s="26"/>
      <c r="H775" s="27"/>
      <c r="I775" s="24"/>
      <c r="J775" s="24"/>
      <c r="K775" s="28"/>
      <c r="L775" s="29"/>
      <c r="M775" s="29"/>
      <c r="N775" s="29"/>
      <c r="O775" s="27"/>
      <c r="P775" s="30"/>
      <c r="Q775" s="31"/>
      <c r="R775" s="31"/>
      <c r="S775" s="32"/>
      <c r="T775" s="32"/>
      <c r="U775" s="32"/>
      <c r="V775" s="32"/>
      <c r="W775" s="32"/>
      <c r="X775" s="32"/>
      <c r="Y775" s="32"/>
      <c r="Z775" s="32"/>
      <c r="AA775" s="32"/>
      <c r="AB775" s="32"/>
    </row>
    <row r="776" spans="1:28" ht="15.6" customHeight="1" x14ac:dyDescent="0.25">
      <c r="A776" s="24"/>
      <c r="B776" s="24"/>
      <c r="C776" s="25"/>
      <c r="D776" s="25"/>
      <c r="E776" s="25"/>
      <c r="F776" s="25"/>
      <c r="G776" s="26"/>
      <c r="H776" s="27"/>
      <c r="I776" s="24"/>
      <c r="J776" s="24"/>
      <c r="K776" s="28"/>
      <c r="L776" s="29"/>
      <c r="M776" s="29"/>
      <c r="N776" s="29"/>
      <c r="O776" s="27"/>
      <c r="P776" s="30"/>
      <c r="Q776" s="31"/>
      <c r="R776" s="31"/>
      <c r="S776" s="32"/>
      <c r="T776" s="32"/>
      <c r="U776" s="32"/>
      <c r="V776" s="32"/>
      <c r="W776" s="32"/>
      <c r="X776" s="32"/>
      <c r="Y776" s="32"/>
      <c r="Z776" s="32"/>
      <c r="AA776" s="32"/>
      <c r="AB776" s="32"/>
    </row>
    <row r="777" spans="1:28" ht="15.6" customHeight="1" x14ac:dyDescent="0.25">
      <c r="A777" s="24"/>
      <c r="B777" s="24"/>
      <c r="C777" s="25"/>
      <c r="D777" s="25"/>
      <c r="E777" s="25"/>
      <c r="F777" s="25"/>
      <c r="G777" s="26"/>
      <c r="H777" s="27"/>
      <c r="I777" s="24"/>
      <c r="J777" s="24"/>
      <c r="K777" s="28"/>
      <c r="L777" s="29"/>
      <c r="M777" s="29"/>
      <c r="N777" s="29"/>
      <c r="O777" s="27"/>
      <c r="P777" s="30"/>
      <c r="Q777" s="31"/>
      <c r="R777" s="31"/>
      <c r="S777" s="32"/>
      <c r="T777" s="32"/>
      <c r="U777" s="32"/>
      <c r="V777" s="32"/>
      <c r="W777" s="32"/>
      <c r="X777" s="32"/>
      <c r="Y777" s="32"/>
      <c r="Z777" s="32"/>
      <c r="AA777" s="32"/>
      <c r="AB777" s="32"/>
    </row>
    <row r="778" spans="1:28" ht="15.6" customHeight="1" x14ac:dyDescent="0.25">
      <c r="A778" s="24"/>
      <c r="B778" s="24"/>
      <c r="C778" s="25"/>
      <c r="D778" s="25"/>
      <c r="E778" s="25"/>
      <c r="F778" s="25"/>
      <c r="G778" s="26"/>
      <c r="H778" s="27"/>
      <c r="I778" s="24"/>
      <c r="J778" s="24"/>
      <c r="K778" s="28"/>
      <c r="L778" s="29"/>
      <c r="M778" s="29"/>
      <c r="N778" s="29"/>
      <c r="O778" s="27"/>
      <c r="P778" s="30"/>
      <c r="Q778" s="31"/>
      <c r="R778" s="31"/>
      <c r="S778" s="32"/>
      <c r="T778" s="32"/>
      <c r="U778" s="32"/>
      <c r="V778" s="32"/>
      <c r="W778" s="32"/>
      <c r="X778" s="32"/>
      <c r="Y778" s="32"/>
      <c r="Z778" s="32"/>
      <c r="AA778" s="32"/>
      <c r="AB778" s="32"/>
    </row>
    <row r="779" spans="1:28" ht="15.6" customHeight="1" x14ac:dyDescent="0.25">
      <c r="A779" s="24"/>
      <c r="B779" s="24"/>
      <c r="C779" s="25"/>
      <c r="D779" s="25"/>
      <c r="E779" s="25"/>
      <c r="F779" s="25"/>
      <c r="G779" s="26"/>
      <c r="H779" s="27"/>
      <c r="I779" s="24"/>
      <c r="J779" s="24"/>
      <c r="K779" s="28"/>
      <c r="L779" s="29"/>
      <c r="M779" s="29"/>
      <c r="N779" s="29"/>
      <c r="O779" s="27"/>
      <c r="P779" s="30"/>
      <c r="Q779" s="31"/>
      <c r="R779" s="31"/>
      <c r="S779" s="32"/>
      <c r="T779" s="32"/>
      <c r="U779" s="32"/>
      <c r="V779" s="32"/>
      <c r="W779" s="32"/>
      <c r="X779" s="32"/>
      <c r="Y779" s="32"/>
      <c r="Z779" s="32"/>
      <c r="AA779" s="32"/>
      <c r="AB779" s="32"/>
    </row>
    <row r="780" spans="1:28" ht="15.6" customHeight="1" x14ac:dyDescent="0.25">
      <c r="A780" s="24"/>
      <c r="B780" s="24"/>
      <c r="C780" s="25"/>
      <c r="D780" s="25"/>
      <c r="E780" s="25"/>
      <c r="F780" s="25"/>
      <c r="G780" s="26"/>
      <c r="H780" s="27"/>
      <c r="I780" s="24"/>
      <c r="J780" s="24"/>
      <c r="K780" s="28"/>
      <c r="L780" s="29"/>
      <c r="M780" s="29"/>
      <c r="N780" s="29"/>
      <c r="O780" s="27"/>
      <c r="P780" s="30"/>
      <c r="Q780" s="31"/>
      <c r="R780" s="31"/>
      <c r="S780" s="32"/>
      <c r="T780" s="32"/>
      <c r="U780" s="32"/>
      <c r="V780" s="32"/>
      <c r="W780" s="32"/>
      <c r="X780" s="32"/>
      <c r="Y780" s="32"/>
      <c r="Z780" s="32"/>
      <c r="AA780" s="32"/>
      <c r="AB780" s="32"/>
    </row>
    <row r="781" spans="1:28" ht="15.6" customHeight="1" x14ac:dyDescent="0.25">
      <c r="A781" s="24"/>
      <c r="B781" s="24"/>
      <c r="C781" s="25"/>
      <c r="D781" s="25"/>
      <c r="E781" s="25"/>
      <c r="F781" s="25"/>
      <c r="G781" s="26"/>
      <c r="H781" s="27"/>
      <c r="I781" s="24"/>
      <c r="J781" s="24"/>
      <c r="K781" s="28"/>
      <c r="L781" s="29"/>
      <c r="M781" s="29"/>
      <c r="N781" s="29"/>
      <c r="O781" s="27"/>
      <c r="P781" s="30"/>
      <c r="Q781" s="31"/>
      <c r="R781" s="31"/>
      <c r="S781" s="32"/>
      <c r="T781" s="32"/>
      <c r="U781" s="32"/>
      <c r="V781" s="32"/>
      <c r="W781" s="32"/>
      <c r="X781" s="32"/>
      <c r="Y781" s="32"/>
      <c r="Z781" s="32"/>
      <c r="AA781" s="32"/>
      <c r="AB781" s="32"/>
    </row>
    <row r="782" spans="1:28" ht="15.6" customHeight="1" x14ac:dyDescent="0.25">
      <c r="A782" s="24"/>
      <c r="B782" s="24"/>
      <c r="C782" s="25"/>
      <c r="D782" s="25"/>
      <c r="E782" s="25"/>
      <c r="F782" s="25"/>
      <c r="G782" s="26"/>
      <c r="H782" s="27"/>
      <c r="I782" s="24"/>
      <c r="J782" s="24"/>
      <c r="K782" s="28"/>
      <c r="L782" s="29"/>
      <c r="M782" s="29"/>
      <c r="N782" s="29"/>
      <c r="O782" s="27"/>
      <c r="P782" s="30"/>
      <c r="Q782" s="31"/>
      <c r="R782" s="31"/>
      <c r="S782" s="32"/>
      <c r="T782" s="32"/>
      <c r="U782" s="32"/>
      <c r="V782" s="32"/>
      <c r="W782" s="32"/>
      <c r="X782" s="32"/>
      <c r="Y782" s="32"/>
      <c r="Z782" s="32"/>
      <c r="AA782" s="32"/>
      <c r="AB782" s="32"/>
    </row>
    <row r="783" spans="1:28" ht="15.6" customHeight="1" x14ac:dyDescent="0.25">
      <c r="A783" s="24"/>
      <c r="B783" s="24"/>
      <c r="C783" s="25"/>
      <c r="D783" s="25"/>
      <c r="E783" s="25"/>
      <c r="F783" s="25"/>
      <c r="G783" s="26"/>
      <c r="H783" s="27"/>
      <c r="I783" s="24"/>
      <c r="J783" s="24"/>
      <c r="K783" s="28"/>
      <c r="L783" s="29"/>
      <c r="M783" s="29"/>
      <c r="N783" s="29"/>
      <c r="O783" s="27"/>
      <c r="P783" s="30"/>
      <c r="Q783" s="31"/>
      <c r="R783" s="31"/>
      <c r="S783" s="32"/>
      <c r="T783" s="32"/>
      <c r="U783" s="32"/>
      <c r="V783" s="32"/>
      <c r="W783" s="32"/>
      <c r="X783" s="32"/>
      <c r="Y783" s="32"/>
      <c r="Z783" s="32"/>
      <c r="AA783" s="32"/>
      <c r="AB783" s="32"/>
    </row>
    <row r="784" spans="1:28" ht="15.6" customHeight="1" x14ac:dyDescent="0.25">
      <c r="A784" s="24"/>
      <c r="B784" s="24"/>
      <c r="C784" s="25"/>
      <c r="D784" s="25"/>
      <c r="E784" s="25"/>
      <c r="F784" s="25"/>
      <c r="G784" s="26"/>
      <c r="H784" s="27"/>
      <c r="I784" s="24"/>
      <c r="J784" s="24"/>
      <c r="K784" s="28"/>
      <c r="L784" s="29"/>
      <c r="M784" s="29"/>
      <c r="N784" s="29"/>
      <c r="O784" s="27"/>
      <c r="P784" s="30"/>
      <c r="Q784" s="31"/>
      <c r="R784" s="31"/>
      <c r="S784" s="32"/>
      <c r="T784" s="32"/>
      <c r="U784" s="32"/>
      <c r="V784" s="32"/>
      <c r="W784" s="32"/>
      <c r="X784" s="32"/>
      <c r="Y784" s="32"/>
      <c r="Z784" s="32"/>
      <c r="AA784" s="32"/>
      <c r="AB784" s="32"/>
    </row>
    <row r="785" spans="1:28" ht="15.6" customHeight="1" x14ac:dyDescent="0.25">
      <c r="A785" s="24"/>
      <c r="B785" s="24"/>
      <c r="C785" s="25"/>
      <c r="D785" s="25"/>
      <c r="E785" s="25"/>
      <c r="F785" s="25"/>
      <c r="G785" s="26"/>
      <c r="H785" s="27"/>
      <c r="I785" s="24"/>
      <c r="J785" s="24"/>
      <c r="K785" s="28"/>
      <c r="L785" s="29"/>
      <c r="M785" s="29"/>
      <c r="N785" s="29"/>
      <c r="O785" s="27"/>
      <c r="P785" s="30"/>
      <c r="Q785" s="31"/>
      <c r="R785" s="31"/>
      <c r="S785" s="32"/>
      <c r="T785" s="32"/>
      <c r="U785" s="32"/>
      <c r="V785" s="32"/>
      <c r="W785" s="32"/>
      <c r="X785" s="32"/>
      <c r="Y785" s="32"/>
      <c r="Z785" s="32"/>
      <c r="AA785" s="32"/>
      <c r="AB785" s="32"/>
    </row>
    <row r="786" spans="1:28" ht="15.6" customHeight="1" x14ac:dyDescent="0.25">
      <c r="A786" s="24"/>
      <c r="B786" s="24"/>
      <c r="C786" s="25"/>
      <c r="D786" s="25"/>
      <c r="E786" s="25"/>
      <c r="F786" s="25"/>
      <c r="G786" s="26"/>
      <c r="H786" s="27"/>
      <c r="I786" s="24"/>
      <c r="J786" s="24"/>
      <c r="K786" s="28"/>
      <c r="L786" s="29"/>
      <c r="M786" s="29"/>
      <c r="N786" s="29"/>
      <c r="O786" s="27"/>
      <c r="P786" s="30"/>
      <c r="Q786" s="31"/>
      <c r="R786" s="31"/>
      <c r="S786" s="32"/>
      <c r="T786" s="32"/>
      <c r="U786" s="32"/>
      <c r="V786" s="32"/>
      <c r="W786" s="32"/>
      <c r="X786" s="32"/>
      <c r="Y786" s="32"/>
      <c r="Z786" s="32"/>
      <c r="AA786" s="32"/>
      <c r="AB786" s="32"/>
    </row>
    <row r="787" spans="1:28" ht="15.6" customHeight="1" x14ac:dyDescent="0.25">
      <c r="A787" s="24"/>
      <c r="B787" s="24"/>
      <c r="C787" s="25"/>
      <c r="D787" s="25"/>
      <c r="E787" s="25"/>
      <c r="F787" s="25"/>
      <c r="G787" s="26"/>
      <c r="H787" s="27"/>
      <c r="I787" s="24"/>
      <c r="J787" s="24"/>
      <c r="K787" s="28"/>
      <c r="L787" s="29"/>
      <c r="M787" s="29"/>
      <c r="N787" s="29"/>
      <c r="O787" s="27"/>
      <c r="P787" s="30"/>
      <c r="Q787" s="31"/>
      <c r="R787" s="31"/>
      <c r="S787" s="32"/>
      <c r="T787" s="32"/>
      <c r="U787" s="32"/>
      <c r="V787" s="32"/>
      <c r="W787" s="32"/>
      <c r="X787" s="32"/>
      <c r="Y787" s="32"/>
      <c r="Z787" s="32"/>
      <c r="AA787" s="32"/>
      <c r="AB787" s="32"/>
    </row>
    <row r="788" spans="1:28" ht="15.6" customHeight="1" x14ac:dyDescent="0.25">
      <c r="A788" s="24"/>
      <c r="B788" s="24"/>
      <c r="C788" s="25"/>
      <c r="D788" s="25"/>
      <c r="E788" s="25"/>
      <c r="F788" s="25"/>
      <c r="G788" s="26"/>
      <c r="H788" s="27"/>
      <c r="I788" s="24"/>
      <c r="J788" s="24"/>
      <c r="K788" s="28"/>
      <c r="L788" s="29"/>
      <c r="M788" s="29"/>
      <c r="N788" s="29"/>
      <c r="O788" s="27"/>
      <c r="P788" s="30"/>
      <c r="Q788" s="31"/>
      <c r="R788" s="31"/>
      <c r="S788" s="32"/>
      <c r="T788" s="32"/>
      <c r="U788" s="32"/>
      <c r="V788" s="32"/>
      <c r="W788" s="32"/>
      <c r="X788" s="32"/>
      <c r="Y788" s="32"/>
      <c r="Z788" s="32"/>
      <c r="AA788" s="32"/>
      <c r="AB788" s="32"/>
    </row>
    <row r="789" spans="1:28" ht="15.6" customHeight="1" x14ac:dyDescent="0.25">
      <c r="A789" s="24"/>
      <c r="B789" s="24"/>
      <c r="C789" s="25"/>
      <c r="D789" s="25"/>
      <c r="E789" s="25"/>
      <c r="F789" s="25"/>
      <c r="G789" s="26"/>
      <c r="H789" s="27"/>
      <c r="I789" s="24"/>
      <c r="J789" s="24"/>
      <c r="K789" s="28"/>
      <c r="L789" s="29"/>
      <c r="M789" s="29"/>
      <c r="N789" s="29"/>
      <c r="O789" s="27"/>
      <c r="P789" s="30"/>
      <c r="Q789" s="31"/>
      <c r="R789" s="31"/>
      <c r="S789" s="32"/>
      <c r="T789" s="32"/>
      <c r="U789" s="32"/>
      <c r="V789" s="32"/>
      <c r="W789" s="32"/>
      <c r="X789" s="32"/>
      <c r="Y789" s="32"/>
      <c r="Z789" s="32"/>
      <c r="AA789" s="32"/>
      <c r="AB789" s="32"/>
    </row>
    <row r="790" spans="1:28" ht="15.6" customHeight="1" x14ac:dyDescent="0.25">
      <c r="A790" s="24"/>
      <c r="B790" s="24"/>
      <c r="C790" s="25"/>
      <c r="D790" s="25"/>
      <c r="E790" s="25"/>
      <c r="F790" s="25"/>
      <c r="G790" s="26"/>
      <c r="H790" s="27"/>
      <c r="I790" s="24"/>
      <c r="J790" s="24"/>
      <c r="K790" s="28"/>
      <c r="L790" s="29"/>
      <c r="M790" s="29"/>
      <c r="N790" s="29"/>
      <c r="O790" s="27"/>
      <c r="P790" s="30"/>
      <c r="Q790" s="31"/>
      <c r="R790" s="31"/>
      <c r="S790" s="32"/>
      <c r="T790" s="32"/>
      <c r="U790" s="32"/>
      <c r="V790" s="32"/>
      <c r="W790" s="32"/>
      <c r="X790" s="32"/>
      <c r="Y790" s="32"/>
      <c r="Z790" s="32"/>
      <c r="AA790" s="32"/>
      <c r="AB790" s="32"/>
    </row>
    <row r="791" spans="1:28" ht="15.6" customHeight="1" x14ac:dyDescent="0.25">
      <c r="A791" s="24"/>
      <c r="B791" s="24"/>
      <c r="C791" s="25"/>
      <c r="D791" s="25"/>
      <c r="E791" s="25"/>
      <c r="F791" s="25"/>
      <c r="G791" s="26"/>
      <c r="H791" s="27"/>
      <c r="I791" s="24"/>
      <c r="J791" s="24"/>
      <c r="K791" s="28"/>
      <c r="L791" s="29"/>
      <c r="M791" s="29"/>
      <c r="N791" s="29"/>
      <c r="O791" s="27"/>
      <c r="P791" s="30"/>
      <c r="Q791" s="31"/>
      <c r="R791" s="31"/>
      <c r="S791" s="32"/>
      <c r="T791" s="32"/>
      <c r="U791" s="32"/>
      <c r="V791" s="32"/>
      <c r="W791" s="32"/>
      <c r="X791" s="32"/>
      <c r="Y791" s="32"/>
      <c r="Z791" s="32"/>
      <c r="AA791" s="32"/>
      <c r="AB791" s="32"/>
    </row>
    <row r="792" spans="1:28" ht="15.6" customHeight="1" x14ac:dyDescent="0.25">
      <c r="A792" s="24"/>
      <c r="B792" s="24"/>
      <c r="C792" s="25"/>
      <c r="D792" s="25"/>
      <c r="E792" s="25"/>
      <c r="F792" s="25"/>
      <c r="G792" s="26"/>
      <c r="H792" s="27"/>
      <c r="I792" s="24"/>
      <c r="J792" s="24"/>
      <c r="K792" s="28"/>
      <c r="L792" s="29"/>
      <c r="M792" s="29"/>
      <c r="N792" s="29"/>
      <c r="O792" s="27"/>
      <c r="P792" s="30"/>
      <c r="Q792" s="31"/>
      <c r="R792" s="31"/>
      <c r="S792" s="32"/>
      <c r="T792" s="32"/>
      <c r="U792" s="32"/>
      <c r="V792" s="32"/>
      <c r="W792" s="32"/>
      <c r="X792" s="32"/>
      <c r="Y792" s="32"/>
      <c r="Z792" s="32"/>
      <c r="AA792" s="32"/>
      <c r="AB792" s="32"/>
    </row>
    <row r="793" spans="1:28" ht="15.6" customHeight="1" x14ac:dyDescent="0.25">
      <c r="A793" s="24"/>
      <c r="B793" s="24"/>
      <c r="C793" s="25"/>
      <c r="D793" s="25"/>
      <c r="E793" s="25"/>
      <c r="F793" s="25"/>
      <c r="G793" s="26"/>
      <c r="H793" s="27"/>
      <c r="I793" s="24"/>
      <c r="J793" s="24"/>
      <c r="K793" s="28"/>
      <c r="L793" s="29"/>
      <c r="M793" s="29"/>
      <c r="N793" s="29"/>
      <c r="O793" s="27"/>
      <c r="P793" s="30"/>
      <c r="Q793" s="31"/>
      <c r="R793" s="31"/>
      <c r="S793" s="32"/>
      <c r="T793" s="32"/>
      <c r="U793" s="32"/>
      <c r="V793" s="32"/>
      <c r="W793" s="32"/>
      <c r="X793" s="32"/>
      <c r="Y793" s="32"/>
      <c r="Z793" s="32"/>
      <c r="AA793" s="32"/>
      <c r="AB793" s="32"/>
    </row>
    <row r="794" spans="1:28" ht="15.6" customHeight="1" x14ac:dyDescent="0.25">
      <c r="A794" s="24"/>
      <c r="B794" s="24"/>
      <c r="C794" s="25"/>
      <c r="D794" s="25"/>
      <c r="E794" s="25"/>
      <c r="F794" s="25"/>
      <c r="G794" s="26"/>
      <c r="H794" s="27"/>
      <c r="I794" s="24"/>
      <c r="J794" s="24"/>
      <c r="K794" s="28"/>
      <c r="L794" s="29"/>
      <c r="M794" s="29"/>
      <c r="N794" s="29"/>
      <c r="O794" s="27"/>
      <c r="P794" s="30"/>
      <c r="Q794" s="31"/>
      <c r="R794" s="31"/>
      <c r="S794" s="32"/>
      <c r="T794" s="32"/>
      <c r="U794" s="32"/>
      <c r="V794" s="32"/>
      <c r="W794" s="32"/>
      <c r="X794" s="32"/>
      <c r="Y794" s="32"/>
      <c r="Z794" s="32"/>
      <c r="AA794" s="32"/>
      <c r="AB794" s="32"/>
    </row>
    <row r="795" spans="1:28" ht="15.6" customHeight="1" x14ac:dyDescent="0.25">
      <c r="A795" s="24"/>
      <c r="B795" s="24"/>
      <c r="C795" s="25"/>
      <c r="D795" s="25"/>
      <c r="E795" s="25"/>
      <c r="F795" s="25"/>
      <c r="G795" s="26"/>
      <c r="H795" s="27"/>
      <c r="I795" s="24"/>
      <c r="J795" s="24"/>
      <c r="K795" s="28"/>
      <c r="L795" s="29"/>
      <c r="M795" s="29"/>
      <c r="N795" s="29"/>
      <c r="O795" s="27"/>
      <c r="P795" s="30"/>
      <c r="Q795" s="31"/>
      <c r="R795" s="31"/>
      <c r="S795" s="32"/>
      <c r="T795" s="32"/>
      <c r="U795" s="32"/>
      <c r="V795" s="32"/>
      <c r="W795" s="32"/>
      <c r="X795" s="32"/>
      <c r="Y795" s="32"/>
      <c r="Z795" s="32"/>
      <c r="AA795" s="32"/>
      <c r="AB795" s="32"/>
    </row>
    <row r="796" spans="1:28" ht="15.6" customHeight="1" x14ac:dyDescent="0.25">
      <c r="A796" s="24"/>
      <c r="B796" s="24"/>
      <c r="C796" s="25"/>
      <c r="D796" s="25"/>
      <c r="E796" s="25"/>
      <c r="F796" s="25"/>
      <c r="G796" s="26"/>
      <c r="H796" s="27"/>
      <c r="I796" s="24"/>
      <c r="J796" s="24"/>
      <c r="K796" s="28"/>
      <c r="L796" s="29"/>
      <c r="M796" s="29"/>
      <c r="N796" s="29"/>
      <c r="O796" s="27"/>
      <c r="P796" s="30"/>
      <c r="Q796" s="31"/>
      <c r="R796" s="31"/>
      <c r="S796" s="32"/>
      <c r="T796" s="32"/>
      <c r="U796" s="32"/>
      <c r="V796" s="32"/>
      <c r="W796" s="32"/>
      <c r="X796" s="32"/>
      <c r="Y796" s="32"/>
      <c r="Z796" s="32"/>
      <c r="AA796" s="32"/>
      <c r="AB796" s="32"/>
    </row>
    <row r="797" spans="1:28" ht="15.6" customHeight="1" x14ac:dyDescent="0.25">
      <c r="A797" s="24"/>
      <c r="B797" s="24"/>
      <c r="C797" s="25"/>
      <c r="D797" s="25"/>
      <c r="E797" s="25"/>
      <c r="F797" s="25"/>
      <c r="G797" s="26"/>
      <c r="H797" s="27"/>
      <c r="I797" s="24"/>
      <c r="J797" s="24"/>
      <c r="K797" s="28"/>
      <c r="L797" s="29"/>
      <c r="M797" s="29"/>
      <c r="N797" s="29"/>
      <c r="O797" s="27"/>
      <c r="P797" s="30"/>
      <c r="Q797" s="31"/>
      <c r="R797" s="31"/>
      <c r="S797" s="32"/>
      <c r="T797" s="32"/>
      <c r="U797" s="32"/>
      <c r="V797" s="32"/>
      <c r="W797" s="32"/>
      <c r="X797" s="32"/>
      <c r="Y797" s="32"/>
      <c r="Z797" s="32"/>
      <c r="AA797" s="32"/>
      <c r="AB797" s="32"/>
    </row>
    <row r="798" spans="1:28" ht="15.6" customHeight="1" x14ac:dyDescent="0.25">
      <c r="A798" s="24"/>
      <c r="B798" s="24"/>
      <c r="C798" s="25"/>
      <c r="D798" s="25"/>
      <c r="E798" s="25"/>
      <c r="F798" s="25"/>
      <c r="G798" s="26"/>
      <c r="H798" s="27"/>
      <c r="I798" s="24"/>
      <c r="J798" s="24"/>
      <c r="K798" s="28"/>
      <c r="L798" s="29"/>
      <c r="M798" s="29"/>
      <c r="N798" s="29"/>
      <c r="O798" s="27"/>
      <c r="P798" s="30"/>
      <c r="Q798" s="31"/>
      <c r="R798" s="31"/>
      <c r="S798" s="32"/>
      <c r="T798" s="32"/>
      <c r="U798" s="32"/>
      <c r="V798" s="32"/>
      <c r="W798" s="32"/>
      <c r="X798" s="32"/>
      <c r="Y798" s="32"/>
      <c r="Z798" s="32"/>
      <c r="AA798" s="32"/>
      <c r="AB798" s="32"/>
    </row>
    <row r="799" spans="1:28" ht="15.6" customHeight="1" x14ac:dyDescent="0.25">
      <c r="A799" s="24"/>
      <c r="B799" s="24"/>
      <c r="C799" s="25"/>
      <c r="D799" s="25"/>
      <c r="E799" s="25"/>
      <c r="F799" s="25"/>
      <c r="G799" s="26"/>
      <c r="H799" s="27"/>
      <c r="I799" s="24"/>
      <c r="J799" s="24"/>
      <c r="K799" s="28"/>
      <c r="L799" s="29"/>
      <c r="M799" s="29"/>
      <c r="N799" s="29"/>
      <c r="O799" s="27"/>
      <c r="P799" s="30"/>
      <c r="Q799" s="31"/>
      <c r="R799" s="31"/>
      <c r="S799" s="32"/>
      <c r="T799" s="32"/>
      <c r="U799" s="32"/>
      <c r="V799" s="32"/>
      <c r="W799" s="32"/>
      <c r="X799" s="32"/>
      <c r="Y799" s="32"/>
      <c r="Z799" s="32"/>
      <c r="AA799" s="32"/>
      <c r="AB799" s="32"/>
    </row>
    <row r="800" spans="1:28" ht="15.6" customHeight="1" x14ac:dyDescent="0.25">
      <c r="A800" s="24"/>
      <c r="B800" s="24"/>
      <c r="C800" s="25"/>
      <c r="D800" s="25"/>
      <c r="E800" s="25"/>
      <c r="F800" s="25"/>
      <c r="G800" s="26"/>
      <c r="H800" s="27"/>
      <c r="I800" s="24"/>
      <c r="J800" s="24"/>
      <c r="K800" s="28"/>
      <c r="L800" s="29"/>
      <c r="M800" s="29"/>
      <c r="N800" s="29"/>
      <c r="O800" s="27"/>
      <c r="P800" s="30"/>
      <c r="Q800" s="31"/>
      <c r="R800" s="31"/>
      <c r="S800" s="32"/>
      <c r="T800" s="32"/>
      <c r="U800" s="32"/>
      <c r="V800" s="32"/>
      <c r="W800" s="32"/>
      <c r="X800" s="32"/>
      <c r="Y800" s="32"/>
      <c r="Z800" s="32"/>
      <c r="AA800" s="32"/>
      <c r="AB800" s="32"/>
    </row>
    <row r="801" spans="1:28" ht="15.6" customHeight="1" x14ac:dyDescent="0.25">
      <c r="A801" s="24"/>
      <c r="B801" s="24"/>
      <c r="C801" s="25"/>
      <c r="D801" s="25"/>
      <c r="E801" s="25"/>
      <c r="F801" s="25"/>
      <c r="G801" s="26"/>
      <c r="H801" s="27"/>
      <c r="I801" s="24"/>
      <c r="J801" s="24"/>
      <c r="K801" s="28"/>
      <c r="L801" s="29"/>
      <c r="M801" s="29"/>
      <c r="N801" s="29"/>
      <c r="O801" s="27"/>
      <c r="P801" s="30"/>
      <c r="Q801" s="31"/>
      <c r="R801" s="31"/>
      <c r="S801" s="32"/>
      <c r="T801" s="32"/>
      <c r="U801" s="32"/>
      <c r="V801" s="32"/>
      <c r="W801" s="32"/>
      <c r="X801" s="32"/>
      <c r="Y801" s="32"/>
      <c r="Z801" s="32"/>
      <c r="AA801" s="32"/>
      <c r="AB801" s="32"/>
    </row>
    <row r="802" spans="1:28" ht="15.6" customHeight="1" x14ac:dyDescent="0.25">
      <c r="A802" s="24"/>
      <c r="B802" s="24"/>
      <c r="C802" s="25"/>
      <c r="D802" s="25"/>
      <c r="E802" s="25"/>
      <c r="F802" s="25"/>
      <c r="G802" s="26"/>
      <c r="H802" s="27"/>
      <c r="I802" s="24"/>
      <c r="J802" s="24"/>
      <c r="K802" s="28"/>
      <c r="L802" s="29"/>
      <c r="M802" s="29"/>
      <c r="N802" s="29"/>
      <c r="O802" s="27"/>
      <c r="P802" s="30"/>
      <c r="Q802" s="31"/>
      <c r="R802" s="31"/>
      <c r="S802" s="32"/>
      <c r="T802" s="32"/>
      <c r="U802" s="32"/>
      <c r="V802" s="32"/>
      <c r="W802" s="32"/>
      <c r="X802" s="32"/>
      <c r="Y802" s="32"/>
      <c r="Z802" s="32"/>
      <c r="AA802" s="32"/>
      <c r="AB802" s="32"/>
    </row>
    <row r="803" spans="1:28" ht="15.6" customHeight="1" x14ac:dyDescent="0.25">
      <c r="A803" s="24"/>
      <c r="B803" s="24"/>
      <c r="C803" s="25"/>
      <c r="D803" s="25"/>
      <c r="E803" s="25"/>
      <c r="F803" s="25"/>
      <c r="G803" s="26"/>
      <c r="H803" s="27"/>
      <c r="I803" s="24"/>
      <c r="J803" s="24"/>
      <c r="K803" s="28"/>
      <c r="L803" s="29"/>
      <c r="M803" s="29"/>
      <c r="N803" s="29"/>
      <c r="O803" s="27"/>
      <c r="P803" s="30"/>
      <c r="Q803" s="31"/>
      <c r="R803" s="31"/>
      <c r="S803" s="32"/>
      <c r="T803" s="32"/>
      <c r="U803" s="32"/>
      <c r="V803" s="32"/>
      <c r="W803" s="32"/>
      <c r="X803" s="32"/>
      <c r="Y803" s="32"/>
      <c r="Z803" s="32"/>
      <c r="AA803" s="32"/>
      <c r="AB803" s="32"/>
    </row>
    <row r="804" spans="1:28" ht="15.6" customHeight="1" x14ac:dyDescent="0.25">
      <c r="A804" s="24"/>
      <c r="B804" s="24"/>
      <c r="C804" s="25"/>
      <c r="D804" s="25"/>
      <c r="E804" s="25"/>
      <c r="F804" s="25"/>
      <c r="G804" s="26"/>
      <c r="H804" s="27"/>
      <c r="I804" s="24"/>
      <c r="J804" s="24"/>
      <c r="K804" s="28"/>
      <c r="L804" s="29"/>
      <c r="M804" s="29"/>
      <c r="N804" s="29"/>
      <c r="O804" s="27"/>
      <c r="P804" s="30"/>
      <c r="Q804" s="31"/>
      <c r="R804" s="31"/>
      <c r="S804" s="32"/>
      <c r="T804" s="32"/>
      <c r="U804" s="32"/>
      <c r="V804" s="32"/>
      <c r="W804" s="32"/>
      <c r="X804" s="32"/>
      <c r="Y804" s="32"/>
      <c r="Z804" s="32"/>
      <c r="AA804" s="32"/>
      <c r="AB804" s="32"/>
    </row>
    <row r="805" spans="1:28" ht="15.6" customHeight="1" x14ac:dyDescent="0.25">
      <c r="A805" s="24"/>
      <c r="B805" s="24"/>
      <c r="C805" s="25"/>
      <c r="D805" s="25"/>
      <c r="E805" s="25"/>
      <c r="F805" s="25"/>
      <c r="G805" s="26"/>
      <c r="H805" s="27"/>
      <c r="I805" s="24"/>
      <c r="J805" s="24"/>
      <c r="K805" s="28"/>
      <c r="L805" s="29"/>
      <c r="M805" s="29"/>
      <c r="N805" s="29"/>
      <c r="O805" s="27"/>
      <c r="P805" s="30"/>
      <c r="Q805" s="31"/>
      <c r="R805" s="31"/>
      <c r="S805" s="32"/>
      <c r="T805" s="32"/>
      <c r="U805" s="32"/>
      <c r="V805" s="32"/>
      <c r="W805" s="32"/>
      <c r="X805" s="32"/>
      <c r="Y805" s="32"/>
      <c r="Z805" s="32"/>
      <c r="AA805" s="32"/>
      <c r="AB805" s="32"/>
    </row>
    <row r="806" spans="1:28" ht="15.6" customHeight="1" x14ac:dyDescent="0.25">
      <c r="A806" s="24"/>
      <c r="B806" s="24"/>
      <c r="C806" s="25"/>
      <c r="D806" s="25"/>
      <c r="E806" s="25"/>
      <c r="F806" s="25"/>
      <c r="G806" s="26"/>
      <c r="H806" s="27"/>
      <c r="I806" s="24"/>
      <c r="J806" s="24"/>
      <c r="K806" s="28"/>
      <c r="L806" s="29"/>
      <c r="M806" s="29"/>
      <c r="N806" s="29"/>
      <c r="O806" s="27"/>
      <c r="P806" s="30"/>
      <c r="Q806" s="31"/>
      <c r="R806" s="31"/>
      <c r="S806" s="32"/>
      <c r="T806" s="32"/>
      <c r="U806" s="32"/>
      <c r="V806" s="32"/>
      <c r="W806" s="32"/>
      <c r="X806" s="32"/>
      <c r="Y806" s="32"/>
      <c r="Z806" s="32"/>
      <c r="AA806" s="32"/>
      <c r="AB806" s="32"/>
    </row>
    <row r="807" spans="1:28" ht="15.6" customHeight="1" x14ac:dyDescent="0.25">
      <c r="A807" s="24"/>
      <c r="B807" s="24"/>
      <c r="C807" s="25"/>
      <c r="D807" s="25"/>
      <c r="E807" s="25"/>
      <c r="F807" s="25"/>
      <c r="G807" s="26"/>
      <c r="H807" s="27"/>
      <c r="I807" s="24"/>
      <c r="J807" s="24"/>
      <c r="K807" s="28"/>
      <c r="L807" s="29"/>
      <c r="M807" s="29"/>
      <c r="N807" s="29"/>
      <c r="O807" s="27"/>
      <c r="P807" s="30"/>
      <c r="Q807" s="31"/>
      <c r="R807" s="31"/>
      <c r="S807" s="32"/>
      <c r="T807" s="32"/>
      <c r="U807" s="32"/>
      <c r="V807" s="32"/>
      <c r="W807" s="32"/>
      <c r="X807" s="32"/>
      <c r="Y807" s="32"/>
      <c r="Z807" s="32"/>
      <c r="AA807" s="32"/>
      <c r="AB807" s="32"/>
    </row>
    <row r="808" spans="1:28" ht="15.6" customHeight="1" x14ac:dyDescent="0.25">
      <c r="A808" s="24"/>
      <c r="B808" s="24"/>
      <c r="C808" s="25"/>
      <c r="D808" s="25"/>
      <c r="E808" s="25"/>
      <c r="F808" s="25"/>
      <c r="G808" s="26"/>
      <c r="H808" s="27"/>
      <c r="I808" s="24"/>
      <c r="J808" s="24"/>
      <c r="K808" s="28"/>
      <c r="L808" s="29"/>
      <c r="M808" s="29"/>
      <c r="N808" s="29"/>
      <c r="O808" s="27"/>
      <c r="P808" s="30"/>
      <c r="Q808" s="31"/>
      <c r="R808" s="31"/>
      <c r="S808" s="32"/>
      <c r="T808" s="32"/>
      <c r="U808" s="32"/>
      <c r="V808" s="32"/>
      <c r="W808" s="32"/>
      <c r="X808" s="32"/>
      <c r="Y808" s="32"/>
      <c r="Z808" s="32"/>
      <c r="AA808" s="32"/>
      <c r="AB808" s="32"/>
    </row>
    <row r="809" spans="1:28" ht="15.6" customHeight="1" x14ac:dyDescent="0.25">
      <c r="A809" s="24"/>
      <c r="B809" s="24"/>
      <c r="C809" s="25"/>
      <c r="D809" s="25"/>
      <c r="E809" s="25"/>
      <c r="F809" s="25"/>
      <c r="G809" s="26"/>
      <c r="H809" s="27"/>
      <c r="I809" s="24"/>
      <c r="J809" s="24"/>
      <c r="K809" s="28"/>
      <c r="L809" s="29"/>
      <c r="M809" s="29"/>
      <c r="N809" s="29"/>
      <c r="O809" s="27"/>
      <c r="P809" s="30"/>
      <c r="Q809" s="31"/>
      <c r="R809" s="31"/>
      <c r="S809" s="32"/>
      <c r="T809" s="32"/>
      <c r="U809" s="32"/>
      <c r="V809" s="32"/>
      <c r="W809" s="32"/>
      <c r="X809" s="32"/>
      <c r="Y809" s="32"/>
      <c r="Z809" s="32"/>
      <c r="AA809" s="32"/>
      <c r="AB809" s="32"/>
    </row>
    <row r="810" spans="1:28" ht="15.6" customHeight="1" x14ac:dyDescent="0.25">
      <c r="A810" s="24"/>
      <c r="B810" s="24"/>
      <c r="C810" s="25"/>
      <c r="D810" s="25"/>
      <c r="E810" s="25"/>
      <c r="F810" s="25"/>
      <c r="G810" s="26"/>
      <c r="H810" s="27"/>
      <c r="I810" s="24"/>
      <c r="J810" s="24"/>
      <c r="K810" s="28"/>
      <c r="L810" s="29"/>
      <c r="M810" s="29"/>
      <c r="N810" s="29"/>
      <c r="O810" s="27"/>
      <c r="P810" s="30"/>
      <c r="Q810" s="31"/>
      <c r="R810" s="31"/>
      <c r="S810" s="32"/>
      <c r="T810" s="32"/>
      <c r="U810" s="32"/>
      <c r="V810" s="32"/>
      <c r="W810" s="32"/>
      <c r="X810" s="32"/>
      <c r="Y810" s="32"/>
      <c r="Z810" s="32"/>
      <c r="AA810" s="32"/>
      <c r="AB810" s="32"/>
    </row>
    <row r="811" spans="1:28" ht="15.6" customHeight="1" x14ac:dyDescent="0.25">
      <c r="A811" s="24"/>
      <c r="B811" s="24"/>
      <c r="C811" s="25"/>
      <c r="D811" s="25"/>
      <c r="E811" s="25"/>
      <c r="F811" s="25"/>
      <c r="G811" s="26"/>
      <c r="H811" s="27"/>
      <c r="I811" s="24"/>
      <c r="J811" s="24"/>
      <c r="K811" s="28"/>
      <c r="L811" s="29"/>
      <c r="M811" s="29"/>
      <c r="N811" s="29"/>
      <c r="O811" s="27"/>
      <c r="P811" s="30"/>
      <c r="Q811" s="31"/>
      <c r="R811" s="31"/>
      <c r="S811" s="32"/>
      <c r="T811" s="32"/>
      <c r="U811" s="32"/>
      <c r="V811" s="32"/>
      <c r="W811" s="32"/>
      <c r="X811" s="32"/>
      <c r="Y811" s="32"/>
      <c r="Z811" s="32"/>
      <c r="AA811" s="32"/>
      <c r="AB811" s="32"/>
    </row>
    <row r="812" spans="1:28" ht="15.6" customHeight="1" x14ac:dyDescent="0.25">
      <c r="A812" s="24"/>
      <c r="B812" s="24"/>
      <c r="C812" s="25"/>
      <c r="D812" s="25"/>
      <c r="E812" s="25"/>
      <c r="F812" s="25"/>
      <c r="G812" s="26"/>
      <c r="H812" s="27"/>
      <c r="I812" s="24"/>
      <c r="J812" s="24"/>
      <c r="K812" s="28"/>
      <c r="L812" s="29"/>
      <c r="M812" s="29"/>
      <c r="N812" s="29"/>
      <c r="O812" s="27"/>
      <c r="P812" s="30"/>
      <c r="Q812" s="31"/>
      <c r="R812" s="31"/>
      <c r="S812" s="32"/>
      <c r="T812" s="32"/>
      <c r="U812" s="32"/>
      <c r="V812" s="32"/>
      <c r="W812" s="32"/>
      <c r="X812" s="32"/>
      <c r="Y812" s="32"/>
      <c r="Z812" s="32"/>
      <c r="AA812" s="32"/>
      <c r="AB812" s="32"/>
    </row>
    <row r="813" spans="1:28" ht="15.6" customHeight="1" x14ac:dyDescent="0.25">
      <c r="A813" s="24"/>
      <c r="B813" s="24"/>
      <c r="C813" s="25"/>
      <c r="D813" s="25"/>
      <c r="E813" s="25"/>
      <c r="F813" s="25"/>
      <c r="G813" s="26"/>
      <c r="H813" s="27"/>
      <c r="I813" s="24"/>
      <c r="J813" s="24"/>
      <c r="K813" s="28"/>
      <c r="L813" s="29"/>
      <c r="M813" s="29"/>
      <c r="N813" s="29"/>
      <c r="O813" s="27"/>
      <c r="P813" s="30"/>
      <c r="Q813" s="31"/>
      <c r="R813" s="31"/>
      <c r="S813" s="32"/>
      <c r="T813" s="32"/>
      <c r="U813" s="32"/>
      <c r="V813" s="32"/>
      <c r="W813" s="32"/>
      <c r="X813" s="32"/>
      <c r="Y813" s="32"/>
      <c r="Z813" s="32"/>
      <c r="AA813" s="32"/>
      <c r="AB813" s="32"/>
    </row>
    <row r="814" spans="1:28" ht="15.6" customHeight="1" x14ac:dyDescent="0.25">
      <c r="A814" s="24"/>
      <c r="B814" s="24"/>
      <c r="C814" s="25"/>
      <c r="D814" s="25"/>
      <c r="E814" s="25"/>
      <c r="F814" s="25"/>
      <c r="G814" s="26"/>
      <c r="H814" s="27"/>
      <c r="I814" s="24"/>
      <c r="J814" s="24"/>
      <c r="K814" s="28"/>
      <c r="L814" s="29"/>
      <c r="M814" s="29"/>
      <c r="N814" s="29"/>
      <c r="O814" s="27"/>
      <c r="P814" s="30"/>
      <c r="Q814" s="31"/>
      <c r="R814" s="31"/>
      <c r="S814" s="32"/>
      <c r="T814" s="32"/>
      <c r="U814" s="32"/>
      <c r="V814" s="32"/>
      <c r="W814" s="32"/>
      <c r="X814" s="32"/>
      <c r="Y814" s="32"/>
      <c r="Z814" s="32"/>
      <c r="AA814" s="32"/>
      <c r="AB814" s="32"/>
    </row>
    <row r="815" spans="1:28" ht="15.6" customHeight="1" x14ac:dyDescent="0.25">
      <c r="A815" s="24"/>
      <c r="B815" s="24"/>
      <c r="C815" s="25"/>
      <c r="D815" s="25"/>
      <c r="E815" s="25"/>
      <c r="F815" s="25"/>
      <c r="G815" s="26"/>
      <c r="H815" s="27"/>
      <c r="I815" s="24"/>
      <c r="J815" s="24"/>
      <c r="K815" s="28"/>
      <c r="L815" s="29"/>
      <c r="M815" s="29"/>
      <c r="N815" s="29"/>
      <c r="O815" s="27"/>
      <c r="P815" s="30"/>
      <c r="Q815" s="31"/>
      <c r="R815" s="31"/>
      <c r="S815" s="32"/>
      <c r="T815" s="32"/>
      <c r="U815" s="32"/>
      <c r="V815" s="32"/>
      <c r="W815" s="32"/>
      <c r="X815" s="32"/>
      <c r="Y815" s="32"/>
      <c r="Z815" s="32"/>
      <c r="AA815" s="32"/>
      <c r="AB815" s="32"/>
    </row>
    <row r="816" spans="1:28" ht="15.6" customHeight="1" x14ac:dyDescent="0.25">
      <c r="A816" s="24"/>
      <c r="B816" s="24"/>
      <c r="C816" s="25"/>
      <c r="D816" s="25"/>
      <c r="E816" s="25"/>
      <c r="F816" s="25"/>
      <c r="G816" s="26"/>
      <c r="H816" s="27"/>
      <c r="I816" s="24"/>
      <c r="J816" s="24"/>
      <c r="K816" s="28"/>
      <c r="L816" s="29"/>
      <c r="M816" s="29"/>
      <c r="N816" s="29"/>
      <c r="O816" s="27"/>
      <c r="P816" s="30"/>
      <c r="Q816" s="31"/>
      <c r="R816" s="31"/>
      <c r="S816" s="32"/>
      <c r="T816" s="32"/>
      <c r="U816" s="32"/>
      <c r="V816" s="32"/>
      <c r="W816" s="32"/>
      <c r="X816" s="32"/>
      <c r="Y816" s="32"/>
      <c r="Z816" s="32"/>
      <c r="AA816" s="32"/>
      <c r="AB816" s="32"/>
    </row>
    <row r="817" spans="1:28" ht="15.6" customHeight="1" x14ac:dyDescent="0.25">
      <c r="A817" s="24"/>
      <c r="B817" s="24"/>
      <c r="C817" s="25"/>
      <c r="D817" s="25"/>
      <c r="E817" s="25"/>
      <c r="F817" s="25"/>
      <c r="G817" s="26"/>
      <c r="H817" s="27"/>
      <c r="I817" s="24"/>
      <c r="J817" s="24"/>
      <c r="K817" s="28"/>
      <c r="L817" s="29"/>
      <c r="M817" s="29"/>
      <c r="N817" s="29"/>
      <c r="O817" s="27"/>
      <c r="P817" s="30"/>
      <c r="Q817" s="31"/>
      <c r="R817" s="31"/>
      <c r="S817" s="32"/>
      <c r="T817" s="32"/>
      <c r="U817" s="32"/>
      <c r="V817" s="32"/>
      <c r="W817" s="32"/>
      <c r="X817" s="32"/>
      <c r="Y817" s="32"/>
      <c r="Z817" s="32"/>
      <c r="AA817" s="32"/>
      <c r="AB817" s="32"/>
    </row>
    <row r="818" spans="1:28" ht="15.6" customHeight="1" x14ac:dyDescent="0.25">
      <c r="A818" s="24"/>
      <c r="B818" s="24"/>
      <c r="C818" s="25"/>
      <c r="D818" s="25"/>
      <c r="E818" s="25"/>
      <c r="F818" s="25"/>
      <c r="G818" s="26"/>
      <c r="H818" s="27"/>
      <c r="I818" s="24"/>
      <c r="J818" s="24"/>
      <c r="K818" s="28"/>
      <c r="L818" s="29"/>
      <c r="M818" s="29"/>
      <c r="N818" s="29"/>
      <c r="O818" s="27"/>
      <c r="P818" s="30"/>
      <c r="Q818" s="31"/>
      <c r="R818" s="31"/>
      <c r="S818" s="32"/>
      <c r="T818" s="32"/>
      <c r="U818" s="32"/>
      <c r="V818" s="32"/>
      <c r="W818" s="32"/>
      <c r="X818" s="32"/>
      <c r="Y818" s="32"/>
      <c r="Z818" s="32"/>
      <c r="AA818" s="32"/>
      <c r="AB818" s="32"/>
    </row>
    <row r="819" spans="1:28" ht="15.6" customHeight="1" x14ac:dyDescent="0.25">
      <c r="A819" s="24"/>
      <c r="B819" s="24"/>
      <c r="C819" s="25"/>
      <c r="D819" s="25"/>
      <c r="E819" s="25"/>
      <c r="F819" s="25"/>
      <c r="G819" s="26"/>
      <c r="H819" s="27"/>
      <c r="I819" s="24"/>
      <c r="J819" s="24"/>
      <c r="K819" s="28"/>
      <c r="L819" s="29"/>
      <c r="M819" s="29"/>
      <c r="N819" s="29"/>
      <c r="O819" s="27"/>
      <c r="P819" s="30"/>
      <c r="Q819" s="31"/>
      <c r="R819" s="31"/>
      <c r="S819" s="32"/>
      <c r="T819" s="32"/>
      <c r="U819" s="32"/>
      <c r="V819" s="32"/>
      <c r="W819" s="32"/>
      <c r="X819" s="32"/>
      <c r="Y819" s="32"/>
      <c r="Z819" s="32"/>
      <c r="AA819" s="32"/>
      <c r="AB819" s="32"/>
    </row>
    <row r="820" spans="1:28" ht="15.6" customHeight="1" x14ac:dyDescent="0.25">
      <c r="A820" s="24"/>
      <c r="B820" s="24"/>
      <c r="C820" s="25"/>
      <c r="D820" s="25"/>
      <c r="E820" s="25"/>
      <c r="F820" s="25"/>
      <c r="G820" s="26"/>
      <c r="H820" s="27"/>
      <c r="I820" s="24"/>
      <c r="J820" s="24"/>
      <c r="K820" s="28"/>
      <c r="L820" s="29"/>
      <c r="M820" s="29"/>
      <c r="N820" s="29"/>
      <c r="O820" s="27"/>
      <c r="P820" s="30"/>
      <c r="Q820" s="31"/>
      <c r="R820" s="31"/>
      <c r="S820" s="32"/>
      <c r="T820" s="32"/>
      <c r="U820" s="32"/>
      <c r="V820" s="32"/>
      <c r="W820" s="32"/>
      <c r="X820" s="32"/>
      <c r="Y820" s="32"/>
      <c r="Z820" s="32"/>
      <c r="AA820" s="32"/>
      <c r="AB820" s="32"/>
    </row>
    <row r="821" spans="1:28" ht="15.6" customHeight="1" x14ac:dyDescent="0.25">
      <c r="A821" s="24"/>
      <c r="B821" s="24"/>
      <c r="C821" s="25"/>
      <c r="D821" s="25"/>
      <c r="E821" s="25"/>
      <c r="F821" s="25"/>
      <c r="G821" s="26"/>
      <c r="H821" s="27"/>
      <c r="I821" s="24"/>
      <c r="J821" s="24"/>
      <c r="K821" s="28"/>
      <c r="L821" s="29"/>
      <c r="M821" s="29"/>
      <c r="N821" s="29"/>
      <c r="O821" s="27"/>
      <c r="P821" s="30"/>
      <c r="Q821" s="31"/>
      <c r="R821" s="31"/>
      <c r="S821" s="32"/>
      <c r="T821" s="32"/>
      <c r="U821" s="32"/>
      <c r="V821" s="32"/>
      <c r="W821" s="32"/>
      <c r="X821" s="32"/>
      <c r="Y821" s="32"/>
      <c r="Z821" s="32"/>
      <c r="AA821" s="32"/>
      <c r="AB821" s="32"/>
    </row>
    <row r="822" spans="1:28" ht="15.6" customHeight="1" x14ac:dyDescent="0.25">
      <c r="A822" s="24"/>
      <c r="B822" s="24"/>
      <c r="C822" s="25"/>
      <c r="D822" s="25"/>
      <c r="E822" s="25"/>
      <c r="F822" s="25"/>
      <c r="G822" s="26"/>
      <c r="H822" s="27"/>
      <c r="I822" s="24"/>
      <c r="J822" s="24"/>
      <c r="K822" s="28"/>
      <c r="L822" s="29"/>
      <c r="M822" s="29"/>
      <c r="N822" s="29"/>
      <c r="O822" s="27"/>
      <c r="P822" s="30"/>
      <c r="Q822" s="31"/>
      <c r="R822" s="31"/>
      <c r="S822" s="32"/>
      <c r="T822" s="32"/>
      <c r="U822" s="32"/>
      <c r="V822" s="32"/>
      <c r="W822" s="32"/>
      <c r="X822" s="32"/>
      <c r="Y822" s="32"/>
      <c r="Z822" s="32"/>
      <c r="AA822" s="32"/>
      <c r="AB822" s="32"/>
    </row>
    <row r="823" spans="1:28" ht="15.6" customHeight="1" x14ac:dyDescent="0.25">
      <c r="A823" s="24"/>
      <c r="B823" s="24"/>
      <c r="C823" s="25"/>
      <c r="D823" s="25"/>
      <c r="E823" s="25"/>
      <c r="F823" s="25"/>
      <c r="G823" s="26"/>
      <c r="H823" s="27"/>
      <c r="I823" s="24"/>
      <c r="J823" s="24"/>
      <c r="K823" s="28"/>
      <c r="L823" s="29"/>
      <c r="M823" s="29"/>
      <c r="N823" s="29"/>
      <c r="O823" s="27"/>
      <c r="P823" s="30"/>
      <c r="Q823" s="31"/>
      <c r="R823" s="31"/>
      <c r="S823" s="32"/>
      <c r="T823" s="32"/>
      <c r="U823" s="32"/>
      <c r="V823" s="32"/>
      <c r="W823" s="32"/>
      <c r="X823" s="32"/>
      <c r="Y823" s="32"/>
      <c r="Z823" s="32"/>
      <c r="AA823" s="32"/>
      <c r="AB823" s="32"/>
    </row>
    <row r="824" spans="1:28" ht="15.6" customHeight="1" x14ac:dyDescent="0.25">
      <c r="A824" s="24"/>
      <c r="B824" s="24"/>
      <c r="C824" s="25"/>
      <c r="D824" s="25"/>
      <c r="E824" s="25"/>
      <c r="F824" s="25"/>
      <c r="G824" s="26"/>
      <c r="H824" s="27"/>
      <c r="I824" s="24"/>
      <c r="J824" s="24"/>
      <c r="K824" s="28"/>
      <c r="L824" s="29"/>
      <c r="M824" s="29"/>
      <c r="N824" s="29"/>
      <c r="O824" s="27"/>
      <c r="P824" s="30"/>
      <c r="Q824" s="31"/>
      <c r="R824" s="31"/>
      <c r="S824" s="32"/>
      <c r="T824" s="32"/>
      <c r="U824" s="32"/>
      <c r="V824" s="32"/>
      <c r="W824" s="32"/>
      <c r="X824" s="32"/>
      <c r="Y824" s="32"/>
      <c r="Z824" s="32"/>
      <c r="AA824" s="32"/>
      <c r="AB824" s="32"/>
    </row>
    <row r="825" spans="1:28" ht="15.6" customHeight="1" x14ac:dyDescent="0.25">
      <c r="A825" s="24"/>
      <c r="B825" s="24"/>
      <c r="C825" s="25"/>
      <c r="D825" s="25"/>
      <c r="E825" s="25"/>
      <c r="F825" s="25"/>
      <c r="G825" s="26"/>
      <c r="H825" s="27"/>
      <c r="I825" s="24"/>
      <c r="J825" s="24"/>
      <c r="K825" s="28"/>
      <c r="L825" s="29"/>
      <c r="M825" s="29"/>
      <c r="N825" s="29"/>
      <c r="O825" s="27"/>
      <c r="P825" s="30"/>
      <c r="Q825" s="31"/>
      <c r="R825" s="31"/>
      <c r="S825" s="32"/>
      <c r="T825" s="32"/>
      <c r="U825" s="32"/>
      <c r="V825" s="32"/>
      <c r="W825" s="32"/>
      <c r="X825" s="32"/>
      <c r="Y825" s="32"/>
      <c r="Z825" s="32"/>
      <c r="AA825" s="32"/>
      <c r="AB825" s="32"/>
    </row>
    <row r="826" spans="1:28" ht="15.6" customHeight="1" x14ac:dyDescent="0.25">
      <c r="A826" s="24"/>
      <c r="B826" s="24"/>
      <c r="C826" s="25"/>
      <c r="D826" s="25"/>
      <c r="E826" s="25"/>
      <c r="F826" s="25"/>
      <c r="G826" s="26"/>
      <c r="H826" s="27"/>
      <c r="I826" s="24"/>
      <c r="J826" s="24"/>
      <c r="K826" s="28"/>
      <c r="L826" s="29"/>
      <c r="M826" s="29"/>
      <c r="N826" s="29"/>
      <c r="O826" s="27"/>
      <c r="P826" s="30"/>
      <c r="Q826" s="31"/>
      <c r="R826" s="31"/>
      <c r="S826" s="32"/>
      <c r="T826" s="32"/>
      <c r="U826" s="32"/>
      <c r="V826" s="32"/>
      <c r="W826" s="32"/>
      <c r="X826" s="32"/>
      <c r="Y826" s="32"/>
      <c r="Z826" s="32"/>
      <c r="AA826" s="32"/>
      <c r="AB826" s="32"/>
    </row>
    <row r="827" spans="1:28" ht="15.6" customHeight="1" x14ac:dyDescent="0.25">
      <c r="A827" s="24"/>
      <c r="B827" s="24"/>
      <c r="C827" s="25"/>
      <c r="D827" s="25"/>
      <c r="E827" s="25"/>
      <c r="F827" s="25"/>
      <c r="G827" s="26"/>
      <c r="H827" s="27"/>
      <c r="I827" s="24"/>
      <c r="J827" s="24"/>
      <c r="K827" s="28"/>
      <c r="L827" s="29"/>
      <c r="M827" s="29"/>
      <c r="N827" s="29"/>
      <c r="O827" s="27"/>
      <c r="P827" s="30"/>
      <c r="Q827" s="31"/>
      <c r="R827" s="31"/>
      <c r="S827" s="32"/>
      <c r="T827" s="32"/>
      <c r="U827" s="32"/>
      <c r="V827" s="32"/>
      <c r="W827" s="32"/>
      <c r="X827" s="32"/>
      <c r="Y827" s="32"/>
      <c r="Z827" s="32"/>
      <c r="AA827" s="32"/>
      <c r="AB827" s="32"/>
    </row>
    <row r="828" spans="1:28" ht="15.6" customHeight="1" x14ac:dyDescent="0.25">
      <c r="A828" s="24"/>
      <c r="B828" s="24"/>
      <c r="C828" s="25"/>
      <c r="D828" s="25"/>
      <c r="E828" s="25"/>
      <c r="F828" s="25"/>
      <c r="G828" s="26"/>
      <c r="H828" s="27"/>
      <c r="I828" s="24"/>
      <c r="J828" s="24"/>
      <c r="K828" s="28"/>
      <c r="L828" s="29"/>
      <c r="M828" s="29"/>
      <c r="N828" s="29"/>
      <c r="O828" s="27"/>
      <c r="P828" s="30"/>
      <c r="Q828" s="31"/>
      <c r="R828" s="31"/>
      <c r="S828" s="32"/>
      <c r="T828" s="32"/>
      <c r="U828" s="32"/>
      <c r="V828" s="32"/>
      <c r="W828" s="32"/>
      <c r="X828" s="32"/>
      <c r="Y828" s="32"/>
      <c r="Z828" s="32"/>
      <c r="AA828" s="32"/>
      <c r="AB828" s="32"/>
    </row>
    <row r="829" spans="1:28" ht="15.6" customHeight="1" x14ac:dyDescent="0.25">
      <c r="A829" s="24"/>
      <c r="B829" s="24"/>
      <c r="C829" s="25"/>
      <c r="D829" s="25"/>
      <c r="E829" s="25"/>
      <c r="F829" s="25"/>
      <c r="G829" s="26"/>
      <c r="H829" s="27"/>
      <c r="I829" s="24"/>
      <c r="J829" s="24"/>
      <c r="K829" s="28"/>
      <c r="L829" s="29"/>
      <c r="M829" s="29"/>
      <c r="N829" s="29"/>
      <c r="O829" s="27"/>
      <c r="P829" s="30"/>
      <c r="Q829" s="31"/>
      <c r="R829" s="31"/>
      <c r="S829" s="32"/>
      <c r="T829" s="32"/>
      <c r="U829" s="32"/>
      <c r="V829" s="32"/>
      <c r="W829" s="32"/>
      <c r="X829" s="32"/>
      <c r="Y829" s="32"/>
      <c r="Z829" s="32"/>
      <c r="AA829" s="32"/>
      <c r="AB829" s="32"/>
    </row>
    <row r="830" spans="1:28" ht="15.6" customHeight="1" x14ac:dyDescent="0.25">
      <c r="A830" s="24"/>
      <c r="B830" s="24"/>
      <c r="C830" s="25"/>
      <c r="D830" s="25"/>
      <c r="E830" s="25"/>
      <c r="F830" s="25"/>
      <c r="G830" s="26"/>
      <c r="H830" s="27"/>
      <c r="I830" s="24"/>
      <c r="J830" s="24"/>
      <c r="K830" s="28"/>
      <c r="L830" s="29"/>
      <c r="M830" s="29"/>
      <c r="N830" s="29"/>
      <c r="O830" s="27"/>
      <c r="P830" s="30"/>
      <c r="Q830" s="31"/>
      <c r="R830" s="31"/>
      <c r="S830" s="32"/>
      <c r="T830" s="32"/>
      <c r="U830" s="32"/>
      <c r="V830" s="32"/>
      <c r="W830" s="32"/>
      <c r="X830" s="32"/>
      <c r="Y830" s="32"/>
      <c r="Z830" s="32"/>
      <c r="AA830" s="32"/>
      <c r="AB830" s="32"/>
    </row>
    <row r="831" spans="1:28" ht="15.6" customHeight="1" x14ac:dyDescent="0.25">
      <c r="A831" s="24"/>
      <c r="B831" s="24"/>
      <c r="C831" s="25"/>
      <c r="D831" s="25"/>
      <c r="E831" s="25"/>
      <c r="F831" s="25"/>
      <c r="G831" s="26"/>
      <c r="H831" s="27"/>
      <c r="I831" s="24"/>
      <c r="J831" s="24"/>
      <c r="K831" s="28"/>
      <c r="L831" s="29"/>
      <c r="M831" s="29"/>
      <c r="N831" s="29"/>
      <c r="O831" s="27"/>
      <c r="P831" s="30"/>
      <c r="Q831" s="31"/>
      <c r="R831" s="31"/>
      <c r="S831" s="32"/>
      <c r="T831" s="32"/>
      <c r="U831" s="32"/>
      <c r="V831" s="32"/>
      <c r="W831" s="32"/>
      <c r="X831" s="32"/>
      <c r="Y831" s="32"/>
      <c r="Z831" s="32"/>
      <c r="AA831" s="32"/>
      <c r="AB831" s="32"/>
    </row>
    <row r="832" spans="1:28" ht="15.6" customHeight="1" x14ac:dyDescent="0.25">
      <c r="A832" s="24"/>
      <c r="B832" s="24"/>
      <c r="C832" s="25"/>
      <c r="D832" s="25"/>
      <c r="E832" s="25"/>
      <c r="F832" s="25"/>
      <c r="G832" s="26"/>
      <c r="H832" s="27"/>
      <c r="I832" s="24"/>
      <c r="J832" s="24"/>
      <c r="K832" s="28"/>
      <c r="L832" s="29"/>
      <c r="M832" s="29"/>
      <c r="N832" s="29"/>
      <c r="O832" s="27"/>
      <c r="P832" s="30"/>
      <c r="Q832" s="31"/>
      <c r="R832" s="31"/>
      <c r="S832" s="32"/>
      <c r="T832" s="32"/>
      <c r="U832" s="32"/>
      <c r="V832" s="32"/>
      <c r="W832" s="32"/>
      <c r="X832" s="32"/>
      <c r="Y832" s="32"/>
      <c r="Z832" s="32"/>
      <c r="AA832" s="32"/>
      <c r="AB832" s="32"/>
    </row>
    <row r="833" spans="1:28" ht="15.6" customHeight="1" x14ac:dyDescent="0.25">
      <c r="A833" s="24"/>
      <c r="B833" s="24"/>
      <c r="C833" s="25"/>
      <c r="D833" s="25"/>
      <c r="E833" s="25"/>
      <c r="F833" s="25"/>
      <c r="G833" s="26"/>
      <c r="H833" s="27"/>
      <c r="I833" s="24"/>
      <c r="J833" s="24"/>
      <c r="K833" s="28"/>
      <c r="L833" s="29"/>
      <c r="M833" s="29"/>
      <c r="N833" s="29"/>
      <c r="O833" s="27"/>
      <c r="P833" s="30"/>
      <c r="Q833" s="31"/>
      <c r="R833" s="31"/>
      <c r="S833" s="32"/>
      <c r="T833" s="32"/>
      <c r="U833" s="32"/>
      <c r="V833" s="32"/>
      <c r="W833" s="32"/>
      <c r="X833" s="32"/>
      <c r="Y833" s="32"/>
      <c r="Z833" s="32"/>
      <c r="AA833" s="32"/>
      <c r="AB833" s="32"/>
    </row>
    <row r="834" spans="1:28" ht="15.6" customHeight="1" x14ac:dyDescent="0.25">
      <c r="A834" s="24"/>
      <c r="B834" s="24"/>
      <c r="C834" s="25"/>
      <c r="D834" s="25"/>
      <c r="E834" s="25"/>
      <c r="F834" s="25"/>
      <c r="G834" s="26"/>
      <c r="H834" s="27"/>
      <c r="I834" s="24"/>
      <c r="J834" s="24"/>
      <c r="K834" s="28"/>
      <c r="L834" s="29"/>
      <c r="M834" s="29"/>
      <c r="N834" s="29"/>
      <c r="O834" s="27"/>
      <c r="P834" s="30"/>
      <c r="Q834" s="31"/>
      <c r="R834" s="31"/>
      <c r="S834" s="32"/>
      <c r="T834" s="32"/>
      <c r="U834" s="32"/>
      <c r="V834" s="32"/>
      <c r="W834" s="32"/>
      <c r="X834" s="32"/>
      <c r="Y834" s="32"/>
      <c r="Z834" s="32"/>
      <c r="AA834" s="32"/>
      <c r="AB834" s="32"/>
    </row>
    <row r="835" spans="1:28" ht="15.6" customHeight="1" x14ac:dyDescent="0.25">
      <c r="A835" s="24"/>
      <c r="B835" s="24"/>
      <c r="C835" s="25"/>
      <c r="D835" s="25"/>
      <c r="E835" s="25"/>
      <c r="F835" s="25"/>
      <c r="G835" s="26"/>
      <c r="H835" s="27"/>
      <c r="I835" s="24"/>
      <c r="J835" s="24"/>
      <c r="K835" s="28"/>
      <c r="L835" s="29"/>
      <c r="M835" s="29"/>
      <c r="N835" s="29"/>
      <c r="O835" s="27"/>
      <c r="P835" s="30"/>
      <c r="Q835" s="31"/>
      <c r="R835" s="31"/>
      <c r="S835" s="32"/>
      <c r="T835" s="32"/>
      <c r="U835" s="32"/>
      <c r="V835" s="32"/>
      <c r="W835" s="32"/>
      <c r="X835" s="32"/>
      <c r="Y835" s="32"/>
      <c r="Z835" s="32"/>
      <c r="AA835" s="32"/>
      <c r="AB835" s="32"/>
    </row>
    <row r="836" spans="1:28" ht="15.6" customHeight="1" x14ac:dyDescent="0.25">
      <c r="A836" s="24"/>
      <c r="B836" s="24"/>
      <c r="C836" s="25"/>
      <c r="D836" s="25"/>
      <c r="E836" s="25"/>
      <c r="F836" s="25"/>
      <c r="G836" s="26"/>
      <c r="H836" s="27"/>
      <c r="I836" s="24"/>
      <c r="J836" s="24"/>
      <c r="K836" s="28"/>
      <c r="L836" s="29"/>
      <c r="M836" s="29"/>
      <c r="N836" s="29"/>
      <c r="O836" s="27"/>
      <c r="P836" s="30"/>
      <c r="Q836" s="31"/>
      <c r="R836" s="31"/>
      <c r="S836" s="32"/>
      <c r="T836" s="32"/>
      <c r="U836" s="32"/>
      <c r="V836" s="32"/>
      <c r="W836" s="32"/>
      <c r="X836" s="32"/>
      <c r="Y836" s="32"/>
      <c r="Z836" s="32"/>
      <c r="AA836" s="32"/>
      <c r="AB836" s="32"/>
    </row>
    <row r="837" spans="1:28" ht="15.6" customHeight="1" x14ac:dyDescent="0.25">
      <c r="A837" s="24"/>
      <c r="B837" s="24"/>
      <c r="C837" s="25"/>
      <c r="D837" s="25"/>
      <c r="E837" s="25"/>
      <c r="F837" s="25"/>
      <c r="G837" s="26"/>
      <c r="H837" s="27"/>
      <c r="I837" s="24"/>
      <c r="J837" s="24"/>
      <c r="K837" s="28"/>
      <c r="L837" s="29"/>
      <c r="M837" s="29"/>
      <c r="N837" s="29"/>
      <c r="O837" s="27"/>
      <c r="P837" s="30"/>
      <c r="Q837" s="31"/>
      <c r="R837" s="31"/>
      <c r="S837" s="32"/>
      <c r="T837" s="32"/>
      <c r="U837" s="32"/>
      <c r="V837" s="32"/>
      <c r="W837" s="32"/>
      <c r="X837" s="32"/>
      <c r="Y837" s="32"/>
      <c r="Z837" s="32"/>
      <c r="AA837" s="32"/>
      <c r="AB837" s="32"/>
    </row>
    <row r="838" spans="1:28" ht="15.6" customHeight="1" x14ac:dyDescent="0.25">
      <c r="A838" s="24"/>
      <c r="B838" s="24"/>
      <c r="C838" s="25"/>
      <c r="D838" s="25"/>
      <c r="E838" s="25"/>
      <c r="F838" s="25"/>
      <c r="G838" s="26"/>
      <c r="H838" s="27"/>
      <c r="I838" s="24"/>
      <c r="J838" s="24"/>
      <c r="K838" s="28"/>
      <c r="L838" s="29"/>
      <c r="M838" s="29"/>
      <c r="N838" s="29"/>
      <c r="O838" s="27"/>
      <c r="P838" s="30"/>
      <c r="Q838" s="31"/>
      <c r="R838" s="31"/>
      <c r="S838" s="32"/>
      <c r="T838" s="32"/>
      <c r="U838" s="32"/>
      <c r="V838" s="32"/>
      <c r="W838" s="32"/>
      <c r="X838" s="32"/>
      <c r="Y838" s="32"/>
      <c r="Z838" s="32"/>
      <c r="AA838" s="32"/>
      <c r="AB838" s="32"/>
    </row>
    <row r="839" spans="1:28" ht="15.6" customHeight="1" x14ac:dyDescent="0.25">
      <c r="A839" s="24"/>
      <c r="B839" s="24"/>
      <c r="C839" s="25"/>
      <c r="D839" s="25"/>
      <c r="E839" s="25"/>
      <c r="F839" s="25"/>
      <c r="G839" s="26"/>
      <c r="H839" s="27"/>
      <c r="I839" s="24"/>
      <c r="J839" s="24"/>
      <c r="K839" s="28"/>
      <c r="L839" s="29"/>
      <c r="M839" s="29"/>
      <c r="N839" s="29"/>
      <c r="O839" s="27"/>
      <c r="P839" s="30"/>
      <c r="Q839" s="31"/>
      <c r="R839" s="31"/>
      <c r="S839" s="32"/>
      <c r="T839" s="32"/>
      <c r="U839" s="32"/>
      <c r="V839" s="32"/>
      <c r="W839" s="32"/>
      <c r="X839" s="32"/>
      <c r="Y839" s="32"/>
      <c r="Z839" s="32"/>
      <c r="AA839" s="32"/>
      <c r="AB839" s="32"/>
    </row>
    <row r="840" spans="1:28" ht="15.6" customHeight="1" x14ac:dyDescent="0.25">
      <c r="A840" s="24"/>
      <c r="B840" s="24"/>
      <c r="C840" s="25"/>
      <c r="D840" s="25"/>
      <c r="E840" s="25"/>
      <c r="F840" s="25"/>
      <c r="G840" s="26"/>
      <c r="H840" s="27"/>
      <c r="I840" s="24"/>
      <c r="J840" s="24"/>
      <c r="K840" s="28"/>
      <c r="L840" s="29"/>
      <c r="M840" s="29"/>
      <c r="N840" s="29"/>
      <c r="O840" s="27"/>
      <c r="P840" s="30"/>
      <c r="Q840" s="31"/>
      <c r="R840" s="31"/>
      <c r="S840" s="32"/>
      <c r="T840" s="32"/>
      <c r="U840" s="32"/>
      <c r="V840" s="32"/>
      <c r="W840" s="32"/>
      <c r="X840" s="32"/>
      <c r="Y840" s="32"/>
      <c r="Z840" s="32"/>
      <c r="AA840" s="32"/>
      <c r="AB840" s="32"/>
    </row>
    <row r="841" spans="1:28" ht="15.6" customHeight="1" x14ac:dyDescent="0.25">
      <c r="A841" s="24"/>
      <c r="B841" s="24"/>
      <c r="C841" s="25"/>
      <c r="D841" s="25"/>
      <c r="E841" s="25"/>
      <c r="F841" s="25"/>
      <c r="G841" s="26"/>
      <c r="H841" s="27"/>
      <c r="I841" s="24"/>
      <c r="J841" s="24"/>
      <c r="K841" s="28"/>
      <c r="L841" s="29"/>
      <c r="M841" s="29"/>
      <c r="N841" s="29"/>
      <c r="O841" s="27"/>
      <c r="P841" s="30"/>
      <c r="Q841" s="31"/>
      <c r="R841" s="31"/>
      <c r="S841" s="32"/>
      <c r="T841" s="32"/>
      <c r="U841" s="32"/>
      <c r="V841" s="32"/>
      <c r="W841" s="32"/>
      <c r="X841" s="32"/>
      <c r="Y841" s="32"/>
      <c r="Z841" s="32"/>
      <c r="AA841" s="32"/>
      <c r="AB841" s="32"/>
    </row>
    <row r="842" spans="1:28" ht="15.6" customHeight="1" x14ac:dyDescent="0.25">
      <c r="A842" s="24"/>
      <c r="B842" s="24"/>
      <c r="C842" s="25"/>
      <c r="D842" s="25"/>
      <c r="E842" s="25"/>
      <c r="F842" s="25"/>
      <c r="G842" s="26"/>
      <c r="H842" s="27"/>
      <c r="I842" s="24"/>
      <c r="J842" s="24"/>
      <c r="K842" s="28"/>
      <c r="L842" s="29"/>
      <c r="M842" s="29"/>
      <c r="N842" s="29"/>
      <c r="O842" s="27"/>
      <c r="P842" s="30"/>
      <c r="Q842" s="31"/>
      <c r="R842" s="31"/>
      <c r="S842" s="32"/>
      <c r="T842" s="32"/>
      <c r="U842" s="32"/>
      <c r="V842" s="32"/>
      <c r="W842" s="32"/>
      <c r="X842" s="32"/>
      <c r="Y842" s="32"/>
      <c r="Z842" s="32"/>
      <c r="AA842" s="32"/>
      <c r="AB842" s="32"/>
    </row>
    <row r="843" spans="1:28" ht="15.6" customHeight="1" x14ac:dyDescent="0.25">
      <c r="A843" s="24"/>
      <c r="B843" s="24"/>
      <c r="C843" s="25"/>
      <c r="D843" s="25"/>
      <c r="E843" s="25"/>
      <c r="F843" s="25"/>
      <c r="G843" s="26"/>
      <c r="H843" s="27"/>
      <c r="I843" s="24"/>
      <c r="J843" s="24"/>
      <c r="K843" s="28"/>
      <c r="L843" s="29"/>
      <c r="M843" s="29"/>
      <c r="N843" s="29"/>
      <c r="O843" s="27"/>
      <c r="P843" s="30"/>
      <c r="Q843" s="31"/>
      <c r="R843" s="31"/>
      <c r="S843" s="32"/>
      <c r="T843" s="32"/>
      <c r="U843" s="32"/>
      <c r="V843" s="32"/>
      <c r="W843" s="32"/>
      <c r="X843" s="32"/>
      <c r="Y843" s="32"/>
      <c r="Z843" s="32"/>
      <c r="AA843" s="32"/>
      <c r="AB843" s="32"/>
    </row>
    <row r="844" spans="1:28" ht="15.6" customHeight="1" x14ac:dyDescent="0.25">
      <c r="A844" s="24"/>
      <c r="B844" s="24"/>
      <c r="C844" s="25"/>
      <c r="D844" s="25"/>
      <c r="E844" s="25"/>
      <c r="F844" s="25"/>
      <c r="G844" s="26"/>
      <c r="H844" s="27"/>
      <c r="I844" s="24"/>
      <c r="J844" s="24"/>
      <c r="K844" s="28"/>
      <c r="L844" s="29"/>
      <c r="M844" s="29"/>
      <c r="N844" s="29"/>
      <c r="O844" s="27"/>
      <c r="P844" s="30"/>
      <c r="Q844" s="31"/>
      <c r="R844" s="31"/>
      <c r="S844" s="32"/>
      <c r="T844" s="32"/>
      <c r="U844" s="32"/>
      <c r="V844" s="32"/>
      <c r="W844" s="32"/>
      <c r="X844" s="32"/>
      <c r="Y844" s="32"/>
      <c r="Z844" s="32"/>
      <c r="AA844" s="32"/>
      <c r="AB844" s="32"/>
    </row>
    <row r="845" spans="1:28" ht="15.6" customHeight="1" x14ac:dyDescent="0.25">
      <c r="A845" s="24"/>
      <c r="B845" s="24"/>
      <c r="C845" s="25"/>
      <c r="D845" s="25"/>
      <c r="E845" s="25"/>
      <c r="F845" s="25"/>
      <c r="G845" s="26"/>
      <c r="H845" s="27"/>
      <c r="I845" s="24"/>
      <c r="J845" s="24"/>
      <c r="K845" s="28"/>
      <c r="L845" s="29"/>
      <c r="M845" s="29"/>
      <c r="N845" s="29"/>
      <c r="O845" s="27"/>
      <c r="P845" s="30"/>
      <c r="Q845" s="31"/>
      <c r="R845" s="31"/>
      <c r="S845" s="32"/>
      <c r="T845" s="32"/>
      <c r="U845" s="32"/>
      <c r="V845" s="32"/>
      <c r="W845" s="32"/>
      <c r="X845" s="32"/>
      <c r="Y845" s="32"/>
      <c r="Z845" s="32"/>
      <c r="AA845" s="32"/>
      <c r="AB845" s="32"/>
    </row>
    <row r="846" spans="1:28" ht="15.6" customHeight="1" x14ac:dyDescent="0.25">
      <c r="A846" s="24"/>
      <c r="B846" s="24"/>
      <c r="C846" s="25"/>
      <c r="D846" s="25"/>
      <c r="E846" s="25"/>
      <c r="F846" s="25"/>
      <c r="G846" s="26"/>
      <c r="H846" s="27"/>
      <c r="I846" s="24"/>
      <c r="J846" s="24"/>
      <c r="K846" s="28"/>
      <c r="L846" s="29"/>
      <c r="M846" s="29"/>
      <c r="N846" s="29"/>
      <c r="O846" s="27"/>
      <c r="P846" s="30"/>
      <c r="Q846" s="31"/>
      <c r="R846" s="31"/>
      <c r="S846" s="32"/>
      <c r="T846" s="32"/>
      <c r="U846" s="32"/>
      <c r="V846" s="32"/>
      <c r="W846" s="32"/>
      <c r="X846" s="32"/>
      <c r="Y846" s="32"/>
      <c r="Z846" s="32"/>
      <c r="AA846" s="32"/>
      <c r="AB846" s="32"/>
    </row>
    <row r="847" spans="1:28" ht="15.6" customHeight="1" x14ac:dyDescent="0.25">
      <c r="A847" s="24"/>
      <c r="B847" s="24"/>
      <c r="C847" s="25"/>
      <c r="D847" s="25"/>
      <c r="E847" s="25"/>
      <c r="F847" s="25"/>
      <c r="G847" s="26"/>
      <c r="H847" s="27"/>
      <c r="I847" s="24"/>
      <c r="J847" s="24"/>
      <c r="K847" s="28"/>
      <c r="L847" s="29"/>
      <c r="M847" s="29"/>
      <c r="N847" s="29"/>
      <c r="O847" s="27"/>
      <c r="P847" s="30"/>
      <c r="Q847" s="31"/>
      <c r="R847" s="31"/>
      <c r="S847" s="32"/>
      <c r="T847" s="32"/>
      <c r="U847" s="32"/>
      <c r="V847" s="32"/>
      <c r="W847" s="32"/>
      <c r="X847" s="32"/>
      <c r="Y847" s="32"/>
      <c r="Z847" s="32"/>
      <c r="AA847" s="32"/>
      <c r="AB847" s="32"/>
    </row>
    <row r="848" spans="1:28" ht="15.6" customHeight="1" x14ac:dyDescent="0.25">
      <c r="A848" s="24"/>
      <c r="B848" s="24"/>
      <c r="C848" s="25"/>
      <c r="D848" s="25"/>
      <c r="E848" s="25"/>
      <c r="F848" s="25"/>
      <c r="G848" s="26"/>
      <c r="H848" s="27"/>
      <c r="I848" s="24"/>
      <c r="J848" s="24"/>
      <c r="K848" s="28"/>
      <c r="L848" s="29"/>
      <c r="M848" s="29"/>
      <c r="N848" s="29"/>
      <c r="O848" s="27"/>
      <c r="P848" s="30"/>
      <c r="Q848" s="31"/>
      <c r="R848" s="31"/>
      <c r="S848" s="32"/>
      <c r="T848" s="32"/>
      <c r="U848" s="32"/>
      <c r="V848" s="32"/>
      <c r="W848" s="32"/>
      <c r="X848" s="32"/>
      <c r="Y848" s="32"/>
      <c r="Z848" s="32"/>
      <c r="AA848" s="32"/>
      <c r="AB848" s="32"/>
    </row>
    <row r="849" spans="1:28" ht="15.6" customHeight="1" x14ac:dyDescent="0.25">
      <c r="A849" s="24"/>
      <c r="B849" s="24"/>
      <c r="C849" s="25"/>
      <c r="D849" s="25"/>
      <c r="E849" s="25"/>
      <c r="F849" s="25"/>
      <c r="G849" s="26"/>
      <c r="H849" s="27"/>
      <c r="I849" s="24"/>
      <c r="J849" s="24"/>
      <c r="K849" s="28"/>
      <c r="L849" s="29"/>
      <c r="M849" s="29"/>
      <c r="N849" s="29"/>
      <c r="O849" s="27"/>
      <c r="P849" s="30"/>
      <c r="Q849" s="31"/>
      <c r="R849" s="31"/>
      <c r="S849" s="32"/>
      <c r="T849" s="32"/>
      <c r="U849" s="32"/>
      <c r="V849" s="32"/>
      <c r="W849" s="32"/>
      <c r="X849" s="32"/>
      <c r="Y849" s="32"/>
      <c r="Z849" s="32"/>
      <c r="AA849" s="32"/>
      <c r="AB849" s="32"/>
    </row>
    <row r="850" spans="1:28" ht="15.6" customHeight="1" x14ac:dyDescent="0.25">
      <c r="A850" s="24"/>
      <c r="B850" s="24"/>
      <c r="C850" s="25"/>
      <c r="D850" s="25"/>
      <c r="E850" s="25"/>
      <c r="F850" s="25"/>
      <c r="G850" s="26"/>
      <c r="H850" s="27"/>
      <c r="I850" s="24"/>
      <c r="J850" s="24"/>
      <c r="K850" s="28"/>
      <c r="L850" s="29"/>
      <c r="M850" s="29"/>
      <c r="N850" s="29"/>
      <c r="O850" s="27"/>
      <c r="P850" s="30"/>
      <c r="Q850" s="31"/>
      <c r="R850" s="31"/>
      <c r="S850" s="32"/>
      <c r="T850" s="32"/>
      <c r="U850" s="32"/>
      <c r="V850" s="32"/>
      <c r="W850" s="32"/>
      <c r="X850" s="32"/>
      <c r="Y850" s="32"/>
      <c r="Z850" s="32"/>
      <c r="AA850" s="32"/>
      <c r="AB850" s="32"/>
    </row>
    <row r="851" spans="1:28" ht="15.6" customHeight="1" x14ac:dyDescent="0.25">
      <c r="A851" s="24"/>
      <c r="B851" s="24"/>
      <c r="C851" s="25"/>
      <c r="D851" s="25"/>
      <c r="E851" s="25"/>
      <c r="F851" s="25"/>
      <c r="G851" s="26"/>
      <c r="H851" s="27"/>
      <c r="I851" s="24"/>
      <c r="J851" s="24"/>
      <c r="K851" s="28"/>
      <c r="L851" s="29"/>
      <c r="M851" s="29"/>
      <c r="N851" s="29"/>
      <c r="O851" s="27"/>
      <c r="P851" s="30"/>
      <c r="Q851" s="31"/>
      <c r="R851" s="31"/>
      <c r="S851" s="32"/>
      <c r="T851" s="32"/>
      <c r="U851" s="32"/>
      <c r="V851" s="32"/>
      <c r="W851" s="32"/>
      <c r="X851" s="32"/>
      <c r="Y851" s="32"/>
      <c r="Z851" s="32"/>
      <c r="AA851" s="32"/>
      <c r="AB851" s="32"/>
    </row>
    <row r="852" spans="1:28" ht="15.6" customHeight="1" x14ac:dyDescent="0.25">
      <c r="A852" s="24"/>
      <c r="B852" s="24"/>
      <c r="C852" s="25"/>
      <c r="D852" s="25"/>
      <c r="E852" s="25"/>
      <c r="F852" s="25"/>
      <c r="G852" s="26"/>
      <c r="H852" s="27"/>
      <c r="I852" s="24"/>
      <c r="J852" s="24"/>
      <c r="K852" s="28"/>
      <c r="L852" s="29"/>
      <c r="M852" s="29"/>
      <c r="N852" s="29"/>
      <c r="O852" s="27"/>
      <c r="P852" s="30"/>
      <c r="Q852" s="31"/>
      <c r="R852" s="31"/>
      <c r="S852" s="32"/>
      <c r="T852" s="32"/>
      <c r="U852" s="32"/>
      <c r="V852" s="32"/>
      <c r="W852" s="32"/>
      <c r="X852" s="32"/>
      <c r="Y852" s="32"/>
      <c r="Z852" s="32"/>
      <c r="AA852" s="32"/>
      <c r="AB852" s="32"/>
    </row>
    <row r="853" spans="1:28" ht="15.6" customHeight="1" x14ac:dyDescent="0.25">
      <c r="A853" s="24"/>
      <c r="B853" s="24"/>
      <c r="C853" s="25"/>
      <c r="D853" s="25"/>
      <c r="E853" s="25"/>
      <c r="F853" s="25"/>
      <c r="G853" s="26"/>
      <c r="H853" s="27"/>
      <c r="I853" s="24"/>
      <c r="J853" s="24"/>
      <c r="K853" s="28"/>
      <c r="L853" s="29"/>
      <c r="M853" s="29"/>
      <c r="N853" s="29"/>
      <c r="O853" s="27"/>
      <c r="P853" s="30"/>
      <c r="Q853" s="31"/>
      <c r="R853" s="31"/>
      <c r="S853" s="32"/>
      <c r="T853" s="32"/>
      <c r="U853" s="32"/>
      <c r="V853" s="32"/>
      <c r="W853" s="32"/>
      <c r="X853" s="32"/>
      <c r="Y853" s="32"/>
      <c r="Z853" s="32"/>
      <c r="AA853" s="32"/>
      <c r="AB853" s="32"/>
    </row>
    <row r="854" spans="1:28" ht="15.6" customHeight="1" x14ac:dyDescent="0.25">
      <c r="A854" s="24"/>
      <c r="B854" s="24"/>
      <c r="C854" s="25"/>
      <c r="D854" s="25"/>
      <c r="E854" s="25"/>
      <c r="F854" s="25"/>
      <c r="G854" s="26"/>
      <c r="H854" s="27"/>
      <c r="I854" s="24"/>
      <c r="J854" s="24"/>
      <c r="K854" s="28"/>
      <c r="L854" s="29"/>
      <c r="M854" s="29"/>
      <c r="N854" s="29"/>
      <c r="O854" s="27"/>
      <c r="P854" s="30"/>
      <c r="Q854" s="31"/>
      <c r="R854" s="31"/>
      <c r="S854" s="32"/>
      <c r="T854" s="32"/>
      <c r="U854" s="32"/>
      <c r="V854" s="32"/>
      <c r="W854" s="32"/>
      <c r="X854" s="32"/>
      <c r="Y854" s="32"/>
      <c r="Z854" s="32"/>
      <c r="AA854" s="32"/>
      <c r="AB854" s="32"/>
    </row>
    <row r="855" spans="1:28" ht="15.6" customHeight="1" x14ac:dyDescent="0.25">
      <c r="A855" s="24"/>
      <c r="B855" s="24"/>
      <c r="C855" s="25"/>
      <c r="D855" s="25"/>
      <c r="E855" s="25"/>
      <c r="F855" s="25"/>
      <c r="G855" s="26"/>
      <c r="H855" s="27"/>
      <c r="I855" s="24"/>
      <c r="J855" s="24"/>
      <c r="K855" s="28"/>
      <c r="L855" s="29"/>
      <c r="M855" s="29"/>
      <c r="N855" s="29"/>
      <c r="O855" s="27"/>
      <c r="P855" s="30"/>
      <c r="Q855" s="31"/>
      <c r="R855" s="31"/>
      <c r="S855" s="32"/>
      <c r="T855" s="32"/>
      <c r="U855" s="32"/>
      <c r="V855" s="32"/>
      <c r="W855" s="32"/>
      <c r="X855" s="32"/>
      <c r="Y855" s="32"/>
      <c r="Z855" s="32"/>
      <c r="AA855" s="32"/>
      <c r="AB855" s="32"/>
    </row>
    <row r="856" spans="1:28" ht="15.6" customHeight="1" x14ac:dyDescent="0.25">
      <c r="A856" s="24"/>
      <c r="B856" s="24"/>
      <c r="C856" s="25"/>
      <c r="D856" s="25"/>
      <c r="E856" s="25"/>
      <c r="F856" s="25"/>
      <c r="G856" s="26"/>
      <c r="H856" s="27"/>
      <c r="I856" s="24"/>
      <c r="J856" s="24"/>
      <c r="K856" s="28"/>
      <c r="L856" s="29"/>
      <c r="M856" s="29"/>
      <c r="N856" s="29"/>
      <c r="O856" s="27"/>
      <c r="P856" s="30"/>
      <c r="Q856" s="31"/>
      <c r="R856" s="31"/>
      <c r="S856" s="32"/>
      <c r="T856" s="32"/>
      <c r="U856" s="32"/>
      <c r="V856" s="32"/>
      <c r="W856" s="32"/>
      <c r="X856" s="32"/>
      <c r="Y856" s="32"/>
      <c r="Z856" s="32"/>
      <c r="AA856" s="32"/>
      <c r="AB856" s="32"/>
    </row>
    <row r="857" spans="1:28" ht="15.6" customHeight="1" x14ac:dyDescent="0.25">
      <c r="A857" s="24"/>
      <c r="B857" s="24"/>
      <c r="C857" s="25"/>
      <c r="D857" s="25"/>
      <c r="E857" s="25"/>
      <c r="F857" s="25"/>
      <c r="G857" s="26"/>
      <c r="H857" s="27"/>
      <c r="I857" s="24"/>
      <c r="J857" s="24"/>
      <c r="K857" s="28"/>
      <c r="L857" s="29"/>
      <c r="M857" s="29"/>
      <c r="N857" s="29"/>
      <c r="O857" s="27"/>
      <c r="P857" s="30"/>
      <c r="Q857" s="31"/>
      <c r="R857" s="31"/>
      <c r="S857" s="32"/>
      <c r="T857" s="32"/>
      <c r="U857" s="32"/>
      <c r="V857" s="32"/>
      <c r="W857" s="32"/>
      <c r="X857" s="32"/>
      <c r="Y857" s="32"/>
      <c r="Z857" s="32"/>
      <c r="AA857" s="32"/>
      <c r="AB857" s="32"/>
    </row>
    <row r="858" spans="1:28" ht="15.6" customHeight="1" x14ac:dyDescent="0.25">
      <c r="A858" s="24"/>
      <c r="B858" s="24"/>
      <c r="C858" s="25"/>
      <c r="D858" s="25"/>
      <c r="E858" s="25"/>
      <c r="F858" s="25"/>
      <c r="G858" s="26"/>
      <c r="H858" s="27"/>
      <c r="I858" s="24"/>
      <c r="J858" s="24"/>
      <c r="K858" s="28"/>
      <c r="L858" s="29"/>
      <c r="M858" s="29"/>
      <c r="N858" s="29"/>
      <c r="O858" s="27"/>
      <c r="P858" s="30"/>
      <c r="Q858" s="31"/>
      <c r="R858" s="31"/>
      <c r="S858" s="32"/>
      <c r="T858" s="32"/>
      <c r="U858" s="32"/>
      <c r="V858" s="32"/>
      <c r="W858" s="32"/>
      <c r="X858" s="32"/>
      <c r="Y858" s="32"/>
      <c r="Z858" s="32"/>
      <c r="AA858" s="32"/>
      <c r="AB858" s="32"/>
    </row>
    <row r="859" spans="1:28" ht="15.6" customHeight="1" x14ac:dyDescent="0.25">
      <c r="A859" s="24"/>
      <c r="B859" s="24"/>
      <c r="C859" s="25"/>
      <c r="D859" s="25"/>
      <c r="E859" s="25"/>
      <c r="F859" s="25"/>
      <c r="G859" s="26"/>
      <c r="H859" s="27"/>
      <c r="I859" s="24"/>
      <c r="J859" s="24"/>
      <c r="K859" s="28"/>
      <c r="L859" s="29"/>
      <c r="M859" s="29"/>
      <c r="N859" s="29"/>
      <c r="O859" s="27"/>
      <c r="P859" s="30"/>
      <c r="Q859" s="31"/>
      <c r="R859" s="31"/>
      <c r="S859" s="32"/>
      <c r="T859" s="32"/>
      <c r="U859" s="32"/>
      <c r="V859" s="32"/>
      <c r="W859" s="32"/>
      <c r="X859" s="32"/>
      <c r="Y859" s="32"/>
      <c r="Z859" s="32"/>
      <c r="AA859" s="32"/>
      <c r="AB859" s="32"/>
    </row>
    <row r="860" spans="1:28" ht="15.6" customHeight="1" x14ac:dyDescent="0.25">
      <c r="A860" s="24"/>
      <c r="B860" s="24"/>
      <c r="C860" s="25"/>
      <c r="D860" s="25"/>
      <c r="E860" s="25"/>
      <c r="F860" s="25"/>
      <c r="G860" s="26"/>
      <c r="H860" s="27"/>
      <c r="I860" s="24"/>
      <c r="J860" s="24"/>
      <c r="K860" s="28"/>
      <c r="L860" s="29"/>
      <c r="M860" s="29"/>
      <c r="N860" s="29"/>
      <c r="O860" s="27"/>
      <c r="P860" s="30"/>
      <c r="Q860" s="31"/>
      <c r="R860" s="31"/>
      <c r="S860" s="32"/>
      <c r="T860" s="32"/>
      <c r="U860" s="32"/>
      <c r="V860" s="32"/>
      <c r="W860" s="32"/>
      <c r="X860" s="32"/>
      <c r="Y860" s="32"/>
      <c r="Z860" s="32"/>
      <c r="AA860" s="32"/>
      <c r="AB860" s="32"/>
    </row>
    <row r="861" spans="1:28" ht="15.6" customHeight="1" x14ac:dyDescent="0.25">
      <c r="A861" s="24"/>
      <c r="B861" s="24"/>
      <c r="C861" s="25"/>
      <c r="D861" s="25"/>
      <c r="E861" s="25"/>
      <c r="F861" s="25"/>
      <c r="G861" s="26"/>
      <c r="H861" s="27"/>
      <c r="I861" s="24"/>
      <c r="J861" s="24"/>
      <c r="K861" s="28"/>
      <c r="L861" s="29"/>
      <c r="M861" s="29"/>
      <c r="N861" s="29"/>
      <c r="O861" s="27"/>
      <c r="P861" s="30"/>
      <c r="Q861" s="31"/>
      <c r="R861" s="31"/>
      <c r="S861" s="32"/>
      <c r="T861" s="32"/>
      <c r="U861" s="32"/>
      <c r="V861" s="32"/>
      <c r="W861" s="32"/>
      <c r="X861" s="32"/>
      <c r="Y861" s="32"/>
      <c r="Z861" s="32"/>
      <c r="AA861" s="32"/>
      <c r="AB861" s="32"/>
    </row>
    <row r="862" spans="1:28" ht="15.6" customHeight="1" x14ac:dyDescent="0.25">
      <c r="A862" s="24"/>
      <c r="B862" s="24"/>
      <c r="C862" s="25"/>
      <c r="D862" s="25"/>
      <c r="E862" s="25"/>
      <c r="F862" s="25"/>
      <c r="G862" s="26"/>
      <c r="H862" s="27"/>
      <c r="I862" s="24"/>
      <c r="J862" s="24"/>
      <c r="K862" s="28"/>
      <c r="L862" s="29"/>
      <c r="M862" s="29"/>
      <c r="N862" s="29"/>
      <c r="O862" s="27"/>
      <c r="P862" s="30"/>
      <c r="Q862" s="31"/>
      <c r="R862" s="31"/>
      <c r="S862" s="32"/>
      <c r="T862" s="32"/>
      <c r="U862" s="32"/>
      <c r="V862" s="32"/>
      <c r="W862" s="32"/>
      <c r="X862" s="32"/>
      <c r="Y862" s="32"/>
      <c r="Z862" s="32"/>
      <c r="AA862" s="32"/>
      <c r="AB862" s="32"/>
    </row>
    <row r="863" spans="1:28" ht="15.6" customHeight="1" x14ac:dyDescent="0.25">
      <c r="A863" s="24"/>
      <c r="B863" s="24"/>
      <c r="C863" s="25"/>
      <c r="D863" s="25"/>
      <c r="E863" s="25"/>
      <c r="F863" s="25"/>
      <c r="G863" s="26"/>
      <c r="H863" s="27"/>
      <c r="I863" s="24"/>
      <c r="J863" s="24"/>
      <c r="K863" s="28"/>
      <c r="L863" s="29"/>
      <c r="M863" s="29"/>
      <c r="N863" s="29"/>
      <c r="O863" s="27"/>
      <c r="P863" s="30"/>
      <c r="Q863" s="31"/>
      <c r="R863" s="31"/>
      <c r="S863" s="32"/>
      <c r="T863" s="32"/>
      <c r="U863" s="32"/>
      <c r="V863" s="32"/>
      <c r="W863" s="32"/>
      <c r="X863" s="32"/>
      <c r="Y863" s="32"/>
      <c r="Z863" s="32"/>
      <c r="AA863" s="32"/>
      <c r="AB863" s="32"/>
    </row>
    <row r="864" spans="1:28" ht="15.6" customHeight="1" x14ac:dyDescent="0.25">
      <c r="A864" s="24"/>
      <c r="B864" s="24"/>
      <c r="C864" s="25"/>
      <c r="D864" s="25"/>
      <c r="E864" s="25"/>
      <c r="F864" s="25"/>
      <c r="G864" s="26"/>
      <c r="H864" s="27"/>
      <c r="I864" s="24"/>
      <c r="J864" s="24"/>
      <c r="K864" s="28"/>
      <c r="L864" s="29"/>
      <c r="M864" s="29"/>
      <c r="N864" s="29"/>
      <c r="O864" s="27"/>
      <c r="P864" s="30"/>
      <c r="Q864" s="31"/>
      <c r="R864" s="31"/>
      <c r="S864" s="32"/>
      <c r="T864" s="32"/>
      <c r="U864" s="32"/>
      <c r="V864" s="32"/>
      <c r="W864" s="32"/>
      <c r="X864" s="32"/>
      <c r="Y864" s="32"/>
      <c r="Z864" s="32"/>
      <c r="AA864" s="32"/>
      <c r="AB864" s="32"/>
    </row>
    <row r="865" spans="1:28" ht="15.6" customHeight="1" x14ac:dyDescent="0.25">
      <c r="A865" s="24"/>
      <c r="B865" s="24"/>
      <c r="C865" s="25"/>
      <c r="D865" s="25"/>
      <c r="E865" s="25"/>
      <c r="F865" s="25"/>
      <c r="G865" s="26"/>
      <c r="H865" s="27"/>
      <c r="I865" s="24"/>
      <c r="J865" s="24"/>
      <c r="K865" s="28"/>
      <c r="L865" s="29"/>
      <c r="M865" s="29"/>
      <c r="N865" s="29"/>
      <c r="O865" s="27"/>
      <c r="P865" s="30"/>
      <c r="Q865" s="31"/>
      <c r="R865" s="31"/>
      <c r="S865" s="32"/>
      <c r="T865" s="32"/>
      <c r="U865" s="32"/>
      <c r="V865" s="32"/>
      <c r="W865" s="32"/>
      <c r="X865" s="32"/>
      <c r="Y865" s="32"/>
      <c r="Z865" s="32"/>
      <c r="AA865" s="32"/>
      <c r="AB865" s="32"/>
    </row>
    <row r="866" spans="1:28" ht="15.6" customHeight="1" x14ac:dyDescent="0.25">
      <c r="A866" s="24"/>
      <c r="B866" s="24"/>
      <c r="C866" s="25"/>
      <c r="D866" s="25"/>
      <c r="E866" s="25"/>
      <c r="F866" s="25"/>
      <c r="G866" s="26"/>
      <c r="H866" s="27"/>
      <c r="I866" s="24"/>
      <c r="J866" s="24"/>
      <c r="K866" s="28"/>
      <c r="L866" s="29"/>
      <c r="M866" s="29"/>
      <c r="N866" s="29"/>
      <c r="O866" s="27"/>
      <c r="P866" s="30"/>
      <c r="Q866" s="31"/>
      <c r="R866" s="31"/>
      <c r="S866" s="32"/>
      <c r="T866" s="32"/>
      <c r="U866" s="32"/>
      <c r="V866" s="32"/>
      <c r="W866" s="32"/>
      <c r="X866" s="32"/>
      <c r="Y866" s="32"/>
      <c r="Z866" s="32"/>
      <c r="AA866" s="32"/>
      <c r="AB866" s="32"/>
    </row>
    <row r="867" spans="1:28" ht="15.6" customHeight="1" x14ac:dyDescent="0.25">
      <c r="A867" s="24"/>
      <c r="B867" s="24"/>
      <c r="C867" s="25"/>
      <c r="D867" s="25"/>
      <c r="E867" s="25"/>
      <c r="F867" s="25"/>
      <c r="G867" s="26"/>
      <c r="H867" s="27"/>
      <c r="I867" s="24"/>
      <c r="J867" s="24"/>
      <c r="K867" s="28"/>
      <c r="L867" s="29"/>
      <c r="M867" s="29"/>
      <c r="N867" s="29"/>
      <c r="O867" s="27"/>
      <c r="P867" s="30"/>
      <c r="Q867" s="31"/>
      <c r="R867" s="31"/>
      <c r="S867" s="32"/>
      <c r="T867" s="32"/>
      <c r="U867" s="32"/>
      <c r="V867" s="32"/>
      <c r="W867" s="32"/>
      <c r="X867" s="32"/>
      <c r="Y867" s="32"/>
      <c r="Z867" s="32"/>
      <c r="AA867" s="32"/>
      <c r="AB867" s="32"/>
    </row>
    <row r="868" spans="1:28" ht="15.6" customHeight="1" x14ac:dyDescent="0.25">
      <c r="A868" s="24"/>
      <c r="B868" s="24"/>
      <c r="C868" s="25"/>
      <c r="D868" s="25"/>
      <c r="E868" s="25"/>
      <c r="F868" s="25"/>
      <c r="G868" s="26"/>
      <c r="H868" s="27"/>
      <c r="I868" s="24"/>
      <c r="J868" s="24"/>
      <c r="K868" s="28"/>
      <c r="L868" s="29"/>
      <c r="M868" s="29"/>
      <c r="N868" s="29"/>
      <c r="O868" s="27"/>
      <c r="P868" s="30"/>
      <c r="Q868" s="31"/>
      <c r="R868" s="31"/>
      <c r="S868" s="32"/>
      <c r="T868" s="32"/>
      <c r="U868" s="32"/>
      <c r="V868" s="32"/>
      <c r="W868" s="32"/>
      <c r="X868" s="32"/>
      <c r="Y868" s="32"/>
      <c r="Z868" s="32"/>
      <c r="AA868" s="32"/>
      <c r="AB868" s="32"/>
    </row>
    <row r="869" spans="1:28" ht="15.6" customHeight="1" x14ac:dyDescent="0.25">
      <c r="A869" s="24"/>
      <c r="B869" s="24"/>
      <c r="C869" s="25"/>
      <c r="D869" s="25"/>
      <c r="E869" s="25"/>
      <c r="F869" s="25"/>
      <c r="G869" s="26"/>
      <c r="H869" s="27"/>
      <c r="I869" s="24"/>
      <c r="J869" s="24"/>
      <c r="K869" s="28"/>
      <c r="L869" s="29"/>
      <c r="M869" s="29"/>
      <c r="N869" s="29"/>
      <c r="O869" s="27"/>
      <c r="P869" s="30"/>
      <c r="Q869" s="31"/>
      <c r="R869" s="31"/>
      <c r="S869" s="32"/>
      <c r="T869" s="32"/>
      <c r="U869" s="32"/>
      <c r="V869" s="32"/>
      <c r="W869" s="32"/>
      <c r="X869" s="32"/>
      <c r="Y869" s="32"/>
      <c r="Z869" s="32"/>
      <c r="AA869" s="32"/>
      <c r="AB869" s="32"/>
    </row>
    <row r="870" spans="1:28" ht="15.6" customHeight="1" x14ac:dyDescent="0.25">
      <c r="A870" s="24"/>
      <c r="B870" s="24"/>
      <c r="C870" s="25"/>
      <c r="D870" s="25"/>
      <c r="E870" s="25"/>
      <c r="F870" s="25"/>
      <c r="G870" s="26"/>
      <c r="H870" s="27"/>
      <c r="I870" s="24"/>
      <c r="J870" s="24"/>
      <c r="K870" s="28"/>
      <c r="L870" s="29"/>
      <c r="M870" s="29"/>
      <c r="N870" s="29"/>
      <c r="O870" s="27"/>
      <c r="P870" s="30"/>
      <c r="Q870" s="31"/>
      <c r="R870" s="31"/>
      <c r="S870" s="32"/>
      <c r="T870" s="32"/>
      <c r="U870" s="32"/>
      <c r="V870" s="32"/>
      <c r="W870" s="32"/>
      <c r="X870" s="32"/>
      <c r="Y870" s="32"/>
      <c r="Z870" s="32"/>
      <c r="AA870" s="32"/>
      <c r="AB870" s="32"/>
    </row>
    <row r="871" spans="1:28" ht="15.6" customHeight="1" x14ac:dyDescent="0.25">
      <c r="A871" s="24"/>
      <c r="B871" s="24"/>
      <c r="C871" s="25"/>
      <c r="D871" s="25"/>
      <c r="E871" s="25"/>
      <c r="F871" s="25"/>
      <c r="G871" s="26"/>
      <c r="H871" s="27"/>
      <c r="I871" s="24"/>
      <c r="J871" s="24"/>
      <c r="K871" s="28"/>
      <c r="L871" s="29"/>
      <c r="M871" s="29"/>
      <c r="N871" s="29"/>
      <c r="O871" s="27"/>
      <c r="P871" s="30"/>
      <c r="Q871" s="31"/>
      <c r="R871" s="31"/>
      <c r="S871" s="32"/>
      <c r="T871" s="32"/>
      <c r="U871" s="32"/>
      <c r="V871" s="32"/>
      <c r="W871" s="32"/>
      <c r="X871" s="32"/>
      <c r="Y871" s="32"/>
      <c r="Z871" s="32"/>
      <c r="AA871" s="32"/>
      <c r="AB871" s="32"/>
    </row>
    <row r="872" spans="1:28" ht="15.6" customHeight="1" x14ac:dyDescent="0.25">
      <c r="A872" s="24"/>
      <c r="B872" s="24"/>
      <c r="C872" s="25"/>
      <c r="D872" s="25"/>
      <c r="E872" s="25"/>
      <c r="F872" s="25"/>
      <c r="G872" s="26"/>
      <c r="H872" s="27"/>
      <c r="I872" s="24"/>
      <c r="J872" s="24"/>
      <c r="K872" s="28"/>
      <c r="L872" s="29"/>
      <c r="M872" s="29"/>
      <c r="N872" s="29"/>
      <c r="O872" s="27"/>
      <c r="P872" s="30"/>
      <c r="Q872" s="31"/>
      <c r="R872" s="31"/>
      <c r="S872" s="32"/>
      <c r="T872" s="32"/>
      <c r="U872" s="32"/>
      <c r="V872" s="32"/>
      <c r="W872" s="32"/>
      <c r="X872" s="32"/>
      <c r="Y872" s="32"/>
      <c r="Z872" s="32"/>
      <c r="AA872" s="32"/>
      <c r="AB872" s="32"/>
    </row>
    <row r="873" spans="1:28" ht="15.6" customHeight="1" x14ac:dyDescent="0.25">
      <c r="A873" s="24"/>
      <c r="B873" s="24"/>
      <c r="C873" s="25"/>
      <c r="D873" s="25"/>
      <c r="E873" s="25"/>
      <c r="F873" s="25"/>
      <c r="G873" s="26"/>
      <c r="H873" s="27"/>
      <c r="I873" s="24"/>
      <c r="J873" s="24"/>
      <c r="K873" s="28"/>
      <c r="L873" s="29"/>
      <c r="M873" s="29"/>
      <c r="N873" s="29"/>
      <c r="O873" s="27"/>
      <c r="P873" s="30"/>
      <c r="Q873" s="31"/>
      <c r="R873" s="31"/>
      <c r="S873" s="32"/>
      <c r="T873" s="32"/>
      <c r="U873" s="32"/>
      <c r="V873" s="32"/>
      <c r="W873" s="32"/>
      <c r="X873" s="32"/>
      <c r="Y873" s="32"/>
      <c r="Z873" s="32"/>
      <c r="AA873" s="32"/>
      <c r="AB873" s="32"/>
    </row>
    <row r="874" spans="1:28" ht="15.6" customHeight="1" x14ac:dyDescent="0.25">
      <c r="A874" s="24"/>
      <c r="B874" s="24"/>
      <c r="C874" s="25"/>
      <c r="D874" s="25"/>
      <c r="E874" s="25"/>
      <c r="F874" s="25"/>
      <c r="G874" s="26"/>
      <c r="H874" s="27"/>
      <c r="I874" s="24"/>
      <c r="J874" s="24"/>
      <c r="K874" s="28"/>
      <c r="L874" s="29"/>
      <c r="M874" s="29"/>
      <c r="N874" s="29"/>
      <c r="O874" s="27"/>
      <c r="P874" s="30"/>
      <c r="Q874" s="31"/>
      <c r="R874" s="31"/>
      <c r="S874" s="32"/>
      <c r="T874" s="32"/>
      <c r="U874" s="32"/>
      <c r="V874" s="32"/>
      <c r="W874" s="32"/>
      <c r="X874" s="32"/>
      <c r="Y874" s="32"/>
      <c r="Z874" s="32"/>
      <c r="AA874" s="32"/>
      <c r="AB874" s="32"/>
    </row>
    <row r="875" spans="1:28" ht="15.6" customHeight="1" x14ac:dyDescent="0.25">
      <c r="A875" s="24"/>
      <c r="B875" s="24"/>
      <c r="C875" s="25"/>
      <c r="D875" s="25"/>
      <c r="E875" s="25"/>
      <c r="F875" s="25"/>
      <c r="G875" s="26"/>
      <c r="H875" s="27"/>
      <c r="I875" s="24"/>
      <c r="J875" s="24"/>
      <c r="K875" s="28"/>
      <c r="L875" s="29"/>
      <c r="M875" s="29"/>
      <c r="N875" s="29"/>
      <c r="O875" s="27"/>
      <c r="P875" s="30"/>
      <c r="Q875" s="31"/>
      <c r="R875" s="31"/>
      <c r="S875" s="32"/>
      <c r="T875" s="32"/>
      <c r="U875" s="32"/>
      <c r="V875" s="32"/>
      <c r="W875" s="32"/>
      <c r="X875" s="32"/>
      <c r="Y875" s="32"/>
      <c r="Z875" s="32"/>
      <c r="AA875" s="32"/>
      <c r="AB875" s="32"/>
    </row>
    <row r="876" spans="1:28" ht="15.6" customHeight="1" x14ac:dyDescent="0.25">
      <c r="A876" s="24"/>
      <c r="B876" s="24"/>
      <c r="C876" s="25"/>
      <c r="D876" s="25"/>
      <c r="E876" s="25"/>
      <c r="F876" s="25"/>
      <c r="G876" s="26"/>
      <c r="H876" s="27"/>
      <c r="I876" s="24"/>
      <c r="J876" s="24"/>
      <c r="K876" s="28"/>
      <c r="L876" s="29"/>
      <c r="M876" s="29"/>
      <c r="N876" s="29"/>
      <c r="O876" s="27"/>
      <c r="P876" s="30"/>
      <c r="Q876" s="31"/>
      <c r="R876" s="31"/>
      <c r="S876" s="32"/>
      <c r="T876" s="32"/>
      <c r="U876" s="32"/>
      <c r="V876" s="32"/>
      <c r="W876" s="32"/>
      <c r="X876" s="32"/>
      <c r="Y876" s="32"/>
      <c r="Z876" s="32"/>
      <c r="AA876" s="32"/>
      <c r="AB876" s="32"/>
    </row>
    <row r="877" spans="1:28" ht="15.6" customHeight="1" x14ac:dyDescent="0.25">
      <c r="A877" s="24"/>
      <c r="B877" s="24"/>
      <c r="C877" s="25"/>
      <c r="D877" s="25"/>
      <c r="E877" s="25"/>
      <c r="F877" s="25"/>
      <c r="G877" s="26"/>
      <c r="H877" s="27"/>
      <c r="I877" s="24"/>
      <c r="J877" s="24"/>
      <c r="K877" s="28"/>
      <c r="L877" s="29"/>
      <c r="M877" s="29"/>
      <c r="N877" s="29"/>
      <c r="O877" s="27"/>
      <c r="P877" s="30"/>
      <c r="Q877" s="31"/>
      <c r="R877" s="31"/>
      <c r="S877" s="32"/>
      <c r="T877" s="32"/>
      <c r="U877" s="32"/>
      <c r="V877" s="32"/>
      <c r="W877" s="32"/>
      <c r="X877" s="32"/>
      <c r="Y877" s="32"/>
      <c r="Z877" s="32"/>
      <c r="AA877" s="32"/>
      <c r="AB877" s="32"/>
    </row>
    <row r="878" spans="1:28" ht="15.6" customHeight="1" x14ac:dyDescent="0.25">
      <c r="A878" s="24"/>
      <c r="B878" s="24"/>
      <c r="C878" s="25"/>
      <c r="D878" s="25"/>
      <c r="E878" s="25"/>
      <c r="F878" s="25"/>
      <c r="G878" s="26"/>
      <c r="H878" s="27"/>
      <c r="I878" s="24"/>
      <c r="J878" s="24"/>
      <c r="K878" s="28"/>
      <c r="L878" s="29"/>
      <c r="M878" s="29"/>
      <c r="N878" s="29"/>
      <c r="O878" s="27"/>
      <c r="P878" s="30"/>
      <c r="Q878" s="31"/>
      <c r="R878" s="31"/>
      <c r="S878" s="32"/>
      <c r="T878" s="32"/>
      <c r="U878" s="32"/>
      <c r="V878" s="32"/>
      <c r="W878" s="32"/>
      <c r="X878" s="32"/>
      <c r="Y878" s="32"/>
      <c r="Z878" s="32"/>
      <c r="AA878" s="32"/>
      <c r="AB878" s="32"/>
    </row>
    <row r="879" spans="1:28" ht="15.6" customHeight="1" x14ac:dyDescent="0.25">
      <c r="A879" s="24"/>
      <c r="B879" s="24"/>
      <c r="C879" s="25"/>
      <c r="D879" s="25"/>
      <c r="E879" s="25"/>
      <c r="F879" s="25"/>
      <c r="G879" s="26"/>
      <c r="H879" s="27"/>
      <c r="I879" s="24"/>
      <c r="J879" s="24"/>
      <c r="K879" s="28"/>
      <c r="L879" s="29"/>
      <c r="M879" s="29"/>
      <c r="N879" s="29"/>
      <c r="O879" s="27"/>
      <c r="P879" s="30"/>
      <c r="Q879" s="31"/>
      <c r="R879" s="31"/>
      <c r="S879" s="32"/>
      <c r="T879" s="32"/>
      <c r="U879" s="32"/>
      <c r="V879" s="32"/>
      <c r="W879" s="32"/>
      <c r="X879" s="32"/>
      <c r="Y879" s="32"/>
      <c r="Z879" s="32"/>
      <c r="AA879" s="32"/>
      <c r="AB879" s="32"/>
    </row>
    <row r="880" spans="1:28" ht="15.6" customHeight="1" x14ac:dyDescent="0.25">
      <c r="A880" s="24"/>
      <c r="B880" s="24"/>
      <c r="C880" s="25"/>
      <c r="D880" s="25"/>
      <c r="E880" s="25"/>
      <c r="F880" s="25"/>
      <c r="G880" s="26"/>
      <c r="H880" s="27"/>
      <c r="I880" s="24"/>
      <c r="J880" s="24"/>
      <c r="K880" s="28"/>
      <c r="L880" s="29"/>
      <c r="M880" s="29"/>
      <c r="N880" s="29"/>
      <c r="O880" s="27"/>
      <c r="P880" s="30"/>
      <c r="Q880" s="31"/>
      <c r="R880" s="31"/>
      <c r="S880" s="32"/>
      <c r="T880" s="32"/>
      <c r="U880" s="32"/>
      <c r="V880" s="32"/>
      <c r="W880" s="32"/>
      <c r="X880" s="32"/>
      <c r="Y880" s="32"/>
      <c r="Z880" s="32"/>
      <c r="AA880" s="32"/>
      <c r="AB880" s="32"/>
    </row>
    <row r="881" spans="1:28" ht="15.6" customHeight="1" x14ac:dyDescent="0.25">
      <c r="A881" s="24"/>
      <c r="B881" s="24"/>
      <c r="C881" s="25"/>
      <c r="D881" s="25"/>
      <c r="E881" s="25"/>
      <c r="F881" s="25"/>
      <c r="G881" s="26"/>
      <c r="H881" s="27"/>
      <c r="I881" s="24"/>
      <c r="J881" s="24"/>
      <c r="K881" s="28"/>
      <c r="L881" s="29"/>
      <c r="M881" s="29"/>
      <c r="N881" s="29"/>
      <c r="O881" s="27"/>
      <c r="P881" s="30"/>
      <c r="Q881" s="31"/>
      <c r="R881" s="31"/>
      <c r="S881" s="32"/>
      <c r="T881" s="32"/>
      <c r="U881" s="32"/>
      <c r="V881" s="32"/>
      <c r="W881" s="32"/>
      <c r="X881" s="32"/>
      <c r="Y881" s="32"/>
      <c r="Z881" s="32"/>
      <c r="AA881" s="32"/>
      <c r="AB881" s="32"/>
    </row>
    <row r="882" spans="1:28" ht="15.6" customHeight="1" x14ac:dyDescent="0.25">
      <c r="A882" s="24"/>
      <c r="B882" s="24"/>
      <c r="C882" s="25"/>
      <c r="D882" s="25"/>
      <c r="E882" s="25"/>
      <c r="F882" s="25"/>
      <c r="G882" s="26"/>
      <c r="H882" s="27"/>
      <c r="I882" s="24"/>
      <c r="J882" s="24"/>
      <c r="K882" s="28"/>
      <c r="L882" s="29"/>
      <c r="M882" s="29"/>
      <c r="N882" s="29"/>
      <c r="O882" s="27"/>
      <c r="P882" s="30"/>
      <c r="Q882" s="31"/>
      <c r="R882" s="31"/>
      <c r="S882" s="32"/>
      <c r="T882" s="32"/>
      <c r="U882" s="32"/>
      <c r="V882" s="32"/>
      <c r="W882" s="32"/>
      <c r="X882" s="32"/>
      <c r="Y882" s="32"/>
      <c r="Z882" s="32"/>
      <c r="AA882" s="32"/>
      <c r="AB882" s="32"/>
    </row>
    <row r="883" spans="1:28" ht="15.6" customHeight="1" x14ac:dyDescent="0.25">
      <c r="A883" s="24"/>
      <c r="B883" s="24"/>
      <c r="C883" s="25"/>
      <c r="D883" s="25"/>
      <c r="E883" s="25"/>
      <c r="F883" s="25"/>
      <c r="G883" s="26"/>
      <c r="H883" s="27"/>
      <c r="I883" s="24"/>
      <c r="J883" s="24"/>
      <c r="K883" s="28"/>
      <c r="L883" s="29"/>
      <c r="M883" s="29"/>
      <c r="N883" s="29"/>
      <c r="O883" s="27"/>
      <c r="P883" s="30"/>
      <c r="Q883" s="31"/>
      <c r="R883" s="31"/>
      <c r="S883" s="32"/>
      <c r="T883" s="32"/>
      <c r="U883" s="32"/>
      <c r="V883" s="32"/>
      <c r="W883" s="32"/>
      <c r="X883" s="32"/>
      <c r="Y883" s="32"/>
      <c r="Z883" s="32"/>
      <c r="AA883" s="32"/>
      <c r="AB883" s="32"/>
    </row>
    <row r="884" spans="1:28" ht="15.6" customHeight="1" x14ac:dyDescent="0.25">
      <c r="A884" s="24"/>
      <c r="B884" s="24"/>
      <c r="C884" s="25"/>
      <c r="D884" s="25"/>
      <c r="E884" s="25"/>
      <c r="F884" s="25"/>
      <c r="G884" s="26"/>
      <c r="H884" s="27"/>
      <c r="I884" s="24"/>
      <c r="J884" s="24"/>
      <c r="K884" s="28"/>
      <c r="L884" s="29"/>
      <c r="M884" s="29"/>
      <c r="N884" s="29"/>
      <c r="O884" s="27"/>
      <c r="P884" s="30"/>
      <c r="Q884" s="31"/>
      <c r="R884" s="31"/>
      <c r="S884" s="32"/>
      <c r="T884" s="32"/>
      <c r="U884" s="32"/>
      <c r="V884" s="32"/>
      <c r="W884" s="32"/>
      <c r="X884" s="32"/>
      <c r="Y884" s="32"/>
      <c r="Z884" s="32"/>
      <c r="AA884" s="32"/>
      <c r="AB884" s="32"/>
    </row>
    <row r="885" spans="1:28" ht="15.6" customHeight="1" x14ac:dyDescent="0.25">
      <c r="A885" s="24"/>
      <c r="B885" s="24"/>
      <c r="C885" s="25"/>
      <c r="D885" s="25"/>
      <c r="E885" s="25"/>
      <c r="F885" s="25"/>
      <c r="G885" s="26"/>
      <c r="H885" s="27"/>
      <c r="I885" s="24"/>
      <c r="J885" s="24"/>
      <c r="K885" s="28"/>
      <c r="L885" s="29"/>
      <c r="M885" s="29"/>
      <c r="N885" s="29"/>
      <c r="O885" s="27"/>
      <c r="P885" s="30"/>
      <c r="Q885" s="31"/>
      <c r="R885" s="31"/>
      <c r="S885" s="32"/>
      <c r="T885" s="32"/>
      <c r="U885" s="32"/>
      <c r="V885" s="32"/>
      <c r="W885" s="32"/>
      <c r="X885" s="32"/>
      <c r="Y885" s="32"/>
      <c r="Z885" s="32"/>
      <c r="AA885" s="32"/>
      <c r="AB885" s="32"/>
    </row>
    <row r="886" spans="1:28" ht="15.6" customHeight="1" x14ac:dyDescent="0.25">
      <c r="A886" s="24"/>
      <c r="B886" s="24"/>
      <c r="C886" s="25"/>
      <c r="D886" s="25"/>
      <c r="E886" s="25"/>
      <c r="F886" s="25"/>
      <c r="G886" s="26"/>
      <c r="H886" s="27"/>
      <c r="I886" s="24"/>
      <c r="J886" s="24"/>
      <c r="K886" s="28"/>
      <c r="L886" s="29"/>
      <c r="M886" s="29"/>
      <c r="N886" s="29"/>
      <c r="O886" s="27"/>
      <c r="P886" s="30"/>
      <c r="Q886" s="31"/>
      <c r="R886" s="31"/>
      <c r="S886" s="32"/>
      <c r="T886" s="32"/>
      <c r="U886" s="32"/>
      <c r="V886" s="32"/>
      <c r="W886" s="32"/>
      <c r="X886" s="32"/>
      <c r="Y886" s="32"/>
      <c r="Z886" s="32"/>
      <c r="AA886" s="32"/>
      <c r="AB886" s="32"/>
    </row>
    <row r="887" spans="1:28" ht="15.6" customHeight="1" x14ac:dyDescent="0.25">
      <c r="A887" s="24"/>
      <c r="B887" s="24"/>
      <c r="C887" s="25"/>
      <c r="D887" s="25"/>
      <c r="E887" s="25"/>
      <c r="F887" s="25"/>
      <c r="G887" s="26"/>
      <c r="H887" s="27"/>
      <c r="I887" s="24"/>
      <c r="J887" s="24"/>
      <c r="K887" s="28"/>
      <c r="L887" s="29"/>
      <c r="M887" s="29"/>
      <c r="N887" s="29"/>
      <c r="O887" s="27"/>
      <c r="P887" s="30"/>
      <c r="Q887" s="31"/>
      <c r="R887" s="31"/>
      <c r="S887" s="32"/>
      <c r="T887" s="32"/>
      <c r="U887" s="32"/>
      <c r="V887" s="32"/>
      <c r="W887" s="32"/>
      <c r="X887" s="32"/>
      <c r="Y887" s="32"/>
      <c r="Z887" s="32"/>
      <c r="AA887" s="32"/>
      <c r="AB887" s="32"/>
    </row>
    <row r="888" spans="1:28" ht="15.6" customHeight="1" x14ac:dyDescent="0.25">
      <c r="A888" s="24"/>
      <c r="B888" s="24"/>
      <c r="C888" s="25"/>
      <c r="D888" s="25"/>
      <c r="E888" s="25"/>
      <c r="F888" s="25"/>
      <c r="G888" s="26"/>
      <c r="H888" s="27"/>
      <c r="I888" s="24"/>
      <c r="J888" s="24"/>
      <c r="K888" s="28"/>
      <c r="L888" s="29"/>
      <c r="M888" s="29"/>
      <c r="N888" s="29"/>
      <c r="O888" s="27"/>
      <c r="P888" s="30"/>
      <c r="Q888" s="31"/>
      <c r="R888" s="31"/>
      <c r="S888" s="32"/>
      <c r="T888" s="32"/>
      <c r="U888" s="32"/>
      <c r="V888" s="32"/>
      <c r="W888" s="32"/>
      <c r="X888" s="32"/>
      <c r="Y888" s="32"/>
      <c r="Z888" s="32"/>
      <c r="AA888" s="32"/>
      <c r="AB888" s="32"/>
    </row>
    <row r="889" spans="1:28" ht="15.6" customHeight="1" x14ac:dyDescent="0.25">
      <c r="A889" s="24"/>
      <c r="B889" s="24"/>
      <c r="C889" s="25"/>
      <c r="D889" s="25"/>
      <c r="E889" s="25"/>
      <c r="F889" s="25"/>
      <c r="G889" s="26"/>
      <c r="H889" s="27"/>
      <c r="I889" s="24"/>
      <c r="J889" s="24"/>
      <c r="K889" s="28"/>
      <c r="L889" s="29"/>
      <c r="M889" s="29"/>
      <c r="N889" s="29"/>
      <c r="O889" s="27"/>
      <c r="P889" s="30"/>
      <c r="Q889" s="31"/>
      <c r="R889" s="31"/>
      <c r="S889" s="32"/>
      <c r="T889" s="32"/>
      <c r="U889" s="32"/>
      <c r="V889" s="32"/>
      <c r="W889" s="32"/>
      <c r="X889" s="32"/>
      <c r="Y889" s="32"/>
      <c r="Z889" s="32"/>
      <c r="AA889" s="32"/>
      <c r="AB889" s="32"/>
    </row>
    <row r="890" spans="1:28" ht="15.6" customHeight="1" x14ac:dyDescent="0.25">
      <c r="A890" s="24"/>
      <c r="B890" s="24"/>
      <c r="C890" s="25"/>
      <c r="D890" s="25"/>
      <c r="E890" s="25"/>
      <c r="F890" s="25"/>
      <c r="G890" s="26"/>
      <c r="H890" s="27"/>
      <c r="I890" s="24"/>
      <c r="J890" s="24"/>
      <c r="K890" s="28"/>
      <c r="L890" s="29"/>
      <c r="M890" s="29"/>
      <c r="N890" s="29"/>
      <c r="O890" s="27"/>
      <c r="P890" s="30"/>
      <c r="Q890" s="31"/>
      <c r="R890" s="31"/>
      <c r="S890" s="32"/>
      <c r="T890" s="32"/>
      <c r="U890" s="32"/>
      <c r="V890" s="32"/>
      <c r="W890" s="32"/>
      <c r="X890" s="32"/>
      <c r="Y890" s="32"/>
      <c r="Z890" s="32"/>
      <c r="AA890" s="32"/>
      <c r="AB890" s="32"/>
    </row>
    <row r="891" spans="1:28" ht="15.6" customHeight="1" x14ac:dyDescent="0.25">
      <c r="A891" s="24"/>
      <c r="B891" s="24"/>
      <c r="C891" s="25"/>
      <c r="D891" s="25"/>
      <c r="E891" s="25"/>
      <c r="F891" s="25"/>
      <c r="G891" s="26"/>
      <c r="H891" s="27"/>
      <c r="I891" s="24"/>
      <c r="J891" s="24"/>
      <c r="K891" s="28"/>
      <c r="L891" s="29"/>
      <c r="M891" s="29"/>
      <c r="N891" s="29"/>
      <c r="O891" s="27"/>
      <c r="P891" s="30"/>
      <c r="Q891" s="31"/>
      <c r="R891" s="31"/>
      <c r="S891" s="32"/>
      <c r="T891" s="32"/>
      <c r="U891" s="32"/>
      <c r="V891" s="32"/>
      <c r="W891" s="32"/>
      <c r="X891" s="32"/>
      <c r="Y891" s="32"/>
      <c r="Z891" s="32"/>
      <c r="AA891" s="32"/>
      <c r="AB891" s="32"/>
    </row>
    <row r="892" spans="1:28" ht="15.6" customHeight="1" x14ac:dyDescent="0.25">
      <c r="A892" s="24"/>
      <c r="B892" s="24"/>
      <c r="C892" s="25"/>
      <c r="D892" s="25"/>
      <c r="E892" s="25"/>
      <c r="F892" s="25"/>
      <c r="G892" s="26"/>
      <c r="H892" s="27"/>
      <c r="I892" s="24"/>
      <c r="J892" s="24"/>
      <c r="K892" s="28"/>
      <c r="L892" s="29"/>
      <c r="M892" s="29"/>
      <c r="N892" s="29"/>
      <c r="O892" s="27"/>
      <c r="P892" s="30"/>
      <c r="Q892" s="31"/>
      <c r="R892" s="31"/>
      <c r="S892" s="32"/>
      <c r="T892" s="32"/>
      <c r="U892" s="32"/>
      <c r="V892" s="32"/>
      <c r="W892" s="32"/>
      <c r="X892" s="32"/>
      <c r="Y892" s="32"/>
      <c r="Z892" s="32"/>
      <c r="AA892" s="32"/>
      <c r="AB892" s="32"/>
    </row>
    <row r="893" spans="1:28" ht="15.6" customHeight="1" x14ac:dyDescent="0.25">
      <c r="A893" s="24"/>
      <c r="B893" s="24"/>
      <c r="C893" s="25"/>
      <c r="D893" s="25"/>
      <c r="E893" s="25"/>
      <c r="F893" s="25"/>
      <c r="G893" s="26"/>
      <c r="H893" s="27"/>
      <c r="I893" s="24"/>
      <c r="J893" s="24"/>
      <c r="K893" s="28"/>
      <c r="L893" s="29"/>
      <c r="M893" s="29"/>
      <c r="N893" s="29"/>
      <c r="O893" s="27"/>
      <c r="P893" s="30"/>
      <c r="Q893" s="31"/>
      <c r="R893" s="31"/>
      <c r="S893" s="32"/>
      <c r="T893" s="32"/>
      <c r="U893" s="32"/>
      <c r="V893" s="32"/>
      <c r="W893" s="32"/>
      <c r="X893" s="32"/>
      <c r="Y893" s="32"/>
      <c r="Z893" s="32"/>
      <c r="AA893" s="32"/>
      <c r="AB893" s="32"/>
    </row>
    <row r="894" spans="1:28" ht="15.6" customHeight="1" x14ac:dyDescent="0.25">
      <c r="A894" s="24"/>
      <c r="B894" s="24"/>
      <c r="C894" s="25"/>
      <c r="D894" s="25"/>
      <c r="E894" s="25"/>
      <c r="F894" s="25"/>
      <c r="G894" s="26"/>
      <c r="H894" s="27"/>
      <c r="I894" s="24"/>
      <c r="J894" s="24"/>
      <c r="K894" s="28"/>
      <c r="L894" s="29"/>
      <c r="M894" s="29"/>
      <c r="N894" s="29"/>
      <c r="O894" s="27"/>
      <c r="P894" s="30"/>
      <c r="Q894" s="31"/>
      <c r="R894" s="31"/>
      <c r="S894" s="32"/>
      <c r="T894" s="32"/>
      <c r="U894" s="32"/>
      <c r="V894" s="32"/>
      <c r="W894" s="32"/>
      <c r="X894" s="32"/>
      <c r="Y894" s="32"/>
      <c r="Z894" s="32"/>
      <c r="AA894" s="32"/>
      <c r="AB894" s="32"/>
    </row>
    <row r="895" spans="1:28" ht="15.6" customHeight="1" x14ac:dyDescent="0.25">
      <c r="A895" s="24"/>
      <c r="B895" s="24"/>
      <c r="C895" s="25"/>
      <c r="D895" s="25"/>
      <c r="E895" s="25"/>
      <c r="F895" s="25"/>
      <c r="G895" s="26"/>
      <c r="H895" s="27"/>
      <c r="I895" s="24"/>
      <c r="J895" s="24"/>
      <c r="K895" s="28"/>
      <c r="L895" s="29"/>
      <c r="M895" s="29"/>
      <c r="N895" s="29"/>
      <c r="O895" s="27"/>
      <c r="P895" s="30"/>
      <c r="Q895" s="31"/>
      <c r="R895" s="31"/>
      <c r="S895" s="32"/>
      <c r="T895" s="32"/>
      <c r="U895" s="32"/>
      <c r="V895" s="32"/>
      <c r="W895" s="32"/>
      <c r="X895" s="32"/>
      <c r="Y895" s="32"/>
      <c r="Z895" s="32"/>
      <c r="AA895" s="32"/>
      <c r="AB895" s="32"/>
    </row>
    <row r="896" spans="1:28" ht="15.6" customHeight="1" x14ac:dyDescent="0.25">
      <c r="A896" s="24"/>
      <c r="B896" s="24"/>
      <c r="C896" s="25"/>
      <c r="D896" s="25"/>
      <c r="E896" s="25"/>
      <c r="F896" s="25"/>
      <c r="G896" s="26"/>
      <c r="H896" s="27"/>
      <c r="I896" s="24"/>
      <c r="J896" s="24"/>
      <c r="K896" s="28"/>
      <c r="L896" s="29"/>
      <c r="M896" s="29"/>
      <c r="N896" s="29"/>
      <c r="O896" s="27"/>
      <c r="P896" s="30"/>
      <c r="Q896" s="31"/>
      <c r="R896" s="31"/>
      <c r="S896" s="32"/>
      <c r="T896" s="32"/>
      <c r="U896" s="32"/>
      <c r="V896" s="32"/>
      <c r="W896" s="32"/>
      <c r="X896" s="32"/>
      <c r="Y896" s="32"/>
      <c r="Z896" s="32"/>
      <c r="AA896" s="32"/>
      <c r="AB896" s="32"/>
    </row>
    <row r="897" spans="1:28" ht="15.6" customHeight="1" x14ac:dyDescent="0.25">
      <c r="A897" s="24"/>
      <c r="B897" s="24"/>
      <c r="C897" s="25"/>
      <c r="D897" s="25"/>
      <c r="E897" s="25"/>
      <c r="F897" s="25"/>
      <c r="G897" s="26"/>
      <c r="H897" s="27"/>
      <c r="I897" s="24"/>
      <c r="J897" s="24"/>
      <c r="K897" s="28"/>
      <c r="L897" s="29"/>
      <c r="M897" s="29"/>
      <c r="N897" s="29"/>
      <c r="O897" s="27"/>
      <c r="P897" s="30"/>
      <c r="Q897" s="31"/>
      <c r="R897" s="31"/>
      <c r="S897" s="32"/>
      <c r="T897" s="32"/>
      <c r="U897" s="32"/>
      <c r="V897" s="32"/>
      <c r="W897" s="32"/>
      <c r="X897" s="32"/>
      <c r="Y897" s="32"/>
      <c r="Z897" s="32"/>
      <c r="AA897" s="32"/>
      <c r="AB897" s="32"/>
    </row>
    <row r="898" spans="1:28" ht="15.6" customHeight="1" x14ac:dyDescent="0.25">
      <c r="A898" s="24"/>
      <c r="B898" s="24"/>
      <c r="C898" s="25"/>
      <c r="D898" s="25"/>
      <c r="E898" s="25"/>
      <c r="F898" s="25"/>
      <c r="G898" s="26"/>
      <c r="H898" s="27"/>
      <c r="I898" s="24"/>
      <c r="J898" s="24"/>
      <c r="K898" s="28"/>
      <c r="L898" s="29"/>
      <c r="M898" s="29"/>
      <c r="N898" s="29"/>
      <c r="O898" s="27"/>
      <c r="P898" s="30"/>
      <c r="Q898" s="31"/>
      <c r="R898" s="31"/>
      <c r="S898" s="32"/>
      <c r="T898" s="32"/>
      <c r="U898" s="32"/>
      <c r="V898" s="32"/>
      <c r="W898" s="32"/>
      <c r="X898" s="32"/>
      <c r="Y898" s="32"/>
      <c r="Z898" s="32"/>
      <c r="AA898" s="32"/>
      <c r="AB898" s="32"/>
    </row>
    <row r="899" spans="1:28" ht="15.6" customHeight="1" x14ac:dyDescent="0.25">
      <c r="A899" s="24"/>
      <c r="B899" s="24"/>
      <c r="C899" s="25"/>
      <c r="D899" s="25"/>
      <c r="E899" s="25"/>
      <c r="F899" s="25"/>
      <c r="G899" s="26"/>
      <c r="H899" s="27"/>
      <c r="I899" s="24"/>
      <c r="J899" s="24"/>
      <c r="K899" s="28"/>
      <c r="L899" s="29"/>
      <c r="M899" s="29"/>
      <c r="N899" s="29"/>
      <c r="O899" s="27"/>
      <c r="P899" s="30"/>
      <c r="Q899" s="31"/>
      <c r="R899" s="31"/>
      <c r="S899" s="32"/>
      <c r="T899" s="32"/>
      <c r="U899" s="32"/>
      <c r="V899" s="32"/>
      <c r="W899" s="32"/>
      <c r="X899" s="32"/>
      <c r="Y899" s="32"/>
      <c r="Z899" s="32"/>
      <c r="AA899" s="32"/>
      <c r="AB899" s="32"/>
    </row>
    <row r="900" spans="1:28" ht="15.6" customHeight="1" x14ac:dyDescent="0.25">
      <c r="A900" s="24"/>
      <c r="B900" s="24"/>
      <c r="C900" s="25"/>
      <c r="D900" s="25"/>
      <c r="E900" s="25"/>
      <c r="F900" s="25"/>
      <c r="G900" s="26"/>
      <c r="H900" s="27"/>
      <c r="I900" s="24"/>
      <c r="J900" s="24"/>
      <c r="K900" s="28"/>
      <c r="L900" s="29"/>
      <c r="M900" s="29"/>
      <c r="N900" s="29"/>
      <c r="O900" s="27"/>
      <c r="P900" s="30"/>
      <c r="Q900" s="31"/>
      <c r="R900" s="31"/>
      <c r="S900" s="32"/>
      <c r="T900" s="32"/>
      <c r="U900" s="32"/>
      <c r="V900" s="32"/>
      <c r="W900" s="32"/>
      <c r="X900" s="32"/>
      <c r="Y900" s="32"/>
      <c r="Z900" s="32"/>
      <c r="AA900" s="32"/>
      <c r="AB900" s="32"/>
    </row>
    <row r="901" spans="1:28" ht="15.6" customHeight="1" x14ac:dyDescent="0.25">
      <c r="A901" s="24"/>
      <c r="B901" s="24"/>
      <c r="C901" s="25"/>
      <c r="D901" s="25"/>
      <c r="E901" s="25"/>
      <c r="F901" s="25"/>
      <c r="G901" s="26"/>
      <c r="H901" s="27"/>
      <c r="I901" s="24"/>
      <c r="J901" s="24"/>
      <c r="K901" s="28"/>
      <c r="L901" s="29"/>
      <c r="M901" s="29"/>
      <c r="N901" s="29"/>
      <c r="O901" s="27"/>
      <c r="P901" s="30"/>
      <c r="Q901" s="31"/>
      <c r="R901" s="31"/>
      <c r="S901" s="32"/>
      <c r="T901" s="32"/>
      <c r="U901" s="32"/>
      <c r="V901" s="32"/>
      <c r="W901" s="32"/>
      <c r="X901" s="32"/>
      <c r="Y901" s="32"/>
      <c r="Z901" s="32"/>
      <c r="AA901" s="32"/>
      <c r="AB901" s="32"/>
    </row>
    <row r="902" spans="1:28" ht="15.6" customHeight="1" x14ac:dyDescent="0.25">
      <c r="A902" s="24"/>
      <c r="B902" s="24"/>
      <c r="C902" s="25"/>
      <c r="D902" s="25"/>
      <c r="E902" s="25"/>
      <c r="F902" s="25"/>
      <c r="G902" s="26"/>
      <c r="H902" s="27"/>
      <c r="I902" s="24"/>
      <c r="J902" s="24"/>
      <c r="K902" s="28"/>
      <c r="L902" s="29"/>
      <c r="M902" s="29"/>
      <c r="N902" s="29"/>
      <c r="O902" s="27"/>
      <c r="P902" s="30"/>
      <c r="Q902" s="31"/>
      <c r="R902" s="31"/>
      <c r="S902" s="32"/>
      <c r="T902" s="32"/>
      <c r="U902" s="32"/>
      <c r="V902" s="32"/>
      <c r="W902" s="32"/>
      <c r="X902" s="32"/>
      <c r="Y902" s="32"/>
      <c r="Z902" s="32"/>
      <c r="AA902" s="32"/>
      <c r="AB902" s="32"/>
    </row>
    <row r="903" spans="1:28" ht="15.6" customHeight="1" x14ac:dyDescent="0.25">
      <c r="A903" s="24"/>
      <c r="B903" s="24"/>
      <c r="C903" s="25"/>
      <c r="D903" s="25"/>
      <c r="E903" s="25"/>
      <c r="F903" s="25"/>
      <c r="G903" s="26"/>
      <c r="H903" s="27"/>
      <c r="I903" s="24"/>
      <c r="J903" s="24"/>
      <c r="K903" s="28"/>
      <c r="L903" s="29"/>
      <c r="M903" s="29"/>
      <c r="N903" s="29"/>
      <c r="O903" s="27"/>
      <c r="P903" s="30"/>
      <c r="Q903" s="31"/>
      <c r="R903" s="31"/>
      <c r="S903" s="32"/>
      <c r="T903" s="32"/>
      <c r="U903" s="32"/>
      <c r="V903" s="32"/>
      <c r="W903" s="32"/>
      <c r="X903" s="32"/>
      <c r="Y903" s="32"/>
      <c r="Z903" s="32"/>
      <c r="AA903" s="32"/>
      <c r="AB903" s="32"/>
    </row>
    <row r="904" spans="1:28" ht="15.6" customHeight="1" x14ac:dyDescent="0.25">
      <c r="A904" s="24"/>
      <c r="B904" s="24"/>
      <c r="C904" s="25"/>
      <c r="D904" s="25"/>
      <c r="E904" s="25"/>
      <c r="F904" s="25"/>
      <c r="G904" s="26"/>
      <c r="H904" s="27"/>
      <c r="I904" s="24"/>
      <c r="J904" s="24"/>
      <c r="K904" s="28"/>
      <c r="L904" s="29"/>
      <c r="M904" s="29"/>
      <c r="N904" s="29"/>
      <c r="O904" s="27"/>
      <c r="P904" s="30"/>
      <c r="Q904" s="31"/>
      <c r="R904" s="31"/>
      <c r="S904" s="32"/>
      <c r="T904" s="32"/>
      <c r="U904" s="32"/>
      <c r="V904" s="32"/>
      <c r="W904" s="32"/>
      <c r="X904" s="32"/>
      <c r="Y904" s="32"/>
      <c r="Z904" s="32"/>
      <c r="AA904" s="32"/>
      <c r="AB904" s="32"/>
    </row>
    <row r="905" spans="1:28" ht="15.6" customHeight="1" x14ac:dyDescent="0.25">
      <c r="A905" s="24"/>
      <c r="B905" s="24"/>
      <c r="C905" s="25"/>
      <c r="D905" s="25"/>
      <c r="E905" s="25"/>
      <c r="F905" s="25"/>
      <c r="G905" s="26"/>
      <c r="H905" s="27"/>
      <c r="I905" s="24"/>
      <c r="J905" s="24"/>
      <c r="K905" s="28"/>
      <c r="L905" s="29"/>
      <c r="M905" s="29"/>
      <c r="N905" s="29"/>
      <c r="O905" s="27"/>
      <c r="P905" s="30"/>
      <c r="Q905" s="31"/>
      <c r="R905" s="31"/>
      <c r="S905" s="32"/>
      <c r="T905" s="32"/>
      <c r="U905" s="32"/>
      <c r="V905" s="32"/>
      <c r="W905" s="32"/>
      <c r="X905" s="32"/>
      <c r="Y905" s="32"/>
      <c r="Z905" s="32"/>
      <c r="AA905" s="32"/>
      <c r="AB905" s="32"/>
    </row>
    <row r="906" spans="1:28" ht="15.6" customHeight="1" x14ac:dyDescent="0.25">
      <c r="A906" s="24"/>
      <c r="B906" s="24"/>
      <c r="C906" s="25"/>
      <c r="D906" s="25"/>
      <c r="E906" s="25"/>
      <c r="F906" s="25"/>
      <c r="G906" s="26"/>
      <c r="H906" s="27"/>
      <c r="I906" s="24"/>
      <c r="J906" s="24"/>
      <c r="K906" s="28"/>
      <c r="L906" s="29"/>
      <c r="M906" s="29"/>
      <c r="N906" s="29"/>
      <c r="O906" s="27"/>
      <c r="P906" s="30"/>
      <c r="Q906" s="31"/>
      <c r="R906" s="31"/>
      <c r="S906" s="32"/>
      <c r="T906" s="32"/>
      <c r="U906" s="32"/>
      <c r="V906" s="32"/>
      <c r="W906" s="32"/>
      <c r="X906" s="32"/>
      <c r="Y906" s="32"/>
      <c r="Z906" s="32"/>
      <c r="AA906" s="32"/>
      <c r="AB906" s="32"/>
    </row>
    <row r="907" spans="1:28" ht="15.6" customHeight="1" x14ac:dyDescent="0.25">
      <c r="A907" s="24"/>
      <c r="B907" s="24"/>
      <c r="C907" s="25"/>
      <c r="D907" s="25"/>
      <c r="E907" s="25"/>
      <c r="F907" s="25"/>
      <c r="G907" s="26"/>
      <c r="H907" s="27"/>
      <c r="I907" s="24"/>
      <c r="J907" s="24"/>
      <c r="K907" s="28"/>
      <c r="L907" s="29"/>
      <c r="M907" s="29"/>
      <c r="N907" s="29"/>
      <c r="O907" s="27"/>
      <c r="P907" s="30"/>
      <c r="Q907" s="31"/>
      <c r="R907" s="31"/>
      <c r="S907" s="32"/>
      <c r="T907" s="32"/>
      <c r="U907" s="32"/>
      <c r="V907" s="32"/>
      <c r="W907" s="32"/>
      <c r="X907" s="32"/>
      <c r="Y907" s="32"/>
      <c r="Z907" s="32"/>
      <c r="AA907" s="32"/>
      <c r="AB907" s="32"/>
    </row>
    <row r="908" spans="1:28" ht="15.6" customHeight="1" x14ac:dyDescent="0.25">
      <c r="A908" s="24"/>
      <c r="B908" s="24"/>
      <c r="C908" s="25"/>
      <c r="D908" s="25"/>
      <c r="E908" s="25"/>
      <c r="F908" s="25"/>
      <c r="G908" s="26"/>
      <c r="H908" s="27"/>
      <c r="I908" s="24"/>
      <c r="J908" s="24"/>
      <c r="K908" s="28"/>
      <c r="L908" s="29"/>
      <c r="M908" s="29"/>
      <c r="N908" s="29"/>
      <c r="O908" s="27"/>
      <c r="P908" s="30"/>
      <c r="Q908" s="31"/>
      <c r="R908" s="31"/>
      <c r="S908" s="32"/>
      <c r="T908" s="32"/>
      <c r="U908" s="32"/>
      <c r="V908" s="32"/>
      <c r="W908" s="32"/>
      <c r="X908" s="32"/>
      <c r="Y908" s="32"/>
      <c r="Z908" s="32"/>
      <c r="AA908" s="32"/>
      <c r="AB908" s="32"/>
    </row>
    <row r="909" spans="1:28" ht="15.6" customHeight="1" x14ac:dyDescent="0.25">
      <c r="A909" s="24"/>
      <c r="B909" s="24"/>
      <c r="C909" s="25"/>
      <c r="D909" s="25"/>
      <c r="E909" s="25"/>
      <c r="F909" s="25"/>
      <c r="G909" s="26"/>
      <c r="H909" s="27"/>
      <c r="I909" s="24"/>
      <c r="J909" s="24"/>
      <c r="K909" s="28"/>
      <c r="L909" s="29"/>
      <c r="M909" s="29"/>
      <c r="N909" s="29"/>
      <c r="O909" s="27"/>
      <c r="P909" s="30"/>
      <c r="Q909" s="31"/>
      <c r="R909" s="31"/>
      <c r="S909" s="32"/>
      <c r="T909" s="32"/>
      <c r="U909" s="32"/>
      <c r="V909" s="32"/>
      <c r="W909" s="32"/>
      <c r="X909" s="32"/>
      <c r="Y909" s="32"/>
      <c r="Z909" s="32"/>
      <c r="AA909" s="32"/>
      <c r="AB909" s="32"/>
    </row>
    <row r="910" spans="1:28" ht="15.6" customHeight="1" x14ac:dyDescent="0.25">
      <c r="A910" s="24"/>
      <c r="B910" s="24"/>
      <c r="C910" s="25"/>
      <c r="D910" s="25"/>
      <c r="E910" s="25"/>
      <c r="F910" s="25"/>
      <c r="G910" s="26"/>
      <c r="H910" s="27"/>
      <c r="I910" s="24"/>
      <c r="J910" s="24"/>
      <c r="K910" s="28"/>
      <c r="L910" s="29"/>
      <c r="M910" s="29"/>
      <c r="N910" s="29"/>
      <c r="O910" s="27"/>
      <c r="P910" s="30"/>
      <c r="Q910" s="31"/>
      <c r="R910" s="31"/>
      <c r="S910" s="32"/>
      <c r="T910" s="32"/>
      <c r="U910" s="32"/>
      <c r="V910" s="32"/>
      <c r="W910" s="32"/>
      <c r="X910" s="32"/>
      <c r="Y910" s="32"/>
      <c r="Z910" s="32"/>
      <c r="AA910" s="32"/>
      <c r="AB910" s="32"/>
    </row>
    <row r="911" spans="1:28" ht="15.6" customHeight="1" x14ac:dyDescent="0.25">
      <c r="A911" s="24"/>
      <c r="B911" s="24"/>
      <c r="C911" s="25"/>
      <c r="D911" s="25"/>
      <c r="E911" s="25"/>
      <c r="F911" s="25"/>
      <c r="G911" s="26"/>
      <c r="H911" s="27"/>
      <c r="I911" s="24"/>
      <c r="J911" s="24"/>
      <c r="K911" s="28"/>
      <c r="L911" s="29"/>
      <c r="M911" s="29"/>
      <c r="N911" s="29"/>
      <c r="O911" s="27"/>
      <c r="P911" s="30"/>
      <c r="Q911" s="31"/>
      <c r="R911" s="31"/>
      <c r="S911" s="32"/>
      <c r="T911" s="32"/>
      <c r="U911" s="32"/>
      <c r="V911" s="32"/>
      <c r="W911" s="32"/>
      <c r="X911" s="32"/>
      <c r="Y911" s="32"/>
      <c r="Z911" s="32"/>
      <c r="AA911" s="32"/>
      <c r="AB911" s="32"/>
    </row>
    <row r="912" spans="1:28" ht="15.6" customHeight="1" x14ac:dyDescent="0.25">
      <c r="A912" s="24"/>
      <c r="B912" s="24"/>
      <c r="C912" s="25"/>
      <c r="D912" s="25"/>
      <c r="E912" s="25"/>
      <c r="F912" s="25"/>
      <c r="G912" s="26"/>
      <c r="H912" s="27"/>
      <c r="I912" s="24"/>
      <c r="J912" s="24"/>
      <c r="K912" s="28"/>
      <c r="L912" s="29"/>
      <c r="M912" s="29"/>
      <c r="N912" s="29"/>
      <c r="O912" s="27"/>
      <c r="P912" s="30"/>
      <c r="Q912" s="31"/>
      <c r="R912" s="31"/>
      <c r="S912" s="32"/>
      <c r="T912" s="32"/>
      <c r="U912" s="32"/>
      <c r="V912" s="32"/>
      <c r="W912" s="32"/>
      <c r="X912" s="32"/>
      <c r="Y912" s="32"/>
      <c r="Z912" s="32"/>
      <c r="AA912" s="32"/>
      <c r="AB912" s="32"/>
    </row>
    <row r="913" spans="1:28" ht="15.6" customHeight="1" x14ac:dyDescent="0.25">
      <c r="A913" s="24"/>
      <c r="B913" s="24"/>
      <c r="C913" s="25"/>
      <c r="D913" s="25"/>
      <c r="E913" s="25"/>
      <c r="F913" s="25"/>
      <c r="G913" s="26"/>
      <c r="H913" s="27"/>
      <c r="I913" s="24"/>
      <c r="J913" s="24"/>
      <c r="K913" s="28"/>
      <c r="L913" s="29"/>
      <c r="M913" s="29"/>
      <c r="N913" s="29"/>
      <c r="O913" s="27"/>
      <c r="P913" s="30"/>
      <c r="Q913" s="31"/>
      <c r="R913" s="31"/>
      <c r="S913" s="32"/>
      <c r="T913" s="32"/>
      <c r="U913" s="32"/>
      <c r="V913" s="32"/>
      <c r="W913" s="32"/>
      <c r="X913" s="32"/>
      <c r="Y913" s="32"/>
      <c r="Z913" s="32"/>
      <c r="AA913" s="32"/>
      <c r="AB913" s="32"/>
    </row>
    <row r="914" spans="1:28" ht="15.6" customHeight="1" x14ac:dyDescent="0.25">
      <c r="A914" s="24"/>
      <c r="B914" s="24"/>
      <c r="C914" s="25"/>
      <c r="D914" s="25"/>
      <c r="E914" s="25"/>
      <c r="F914" s="25"/>
      <c r="G914" s="26"/>
      <c r="H914" s="27"/>
      <c r="I914" s="24"/>
      <c r="J914" s="24"/>
      <c r="K914" s="28"/>
      <c r="L914" s="29"/>
      <c r="M914" s="29"/>
      <c r="N914" s="29"/>
      <c r="O914" s="27"/>
      <c r="P914" s="30"/>
      <c r="Q914" s="31"/>
      <c r="R914" s="31"/>
      <c r="S914" s="32"/>
      <c r="T914" s="32"/>
      <c r="U914" s="32"/>
      <c r="V914" s="32"/>
      <c r="W914" s="32"/>
      <c r="X914" s="32"/>
      <c r="Y914" s="32"/>
      <c r="Z914" s="32"/>
      <c r="AA914" s="32"/>
      <c r="AB914" s="32"/>
    </row>
    <row r="915" spans="1:28" ht="15.6" customHeight="1" x14ac:dyDescent="0.25">
      <c r="A915" s="24"/>
      <c r="B915" s="24"/>
      <c r="C915" s="25"/>
      <c r="D915" s="25"/>
      <c r="E915" s="25"/>
      <c r="F915" s="25"/>
      <c r="G915" s="26"/>
      <c r="H915" s="27"/>
      <c r="I915" s="24"/>
      <c r="J915" s="24"/>
      <c r="K915" s="28"/>
      <c r="L915" s="29"/>
      <c r="M915" s="29"/>
      <c r="N915" s="29"/>
      <c r="O915" s="27"/>
      <c r="P915" s="30"/>
      <c r="Q915" s="31"/>
      <c r="R915" s="31"/>
      <c r="S915" s="32"/>
      <c r="T915" s="32"/>
      <c r="U915" s="32"/>
      <c r="V915" s="32"/>
      <c r="W915" s="32"/>
      <c r="X915" s="32"/>
      <c r="Y915" s="32"/>
      <c r="Z915" s="32"/>
      <c r="AA915" s="32"/>
      <c r="AB915" s="32"/>
    </row>
    <row r="916" spans="1:28" ht="15.6" customHeight="1" x14ac:dyDescent="0.25">
      <c r="A916" s="24"/>
      <c r="B916" s="24"/>
      <c r="C916" s="25"/>
      <c r="D916" s="25"/>
      <c r="E916" s="25"/>
      <c r="F916" s="25"/>
      <c r="G916" s="26"/>
      <c r="H916" s="27"/>
      <c r="I916" s="24"/>
      <c r="J916" s="24"/>
      <c r="K916" s="28"/>
      <c r="L916" s="29"/>
      <c r="M916" s="29"/>
      <c r="N916" s="29"/>
      <c r="O916" s="27"/>
      <c r="P916" s="30"/>
      <c r="Q916" s="31"/>
      <c r="R916" s="31"/>
      <c r="S916" s="32"/>
      <c r="T916" s="32"/>
      <c r="U916" s="32"/>
      <c r="V916" s="32"/>
      <c r="W916" s="32"/>
      <c r="X916" s="32"/>
      <c r="Y916" s="32"/>
      <c r="Z916" s="32"/>
      <c r="AA916" s="32"/>
      <c r="AB916" s="32"/>
    </row>
    <row r="917" spans="1:28" ht="15.6" customHeight="1" x14ac:dyDescent="0.25">
      <c r="A917" s="24"/>
      <c r="B917" s="24"/>
      <c r="C917" s="25"/>
      <c r="D917" s="25"/>
      <c r="E917" s="25"/>
      <c r="F917" s="25"/>
      <c r="G917" s="26"/>
      <c r="H917" s="27"/>
      <c r="I917" s="24"/>
      <c r="J917" s="24"/>
      <c r="K917" s="28"/>
      <c r="L917" s="29"/>
      <c r="M917" s="29"/>
      <c r="N917" s="29"/>
      <c r="O917" s="27"/>
      <c r="P917" s="30"/>
      <c r="Q917" s="31"/>
      <c r="R917" s="31"/>
      <c r="S917" s="32"/>
      <c r="T917" s="32"/>
      <c r="U917" s="32"/>
      <c r="V917" s="32"/>
      <c r="W917" s="32"/>
      <c r="X917" s="32"/>
      <c r="Y917" s="32"/>
      <c r="Z917" s="32"/>
      <c r="AA917" s="32"/>
      <c r="AB917" s="32"/>
    </row>
    <row r="918" spans="1:28" ht="15.6" customHeight="1" x14ac:dyDescent="0.25">
      <c r="A918" s="24"/>
      <c r="B918" s="24"/>
      <c r="C918" s="25"/>
      <c r="D918" s="25"/>
      <c r="E918" s="25"/>
      <c r="F918" s="25"/>
      <c r="G918" s="26"/>
      <c r="H918" s="27"/>
      <c r="I918" s="24"/>
      <c r="J918" s="24"/>
      <c r="K918" s="28"/>
      <c r="L918" s="29"/>
      <c r="M918" s="29"/>
      <c r="N918" s="29"/>
      <c r="O918" s="27"/>
      <c r="P918" s="30"/>
      <c r="Q918" s="31"/>
      <c r="R918" s="31"/>
      <c r="S918" s="32"/>
      <c r="T918" s="32"/>
      <c r="U918" s="32"/>
      <c r="V918" s="32"/>
      <c r="W918" s="32"/>
      <c r="X918" s="32"/>
      <c r="Y918" s="32"/>
      <c r="Z918" s="32"/>
      <c r="AA918" s="32"/>
      <c r="AB918" s="32"/>
    </row>
    <row r="919" spans="1:28" ht="15.6" customHeight="1" x14ac:dyDescent="0.25">
      <c r="A919" s="24"/>
      <c r="B919" s="24"/>
      <c r="C919" s="25"/>
      <c r="D919" s="25"/>
      <c r="E919" s="25"/>
      <c r="F919" s="25"/>
      <c r="G919" s="26"/>
      <c r="H919" s="27"/>
      <c r="I919" s="24"/>
      <c r="J919" s="24"/>
      <c r="K919" s="28"/>
      <c r="L919" s="29"/>
      <c r="M919" s="29"/>
      <c r="N919" s="29"/>
      <c r="O919" s="27"/>
      <c r="P919" s="30"/>
      <c r="Q919" s="31"/>
      <c r="R919" s="31"/>
      <c r="S919" s="32"/>
      <c r="T919" s="32"/>
      <c r="U919" s="32"/>
      <c r="V919" s="32"/>
      <c r="W919" s="32"/>
      <c r="X919" s="32"/>
      <c r="Y919" s="32"/>
      <c r="Z919" s="32"/>
      <c r="AA919" s="32"/>
      <c r="AB919" s="32"/>
    </row>
    <row r="920" spans="1:28" ht="15.6" customHeight="1" x14ac:dyDescent="0.25">
      <c r="A920" s="24"/>
      <c r="B920" s="24"/>
      <c r="C920" s="25"/>
      <c r="D920" s="25"/>
      <c r="E920" s="25"/>
      <c r="F920" s="25"/>
      <c r="G920" s="26"/>
      <c r="H920" s="27"/>
      <c r="I920" s="24"/>
      <c r="J920" s="24"/>
      <c r="K920" s="28"/>
      <c r="L920" s="29"/>
      <c r="M920" s="29"/>
      <c r="N920" s="29"/>
      <c r="O920" s="27"/>
      <c r="P920" s="30"/>
      <c r="Q920" s="31"/>
      <c r="R920" s="31"/>
      <c r="S920" s="32"/>
      <c r="T920" s="32"/>
      <c r="U920" s="32"/>
      <c r="V920" s="32"/>
      <c r="W920" s="32"/>
      <c r="X920" s="32"/>
      <c r="Y920" s="32"/>
      <c r="Z920" s="32"/>
      <c r="AA920" s="32"/>
      <c r="AB920" s="32"/>
    </row>
    <row r="921" spans="1:28" ht="15.6" customHeight="1" x14ac:dyDescent="0.25">
      <c r="A921" s="24"/>
      <c r="B921" s="24"/>
      <c r="C921" s="25"/>
      <c r="D921" s="25"/>
      <c r="E921" s="25"/>
      <c r="F921" s="25"/>
      <c r="G921" s="26"/>
      <c r="H921" s="27"/>
      <c r="I921" s="24"/>
      <c r="J921" s="24"/>
      <c r="K921" s="28"/>
      <c r="L921" s="29"/>
      <c r="M921" s="29"/>
      <c r="N921" s="29"/>
      <c r="O921" s="27"/>
      <c r="P921" s="30"/>
      <c r="Q921" s="31"/>
      <c r="R921" s="31"/>
      <c r="S921" s="32"/>
      <c r="T921" s="32"/>
      <c r="U921" s="32"/>
      <c r="V921" s="32"/>
      <c r="W921" s="32"/>
      <c r="X921" s="32"/>
      <c r="Y921" s="32"/>
      <c r="Z921" s="32"/>
      <c r="AA921" s="32"/>
      <c r="AB921" s="32"/>
    </row>
    <row r="922" spans="1:28" ht="15.6" customHeight="1" x14ac:dyDescent="0.25">
      <c r="A922" s="24"/>
      <c r="B922" s="24"/>
      <c r="C922" s="25"/>
      <c r="D922" s="25"/>
      <c r="E922" s="25"/>
      <c r="F922" s="25"/>
      <c r="G922" s="26"/>
      <c r="H922" s="27"/>
      <c r="I922" s="24"/>
      <c r="J922" s="24"/>
      <c r="K922" s="28"/>
      <c r="L922" s="29"/>
      <c r="M922" s="29"/>
      <c r="N922" s="29"/>
      <c r="O922" s="27"/>
      <c r="P922" s="30"/>
      <c r="Q922" s="31"/>
      <c r="R922" s="31"/>
      <c r="S922" s="32"/>
      <c r="T922" s="32"/>
      <c r="U922" s="32"/>
      <c r="V922" s="32"/>
      <c r="W922" s="32"/>
      <c r="X922" s="32"/>
      <c r="Y922" s="32"/>
      <c r="Z922" s="32"/>
      <c r="AA922" s="32"/>
      <c r="AB922" s="32"/>
    </row>
    <row r="923" spans="1:28" ht="15.6" customHeight="1" x14ac:dyDescent="0.25">
      <c r="A923" s="24"/>
      <c r="B923" s="24"/>
      <c r="C923" s="25"/>
      <c r="D923" s="25"/>
      <c r="E923" s="25"/>
      <c r="F923" s="25"/>
      <c r="G923" s="26"/>
      <c r="H923" s="27"/>
      <c r="I923" s="24"/>
      <c r="J923" s="24"/>
      <c r="K923" s="28"/>
      <c r="L923" s="29"/>
      <c r="M923" s="29"/>
      <c r="N923" s="29"/>
      <c r="O923" s="27"/>
      <c r="P923" s="30"/>
      <c r="Q923" s="31"/>
      <c r="R923" s="31"/>
      <c r="S923" s="32"/>
      <c r="T923" s="32"/>
      <c r="U923" s="32"/>
      <c r="V923" s="32"/>
      <c r="W923" s="32"/>
      <c r="X923" s="32"/>
      <c r="Y923" s="32"/>
      <c r="Z923" s="32"/>
      <c r="AA923" s="32"/>
      <c r="AB923" s="32"/>
    </row>
    <row r="924" spans="1:28" ht="15.6" customHeight="1" x14ac:dyDescent="0.25">
      <c r="A924" s="24"/>
      <c r="B924" s="24"/>
      <c r="C924" s="25"/>
      <c r="D924" s="25"/>
      <c r="E924" s="25"/>
      <c r="F924" s="25"/>
      <c r="G924" s="26"/>
      <c r="H924" s="27"/>
      <c r="I924" s="24"/>
      <c r="J924" s="24"/>
      <c r="K924" s="28"/>
      <c r="L924" s="29"/>
      <c r="M924" s="29"/>
      <c r="N924" s="29"/>
      <c r="O924" s="27"/>
      <c r="P924" s="30"/>
      <c r="Q924" s="31"/>
      <c r="R924" s="31"/>
      <c r="S924" s="32"/>
      <c r="T924" s="32"/>
      <c r="U924" s="32"/>
      <c r="V924" s="32"/>
      <c r="W924" s="32"/>
      <c r="X924" s="32"/>
      <c r="Y924" s="32"/>
      <c r="Z924" s="32"/>
      <c r="AA924" s="32"/>
      <c r="AB924" s="32"/>
    </row>
    <row r="925" spans="1:28" ht="15.6" customHeight="1" x14ac:dyDescent="0.25">
      <c r="A925" s="24"/>
      <c r="B925" s="24"/>
      <c r="C925" s="25"/>
      <c r="D925" s="25"/>
      <c r="E925" s="25"/>
      <c r="F925" s="25"/>
      <c r="G925" s="26"/>
      <c r="H925" s="27"/>
      <c r="I925" s="24"/>
      <c r="J925" s="24"/>
      <c r="K925" s="28"/>
      <c r="L925" s="29"/>
      <c r="M925" s="29"/>
      <c r="N925" s="29"/>
      <c r="O925" s="27"/>
      <c r="P925" s="30"/>
      <c r="Q925" s="31"/>
      <c r="R925" s="31"/>
      <c r="S925" s="32"/>
      <c r="T925" s="32"/>
      <c r="U925" s="32"/>
      <c r="V925" s="32"/>
      <c r="W925" s="32"/>
      <c r="X925" s="32"/>
      <c r="Y925" s="32"/>
      <c r="Z925" s="32"/>
      <c r="AA925" s="32"/>
      <c r="AB925" s="32"/>
    </row>
    <row r="926" spans="1:28" ht="15.6" customHeight="1" x14ac:dyDescent="0.25">
      <c r="A926" s="24"/>
      <c r="B926" s="24"/>
      <c r="C926" s="25"/>
      <c r="D926" s="25"/>
      <c r="E926" s="25"/>
      <c r="F926" s="25"/>
      <c r="G926" s="26"/>
      <c r="H926" s="27"/>
      <c r="I926" s="24"/>
      <c r="J926" s="24"/>
      <c r="K926" s="28"/>
      <c r="L926" s="29"/>
      <c r="M926" s="29"/>
      <c r="N926" s="29"/>
      <c r="O926" s="27"/>
      <c r="P926" s="30"/>
      <c r="Q926" s="31"/>
      <c r="R926" s="31"/>
      <c r="S926" s="32"/>
      <c r="T926" s="32"/>
      <c r="U926" s="32"/>
      <c r="V926" s="32"/>
      <c r="W926" s="32"/>
      <c r="X926" s="32"/>
      <c r="Y926" s="32"/>
      <c r="Z926" s="32"/>
      <c r="AA926" s="32"/>
      <c r="AB926" s="32"/>
    </row>
    <row r="927" spans="1:28" ht="15.6" customHeight="1" x14ac:dyDescent="0.25">
      <c r="A927" s="24"/>
      <c r="B927" s="24"/>
      <c r="C927" s="25"/>
      <c r="D927" s="25"/>
      <c r="E927" s="25"/>
      <c r="F927" s="25"/>
      <c r="G927" s="26"/>
      <c r="H927" s="27"/>
      <c r="I927" s="24"/>
      <c r="J927" s="24"/>
      <c r="K927" s="28"/>
      <c r="L927" s="29"/>
      <c r="M927" s="29"/>
      <c r="N927" s="29"/>
      <c r="O927" s="27"/>
      <c r="P927" s="30"/>
      <c r="Q927" s="31"/>
      <c r="R927" s="31"/>
      <c r="S927" s="32"/>
      <c r="T927" s="32"/>
      <c r="U927" s="32"/>
      <c r="V927" s="32"/>
      <c r="W927" s="32"/>
      <c r="X927" s="32"/>
      <c r="Y927" s="32"/>
      <c r="Z927" s="32"/>
      <c r="AA927" s="32"/>
      <c r="AB927" s="32"/>
    </row>
    <row r="928" spans="1:28" ht="15.6" customHeight="1" x14ac:dyDescent="0.25">
      <c r="A928" s="24"/>
      <c r="B928" s="24"/>
      <c r="C928" s="25"/>
      <c r="D928" s="25"/>
      <c r="E928" s="25"/>
      <c r="F928" s="25"/>
      <c r="G928" s="26"/>
      <c r="H928" s="27"/>
      <c r="I928" s="24"/>
      <c r="J928" s="24"/>
      <c r="K928" s="28"/>
      <c r="L928" s="29"/>
      <c r="M928" s="29"/>
      <c r="N928" s="29"/>
      <c r="O928" s="27"/>
      <c r="P928" s="30"/>
      <c r="Q928" s="31"/>
      <c r="R928" s="31"/>
      <c r="S928" s="32"/>
      <c r="T928" s="32"/>
      <c r="U928" s="32"/>
      <c r="V928" s="32"/>
      <c r="W928" s="32"/>
      <c r="X928" s="32"/>
      <c r="Y928" s="32"/>
      <c r="Z928" s="32"/>
      <c r="AA928" s="32"/>
      <c r="AB928" s="32"/>
    </row>
    <row r="929" spans="1:28" ht="15.6" customHeight="1" x14ac:dyDescent="0.25">
      <c r="A929" s="24"/>
      <c r="B929" s="24"/>
      <c r="C929" s="25"/>
      <c r="D929" s="25"/>
      <c r="E929" s="25"/>
      <c r="F929" s="25"/>
      <c r="G929" s="26"/>
      <c r="H929" s="27"/>
      <c r="I929" s="24"/>
      <c r="J929" s="24"/>
      <c r="K929" s="28"/>
      <c r="L929" s="29"/>
      <c r="M929" s="29"/>
      <c r="N929" s="29"/>
      <c r="O929" s="27"/>
      <c r="P929" s="30"/>
      <c r="Q929" s="31"/>
      <c r="R929" s="31"/>
      <c r="S929" s="32"/>
      <c r="T929" s="32"/>
      <c r="U929" s="32"/>
      <c r="V929" s="32"/>
      <c r="W929" s="32"/>
      <c r="X929" s="32"/>
      <c r="Y929" s="32"/>
      <c r="Z929" s="32"/>
      <c r="AA929" s="32"/>
      <c r="AB929" s="32"/>
    </row>
    <row r="930" spans="1:28" ht="15.6" customHeight="1" x14ac:dyDescent="0.25">
      <c r="A930" s="24"/>
      <c r="B930" s="24"/>
      <c r="C930" s="25"/>
      <c r="D930" s="25"/>
      <c r="E930" s="25"/>
      <c r="F930" s="25"/>
      <c r="G930" s="26"/>
      <c r="H930" s="27"/>
      <c r="I930" s="24"/>
      <c r="J930" s="24"/>
      <c r="K930" s="28"/>
      <c r="L930" s="29"/>
      <c r="M930" s="29"/>
      <c r="N930" s="29"/>
      <c r="O930" s="27"/>
      <c r="P930" s="30"/>
      <c r="Q930" s="31"/>
      <c r="R930" s="31"/>
      <c r="S930" s="32"/>
      <c r="T930" s="32"/>
      <c r="U930" s="32"/>
      <c r="V930" s="32"/>
      <c r="W930" s="32"/>
      <c r="X930" s="32"/>
      <c r="Y930" s="32"/>
      <c r="Z930" s="32"/>
      <c r="AA930" s="32"/>
      <c r="AB930" s="32"/>
    </row>
    <row r="931" spans="1:28" ht="15.6" customHeight="1" x14ac:dyDescent="0.25">
      <c r="A931" s="24"/>
      <c r="B931" s="24"/>
      <c r="C931" s="25"/>
      <c r="D931" s="25"/>
      <c r="E931" s="25"/>
      <c r="F931" s="25"/>
      <c r="G931" s="26"/>
      <c r="H931" s="27"/>
      <c r="I931" s="24"/>
      <c r="J931" s="24"/>
      <c r="K931" s="28"/>
      <c r="L931" s="29"/>
      <c r="M931" s="29"/>
      <c r="N931" s="29"/>
      <c r="O931" s="27"/>
      <c r="P931" s="30"/>
      <c r="Q931" s="31"/>
      <c r="R931" s="31"/>
      <c r="S931" s="32"/>
      <c r="T931" s="32"/>
      <c r="U931" s="32"/>
      <c r="V931" s="32"/>
      <c r="W931" s="32"/>
      <c r="X931" s="32"/>
      <c r="Y931" s="32"/>
      <c r="Z931" s="32"/>
      <c r="AA931" s="32"/>
      <c r="AB931" s="32"/>
    </row>
    <row r="932" spans="1:28" ht="15.6" customHeight="1" x14ac:dyDescent="0.25">
      <c r="A932" s="24"/>
      <c r="B932" s="24"/>
      <c r="C932" s="25"/>
      <c r="D932" s="25"/>
      <c r="E932" s="25"/>
      <c r="F932" s="25"/>
      <c r="G932" s="26"/>
      <c r="H932" s="27"/>
      <c r="I932" s="24"/>
      <c r="J932" s="24"/>
      <c r="K932" s="28"/>
      <c r="L932" s="29"/>
      <c r="M932" s="29"/>
      <c r="N932" s="29"/>
      <c r="O932" s="27"/>
      <c r="P932" s="30"/>
      <c r="Q932" s="31"/>
      <c r="R932" s="31"/>
      <c r="S932" s="32"/>
      <c r="T932" s="32"/>
      <c r="U932" s="32"/>
      <c r="V932" s="32"/>
      <c r="W932" s="32"/>
      <c r="X932" s="32"/>
      <c r="Y932" s="32"/>
      <c r="Z932" s="32"/>
      <c r="AA932" s="32"/>
      <c r="AB932" s="32"/>
    </row>
    <row r="933" spans="1:28" ht="15.6" customHeight="1" x14ac:dyDescent="0.25">
      <c r="A933" s="24"/>
      <c r="B933" s="24"/>
      <c r="C933" s="25"/>
      <c r="D933" s="25"/>
      <c r="E933" s="25"/>
      <c r="F933" s="25"/>
      <c r="G933" s="26"/>
      <c r="H933" s="27"/>
      <c r="I933" s="24"/>
      <c r="J933" s="24"/>
      <c r="K933" s="28"/>
      <c r="L933" s="29"/>
      <c r="M933" s="29"/>
      <c r="N933" s="29"/>
      <c r="O933" s="27"/>
      <c r="P933" s="30"/>
      <c r="Q933" s="31"/>
      <c r="R933" s="31"/>
      <c r="S933" s="32"/>
      <c r="T933" s="32"/>
      <c r="U933" s="32"/>
      <c r="V933" s="32"/>
      <c r="W933" s="32"/>
      <c r="X933" s="32"/>
      <c r="Y933" s="32"/>
      <c r="Z933" s="32"/>
      <c r="AA933" s="32"/>
      <c r="AB933" s="32"/>
    </row>
    <row r="934" spans="1:28" ht="15.6" customHeight="1" x14ac:dyDescent="0.25">
      <c r="A934" s="24"/>
      <c r="B934" s="24"/>
      <c r="C934" s="25"/>
      <c r="D934" s="25"/>
      <c r="E934" s="25"/>
      <c r="F934" s="25"/>
      <c r="G934" s="26"/>
      <c r="H934" s="27"/>
      <c r="I934" s="24"/>
      <c r="J934" s="24"/>
      <c r="K934" s="28"/>
      <c r="L934" s="29"/>
      <c r="M934" s="29"/>
      <c r="N934" s="29"/>
      <c r="O934" s="27"/>
      <c r="P934" s="30"/>
      <c r="Q934" s="31"/>
      <c r="R934" s="31"/>
      <c r="S934" s="32"/>
      <c r="T934" s="32"/>
      <c r="U934" s="32"/>
      <c r="V934" s="32"/>
      <c r="W934" s="32"/>
      <c r="X934" s="32"/>
      <c r="Y934" s="32"/>
      <c r="Z934" s="32"/>
      <c r="AA934" s="32"/>
      <c r="AB934" s="32"/>
    </row>
    <row r="935" spans="1:28" ht="15.6" customHeight="1" x14ac:dyDescent="0.25">
      <c r="A935" s="24"/>
      <c r="B935" s="24"/>
      <c r="C935" s="25"/>
      <c r="D935" s="25"/>
      <c r="E935" s="25"/>
      <c r="F935" s="25"/>
      <c r="G935" s="26"/>
      <c r="H935" s="27"/>
      <c r="I935" s="24"/>
      <c r="J935" s="24"/>
      <c r="K935" s="28"/>
      <c r="L935" s="29"/>
      <c r="M935" s="29"/>
      <c r="N935" s="29"/>
      <c r="O935" s="27"/>
      <c r="P935" s="30"/>
      <c r="Q935" s="31"/>
      <c r="R935" s="31"/>
      <c r="S935" s="32"/>
      <c r="T935" s="32"/>
      <c r="U935" s="32"/>
      <c r="V935" s="32"/>
      <c r="W935" s="32"/>
      <c r="X935" s="32"/>
      <c r="Y935" s="32"/>
      <c r="Z935" s="32"/>
      <c r="AA935" s="32"/>
      <c r="AB935" s="32"/>
    </row>
    <row r="936" spans="1:28" ht="15.6" customHeight="1" x14ac:dyDescent="0.25">
      <c r="A936" s="24"/>
      <c r="B936" s="24"/>
      <c r="C936" s="25"/>
      <c r="D936" s="25"/>
      <c r="E936" s="25"/>
      <c r="F936" s="25"/>
      <c r="G936" s="26"/>
      <c r="H936" s="27"/>
      <c r="I936" s="24"/>
      <c r="J936" s="24"/>
      <c r="K936" s="28"/>
      <c r="L936" s="29"/>
      <c r="M936" s="29"/>
      <c r="N936" s="29"/>
      <c r="O936" s="27"/>
      <c r="P936" s="30"/>
      <c r="Q936" s="31"/>
      <c r="R936" s="31"/>
      <c r="S936" s="32"/>
      <c r="T936" s="32"/>
      <c r="U936" s="32"/>
      <c r="V936" s="32"/>
      <c r="W936" s="32"/>
      <c r="X936" s="32"/>
      <c r="Y936" s="32"/>
      <c r="Z936" s="32"/>
      <c r="AA936" s="32"/>
      <c r="AB936" s="32"/>
    </row>
    <row r="937" spans="1:28" ht="15.6" customHeight="1" x14ac:dyDescent="0.25">
      <c r="A937" s="24"/>
      <c r="B937" s="24"/>
      <c r="C937" s="25"/>
      <c r="D937" s="25"/>
      <c r="E937" s="25"/>
      <c r="F937" s="25"/>
      <c r="G937" s="26"/>
      <c r="H937" s="27"/>
      <c r="I937" s="24"/>
      <c r="J937" s="24"/>
      <c r="K937" s="28"/>
      <c r="L937" s="29"/>
      <c r="M937" s="29"/>
      <c r="N937" s="29"/>
      <c r="O937" s="27"/>
      <c r="P937" s="30"/>
      <c r="Q937" s="31"/>
      <c r="R937" s="31"/>
      <c r="S937" s="32"/>
      <c r="T937" s="32"/>
      <c r="U937" s="32"/>
      <c r="V937" s="32"/>
      <c r="W937" s="32"/>
      <c r="X937" s="32"/>
      <c r="Y937" s="32"/>
      <c r="Z937" s="32"/>
      <c r="AA937" s="32"/>
      <c r="AB937" s="32"/>
    </row>
    <row r="938" spans="1:28" ht="15.6" customHeight="1" x14ac:dyDescent="0.25">
      <c r="A938" s="24"/>
      <c r="B938" s="24"/>
      <c r="C938" s="25"/>
      <c r="D938" s="25"/>
      <c r="E938" s="25"/>
      <c r="F938" s="25"/>
      <c r="G938" s="26"/>
      <c r="H938" s="27"/>
      <c r="I938" s="24"/>
      <c r="J938" s="24"/>
      <c r="K938" s="28"/>
      <c r="L938" s="29"/>
      <c r="M938" s="29"/>
      <c r="N938" s="29"/>
      <c r="O938" s="27"/>
      <c r="P938" s="30"/>
      <c r="Q938" s="31"/>
      <c r="R938" s="31"/>
      <c r="S938" s="32"/>
      <c r="T938" s="32"/>
      <c r="U938" s="32"/>
      <c r="V938" s="32"/>
      <c r="W938" s="32"/>
      <c r="X938" s="32"/>
      <c r="Y938" s="32"/>
      <c r="Z938" s="32"/>
      <c r="AA938" s="32"/>
      <c r="AB938" s="32"/>
    </row>
    <row r="939" spans="1:28" ht="15.6" customHeight="1" x14ac:dyDescent="0.25">
      <c r="A939" s="24"/>
      <c r="B939" s="24"/>
      <c r="C939" s="25"/>
      <c r="D939" s="25"/>
      <c r="E939" s="25"/>
      <c r="F939" s="25"/>
      <c r="G939" s="26"/>
      <c r="H939" s="27"/>
      <c r="I939" s="24"/>
      <c r="J939" s="24"/>
      <c r="K939" s="28"/>
      <c r="L939" s="29"/>
      <c r="M939" s="29"/>
      <c r="N939" s="29"/>
      <c r="O939" s="27"/>
      <c r="P939" s="30"/>
      <c r="Q939" s="31"/>
      <c r="R939" s="31"/>
      <c r="S939" s="32"/>
      <c r="T939" s="32"/>
      <c r="U939" s="32"/>
      <c r="V939" s="32"/>
      <c r="W939" s="32"/>
      <c r="X939" s="32"/>
      <c r="Y939" s="32"/>
      <c r="Z939" s="32"/>
      <c r="AA939" s="32"/>
      <c r="AB939" s="32"/>
    </row>
    <row r="940" spans="1:28" ht="15.6" customHeight="1" x14ac:dyDescent="0.25">
      <c r="A940" s="24"/>
      <c r="B940" s="24"/>
      <c r="C940" s="25"/>
      <c r="D940" s="25"/>
      <c r="E940" s="25"/>
      <c r="F940" s="25"/>
      <c r="G940" s="26"/>
      <c r="H940" s="27"/>
      <c r="I940" s="24"/>
      <c r="J940" s="24"/>
      <c r="K940" s="28"/>
      <c r="L940" s="29"/>
      <c r="M940" s="29"/>
      <c r="N940" s="29"/>
      <c r="O940" s="27"/>
      <c r="P940" s="30"/>
      <c r="Q940" s="31"/>
      <c r="R940" s="31"/>
      <c r="S940" s="32"/>
      <c r="T940" s="32"/>
      <c r="U940" s="32"/>
      <c r="V940" s="32"/>
      <c r="W940" s="32"/>
      <c r="X940" s="32"/>
      <c r="Y940" s="32"/>
      <c r="Z940" s="32"/>
      <c r="AA940" s="32"/>
      <c r="AB940" s="32"/>
    </row>
    <row r="941" spans="1:28" ht="15.6" customHeight="1" x14ac:dyDescent="0.25">
      <c r="A941" s="24"/>
      <c r="B941" s="24"/>
      <c r="C941" s="25"/>
      <c r="D941" s="25"/>
      <c r="E941" s="25"/>
      <c r="F941" s="25"/>
      <c r="G941" s="26"/>
      <c r="H941" s="27"/>
      <c r="I941" s="24"/>
      <c r="J941" s="24"/>
      <c r="K941" s="28"/>
      <c r="L941" s="29"/>
      <c r="M941" s="29"/>
      <c r="N941" s="29"/>
      <c r="O941" s="27"/>
      <c r="P941" s="30"/>
      <c r="Q941" s="31"/>
      <c r="R941" s="31"/>
      <c r="S941" s="32"/>
      <c r="T941" s="32"/>
      <c r="U941" s="32"/>
      <c r="V941" s="32"/>
      <c r="W941" s="32"/>
      <c r="X941" s="32"/>
      <c r="Y941" s="32"/>
      <c r="Z941" s="32"/>
      <c r="AA941" s="32"/>
      <c r="AB941" s="32"/>
    </row>
    <row r="942" spans="1:28" ht="15.6" customHeight="1" x14ac:dyDescent="0.25">
      <c r="A942" s="24"/>
      <c r="B942" s="24"/>
      <c r="C942" s="25"/>
      <c r="D942" s="25"/>
      <c r="E942" s="25"/>
      <c r="F942" s="25"/>
      <c r="G942" s="26"/>
      <c r="H942" s="27"/>
      <c r="I942" s="24"/>
      <c r="J942" s="24"/>
      <c r="K942" s="28"/>
      <c r="L942" s="29"/>
      <c r="M942" s="29"/>
      <c r="N942" s="29"/>
      <c r="O942" s="27"/>
      <c r="P942" s="30"/>
      <c r="Q942" s="31"/>
      <c r="R942" s="31"/>
      <c r="S942" s="32"/>
      <c r="T942" s="32"/>
      <c r="U942" s="32"/>
      <c r="V942" s="32"/>
      <c r="W942" s="32"/>
      <c r="X942" s="32"/>
      <c r="Y942" s="32"/>
      <c r="Z942" s="32"/>
      <c r="AA942" s="32"/>
      <c r="AB942" s="32"/>
    </row>
    <row r="943" spans="1:28" ht="15.6" customHeight="1" x14ac:dyDescent="0.25">
      <c r="A943" s="24"/>
      <c r="B943" s="24"/>
      <c r="C943" s="25"/>
      <c r="D943" s="25"/>
      <c r="E943" s="25"/>
      <c r="F943" s="25"/>
      <c r="G943" s="26"/>
      <c r="H943" s="27"/>
      <c r="I943" s="24"/>
      <c r="J943" s="24"/>
      <c r="K943" s="28"/>
      <c r="L943" s="29"/>
      <c r="M943" s="29"/>
      <c r="N943" s="29"/>
      <c r="O943" s="27"/>
      <c r="P943" s="30"/>
      <c r="Q943" s="31"/>
      <c r="R943" s="31"/>
      <c r="S943" s="32"/>
      <c r="T943" s="32"/>
      <c r="U943" s="32"/>
      <c r="V943" s="32"/>
      <c r="W943" s="32"/>
      <c r="X943" s="32"/>
      <c r="Y943" s="32"/>
      <c r="Z943" s="32"/>
      <c r="AA943" s="32"/>
      <c r="AB943" s="32"/>
    </row>
    <row r="944" spans="1:28" ht="15.6" customHeight="1" x14ac:dyDescent="0.25">
      <c r="A944" s="24"/>
      <c r="B944" s="24"/>
      <c r="C944" s="25"/>
      <c r="D944" s="25"/>
      <c r="E944" s="25"/>
      <c r="F944" s="25"/>
      <c r="G944" s="26"/>
      <c r="H944" s="27"/>
      <c r="I944" s="24"/>
      <c r="J944" s="24"/>
      <c r="K944" s="28"/>
      <c r="L944" s="29"/>
      <c r="M944" s="29"/>
      <c r="N944" s="29"/>
      <c r="O944" s="27"/>
      <c r="P944" s="30"/>
      <c r="Q944" s="31"/>
      <c r="R944" s="31"/>
      <c r="S944" s="32"/>
      <c r="T944" s="32"/>
      <c r="U944" s="32"/>
      <c r="V944" s="32"/>
      <c r="W944" s="32"/>
      <c r="X944" s="32"/>
      <c r="Y944" s="32"/>
      <c r="Z944" s="32"/>
      <c r="AA944" s="32"/>
      <c r="AB944" s="32"/>
    </row>
    <row r="945" spans="1:28" ht="15.6" customHeight="1" x14ac:dyDescent="0.25">
      <c r="A945" s="24"/>
      <c r="B945" s="24"/>
      <c r="C945" s="25"/>
      <c r="D945" s="25"/>
      <c r="E945" s="25"/>
      <c r="F945" s="25"/>
      <c r="G945" s="26"/>
      <c r="H945" s="27"/>
      <c r="I945" s="24"/>
      <c r="J945" s="24"/>
      <c r="K945" s="28"/>
      <c r="L945" s="29"/>
      <c r="M945" s="29"/>
      <c r="N945" s="29"/>
      <c r="O945" s="27"/>
      <c r="P945" s="30"/>
      <c r="Q945" s="31"/>
      <c r="R945" s="31"/>
      <c r="S945" s="32"/>
      <c r="T945" s="32"/>
      <c r="U945" s="32"/>
      <c r="V945" s="32"/>
      <c r="W945" s="32"/>
      <c r="X945" s="32"/>
      <c r="Y945" s="32"/>
      <c r="Z945" s="32"/>
      <c r="AA945" s="32"/>
      <c r="AB945" s="32"/>
    </row>
    <row r="946" spans="1:28" ht="15.6" customHeight="1" x14ac:dyDescent="0.25">
      <c r="A946" s="24"/>
      <c r="B946" s="24"/>
      <c r="C946" s="25"/>
      <c r="D946" s="25"/>
      <c r="E946" s="25"/>
      <c r="F946" s="25"/>
      <c r="G946" s="26"/>
      <c r="H946" s="27"/>
      <c r="I946" s="24"/>
      <c r="J946" s="24"/>
      <c r="K946" s="28"/>
      <c r="L946" s="29"/>
      <c r="M946" s="29"/>
      <c r="N946" s="29"/>
      <c r="O946" s="27"/>
      <c r="P946" s="30"/>
      <c r="Q946" s="31"/>
      <c r="R946" s="31"/>
      <c r="S946" s="32"/>
      <c r="T946" s="32"/>
      <c r="U946" s="32"/>
      <c r="V946" s="32"/>
      <c r="W946" s="32"/>
      <c r="X946" s="32"/>
      <c r="Y946" s="32"/>
      <c r="Z946" s="32"/>
      <c r="AA946" s="32"/>
      <c r="AB946" s="32"/>
    </row>
    <row r="947" spans="1:28" ht="15.6" customHeight="1" x14ac:dyDescent="0.25">
      <c r="A947" s="24"/>
      <c r="B947" s="24"/>
      <c r="C947" s="25"/>
      <c r="D947" s="25"/>
      <c r="E947" s="25"/>
      <c r="F947" s="25"/>
      <c r="G947" s="26"/>
      <c r="H947" s="27"/>
      <c r="I947" s="24"/>
      <c r="J947" s="24"/>
      <c r="K947" s="28"/>
      <c r="L947" s="29"/>
      <c r="M947" s="29"/>
      <c r="N947" s="29"/>
      <c r="O947" s="27"/>
      <c r="P947" s="30"/>
      <c r="Q947" s="31"/>
      <c r="R947" s="31"/>
      <c r="S947" s="32"/>
      <c r="T947" s="32"/>
      <c r="U947" s="32"/>
      <c r="V947" s="32"/>
      <c r="W947" s="32"/>
      <c r="X947" s="32"/>
      <c r="Y947" s="32"/>
      <c r="Z947" s="32"/>
      <c r="AA947" s="32"/>
      <c r="AB947" s="32"/>
    </row>
    <row r="948" spans="1:28" ht="15.6" customHeight="1" x14ac:dyDescent="0.25">
      <c r="A948" s="24"/>
      <c r="B948" s="24"/>
      <c r="C948" s="25"/>
      <c r="D948" s="25"/>
      <c r="E948" s="25"/>
      <c r="F948" s="25"/>
      <c r="G948" s="26"/>
      <c r="H948" s="27"/>
      <c r="I948" s="24"/>
      <c r="J948" s="24"/>
      <c r="K948" s="28"/>
      <c r="L948" s="29"/>
      <c r="M948" s="29"/>
      <c r="N948" s="29"/>
      <c r="O948" s="27"/>
      <c r="P948" s="30"/>
      <c r="Q948" s="31"/>
      <c r="R948" s="31"/>
      <c r="S948" s="32"/>
      <c r="T948" s="32"/>
      <c r="U948" s="32"/>
      <c r="V948" s="32"/>
      <c r="W948" s="32"/>
      <c r="X948" s="32"/>
      <c r="Y948" s="32"/>
      <c r="Z948" s="32"/>
      <c r="AA948" s="32"/>
      <c r="AB948" s="32"/>
    </row>
    <row r="949" spans="1:28" ht="15.6" customHeight="1" x14ac:dyDescent="0.25">
      <c r="A949" s="24"/>
      <c r="B949" s="24"/>
      <c r="C949" s="25"/>
      <c r="D949" s="25"/>
      <c r="E949" s="25"/>
      <c r="F949" s="25"/>
      <c r="G949" s="26"/>
      <c r="H949" s="27"/>
      <c r="I949" s="24"/>
      <c r="J949" s="24"/>
      <c r="K949" s="28"/>
      <c r="L949" s="29"/>
      <c r="M949" s="29"/>
      <c r="N949" s="29"/>
      <c r="O949" s="27"/>
      <c r="P949" s="30"/>
      <c r="Q949" s="31"/>
      <c r="R949" s="31"/>
      <c r="S949" s="32"/>
      <c r="T949" s="32"/>
      <c r="U949" s="32"/>
      <c r="V949" s="32"/>
      <c r="W949" s="32"/>
      <c r="X949" s="32"/>
      <c r="Y949" s="32"/>
      <c r="Z949" s="32"/>
      <c r="AA949" s="32"/>
      <c r="AB949" s="32"/>
    </row>
    <row r="950" spans="1:28" ht="15.6" customHeight="1" x14ac:dyDescent="0.25">
      <c r="A950" s="24"/>
      <c r="B950" s="24"/>
      <c r="C950" s="25"/>
      <c r="D950" s="25"/>
      <c r="E950" s="25"/>
      <c r="F950" s="25"/>
      <c r="G950" s="26"/>
      <c r="H950" s="27"/>
      <c r="I950" s="24"/>
      <c r="J950" s="24"/>
      <c r="K950" s="28"/>
      <c r="L950" s="29"/>
      <c r="M950" s="29"/>
      <c r="N950" s="29"/>
      <c r="O950" s="27"/>
      <c r="P950" s="30"/>
      <c r="Q950" s="31"/>
      <c r="R950" s="31"/>
      <c r="S950" s="32"/>
      <c r="T950" s="32"/>
      <c r="U950" s="32"/>
      <c r="V950" s="32"/>
      <c r="W950" s="32"/>
      <c r="X950" s="32"/>
      <c r="Y950" s="32"/>
      <c r="Z950" s="32"/>
      <c r="AA950" s="32"/>
      <c r="AB950" s="32"/>
    </row>
    <row r="951" spans="1:28" ht="15.6" customHeight="1" x14ac:dyDescent="0.25">
      <c r="A951" s="24"/>
      <c r="B951" s="24"/>
      <c r="C951" s="25"/>
      <c r="D951" s="25"/>
      <c r="E951" s="25"/>
      <c r="F951" s="25"/>
      <c r="G951" s="26"/>
      <c r="H951" s="27"/>
      <c r="I951" s="24"/>
      <c r="J951" s="24"/>
      <c r="K951" s="28"/>
      <c r="L951" s="29"/>
      <c r="M951" s="29"/>
      <c r="N951" s="29"/>
      <c r="O951" s="27"/>
      <c r="P951" s="30"/>
      <c r="Q951" s="31"/>
      <c r="R951" s="31"/>
      <c r="S951" s="32"/>
      <c r="T951" s="32"/>
      <c r="U951" s="32"/>
      <c r="V951" s="32"/>
      <c r="W951" s="32"/>
      <c r="X951" s="32"/>
      <c r="Y951" s="32"/>
      <c r="Z951" s="32"/>
      <c r="AA951" s="32"/>
      <c r="AB951" s="32"/>
    </row>
    <row r="952" spans="1:28" ht="15.6" customHeight="1" x14ac:dyDescent="0.25">
      <c r="A952" s="24"/>
      <c r="B952" s="24"/>
      <c r="C952" s="25"/>
      <c r="D952" s="25"/>
      <c r="E952" s="25"/>
      <c r="F952" s="25"/>
      <c r="G952" s="26"/>
      <c r="H952" s="27"/>
      <c r="I952" s="24"/>
      <c r="J952" s="24"/>
      <c r="K952" s="28"/>
      <c r="L952" s="29"/>
      <c r="M952" s="29"/>
      <c r="N952" s="29"/>
      <c r="O952" s="27"/>
      <c r="P952" s="30"/>
      <c r="Q952" s="31"/>
      <c r="R952" s="31"/>
      <c r="S952" s="32"/>
      <c r="T952" s="32"/>
      <c r="U952" s="32"/>
      <c r="V952" s="32"/>
      <c r="W952" s="32"/>
      <c r="X952" s="32"/>
      <c r="Y952" s="32"/>
      <c r="Z952" s="32"/>
      <c r="AA952" s="32"/>
      <c r="AB952" s="32"/>
    </row>
    <row r="953" spans="1:28" ht="15.6" customHeight="1" x14ac:dyDescent="0.25">
      <c r="A953" s="24"/>
      <c r="B953" s="24"/>
      <c r="C953" s="25"/>
      <c r="D953" s="25"/>
      <c r="E953" s="25"/>
      <c r="F953" s="25"/>
      <c r="G953" s="26"/>
      <c r="H953" s="27"/>
      <c r="I953" s="24"/>
      <c r="J953" s="24"/>
      <c r="K953" s="28"/>
      <c r="L953" s="29"/>
      <c r="M953" s="29"/>
      <c r="N953" s="29"/>
      <c r="O953" s="27"/>
      <c r="P953" s="30"/>
      <c r="Q953" s="31"/>
      <c r="R953" s="31"/>
      <c r="S953" s="32"/>
      <c r="T953" s="32"/>
      <c r="U953" s="32"/>
      <c r="V953" s="32"/>
      <c r="W953" s="32"/>
      <c r="X953" s="32"/>
      <c r="Y953" s="32"/>
      <c r="Z953" s="32"/>
      <c r="AA953" s="32"/>
      <c r="AB953" s="32"/>
    </row>
    <row r="954" spans="1:28" ht="15.6" customHeight="1" x14ac:dyDescent="0.25">
      <c r="A954" s="24"/>
      <c r="B954" s="24"/>
      <c r="C954" s="25"/>
      <c r="D954" s="25"/>
      <c r="E954" s="25"/>
      <c r="F954" s="25"/>
      <c r="G954" s="26"/>
      <c r="H954" s="27"/>
      <c r="I954" s="24"/>
      <c r="J954" s="24"/>
      <c r="K954" s="28"/>
      <c r="L954" s="29"/>
      <c r="M954" s="29"/>
      <c r="N954" s="29"/>
      <c r="O954" s="27"/>
      <c r="P954" s="30"/>
      <c r="Q954" s="31"/>
      <c r="R954" s="31"/>
      <c r="S954" s="32"/>
      <c r="T954" s="32"/>
      <c r="U954" s="32"/>
      <c r="V954" s="32"/>
      <c r="W954" s="32"/>
      <c r="X954" s="32"/>
      <c r="Y954" s="32"/>
      <c r="Z954" s="32"/>
      <c r="AA954" s="32"/>
      <c r="AB954" s="32"/>
    </row>
    <row r="955" spans="1:28" ht="15.6" customHeight="1" x14ac:dyDescent="0.25">
      <c r="A955" s="24"/>
      <c r="B955" s="24"/>
      <c r="C955" s="25"/>
      <c r="D955" s="25"/>
      <c r="E955" s="25"/>
      <c r="F955" s="25"/>
      <c r="G955" s="26"/>
      <c r="H955" s="27"/>
      <c r="I955" s="24"/>
      <c r="J955" s="24"/>
      <c r="K955" s="28"/>
      <c r="L955" s="29"/>
      <c r="M955" s="29"/>
      <c r="N955" s="29"/>
      <c r="O955" s="27"/>
      <c r="P955" s="30"/>
      <c r="Q955" s="31"/>
      <c r="R955" s="31"/>
      <c r="S955" s="32"/>
      <c r="T955" s="32"/>
      <c r="U955" s="32"/>
      <c r="V955" s="32"/>
      <c r="W955" s="32"/>
      <c r="X955" s="32"/>
      <c r="Y955" s="32"/>
      <c r="Z955" s="32"/>
      <c r="AA955" s="32"/>
      <c r="AB955" s="32"/>
    </row>
    <row r="956" spans="1:28" ht="15.6" customHeight="1" x14ac:dyDescent="0.25">
      <c r="A956" s="24"/>
      <c r="B956" s="24"/>
      <c r="C956" s="25"/>
      <c r="D956" s="25"/>
      <c r="E956" s="25"/>
      <c r="F956" s="25"/>
      <c r="G956" s="26"/>
      <c r="H956" s="27"/>
      <c r="I956" s="24"/>
      <c r="J956" s="24"/>
      <c r="K956" s="28"/>
      <c r="L956" s="29"/>
      <c r="M956" s="29"/>
      <c r="N956" s="29"/>
      <c r="O956" s="27"/>
      <c r="P956" s="30"/>
      <c r="Q956" s="31"/>
      <c r="R956" s="31"/>
      <c r="S956" s="32"/>
      <c r="T956" s="32"/>
      <c r="U956" s="32"/>
      <c r="V956" s="32"/>
      <c r="W956" s="32"/>
      <c r="X956" s="32"/>
      <c r="Y956" s="32"/>
      <c r="Z956" s="32"/>
      <c r="AA956" s="32"/>
      <c r="AB956" s="32"/>
    </row>
    <row r="957" spans="1:28" ht="15.6" customHeight="1" x14ac:dyDescent="0.25">
      <c r="A957" s="24"/>
      <c r="B957" s="24"/>
      <c r="C957" s="25"/>
      <c r="D957" s="25"/>
      <c r="E957" s="25"/>
      <c r="F957" s="25"/>
      <c r="G957" s="26"/>
      <c r="H957" s="27"/>
      <c r="I957" s="24"/>
      <c r="J957" s="24"/>
      <c r="K957" s="28"/>
      <c r="L957" s="29"/>
      <c r="M957" s="29"/>
      <c r="N957" s="29"/>
      <c r="O957" s="27"/>
      <c r="P957" s="30"/>
      <c r="Q957" s="31"/>
      <c r="R957" s="31"/>
      <c r="S957" s="32"/>
      <c r="T957" s="32"/>
      <c r="U957" s="32"/>
      <c r="V957" s="32"/>
      <c r="W957" s="32"/>
      <c r="X957" s="32"/>
      <c r="Y957" s="32"/>
      <c r="Z957" s="32"/>
      <c r="AA957" s="32"/>
      <c r="AB957" s="32"/>
    </row>
    <row r="958" spans="1:28" ht="15.6" customHeight="1" x14ac:dyDescent="0.25">
      <c r="A958" s="24"/>
      <c r="B958" s="24"/>
      <c r="C958" s="25"/>
      <c r="D958" s="25"/>
      <c r="E958" s="25"/>
      <c r="F958" s="25"/>
      <c r="G958" s="26"/>
      <c r="H958" s="27"/>
      <c r="I958" s="24"/>
      <c r="J958" s="24"/>
      <c r="K958" s="28"/>
      <c r="L958" s="29"/>
      <c r="M958" s="29"/>
      <c r="N958" s="29"/>
      <c r="O958" s="27"/>
      <c r="P958" s="30"/>
      <c r="Q958" s="31"/>
      <c r="R958" s="31"/>
      <c r="S958" s="32"/>
      <c r="T958" s="32"/>
      <c r="U958" s="32"/>
      <c r="V958" s="32"/>
      <c r="W958" s="32"/>
      <c r="X958" s="32"/>
      <c r="Y958" s="32"/>
      <c r="Z958" s="32"/>
      <c r="AA958" s="32"/>
      <c r="AB958" s="32"/>
    </row>
    <row r="959" spans="1:28" ht="15.6" customHeight="1" x14ac:dyDescent="0.25">
      <c r="A959" s="24"/>
      <c r="B959" s="24"/>
      <c r="C959" s="25"/>
      <c r="D959" s="25"/>
      <c r="E959" s="25"/>
      <c r="F959" s="25"/>
      <c r="G959" s="26"/>
      <c r="H959" s="27"/>
      <c r="I959" s="24"/>
      <c r="J959" s="24"/>
      <c r="K959" s="28"/>
      <c r="L959" s="29"/>
      <c r="M959" s="29"/>
      <c r="N959" s="29"/>
      <c r="O959" s="27"/>
      <c r="P959" s="30"/>
      <c r="Q959" s="31"/>
      <c r="R959" s="31"/>
      <c r="S959" s="32"/>
      <c r="T959" s="32"/>
      <c r="U959" s="32"/>
      <c r="V959" s="32"/>
      <c r="W959" s="32"/>
      <c r="X959" s="32"/>
      <c r="Y959" s="32"/>
      <c r="Z959" s="32"/>
      <c r="AA959" s="32"/>
      <c r="AB959" s="32"/>
    </row>
    <row r="960" spans="1:28" ht="15.6" customHeight="1" x14ac:dyDescent="0.25">
      <c r="A960" s="24"/>
      <c r="B960" s="24"/>
      <c r="C960" s="25"/>
      <c r="D960" s="25"/>
      <c r="E960" s="25"/>
      <c r="F960" s="25"/>
      <c r="G960" s="26"/>
      <c r="H960" s="27"/>
      <c r="I960" s="24"/>
      <c r="J960" s="24"/>
      <c r="K960" s="28"/>
      <c r="L960" s="29"/>
      <c r="M960" s="29"/>
      <c r="N960" s="29"/>
      <c r="O960" s="27"/>
      <c r="P960" s="30"/>
      <c r="Q960" s="31"/>
      <c r="R960" s="31"/>
      <c r="S960" s="32"/>
      <c r="T960" s="32"/>
      <c r="U960" s="32"/>
      <c r="V960" s="32"/>
      <c r="W960" s="32"/>
      <c r="X960" s="32"/>
      <c r="Y960" s="32"/>
      <c r="Z960" s="32"/>
      <c r="AA960" s="32"/>
      <c r="AB960" s="32"/>
    </row>
    <row r="961" spans="1:28" ht="15.6" customHeight="1" x14ac:dyDescent="0.25">
      <c r="A961" s="24"/>
      <c r="B961" s="24"/>
      <c r="C961" s="25"/>
      <c r="D961" s="25"/>
      <c r="E961" s="25"/>
      <c r="F961" s="25"/>
      <c r="G961" s="26"/>
      <c r="H961" s="27"/>
      <c r="I961" s="24"/>
      <c r="J961" s="24"/>
      <c r="K961" s="28"/>
      <c r="L961" s="29"/>
      <c r="M961" s="29"/>
      <c r="N961" s="29"/>
      <c r="O961" s="27"/>
      <c r="P961" s="30"/>
      <c r="Q961" s="31"/>
      <c r="R961" s="31"/>
      <c r="S961" s="32"/>
      <c r="T961" s="32"/>
      <c r="U961" s="32"/>
      <c r="V961" s="32"/>
      <c r="W961" s="32"/>
      <c r="X961" s="32"/>
      <c r="Y961" s="32"/>
      <c r="Z961" s="32"/>
      <c r="AA961" s="32"/>
      <c r="AB961" s="32"/>
    </row>
    <row r="962" spans="1:28" ht="15.6" customHeight="1" x14ac:dyDescent="0.25">
      <c r="A962" s="24"/>
      <c r="B962" s="24"/>
      <c r="C962" s="25"/>
      <c r="D962" s="25"/>
      <c r="E962" s="25"/>
      <c r="F962" s="25"/>
      <c r="G962" s="26"/>
      <c r="H962" s="27"/>
      <c r="I962" s="24"/>
      <c r="J962" s="24"/>
      <c r="K962" s="28"/>
      <c r="L962" s="29"/>
      <c r="M962" s="29"/>
      <c r="N962" s="29"/>
      <c r="O962" s="27"/>
      <c r="P962" s="30"/>
      <c r="Q962" s="31"/>
      <c r="R962" s="31"/>
      <c r="S962" s="32"/>
      <c r="T962" s="32"/>
      <c r="U962" s="32"/>
      <c r="V962" s="32"/>
      <c r="W962" s="32"/>
      <c r="X962" s="32"/>
      <c r="Y962" s="32"/>
      <c r="Z962" s="32"/>
      <c r="AA962" s="32"/>
      <c r="AB962" s="32"/>
    </row>
    <row r="963" spans="1:28" ht="15.6" customHeight="1" x14ac:dyDescent="0.25">
      <c r="A963" s="24"/>
      <c r="B963" s="24"/>
      <c r="C963" s="25"/>
      <c r="D963" s="25"/>
      <c r="E963" s="25"/>
      <c r="F963" s="25"/>
      <c r="G963" s="26"/>
      <c r="H963" s="27"/>
      <c r="I963" s="24"/>
      <c r="J963" s="24"/>
      <c r="K963" s="28"/>
      <c r="L963" s="29"/>
      <c r="M963" s="29"/>
      <c r="N963" s="29"/>
      <c r="O963" s="27"/>
      <c r="P963" s="30"/>
      <c r="Q963" s="31"/>
      <c r="R963" s="31"/>
      <c r="S963" s="32"/>
      <c r="T963" s="32"/>
      <c r="U963" s="32"/>
      <c r="V963" s="32"/>
      <c r="W963" s="32"/>
      <c r="X963" s="32"/>
      <c r="Y963" s="32"/>
      <c r="Z963" s="32"/>
      <c r="AA963" s="32"/>
      <c r="AB963" s="32"/>
    </row>
    <row r="964" spans="1:28" ht="15.6" customHeight="1" x14ac:dyDescent="0.25">
      <c r="A964" s="24"/>
      <c r="B964" s="24"/>
      <c r="C964" s="25"/>
      <c r="D964" s="25"/>
      <c r="E964" s="25"/>
      <c r="F964" s="25"/>
      <c r="G964" s="26"/>
      <c r="H964" s="27"/>
      <c r="I964" s="24"/>
      <c r="J964" s="24"/>
      <c r="K964" s="28"/>
      <c r="L964" s="29"/>
      <c r="M964" s="29"/>
      <c r="N964" s="29"/>
      <c r="O964" s="27"/>
      <c r="P964" s="30"/>
      <c r="Q964" s="31"/>
      <c r="R964" s="31"/>
      <c r="S964" s="32"/>
      <c r="T964" s="32"/>
      <c r="U964" s="32"/>
      <c r="V964" s="32"/>
      <c r="W964" s="32"/>
      <c r="X964" s="32"/>
      <c r="Y964" s="32"/>
      <c r="Z964" s="32"/>
      <c r="AA964" s="32"/>
      <c r="AB964" s="32"/>
    </row>
    <row r="965" spans="1:28" ht="15.6" customHeight="1" x14ac:dyDescent="0.25">
      <c r="A965" s="24"/>
      <c r="B965" s="24"/>
      <c r="C965" s="25"/>
      <c r="D965" s="25"/>
      <c r="E965" s="25"/>
      <c r="F965" s="25"/>
      <c r="G965" s="26"/>
      <c r="H965" s="27"/>
      <c r="I965" s="24"/>
      <c r="J965" s="24"/>
      <c r="K965" s="28"/>
      <c r="L965" s="29"/>
      <c r="M965" s="29"/>
      <c r="N965" s="29"/>
      <c r="O965" s="27"/>
      <c r="P965" s="30"/>
      <c r="Q965" s="31"/>
      <c r="R965" s="31"/>
      <c r="S965" s="32"/>
      <c r="T965" s="32"/>
      <c r="U965" s="32"/>
      <c r="V965" s="32"/>
      <c r="W965" s="32"/>
      <c r="X965" s="32"/>
      <c r="Y965" s="32"/>
      <c r="Z965" s="32"/>
      <c r="AA965" s="32"/>
      <c r="AB965" s="32"/>
    </row>
    <row r="966" spans="1:28" ht="15.6" customHeight="1" x14ac:dyDescent="0.25">
      <c r="A966" s="24"/>
      <c r="B966" s="24"/>
      <c r="C966" s="25"/>
      <c r="D966" s="25"/>
      <c r="E966" s="25"/>
      <c r="F966" s="25"/>
      <c r="G966" s="26"/>
      <c r="H966" s="27"/>
      <c r="I966" s="24"/>
      <c r="J966" s="24"/>
      <c r="K966" s="28"/>
      <c r="L966" s="29"/>
      <c r="M966" s="29"/>
      <c r="N966" s="29"/>
      <c r="O966" s="27"/>
      <c r="P966" s="30"/>
      <c r="Q966" s="31"/>
      <c r="R966" s="31"/>
      <c r="S966" s="32"/>
      <c r="T966" s="32"/>
      <c r="U966" s="32"/>
      <c r="V966" s="32"/>
      <c r="W966" s="32"/>
      <c r="X966" s="32"/>
      <c r="Y966" s="32"/>
      <c r="Z966" s="32"/>
      <c r="AA966" s="32"/>
      <c r="AB966" s="32"/>
    </row>
    <row r="967" spans="1:28" ht="15.6" customHeight="1" x14ac:dyDescent="0.25">
      <c r="A967" s="24"/>
      <c r="B967" s="24"/>
      <c r="C967" s="25"/>
      <c r="D967" s="25"/>
      <c r="E967" s="25"/>
      <c r="F967" s="25"/>
      <c r="G967" s="26"/>
      <c r="H967" s="27"/>
      <c r="I967" s="24"/>
      <c r="J967" s="24"/>
      <c r="K967" s="28"/>
      <c r="L967" s="29"/>
      <c r="M967" s="29"/>
      <c r="N967" s="29"/>
      <c r="O967" s="27"/>
      <c r="P967" s="30"/>
      <c r="Q967" s="31"/>
      <c r="R967" s="31"/>
      <c r="S967" s="32"/>
      <c r="T967" s="32"/>
      <c r="U967" s="32"/>
      <c r="V967" s="32"/>
      <c r="W967" s="32"/>
      <c r="X967" s="32"/>
      <c r="Y967" s="32"/>
      <c r="Z967" s="32"/>
      <c r="AA967" s="32"/>
      <c r="AB967" s="32"/>
    </row>
    <row r="968" spans="1:28" ht="15.6" customHeight="1" x14ac:dyDescent="0.25">
      <c r="A968" s="24"/>
      <c r="B968" s="24"/>
      <c r="C968" s="25"/>
      <c r="D968" s="25"/>
      <c r="E968" s="25"/>
      <c r="F968" s="25"/>
      <c r="G968" s="26"/>
      <c r="H968" s="27"/>
      <c r="I968" s="24"/>
      <c r="J968" s="24"/>
      <c r="K968" s="28"/>
      <c r="L968" s="29"/>
      <c r="M968" s="29"/>
      <c r="N968" s="29"/>
      <c r="O968" s="27"/>
      <c r="P968" s="30"/>
      <c r="Q968" s="31"/>
      <c r="R968" s="31"/>
      <c r="S968" s="32"/>
      <c r="T968" s="32"/>
      <c r="U968" s="32"/>
      <c r="V968" s="32"/>
      <c r="W968" s="32"/>
      <c r="X968" s="32"/>
      <c r="Y968" s="32"/>
      <c r="Z968" s="32"/>
      <c r="AA968" s="32"/>
      <c r="AB968" s="32"/>
    </row>
    <row r="969" spans="1:28" ht="15.6" customHeight="1" x14ac:dyDescent="0.25">
      <c r="A969" s="24"/>
      <c r="B969" s="24"/>
      <c r="C969" s="25"/>
      <c r="D969" s="25"/>
      <c r="E969" s="25"/>
      <c r="F969" s="25"/>
      <c r="G969" s="26"/>
      <c r="H969" s="27"/>
      <c r="I969" s="24"/>
      <c r="J969" s="24"/>
      <c r="K969" s="28"/>
      <c r="L969" s="29"/>
      <c r="M969" s="29"/>
      <c r="N969" s="29"/>
      <c r="O969" s="27"/>
      <c r="P969" s="30"/>
      <c r="Q969" s="31"/>
      <c r="R969" s="31"/>
      <c r="S969" s="32"/>
      <c r="T969" s="32"/>
      <c r="U969" s="32"/>
      <c r="V969" s="32"/>
      <c r="W969" s="32"/>
      <c r="X969" s="32"/>
      <c r="Y969" s="32"/>
      <c r="Z969" s="32"/>
      <c r="AA969" s="32"/>
      <c r="AB969" s="32"/>
    </row>
    <row r="970" spans="1:28" ht="15.6" customHeight="1" x14ac:dyDescent="0.25">
      <c r="A970" s="24"/>
      <c r="B970" s="24"/>
      <c r="C970" s="25"/>
      <c r="D970" s="25"/>
      <c r="E970" s="25"/>
      <c r="F970" s="25"/>
      <c r="G970" s="26"/>
      <c r="H970" s="27"/>
      <c r="I970" s="24"/>
      <c r="J970" s="24"/>
      <c r="K970" s="28"/>
      <c r="L970" s="29"/>
      <c r="M970" s="29"/>
      <c r="N970" s="29"/>
      <c r="O970" s="27"/>
      <c r="P970" s="30"/>
      <c r="Q970" s="31"/>
      <c r="R970" s="31"/>
      <c r="S970" s="32"/>
      <c r="T970" s="32"/>
      <c r="U970" s="32"/>
      <c r="V970" s="32"/>
      <c r="W970" s="32"/>
      <c r="X970" s="32"/>
      <c r="Y970" s="32"/>
      <c r="Z970" s="32"/>
      <c r="AA970" s="32"/>
      <c r="AB970" s="32"/>
    </row>
    <row r="971" spans="1:28" ht="15.6" customHeight="1" x14ac:dyDescent="0.25">
      <c r="A971" s="24"/>
      <c r="B971" s="24"/>
      <c r="C971" s="25"/>
      <c r="D971" s="25"/>
      <c r="E971" s="25"/>
      <c r="F971" s="25"/>
      <c r="G971" s="26"/>
      <c r="H971" s="27"/>
      <c r="I971" s="24"/>
      <c r="J971" s="24"/>
      <c r="K971" s="28"/>
      <c r="L971" s="29"/>
      <c r="M971" s="29"/>
      <c r="N971" s="29"/>
      <c r="O971" s="27"/>
      <c r="P971" s="30"/>
      <c r="Q971" s="31"/>
      <c r="R971" s="31"/>
      <c r="S971" s="32"/>
      <c r="T971" s="32"/>
      <c r="U971" s="32"/>
      <c r="V971" s="32"/>
      <c r="W971" s="32"/>
      <c r="X971" s="32"/>
      <c r="Y971" s="32"/>
      <c r="Z971" s="32"/>
      <c r="AA971" s="32"/>
      <c r="AB971" s="32"/>
    </row>
    <row r="972" spans="1:28" ht="15.6" customHeight="1" x14ac:dyDescent="0.25">
      <c r="A972" s="24"/>
      <c r="B972" s="24"/>
      <c r="C972" s="25"/>
      <c r="D972" s="25"/>
      <c r="E972" s="25"/>
      <c r="F972" s="25"/>
      <c r="G972" s="26"/>
      <c r="H972" s="27"/>
      <c r="I972" s="24"/>
      <c r="J972" s="24"/>
      <c r="K972" s="28"/>
      <c r="L972" s="29"/>
      <c r="M972" s="29"/>
      <c r="N972" s="29"/>
      <c r="O972" s="27"/>
      <c r="P972" s="30"/>
      <c r="Q972" s="31"/>
      <c r="R972" s="31"/>
      <c r="S972" s="32"/>
      <c r="T972" s="32"/>
      <c r="U972" s="32"/>
      <c r="V972" s="32"/>
      <c r="W972" s="32"/>
      <c r="X972" s="32"/>
      <c r="Y972" s="32"/>
      <c r="Z972" s="32"/>
      <c r="AA972" s="32"/>
      <c r="AB972" s="32"/>
    </row>
    <row r="973" spans="1:28" ht="15.6" customHeight="1" x14ac:dyDescent="0.25">
      <c r="A973" s="24"/>
      <c r="B973" s="24"/>
      <c r="C973" s="25"/>
      <c r="D973" s="25"/>
      <c r="E973" s="25"/>
      <c r="F973" s="25"/>
      <c r="G973" s="26"/>
      <c r="H973" s="27"/>
      <c r="I973" s="24"/>
      <c r="J973" s="24"/>
      <c r="K973" s="28"/>
      <c r="L973" s="29"/>
      <c r="M973" s="29"/>
      <c r="N973" s="29"/>
      <c r="O973" s="27"/>
      <c r="P973" s="30"/>
      <c r="Q973" s="31"/>
      <c r="R973" s="31"/>
      <c r="S973" s="32"/>
      <c r="T973" s="32"/>
      <c r="U973" s="32"/>
      <c r="V973" s="32"/>
      <c r="W973" s="32"/>
      <c r="X973" s="32"/>
      <c r="Y973" s="32"/>
      <c r="Z973" s="32"/>
      <c r="AA973" s="32"/>
      <c r="AB973" s="32"/>
    </row>
    <row r="974" spans="1:28" ht="15.6" customHeight="1" x14ac:dyDescent="0.25">
      <c r="A974" s="24"/>
      <c r="B974" s="24"/>
      <c r="C974" s="25"/>
      <c r="D974" s="25"/>
      <c r="E974" s="25"/>
      <c r="F974" s="25"/>
      <c r="G974" s="26"/>
      <c r="H974" s="27"/>
      <c r="I974" s="24"/>
      <c r="J974" s="24"/>
      <c r="K974" s="28"/>
      <c r="L974" s="29"/>
      <c r="M974" s="29"/>
      <c r="N974" s="29"/>
      <c r="O974" s="27"/>
      <c r="P974" s="30"/>
      <c r="Q974" s="31"/>
      <c r="R974" s="31"/>
      <c r="S974" s="32"/>
      <c r="T974" s="32"/>
      <c r="U974" s="32"/>
      <c r="V974" s="32"/>
      <c r="W974" s="32"/>
      <c r="X974" s="32"/>
      <c r="Y974" s="32"/>
      <c r="Z974" s="32"/>
      <c r="AA974" s="32"/>
      <c r="AB974" s="32"/>
    </row>
    <row r="975" spans="1:28" ht="15.6" customHeight="1" x14ac:dyDescent="0.25">
      <c r="A975" s="24"/>
      <c r="B975" s="24"/>
      <c r="C975" s="25"/>
      <c r="D975" s="25"/>
      <c r="E975" s="25"/>
      <c r="F975" s="25"/>
      <c r="G975" s="26"/>
      <c r="H975" s="27"/>
      <c r="I975" s="24"/>
      <c r="J975" s="24"/>
      <c r="K975" s="28"/>
      <c r="L975" s="29"/>
      <c r="M975" s="29"/>
      <c r="N975" s="29"/>
      <c r="O975" s="27"/>
      <c r="P975" s="30"/>
      <c r="Q975" s="31"/>
      <c r="R975" s="31"/>
      <c r="S975" s="32"/>
      <c r="T975" s="32"/>
      <c r="U975" s="32"/>
      <c r="V975" s="32"/>
      <c r="W975" s="32"/>
      <c r="X975" s="32"/>
      <c r="Y975" s="32"/>
      <c r="Z975" s="32"/>
      <c r="AA975" s="32"/>
      <c r="AB975" s="32"/>
    </row>
    <row r="976" spans="1:28" ht="15.6" customHeight="1" x14ac:dyDescent="0.25">
      <c r="A976" s="24"/>
      <c r="B976" s="24"/>
      <c r="C976" s="25"/>
      <c r="D976" s="25"/>
      <c r="E976" s="25"/>
      <c r="F976" s="25"/>
      <c r="G976" s="26"/>
      <c r="H976" s="27"/>
      <c r="I976" s="24"/>
      <c r="J976" s="24"/>
      <c r="K976" s="28"/>
      <c r="L976" s="29"/>
      <c r="M976" s="29"/>
      <c r="N976" s="29"/>
      <c r="O976" s="27"/>
      <c r="P976" s="30"/>
      <c r="Q976" s="31"/>
      <c r="R976" s="31"/>
      <c r="S976" s="32"/>
      <c r="T976" s="32"/>
      <c r="U976" s="32"/>
      <c r="V976" s="32"/>
      <c r="W976" s="32"/>
      <c r="X976" s="32"/>
      <c r="Y976" s="32"/>
      <c r="Z976" s="32"/>
      <c r="AA976" s="32"/>
      <c r="AB976" s="32"/>
    </row>
    <row r="977" spans="1:28" ht="15.6" customHeight="1" x14ac:dyDescent="0.25">
      <c r="A977" s="24"/>
      <c r="B977" s="24"/>
      <c r="C977" s="25"/>
      <c r="D977" s="25"/>
      <c r="E977" s="25"/>
      <c r="F977" s="25"/>
      <c r="G977" s="26"/>
      <c r="H977" s="27"/>
      <c r="I977" s="24"/>
      <c r="J977" s="24"/>
      <c r="K977" s="28"/>
      <c r="L977" s="29"/>
      <c r="M977" s="29"/>
      <c r="N977" s="29"/>
      <c r="O977" s="27"/>
      <c r="P977" s="30"/>
      <c r="Q977" s="31"/>
      <c r="R977" s="31"/>
      <c r="S977" s="32"/>
      <c r="T977" s="32"/>
      <c r="U977" s="32"/>
      <c r="V977" s="32"/>
      <c r="W977" s="32"/>
      <c r="X977" s="32"/>
      <c r="Y977" s="32"/>
      <c r="Z977" s="32"/>
      <c r="AA977" s="32"/>
      <c r="AB977" s="32"/>
    </row>
    <row r="978" spans="1:28" ht="15.6" customHeight="1" x14ac:dyDescent="0.25">
      <c r="A978" s="24"/>
      <c r="B978" s="24"/>
      <c r="C978" s="25"/>
      <c r="D978" s="25"/>
      <c r="E978" s="25"/>
      <c r="F978" s="25"/>
      <c r="G978" s="26"/>
      <c r="H978" s="27"/>
      <c r="I978" s="24"/>
      <c r="J978" s="24"/>
      <c r="K978" s="28"/>
      <c r="L978" s="29"/>
      <c r="M978" s="29"/>
      <c r="N978" s="29"/>
      <c r="O978" s="27"/>
      <c r="P978" s="30"/>
      <c r="Q978" s="31"/>
      <c r="R978" s="31"/>
      <c r="S978" s="32"/>
      <c r="T978" s="32"/>
      <c r="U978" s="32"/>
      <c r="V978" s="32"/>
      <c r="W978" s="32"/>
      <c r="X978" s="32"/>
      <c r="Y978" s="32"/>
      <c r="Z978" s="32"/>
      <c r="AA978" s="32"/>
      <c r="AB978" s="32"/>
    </row>
    <row r="979" spans="1:28" ht="15.6" customHeight="1" x14ac:dyDescent="0.25">
      <c r="A979" s="24"/>
      <c r="B979" s="24"/>
      <c r="C979" s="25"/>
      <c r="D979" s="25"/>
      <c r="E979" s="25"/>
      <c r="F979" s="25"/>
      <c r="G979" s="26"/>
      <c r="H979" s="27"/>
      <c r="I979" s="24"/>
      <c r="J979" s="24"/>
      <c r="K979" s="28"/>
      <c r="L979" s="29"/>
      <c r="M979" s="29"/>
      <c r="N979" s="29"/>
      <c r="O979" s="27"/>
      <c r="P979" s="30"/>
      <c r="Q979" s="31"/>
      <c r="R979" s="31"/>
      <c r="S979" s="32"/>
      <c r="T979" s="32"/>
      <c r="U979" s="32"/>
      <c r="V979" s="32"/>
      <c r="W979" s="32"/>
      <c r="X979" s="32"/>
      <c r="Y979" s="32"/>
      <c r="Z979" s="32"/>
      <c r="AA979" s="32"/>
      <c r="AB979" s="32"/>
    </row>
    <row r="980" spans="1:28" ht="15.6" customHeight="1" x14ac:dyDescent="0.25">
      <c r="A980" s="24"/>
      <c r="B980" s="24"/>
      <c r="C980" s="25"/>
      <c r="D980" s="25"/>
      <c r="E980" s="25"/>
      <c r="F980" s="25"/>
      <c r="G980" s="26"/>
      <c r="H980" s="27"/>
      <c r="I980" s="24"/>
      <c r="J980" s="24"/>
      <c r="K980" s="28"/>
      <c r="L980" s="29"/>
      <c r="M980" s="29"/>
      <c r="N980" s="29"/>
      <c r="O980" s="27"/>
      <c r="P980" s="30"/>
      <c r="Q980" s="31"/>
      <c r="R980" s="31"/>
      <c r="S980" s="32"/>
      <c r="T980" s="32"/>
      <c r="U980" s="32"/>
      <c r="V980" s="32"/>
      <c r="W980" s="32"/>
      <c r="X980" s="32"/>
      <c r="Y980" s="32"/>
      <c r="Z980" s="32"/>
      <c r="AA980" s="32"/>
      <c r="AB980" s="32"/>
    </row>
    <row r="981" spans="1:28" ht="15.6" customHeight="1" x14ac:dyDescent="0.25">
      <c r="A981" s="24"/>
      <c r="B981" s="24"/>
      <c r="C981" s="25"/>
      <c r="D981" s="25"/>
      <c r="E981" s="25"/>
      <c r="F981" s="25"/>
      <c r="G981" s="26"/>
      <c r="H981" s="27"/>
      <c r="I981" s="24"/>
      <c r="J981" s="24"/>
      <c r="K981" s="28"/>
      <c r="L981" s="29"/>
      <c r="M981" s="29"/>
      <c r="N981" s="29"/>
      <c r="O981" s="27"/>
      <c r="P981" s="30"/>
      <c r="Q981" s="31"/>
      <c r="R981" s="31"/>
      <c r="S981" s="32"/>
      <c r="T981" s="32"/>
      <c r="U981" s="32"/>
      <c r="V981" s="32"/>
      <c r="W981" s="32"/>
      <c r="X981" s="32"/>
      <c r="Y981" s="32"/>
      <c r="Z981" s="32"/>
      <c r="AA981" s="32"/>
      <c r="AB981" s="32"/>
    </row>
    <row r="982" spans="1:28" ht="15.6" customHeight="1" x14ac:dyDescent="0.25">
      <c r="A982" s="24"/>
      <c r="B982" s="24"/>
      <c r="C982" s="25"/>
      <c r="D982" s="25"/>
      <c r="E982" s="25"/>
      <c r="F982" s="25"/>
      <c r="G982" s="26"/>
      <c r="H982" s="27"/>
      <c r="I982" s="24"/>
      <c r="J982" s="24"/>
      <c r="K982" s="28"/>
      <c r="L982" s="29"/>
      <c r="M982" s="29"/>
      <c r="N982" s="29"/>
      <c r="O982" s="27"/>
      <c r="P982" s="30"/>
      <c r="Q982" s="31"/>
      <c r="R982" s="31"/>
      <c r="S982" s="32"/>
      <c r="T982" s="32"/>
      <c r="U982" s="32"/>
      <c r="V982" s="32"/>
      <c r="W982" s="32"/>
      <c r="X982" s="32"/>
      <c r="Y982" s="32"/>
      <c r="Z982" s="32"/>
      <c r="AA982" s="32"/>
      <c r="AB982" s="32"/>
    </row>
    <row r="983" spans="1:28" ht="15.6" customHeight="1" x14ac:dyDescent="0.25">
      <c r="A983" s="24"/>
      <c r="B983" s="24"/>
      <c r="C983" s="25"/>
      <c r="D983" s="25"/>
      <c r="E983" s="25"/>
      <c r="F983" s="25"/>
      <c r="G983" s="26"/>
      <c r="H983" s="27"/>
      <c r="I983" s="24"/>
      <c r="J983" s="24"/>
      <c r="K983" s="28"/>
      <c r="L983" s="29"/>
      <c r="M983" s="29"/>
      <c r="N983" s="29"/>
      <c r="O983" s="27"/>
      <c r="P983" s="30"/>
      <c r="Q983" s="31"/>
      <c r="R983" s="31"/>
      <c r="S983" s="32"/>
      <c r="T983" s="32"/>
      <c r="U983" s="32"/>
      <c r="V983" s="32"/>
      <c r="W983" s="32"/>
      <c r="X983" s="32"/>
      <c r="Y983" s="32"/>
      <c r="Z983" s="32"/>
      <c r="AA983" s="32"/>
      <c r="AB983" s="32"/>
    </row>
    <row r="984" spans="1:28" ht="15.6" customHeight="1" x14ac:dyDescent="0.25">
      <c r="A984" s="24"/>
      <c r="B984" s="24"/>
      <c r="C984" s="25"/>
      <c r="D984" s="25"/>
      <c r="E984" s="25"/>
      <c r="F984" s="25"/>
      <c r="G984" s="26"/>
      <c r="H984" s="27"/>
      <c r="I984" s="24"/>
      <c r="J984" s="24"/>
      <c r="K984" s="28"/>
      <c r="L984" s="29"/>
      <c r="M984" s="29"/>
      <c r="N984" s="29"/>
      <c r="O984" s="27"/>
      <c r="P984" s="30"/>
      <c r="Q984" s="31"/>
      <c r="R984" s="31"/>
      <c r="S984" s="32"/>
      <c r="T984" s="32"/>
      <c r="U984" s="32"/>
      <c r="V984" s="32"/>
      <c r="W984" s="32"/>
      <c r="X984" s="32"/>
      <c r="Y984" s="32"/>
      <c r="Z984" s="32"/>
      <c r="AA984" s="32"/>
      <c r="AB984" s="32"/>
    </row>
    <row r="985" spans="1:28" ht="15.6" customHeight="1" x14ac:dyDescent="0.25">
      <c r="A985" s="24"/>
      <c r="B985" s="24"/>
      <c r="C985" s="25"/>
      <c r="D985" s="25"/>
      <c r="E985" s="25"/>
      <c r="F985" s="25"/>
      <c r="G985" s="26"/>
      <c r="H985" s="27"/>
      <c r="I985" s="24"/>
      <c r="J985" s="24"/>
      <c r="K985" s="28"/>
      <c r="L985" s="29"/>
      <c r="M985" s="29"/>
      <c r="N985" s="29"/>
      <c r="O985" s="27"/>
      <c r="P985" s="30"/>
      <c r="Q985" s="31"/>
      <c r="R985" s="31"/>
      <c r="S985" s="32"/>
      <c r="T985" s="32"/>
      <c r="U985" s="32"/>
      <c r="V985" s="32"/>
      <c r="W985" s="32"/>
      <c r="X985" s="32"/>
      <c r="Y985" s="32"/>
      <c r="Z985" s="32"/>
      <c r="AA985" s="32"/>
      <c r="AB985" s="32"/>
    </row>
    <row r="986" spans="1:28" ht="15.6" customHeight="1" x14ac:dyDescent="0.25">
      <c r="A986" s="24"/>
      <c r="B986" s="24"/>
      <c r="C986" s="25"/>
      <c r="D986" s="25"/>
      <c r="E986" s="25"/>
      <c r="F986" s="25"/>
      <c r="G986" s="26"/>
      <c r="H986" s="27"/>
      <c r="I986" s="24"/>
      <c r="J986" s="24"/>
      <c r="K986" s="28"/>
      <c r="L986" s="29"/>
      <c r="M986" s="29"/>
      <c r="N986" s="29"/>
      <c r="O986" s="27"/>
      <c r="P986" s="30"/>
      <c r="Q986" s="31"/>
      <c r="R986" s="31"/>
      <c r="S986" s="32"/>
      <c r="T986" s="32"/>
      <c r="U986" s="32"/>
      <c r="V986" s="32"/>
      <c r="W986" s="32"/>
      <c r="X986" s="32"/>
      <c r="Y986" s="32"/>
      <c r="Z986" s="32"/>
      <c r="AA986" s="32"/>
      <c r="AB986" s="32"/>
    </row>
    <row r="987" spans="1:28" ht="15.6" customHeight="1" x14ac:dyDescent="0.25">
      <c r="A987" s="24"/>
      <c r="B987" s="24"/>
      <c r="C987" s="25"/>
      <c r="D987" s="25"/>
      <c r="E987" s="25"/>
      <c r="F987" s="25"/>
      <c r="G987" s="26"/>
      <c r="H987" s="27"/>
      <c r="I987" s="24"/>
      <c r="J987" s="24"/>
      <c r="K987" s="28"/>
      <c r="L987" s="29"/>
      <c r="M987" s="29"/>
      <c r="N987" s="29"/>
      <c r="O987" s="27"/>
      <c r="P987" s="30"/>
      <c r="Q987" s="31"/>
      <c r="R987" s="31"/>
      <c r="S987" s="32"/>
      <c r="T987" s="32"/>
      <c r="U987" s="32"/>
      <c r="V987" s="32"/>
      <c r="W987" s="32"/>
      <c r="X987" s="32"/>
      <c r="Y987" s="32"/>
      <c r="Z987" s="32"/>
      <c r="AA987" s="32"/>
      <c r="AB987" s="32"/>
    </row>
    <row r="988" spans="1:28" ht="15.6" customHeight="1" x14ac:dyDescent="0.25">
      <c r="A988" s="24"/>
      <c r="B988" s="24"/>
      <c r="C988" s="25"/>
      <c r="D988" s="25"/>
      <c r="E988" s="25"/>
      <c r="F988" s="25"/>
      <c r="G988" s="26"/>
      <c r="H988" s="27"/>
      <c r="I988" s="24"/>
      <c r="J988" s="24"/>
      <c r="K988" s="28"/>
      <c r="L988" s="29"/>
      <c r="M988" s="29"/>
      <c r="N988" s="29"/>
      <c r="O988" s="27"/>
      <c r="P988" s="30"/>
      <c r="Q988" s="31"/>
      <c r="R988" s="31"/>
      <c r="S988" s="32"/>
      <c r="T988" s="32"/>
      <c r="U988" s="32"/>
      <c r="V988" s="32"/>
      <c r="W988" s="32"/>
      <c r="X988" s="32"/>
      <c r="Y988" s="32"/>
      <c r="Z988" s="32"/>
      <c r="AA988" s="32"/>
      <c r="AB988" s="32"/>
    </row>
    <row r="989" spans="1:28" ht="15.6" customHeight="1" x14ac:dyDescent="0.25">
      <c r="A989" s="24"/>
      <c r="B989" s="24"/>
      <c r="C989" s="25"/>
      <c r="D989" s="25"/>
      <c r="E989" s="25"/>
      <c r="F989" s="25"/>
      <c r="G989" s="26"/>
      <c r="H989" s="27"/>
      <c r="I989" s="24"/>
      <c r="J989" s="24"/>
      <c r="K989" s="28"/>
      <c r="L989" s="29"/>
      <c r="M989" s="29"/>
      <c r="N989" s="29"/>
      <c r="O989" s="27"/>
      <c r="P989" s="30"/>
      <c r="Q989" s="31"/>
      <c r="R989" s="31"/>
      <c r="S989" s="32"/>
      <c r="T989" s="32"/>
      <c r="U989" s="32"/>
      <c r="V989" s="32"/>
      <c r="W989" s="32"/>
      <c r="X989" s="32"/>
      <c r="Y989" s="32"/>
      <c r="Z989" s="32"/>
      <c r="AA989" s="32"/>
      <c r="AB989" s="32"/>
    </row>
    <row r="990" spans="1:28" ht="15.6" customHeight="1" x14ac:dyDescent="0.25">
      <c r="A990" s="24"/>
      <c r="B990" s="24"/>
      <c r="C990" s="25"/>
      <c r="D990" s="25"/>
      <c r="E990" s="25"/>
      <c r="F990" s="25"/>
      <c r="G990" s="26"/>
      <c r="H990" s="27"/>
      <c r="I990" s="24"/>
      <c r="J990" s="24"/>
      <c r="K990" s="28"/>
      <c r="L990" s="29"/>
      <c r="M990" s="29"/>
      <c r="N990" s="29"/>
      <c r="O990" s="27"/>
      <c r="P990" s="30"/>
      <c r="Q990" s="31"/>
      <c r="R990" s="31"/>
      <c r="S990" s="32"/>
      <c r="T990" s="32"/>
      <c r="U990" s="32"/>
      <c r="V990" s="32"/>
      <c r="W990" s="32"/>
      <c r="X990" s="32"/>
      <c r="Y990" s="32"/>
      <c r="Z990" s="32"/>
      <c r="AA990" s="32"/>
      <c r="AB990" s="32"/>
    </row>
    <row r="991" spans="1:28" ht="15.6" customHeight="1" x14ac:dyDescent="0.25">
      <c r="A991" s="24"/>
      <c r="B991" s="24"/>
      <c r="C991" s="25"/>
      <c r="D991" s="25"/>
      <c r="E991" s="25"/>
      <c r="F991" s="25"/>
      <c r="G991" s="26"/>
      <c r="H991" s="27"/>
      <c r="I991" s="24"/>
      <c r="J991" s="24"/>
      <c r="K991" s="28"/>
      <c r="L991" s="29"/>
      <c r="M991" s="29"/>
      <c r="N991" s="29"/>
      <c r="O991" s="27"/>
      <c r="P991" s="30"/>
      <c r="Q991" s="31"/>
      <c r="R991" s="31"/>
      <c r="S991" s="32"/>
      <c r="T991" s="32"/>
      <c r="U991" s="32"/>
      <c r="V991" s="32"/>
      <c r="W991" s="32"/>
      <c r="X991" s="32"/>
      <c r="Y991" s="32"/>
      <c r="Z991" s="32"/>
      <c r="AA991" s="32"/>
      <c r="AB991" s="32"/>
    </row>
    <row r="992" spans="1:28" ht="15.6" customHeight="1" x14ac:dyDescent="0.25">
      <c r="A992" s="24"/>
      <c r="B992" s="24"/>
      <c r="C992" s="25"/>
      <c r="D992" s="25"/>
      <c r="E992" s="25"/>
      <c r="F992" s="25"/>
      <c r="G992" s="26"/>
      <c r="H992" s="27"/>
      <c r="I992" s="24"/>
      <c r="J992" s="24"/>
      <c r="K992" s="28"/>
      <c r="L992" s="29"/>
      <c r="M992" s="29"/>
      <c r="N992" s="29"/>
      <c r="O992" s="27"/>
      <c r="P992" s="30"/>
      <c r="Q992" s="31"/>
      <c r="R992" s="31"/>
      <c r="S992" s="32"/>
      <c r="T992" s="32"/>
      <c r="U992" s="32"/>
      <c r="V992" s="32"/>
      <c r="W992" s="32"/>
      <c r="X992" s="32"/>
      <c r="Y992" s="32"/>
      <c r="Z992" s="32"/>
      <c r="AA992" s="32"/>
      <c r="AB992" s="32"/>
    </row>
    <row r="993" spans="1:28" ht="15.6" customHeight="1" x14ac:dyDescent="0.25">
      <c r="A993" s="24"/>
      <c r="B993" s="24"/>
      <c r="C993" s="25"/>
      <c r="D993" s="25"/>
      <c r="E993" s="25"/>
      <c r="F993" s="25"/>
      <c r="G993" s="26"/>
      <c r="H993" s="27"/>
      <c r="I993" s="24"/>
      <c r="J993" s="24"/>
      <c r="K993" s="28"/>
      <c r="L993" s="29"/>
      <c r="M993" s="29"/>
      <c r="N993" s="29"/>
      <c r="O993" s="27"/>
      <c r="P993" s="30"/>
      <c r="Q993" s="31"/>
      <c r="R993" s="31"/>
      <c r="S993" s="32"/>
      <c r="T993" s="32"/>
      <c r="U993" s="32"/>
      <c r="V993" s="32"/>
      <c r="W993" s="32"/>
      <c r="X993" s="32"/>
      <c r="Y993" s="32"/>
      <c r="Z993" s="32"/>
      <c r="AA993" s="32"/>
      <c r="AB993" s="32"/>
    </row>
    <row r="994" spans="1:28" ht="15.6" customHeight="1" x14ac:dyDescent="0.25">
      <c r="A994" s="24"/>
      <c r="B994" s="24"/>
      <c r="C994" s="25"/>
      <c r="D994" s="25"/>
      <c r="E994" s="25"/>
      <c r="F994" s="25"/>
      <c r="G994" s="26"/>
      <c r="H994" s="27"/>
      <c r="I994" s="24"/>
      <c r="J994" s="24"/>
      <c r="K994" s="28"/>
      <c r="L994" s="29"/>
      <c r="M994" s="29"/>
      <c r="N994" s="29"/>
      <c r="O994" s="27"/>
      <c r="P994" s="30"/>
      <c r="Q994" s="31"/>
      <c r="R994" s="31"/>
      <c r="S994" s="32"/>
      <c r="T994" s="32"/>
      <c r="U994" s="32"/>
      <c r="V994" s="32"/>
      <c r="W994" s="32"/>
      <c r="X994" s="32"/>
      <c r="Y994" s="32"/>
      <c r="Z994" s="32"/>
      <c r="AA994" s="32"/>
      <c r="AB994" s="32"/>
    </row>
    <row r="995" spans="1:28" ht="15.6" customHeight="1" x14ac:dyDescent="0.25">
      <c r="A995" s="24"/>
      <c r="B995" s="24"/>
      <c r="C995" s="25"/>
      <c r="D995" s="25"/>
      <c r="E995" s="25"/>
      <c r="F995" s="25"/>
      <c r="G995" s="26"/>
      <c r="H995" s="27"/>
      <c r="I995" s="24"/>
      <c r="J995" s="24"/>
      <c r="K995" s="28"/>
      <c r="L995" s="29"/>
      <c r="M995" s="29"/>
      <c r="N995" s="29"/>
      <c r="O995" s="27"/>
      <c r="P995" s="30"/>
      <c r="Q995" s="31"/>
      <c r="R995" s="31"/>
      <c r="S995" s="32"/>
      <c r="T995" s="32"/>
      <c r="U995" s="32"/>
      <c r="V995" s="32"/>
      <c r="W995" s="32"/>
      <c r="X995" s="32"/>
      <c r="Y995" s="32"/>
      <c r="Z995" s="32"/>
      <c r="AA995" s="32"/>
      <c r="AB995" s="32"/>
    </row>
    <row r="996" spans="1:28" ht="15.6" customHeight="1" x14ac:dyDescent="0.25">
      <c r="A996" s="24"/>
      <c r="B996" s="24"/>
      <c r="C996" s="25"/>
      <c r="D996" s="25"/>
      <c r="E996" s="25"/>
      <c r="F996" s="25"/>
      <c r="G996" s="26"/>
      <c r="H996" s="27"/>
      <c r="I996" s="24"/>
      <c r="J996" s="24"/>
      <c r="K996" s="28"/>
      <c r="L996" s="29"/>
      <c r="M996" s="29"/>
      <c r="N996" s="29"/>
      <c r="O996" s="27"/>
      <c r="P996" s="30"/>
      <c r="Q996" s="31"/>
      <c r="R996" s="31"/>
      <c r="S996" s="32"/>
      <c r="T996" s="32"/>
      <c r="U996" s="32"/>
      <c r="V996" s="32"/>
      <c r="W996" s="32"/>
      <c r="X996" s="32"/>
      <c r="Y996" s="32"/>
      <c r="Z996" s="32"/>
      <c r="AA996" s="32"/>
      <c r="AB996" s="32"/>
    </row>
    <row r="997" spans="1:28" ht="15.6" customHeight="1" x14ac:dyDescent="0.25">
      <c r="A997" s="24"/>
      <c r="B997" s="24"/>
      <c r="C997" s="25"/>
      <c r="D997" s="25"/>
      <c r="E997" s="25"/>
      <c r="F997" s="25"/>
      <c r="G997" s="26"/>
      <c r="H997" s="27"/>
      <c r="I997" s="24"/>
      <c r="J997" s="24"/>
      <c r="K997" s="28"/>
      <c r="L997" s="29"/>
      <c r="M997" s="29"/>
      <c r="N997" s="29"/>
      <c r="O997" s="27"/>
      <c r="P997" s="30"/>
      <c r="Q997" s="31"/>
      <c r="R997" s="31"/>
      <c r="S997" s="32"/>
      <c r="T997" s="32"/>
      <c r="U997" s="32"/>
      <c r="V997" s="32"/>
      <c r="W997" s="32"/>
      <c r="X997" s="32"/>
      <c r="Y997" s="32"/>
      <c r="Z997" s="32"/>
      <c r="AA997" s="32"/>
      <c r="AB997" s="32"/>
    </row>
    <row r="998" spans="1:28" ht="15.6" customHeight="1" x14ac:dyDescent="0.25">
      <c r="A998" s="24"/>
      <c r="B998" s="24"/>
      <c r="C998" s="25"/>
      <c r="D998" s="25"/>
      <c r="E998" s="25"/>
      <c r="F998" s="25"/>
      <c r="G998" s="26"/>
      <c r="H998" s="27"/>
      <c r="I998" s="24"/>
      <c r="J998" s="24"/>
      <c r="K998" s="28"/>
      <c r="L998" s="29"/>
      <c r="M998" s="29"/>
      <c r="N998" s="29"/>
      <c r="O998" s="27"/>
      <c r="P998" s="30"/>
      <c r="Q998" s="31"/>
      <c r="R998" s="31"/>
      <c r="S998" s="32"/>
      <c r="T998" s="32"/>
      <c r="U998" s="32"/>
      <c r="V998" s="32"/>
      <c r="W998" s="32"/>
      <c r="X998" s="32"/>
      <c r="Y998" s="32"/>
      <c r="Z998" s="32"/>
      <c r="AA998" s="32"/>
      <c r="AB998" s="32"/>
    </row>
    <row r="999" spans="1:28" ht="15.6" customHeight="1" x14ac:dyDescent="0.25">
      <c r="A999" s="24"/>
      <c r="B999" s="24"/>
      <c r="C999" s="25"/>
      <c r="D999" s="25"/>
      <c r="E999" s="25"/>
      <c r="F999" s="25"/>
      <c r="G999" s="26"/>
      <c r="H999" s="27"/>
      <c r="I999" s="24"/>
      <c r="J999" s="24"/>
      <c r="K999" s="28"/>
      <c r="L999" s="29"/>
      <c r="M999" s="29"/>
      <c r="N999" s="29"/>
      <c r="O999" s="27"/>
      <c r="P999" s="30"/>
      <c r="Q999" s="31"/>
      <c r="R999" s="31"/>
      <c r="S999" s="32"/>
      <c r="T999" s="32"/>
      <c r="U999" s="32"/>
      <c r="V999" s="32"/>
      <c r="W999" s="32"/>
      <c r="X999" s="32"/>
      <c r="Y999" s="32"/>
      <c r="Z999" s="32"/>
      <c r="AA999" s="32"/>
      <c r="AB999" s="32"/>
    </row>
    <row r="1000" spans="1:28" ht="15.6" customHeight="1" x14ac:dyDescent="0.25">
      <c r="A1000" s="34"/>
      <c r="B1000" s="34"/>
      <c r="C1000" s="35"/>
      <c r="D1000" s="35"/>
      <c r="E1000" s="35"/>
      <c r="F1000" s="35"/>
      <c r="G1000" s="36"/>
      <c r="H1000" s="37"/>
      <c r="I1000" s="34"/>
      <c r="J1000" s="34"/>
      <c r="K1000" s="38"/>
      <c r="L1000" s="39"/>
      <c r="M1000" s="39"/>
      <c r="N1000" s="39"/>
      <c r="O1000" s="37"/>
      <c r="P1000" s="40"/>
      <c r="Q1000" s="41"/>
      <c r="R1000" s="41"/>
      <c r="S1000" s="42"/>
      <c r="T1000" s="42"/>
      <c r="U1000" s="42"/>
      <c r="V1000" s="42"/>
      <c r="W1000" s="42"/>
      <c r="X1000" s="42"/>
      <c r="Y1000" s="42"/>
      <c r="Z1000" s="42"/>
      <c r="AA1000" s="42"/>
      <c r="AB1000" s="42"/>
    </row>
    <row r="1001" spans="1:28" ht="15.6" customHeight="1" x14ac:dyDescent="0.25">
      <c r="A1001" s="24"/>
      <c r="B1001" s="24"/>
      <c r="C1001" s="25"/>
      <c r="D1001" s="25"/>
      <c r="E1001" s="25"/>
      <c r="F1001" s="25"/>
      <c r="G1001" s="26"/>
      <c r="H1001" s="27"/>
      <c r="I1001" s="24"/>
      <c r="J1001" s="24"/>
      <c r="K1001" s="28"/>
      <c r="L1001" s="29"/>
      <c r="M1001" s="29"/>
      <c r="N1001" s="29"/>
      <c r="O1001" s="27"/>
      <c r="P1001" s="30"/>
      <c r="Q1001" s="31"/>
      <c r="R1001" s="31"/>
      <c r="S1001" s="32"/>
      <c r="T1001" s="32"/>
      <c r="U1001" s="32"/>
      <c r="V1001" s="32"/>
      <c r="W1001" s="32"/>
      <c r="X1001" s="32"/>
      <c r="Y1001" s="32"/>
      <c r="Z1001" s="32"/>
      <c r="AA1001" s="32"/>
      <c r="AB1001" s="32"/>
    </row>
    <row r="1002" spans="1:28" ht="15.6" customHeight="1" x14ac:dyDescent="0.25">
      <c r="A1002" s="34"/>
      <c r="B1002" s="34"/>
      <c r="C1002" s="35"/>
      <c r="D1002" s="35"/>
      <c r="E1002" s="35"/>
      <c r="F1002" s="35"/>
      <c r="G1002" s="36"/>
      <c r="H1002" s="37"/>
      <c r="I1002" s="34"/>
      <c r="J1002" s="34"/>
      <c r="K1002" s="38"/>
      <c r="L1002" s="39"/>
      <c r="M1002" s="39"/>
      <c r="N1002" s="39"/>
      <c r="O1002" s="37"/>
      <c r="P1002" s="40"/>
      <c r="Q1002" s="41"/>
      <c r="R1002" s="41"/>
      <c r="S1002" s="42"/>
      <c r="T1002" s="42"/>
      <c r="U1002" s="42"/>
      <c r="V1002" s="42"/>
      <c r="W1002" s="42"/>
      <c r="X1002" s="42"/>
      <c r="Y1002" s="42"/>
      <c r="Z1002" s="42"/>
      <c r="AA1002" s="42"/>
      <c r="AB1002" s="42"/>
    </row>
  </sheetData>
  <mergeCells count="1">
    <mergeCell ref="A1:AB1"/>
  </mergeCells>
  <conditionalFormatting sqref="U4:U1002">
    <cfRule type="cellIs" dxfId="3" priority="1" stopIfTrue="1" operator="between">
      <formula>0</formula>
      <formula>0.004</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95E1-3527-424B-A40B-F0ABB3EAA0B1}">
  <dimension ref="A1:AB1002"/>
  <sheetViews>
    <sheetView workbookViewId="0">
      <selection activeCell="B3" sqref="B3:C629"/>
    </sheetView>
  </sheetViews>
  <sheetFormatPr baseColWidth="10" defaultRowHeight="21.75" x14ac:dyDescent="0.6"/>
  <cols>
    <col min="1" max="1" width="13.85546875" bestFit="1" customWidth="1"/>
    <col min="2" max="2" width="19" style="43" customWidth="1"/>
    <col min="3" max="3" width="40.42578125" style="44" bestFit="1" customWidth="1"/>
    <col min="4" max="4" width="25.85546875" style="45" bestFit="1" customWidth="1"/>
    <col min="5" max="5" width="20" style="46" customWidth="1"/>
    <col min="6" max="6" width="17.42578125" style="46" customWidth="1"/>
    <col min="7" max="7" width="20.140625" style="46" customWidth="1"/>
    <col min="8" max="8" width="42" style="46" customWidth="1"/>
    <col min="9" max="9" width="17.140625" style="47" customWidth="1"/>
    <col min="10" max="10" width="17.42578125" style="48" customWidth="1"/>
    <col min="11" max="11" width="27" style="48" customWidth="1"/>
    <col min="12" max="12" width="30.140625" style="48" customWidth="1"/>
    <col min="13" max="13" width="25.5703125" style="46" customWidth="1"/>
    <col min="14" max="14" width="19.140625" style="46" customWidth="1"/>
    <col min="15" max="15" width="18.85546875" style="46" customWidth="1"/>
    <col min="16" max="16" width="44.28515625" style="45" customWidth="1"/>
    <col min="17" max="17" width="15.28515625" style="46" bestFit="1" customWidth="1"/>
    <col min="18" max="18" width="13.140625" style="46" bestFit="1" customWidth="1"/>
    <col min="19" max="20" width="12.42578125" style="46" bestFit="1" customWidth="1"/>
    <col min="21" max="21" width="13" style="49" bestFit="1" customWidth="1"/>
    <col min="22" max="24" width="10.42578125" style="46" bestFit="1" customWidth="1"/>
    <col min="25" max="25" width="9" style="46" bestFit="1" customWidth="1"/>
    <col min="26" max="27" width="9.85546875" style="46" bestFit="1" customWidth="1"/>
    <col min="28" max="28" width="11.5703125" style="46" bestFit="1" customWidth="1"/>
  </cols>
  <sheetData>
    <row r="1" spans="1:28" ht="24" customHeight="1" x14ac:dyDescent="0.6">
      <c r="A1" s="93" t="s">
        <v>1732</v>
      </c>
      <c r="B1" s="86"/>
      <c r="C1" s="87"/>
      <c r="D1" s="88"/>
      <c r="E1" s="89"/>
      <c r="F1" s="89"/>
      <c r="G1" s="89"/>
      <c r="H1" s="89"/>
      <c r="I1" s="90"/>
      <c r="J1" s="91"/>
      <c r="K1" s="91"/>
      <c r="L1" s="91"/>
      <c r="M1" s="89"/>
      <c r="N1" s="89"/>
      <c r="O1" s="89"/>
      <c r="P1" s="88"/>
      <c r="Q1" s="89"/>
      <c r="R1" s="89"/>
      <c r="S1" s="89"/>
      <c r="T1" s="89"/>
      <c r="U1" s="92"/>
      <c r="V1" s="89"/>
      <c r="W1" s="89"/>
      <c r="X1" s="89"/>
      <c r="Y1" s="89"/>
      <c r="Z1" s="89"/>
      <c r="AA1" s="89"/>
      <c r="AB1" s="89"/>
    </row>
    <row r="2" spans="1:28" s="23" customFormat="1" ht="15" customHeight="1" x14ac:dyDescent="0.25">
      <c r="A2" s="20" t="s">
        <v>72</v>
      </c>
      <c r="B2" s="20" t="s">
        <v>73</v>
      </c>
      <c r="C2" s="21" t="s">
        <v>74</v>
      </c>
      <c r="D2" s="20" t="s">
        <v>75</v>
      </c>
      <c r="E2" s="20" t="s">
        <v>76</v>
      </c>
      <c r="F2" s="20" t="s">
        <v>77</v>
      </c>
      <c r="G2" s="20" t="s">
        <v>78</v>
      </c>
      <c r="H2" s="20" t="s">
        <v>79</v>
      </c>
      <c r="I2" s="20" t="s">
        <v>80</v>
      </c>
      <c r="J2" s="20" t="s">
        <v>81</v>
      </c>
      <c r="K2" s="20" t="s">
        <v>82</v>
      </c>
      <c r="L2" s="20" t="s">
        <v>83</v>
      </c>
      <c r="M2" s="20" t="s">
        <v>84</v>
      </c>
      <c r="N2" s="20" t="s">
        <v>85</v>
      </c>
      <c r="O2" s="20" t="s">
        <v>86</v>
      </c>
      <c r="P2" s="20" t="s">
        <v>87</v>
      </c>
      <c r="Q2" s="22" t="s">
        <v>88</v>
      </c>
      <c r="R2" s="22" t="s">
        <v>17</v>
      </c>
      <c r="S2" s="21" t="s">
        <v>89</v>
      </c>
      <c r="T2" s="21" t="s">
        <v>90</v>
      </c>
      <c r="U2" s="21" t="s">
        <v>91</v>
      </c>
      <c r="V2" s="21" t="s">
        <v>92</v>
      </c>
      <c r="W2" s="21" t="s">
        <v>93</v>
      </c>
      <c r="X2" s="21" t="s">
        <v>94</v>
      </c>
      <c r="Y2" s="21" t="s">
        <v>95</v>
      </c>
      <c r="Z2" s="21" t="s">
        <v>96</v>
      </c>
      <c r="AA2" s="21" t="s">
        <v>97</v>
      </c>
      <c r="AB2" s="21" t="s">
        <v>98</v>
      </c>
    </row>
    <row r="3" spans="1:28" s="33" customFormat="1" ht="15.6" customHeight="1" x14ac:dyDescent="0.25">
      <c r="A3" s="24" t="s">
        <v>99</v>
      </c>
      <c r="B3" s="50">
        <v>3013</v>
      </c>
      <c r="C3" s="25" t="s">
        <v>100</v>
      </c>
      <c r="D3" s="25" t="s">
        <v>101</v>
      </c>
      <c r="E3" s="25" t="s">
        <v>102</v>
      </c>
      <c r="F3" s="25" t="s">
        <v>103</v>
      </c>
      <c r="G3" s="26" t="s">
        <v>104</v>
      </c>
      <c r="H3" s="27" t="s">
        <v>105</v>
      </c>
      <c r="I3" s="24" t="s">
        <v>106</v>
      </c>
      <c r="J3" s="24" t="s">
        <v>107</v>
      </c>
      <c r="K3" s="28" t="s">
        <v>108</v>
      </c>
      <c r="L3" s="29">
        <v>1.2500000000000001E-2</v>
      </c>
      <c r="M3" s="29">
        <v>5.0000000000000001E-3</v>
      </c>
      <c r="N3" s="29">
        <v>1.95E-2</v>
      </c>
      <c r="O3" s="27" t="s">
        <v>109</v>
      </c>
      <c r="P3" s="30" t="s">
        <v>101</v>
      </c>
      <c r="Q3" s="31">
        <v>159194194.27000001</v>
      </c>
      <c r="R3" s="31">
        <v>122268.97</v>
      </c>
      <c r="S3" s="32">
        <v>1.6149E-2</v>
      </c>
      <c r="T3" s="32">
        <v>1.1E-4</v>
      </c>
      <c r="U3" s="32">
        <v>3.86E-4</v>
      </c>
      <c r="V3" s="32">
        <v>1.304E-3</v>
      </c>
      <c r="W3" s="32">
        <v>3.6610000000000002E-3</v>
      </c>
      <c r="X3" s="32">
        <v>7.3899999999999999E-3</v>
      </c>
      <c r="Y3" s="32">
        <v>1.6149E-2</v>
      </c>
      <c r="Z3" s="32">
        <v>3.8772000000000001E-2</v>
      </c>
      <c r="AA3" s="32">
        <v>6.1869E-2</v>
      </c>
      <c r="AB3" s="32">
        <v>7.8071000000000002E-2</v>
      </c>
    </row>
    <row r="4" spans="1:28" ht="15.6" customHeight="1" x14ac:dyDescent="0.25">
      <c r="A4" s="24" t="s">
        <v>110</v>
      </c>
      <c r="B4" s="50">
        <v>3028</v>
      </c>
      <c r="C4" s="25" t="s">
        <v>111</v>
      </c>
      <c r="D4" s="25" t="s">
        <v>112</v>
      </c>
      <c r="E4" s="25" t="s">
        <v>102</v>
      </c>
      <c r="F4" s="25" t="s">
        <v>113</v>
      </c>
      <c r="G4" s="26" t="s">
        <v>114</v>
      </c>
      <c r="H4" s="27" t="s">
        <v>115</v>
      </c>
      <c r="I4" s="24" t="s">
        <v>106</v>
      </c>
      <c r="J4" s="24" t="s">
        <v>107</v>
      </c>
      <c r="K4" s="28" t="s">
        <v>108</v>
      </c>
      <c r="L4" s="29">
        <v>5.0000000000000001E-3</v>
      </c>
      <c r="M4" s="29">
        <v>0</v>
      </c>
      <c r="N4" s="29">
        <v>0.02</v>
      </c>
      <c r="O4" s="27" t="s">
        <v>116</v>
      </c>
      <c r="P4" s="30" t="s">
        <v>112</v>
      </c>
      <c r="Q4" s="31">
        <v>1301590795.4200001</v>
      </c>
      <c r="R4" s="31">
        <v>3477.03</v>
      </c>
      <c r="S4" s="32">
        <v>5.3491999999999998E-2</v>
      </c>
      <c r="T4" s="32">
        <v>-3.5399999999999999E-4</v>
      </c>
      <c r="U4" s="32">
        <v>-2.8279999999999998E-3</v>
      </c>
      <c r="V4" s="32">
        <v>5.0990000000000002E-3</v>
      </c>
      <c r="W4" s="32">
        <v>-4.1529999999999996E-3</v>
      </c>
      <c r="X4" s="32">
        <v>8.6149999999999994E-3</v>
      </c>
      <c r="Y4" s="32">
        <v>5.3491999999999998E-2</v>
      </c>
      <c r="Z4" s="32">
        <v>0.137489</v>
      </c>
      <c r="AA4" s="32">
        <v>0.14765200000000001</v>
      </c>
      <c r="AB4" s="32">
        <v>0.12209</v>
      </c>
    </row>
    <row r="5" spans="1:28" ht="15.6" customHeight="1" x14ac:dyDescent="0.25">
      <c r="A5" s="24" t="s">
        <v>117</v>
      </c>
      <c r="B5" s="50">
        <v>3029</v>
      </c>
      <c r="C5" s="25" t="s">
        <v>118</v>
      </c>
      <c r="D5" s="25" t="s">
        <v>112</v>
      </c>
      <c r="E5" s="25" t="s">
        <v>102</v>
      </c>
      <c r="F5" s="25" t="s">
        <v>113</v>
      </c>
      <c r="G5" s="26" t="s">
        <v>119</v>
      </c>
      <c r="H5" s="27" t="s">
        <v>120</v>
      </c>
      <c r="I5" s="24" t="s">
        <v>106</v>
      </c>
      <c r="J5" s="24" t="s">
        <v>121</v>
      </c>
      <c r="K5" s="28" t="s">
        <v>108</v>
      </c>
      <c r="L5" s="29">
        <v>0.03</v>
      </c>
      <c r="M5" s="29">
        <v>1.4999999999999999E-2</v>
      </c>
      <c r="N5" s="29">
        <v>0.02</v>
      </c>
      <c r="O5" s="27" t="s">
        <v>116</v>
      </c>
      <c r="P5" s="30" t="s">
        <v>112</v>
      </c>
      <c r="Q5" s="31">
        <v>6001064918.8599997</v>
      </c>
      <c r="R5" s="31">
        <v>3313.59</v>
      </c>
      <c r="S5" s="32">
        <v>3.7095000000000003E-2</v>
      </c>
      <c r="T5" s="32">
        <v>-9.2000000000000003E-4</v>
      </c>
      <c r="U5" s="32">
        <v>-6.6699999999999995E-4</v>
      </c>
      <c r="V5" s="32">
        <v>4.4099999999999999E-3</v>
      </c>
      <c r="W5" s="32">
        <v>-1.8100000000000001E-4</v>
      </c>
      <c r="X5" s="32">
        <v>7.6140000000000001E-3</v>
      </c>
      <c r="Y5" s="32">
        <v>3.7095000000000003E-2</v>
      </c>
      <c r="Z5" s="32">
        <v>9.2905000000000001E-2</v>
      </c>
      <c r="AA5" s="32">
        <v>0.12131599999999999</v>
      </c>
      <c r="AB5" s="32">
        <v>0.13972499999999999</v>
      </c>
    </row>
    <row r="6" spans="1:28" ht="15.6" customHeight="1" x14ac:dyDescent="0.25">
      <c r="A6" s="24" t="s">
        <v>122</v>
      </c>
      <c r="B6" s="50">
        <v>3030</v>
      </c>
      <c r="C6" s="25" t="s">
        <v>123</v>
      </c>
      <c r="D6" s="25" t="s">
        <v>112</v>
      </c>
      <c r="E6" s="25" t="s">
        <v>102</v>
      </c>
      <c r="F6" s="25" t="s">
        <v>103</v>
      </c>
      <c r="G6" s="26" t="s">
        <v>104</v>
      </c>
      <c r="H6" s="27" t="s">
        <v>124</v>
      </c>
      <c r="I6" s="24" t="s">
        <v>106</v>
      </c>
      <c r="J6" s="24" t="s">
        <v>107</v>
      </c>
      <c r="K6" s="28" t="s">
        <v>108</v>
      </c>
      <c r="L6" s="29">
        <v>0</v>
      </c>
      <c r="M6" s="29">
        <v>0</v>
      </c>
      <c r="N6" s="29">
        <v>0.02</v>
      </c>
      <c r="O6" s="27" t="s">
        <v>116</v>
      </c>
      <c r="P6" s="30" t="s">
        <v>112</v>
      </c>
      <c r="Q6" s="31">
        <v>5146975611.8900003</v>
      </c>
      <c r="R6" s="31">
        <v>2239.0100000000002</v>
      </c>
      <c r="S6" s="32">
        <v>2.7723999999999999E-2</v>
      </c>
      <c r="T6" s="32">
        <v>2.7300000000000002E-4</v>
      </c>
      <c r="U6" s="32">
        <v>7.2400000000000003E-4</v>
      </c>
      <c r="V6" s="32">
        <v>2.287E-3</v>
      </c>
      <c r="W6" s="32">
        <v>6.3509999999999999E-3</v>
      </c>
      <c r="X6" s="32">
        <v>1.2788000000000001E-2</v>
      </c>
      <c r="Y6" s="32">
        <v>2.7723999999999999E-2</v>
      </c>
      <c r="Z6" s="32">
        <v>6.2825000000000006E-2</v>
      </c>
      <c r="AA6" s="32">
        <v>9.9316000000000002E-2</v>
      </c>
      <c r="AB6" s="32">
        <v>0.12795300000000001</v>
      </c>
    </row>
    <row r="7" spans="1:28" ht="15.6" customHeight="1" x14ac:dyDescent="0.25">
      <c r="A7" s="24" t="s">
        <v>125</v>
      </c>
      <c r="B7" s="50">
        <v>3037</v>
      </c>
      <c r="C7" s="25" t="s">
        <v>126</v>
      </c>
      <c r="D7" s="25" t="s">
        <v>127</v>
      </c>
      <c r="E7" s="25" t="s">
        <v>102</v>
      </c>
      <c r="F7" s="25" t="s">
        <v>128</v>
      </c>
      <c r="G7" s="26" t="s">
        <v>129</v>
      </c>
      <c r="H7" s="27" t="s">
        <v>130</v>
      </c>
      <c r="I7" s="24" t="s">
        <v>106</v>
      </c>
      <c r="J7" s="24" t="s">
        <v>121</v>
      </c>
      <c r="K7" s="28" t="s">
        <v>108</v>
      </c>
      <c r="L7" s="29">
        <v>0</v>
      </c>
      <c r="M7" s="29">
        <v>0</v>
      </c>
      <c r="N7" s="29">
        <v>0.02</v>
      </c>
      <c r="O7" s="27" t="s">
        <v>131</v>
      </c>
      <c r="P7" s="30" t="s">
        <v>131</v>
      </c>
      <c r="Q7" s="31">
        <v>208721455.44</v>
      </c>
      <c r="R7" s="31">
        <v>396808.85</v>
      </c>
      <c r="S7" s="32">
        <v>2.4736000000000001E-2</v>
      </c>
      <c r="T7" s="32">
        <v>-1.12E-4</v>
      </c>
      <c r="U7" s="32">
        <v>2.9700000000000001E-4</v>
      </c>
      <c r="V7" s="32">
        <v>2.0709999999999999E-3</v>
      </c>
      <c r="W7" s="32">
        <v>4.2589999999999998E-3</v>
      </c>
      <c r="X7" s="32">
        <v>9.4879999999999999E-3</v>
      </c>
      <c r="Y7" s="32">
        <v>2.4736000000000001E-2</v>
      </c>
      <c r="Z7" s="32">
        <v>5.9650000000000002E-2</v>
      </c>
      <c r="AA7" s="32">
        <v>9.6689999999999998E-2</v>
      </c>
      <c r="AB7" s="32">
        <v>0.126277</v>
      </c>
    </row>
    <row r="8" spans="1:28" ht="15.6" customHeight="1" x14ac:dyDescent="0.25">
      <c r="A8" s="24" t="s">
        <v>132</v>
      </c>
      <c r="B8" s="50">
        <v>3041</v>
      </c>
      <c r="C8" s="25" t="s">
        <v>133</v>
      </c>
      <c r="D8" s="25" t="s">
        <v>101</v>
      </c>
      <c r="E8" s="25" t="s">
        <v>102</v>
      </c>
      <c r="F8" s="25" t="s">
        <v>128</v>
      </c>
      <c r="G8" s="26" t="s">
        <v>134</v>
      </c>
      <c r="H8" s="27" t="s">
        <v>130</v>
      </c>
      <c r="I8" s="24" t="s">
        <v>106</v>
      </c>
      <c r="J8" s="24" t="s">
        <v>107</v>
      </c>
      <c r="K8" s="28" t="s">
        <v>108</v>
      </c>
      <c r="L8" s="29">
        <v>0</v>
      </c>
      <c r="M8" s="29">
        <v>0</v>
      </c>
      <c r="N8" s="29">
        <v>6.7000000000000002E-3</v>
      </c>
      <c r="O8" s="27" t="s">
        <v>109</v>
      </c>
      <c r="P8" s="30" t="s">
        <v>101</v>
      </c>
      <c r="Q8" s="31">
        <v>35914363.380000003</v>
      </c>
      <c r="R8" s="31">
        <v>192.46</v>
      </c>
      <c r="S8" s="32">
        <v>3.0300000000000001E-2</v>
      </c>
      <c r="T8" s="32">
        <v>1.0399999999999999E-4</v>
      </c>
      <c r="U8" s="32">
        <v>3.6400000000000001E-4</v>
      </c>
      <c r="V8" s="32">
        <v>2.0309999999999998E-3</v>
      </c>
      <c r="W8" s="32">
        <v>7.1170000000000001E-3</v>
      </c>
      <c r="X8" s="32">
        <v>1.6156E-2</v>
      </c>
      <c r="Y8" s="32">
        <v>3.0300000000000001E-2</v>
      </c>
      <c r="Z8" s="32">
        <v>6.1614000000000002E-2</v>
      </c>
      <c r="AA8" s="32">
        <v>8.7405999999999998E-2</v>
      </c>
      <c r="AB8" s="32">
        <v>0.100337</v>
      </c>
    </row>
    <row r="9" spans="1:28" ht="15.6" customHeight="1" x14ac:dyDescent="0.25">
      <c r="A9" s="24" t="s">
        <v>135</v>
      </c>
      <c r="B9" s="50">
        <v>3047</v>
      </c>
      <c r="C9" s="25" t="s">
        <v>136</v>
      </c>
      <c r="D9" s="25" t="s">
        <v>137</v>
      </c>
      <c r="E9" s="25" t="s">
        <v>102</v>
      </c>
      <c r="F9" s="25" t="s">
        <v>138</v>
      </c>
      <c r="G9" s="26" t="s">
        <v>139</v>
      </c>
      <c r="H9" s="27" t="s">
        <v>140</v>
      </c>
      <c r="I9" s="24" t="s">
        <v>106</v>
      </c>
      <c r="J9" s="24" t="s">
        <v>107</v>
      </c>
      <c r="K9" s="28" t="s">
        <v>108</v>
      </c>
      <c r="L9" s="29">
        <v>2E-3</v>
      </c>
      <c r="M9" s="29">
        <v>2E-3</v>
      </c>
      <c r="N9" s="29">
        <v>1.4999999999999999E-2</v>
      </c>
      <c r="O9" s="27" t="s">
        <v>141</v>
      </c>
      <c r="P9" s="30" t="s">
        <v>142</v>
      </c>
      <c r="Q9" s="31">
        <v>1737872441.1654921</v>
      </c>
      <c r="R9" s="31">
        <v>9863.68</v>
      </c>
      <c r="S9" s="32">
        <v>0.15437699999999999</v>
      </c>
      <c r="T9" s="32">
        <v>4.28E-3</v>
      </c>
      <c r="U9" s="32">
        <v>-1.085E-2</v>
      </c>
      <c r="V9" s="32">
        <v>-5.0199999999999995E-4</v>
      </c>
      <c r="W9" s="32">
        <v>-1.8630000000000001E-2</v>
      </c>
      <c r="X9" s="32">
        <v>-6.293E-3</v>
      </c>
      <c r="Y9" s="32">
        <v>0.15437699999999999</v>
      </c>
      <c r="Z9" s="32">
        <v>0.34181800000000001</v>
      </c>
      <c r="AA9" s="32">
        <v>0.396623</v>
      </c>
      <c r="AB9" s="32">
        <v>0.377334</v>
      </c>
    </row>
    <row r="10" spans="1:28" ht="15.6" customHeight="1" x14ac:dyDescent="0.25">
      <c r="A10" s="24" t="s">
        <v>143</v>
      </c>
      <c r="B10" s="50">
        <v>3048</v>
      </c>
      <c r="C10" s="25" t="s">
        <v>144</v>
      </c>
      <c r="D10" s="25" t="s">
        <v>145</v>
      </c>
      <c r="E10" s="25" t="s">
        <v>102</v>
      </c>
      <c r="F10" s="25" t="s">
        <v>103</v>
      </c>
      <c r="G10" s="26" t="s">
        <v>146</v>
      </c>
      <c r="H10" s="27" t="s">
        <v>147</v>
      </c>
      <c r="I10" s="24" t="s">
        <v>106</v>
      </c>
      <c r="J10" s="24" t="s">
        <v>107</v>
      </c>
      <c r="K10" s="28" t="s">
        <v>108</v>
      </c>
      <c r="L10" s="29">
        <v>0</v>
      </c>
      <c r="M10" s="29">
        <v>0</v>
      </c>
      <c r="N10" s="29">
        <v>1.4999999999999999E-2</v>
      </c>
      <c r="O10" s="27" t="s">
        <v>148</v>
      </c>
      <c r="P10" s="30" t="s">
        <v>145</v>
      </c>
      <c r="Q10" s="31">
        <v>3201323180.5500002</v>
      </c>
      <c r="R10" s="31">
        <v>2747.19</v>
      </c>
      <c r="S10" s="32">
        <v>2.8413000000000001E-2</v>
      </c>
      <c r="T10" s="32">
        <v>5.5699999999999999E-4</v>
      </c>
      <c r="U10" s="32">
        <v>1.0460000000000001E-3</v>
      </c>
      <c r="V10" s="32">
        <v>2.7490000000000001E-3</v>
      </c>
      <c r="W10" s="32">
        <v>6.5729999999999998E-3</v>
      </c>
      <c r="X10" s="32">
        <v>1.3247999999999999E-2</v>
      </c>
      <c r="Y10" s="32">
        <v>2.8413000000000001E-2</v>
      </c>
      <c r="Z10" s="32">
        <v>6.4005999999999993E-2</v>
      </c>
      <c r="AA10" s="32">
        <v>0.10070800000000001</v>
      </c>
      <c r="AB10" s="32">
        <v>0.137101</v>
      </c>
    </row>
    <row r="11" spans="1:28" ht="15.6" customHeight="1" x14ac:dyDescent="0.25">
      <c r="A11" s="24" t="s">
        <v>157</v>
      </c>
      <c r="B11" s="50">
        <v>3051</v>
      </c>
      <c r="C11" s="25" t="s">
        <v>158</v>
      </c>
      <c r="D11" s="25" t="s">
        <v>159</v>
      </c>
      <c r="E11" s="25" t="s">
        <v>102</v>
      </c>
      <c r="F11" s="25" t="s">
        <v>138</v>
      </c>
      <c r="G11" s="26" t="s">
        <v>139</v>
      </c>
      <c r="H11" s="27" t="s">
        <v>160</v>
      </c>
      <c r="I11" s="24" t="s">
        <v>106</v>
      </c>
      <c r="J11" s="24" t="s">
        <v>107</v>
      </c>
      <c r="K11" s="28" t="s">
        <v>108</v>
      </c>
      <c r="L11" s="29">
        <v>0.01</v>
      </c>
      <c r="M11" s="29">
        <v>5.0000000000000001E-3</v>
      </c>
      <c r="N11" s="29">
        <v>0.02</v>
      </c>
      <c r="O11" s="27" t="s">
        <v>161</v>
      </c>
      <c r="P11" s="30" t="s">
        <v>159</v>
      </c>
      <c r="Q11" s="31">
        <v>4719516.24</v>
      </c>
      <c r="R11" s="31">
        <v>42904.69</v>
      </c>
      <c r="S11" s="32">
        <v>0.158641</v>
      </c>
      <c r="T11" s="32">
        <v>4.7489999999999997E-3</v>
      </c>
      <c r="U11" s="32">
        <v>-4.2170000000000003E-3</v>
      </c>
      <c r="V11" s="32">
        <v>7.9590000000000008E-3</v>
      </c>
      <c r="W11" s="32">
        <v>-7.6000000000000004E-5</v>
      </c>
      <c r="X11" s="32">
        <v>1.1769E-2</v>
      </c>
      <c r="Y11" s="32">
        <v>0.158641</v>
      </c>
      <c r="Z11" s="32">
        <v>0.30786599999999997</v>
      </c>
      <c r="AA11" s="32">
        <v>0.40526200000000001</v>
      </c>
      <c r="AB11" s="32">
        <v>0.39350200000000002</v>
      </c>
    </row>
    <row r="12" spans="1:28" ht="15.6" customHeight="1" x14ac:dyDescent="0.25">
      <c r="A12" s="24" t="s">
        <v>162</v>
      </c>
      <c r="B12" s="50">
        <v>3052</v>
      </c>
      <c r="C12" s="25" t="s">
        <v>163</v>
      </c>
      <c r="D12" s="25" t="s">
        <v>164</v>
      </c>
      <c r="E12" s="25" t="s">
        <v>102</v>
      </c>
      <c r="F12" s="25" t="s">
        <v>138</v>
      </c>
      <c r="G12" s="26" t="s">
        <v>139</v>
      </c>
      <c r="H12" s="27" t="s">
        <v>165</v>
      </c>
      <c r="I12" s="24" t="s">
        <v>106</v>
      </c>
      <c r="J12" s="24" t="s">
        <v>107</v>
      </c>
      <c r="K12" s="28" t="s">
        <v>108</v>
      </c>
      <c r="L12" s="29">
        <v>0.03</v>
      </c>
      <c r="M12" s="29">
        <v>1.4999999999999999E-2</v>
      </c>
      <c r="N12" s="29">
        <v>0.02</v>
      </c>
      <c r="O12" s="27" t="s">
        <v>166</v>
      </c>
      <c r="P12" s="30" t="s">
        <v>164</v>
      </c>
      <c r="Q12" s="31">
        <v>3348751518.9400001</v>
      </c>
      <c r="R12" s="31">
        <v>724.38</v>
      </c>
      <c r="S12" s="32">
        <v>0.135214</v>
      </c>
      <c r="T12" s="32">
        <v>4.8129999999999996E-3</v>
      </c>
      <c r="U12" s="32">
        <v>-6.842E-3</v>
      </c>
      <c r="V12" s="32">
        <v>8.5629999999999994E-3</v>
      </c>
      <c r="W12" s="32">
        <v>-3.9189999999999997E-3</v>
      </c>
      <c r="X12" s="32">
        <v>8.8579999999999996E-3</v>
      </c>
      <c r="Y12" s="32">
        <v>0.135214</v>
      </c>
      <c r="Z12" s="32" t="s">
        <v>139</v>
      </c>
      <c r="AA12" s="32">
        <v>0.35087600000000002</v>
      </c>
      <c r="AB12" s="32" t="s">
        <v>139</v>
      </c>
    </row>
    <row r="13" spans="1:28" ht="15.6" customHeight="1" x14ac:dyDescent="0.25">
      <c r="A13" s="24" t="s">
        <v>167</v>
      </c>
      <c r="B13" s="50">
        <v>3055</v>
      </c>
      <c r="C13" s="25" t="s">
        <v>168</v>
      </c>
      <c r="D13" s="25" t="s">
        <v>164</v>
      </c>
      <c r="E13" s="25" t="s">
        <v>102</v>
      </c>
      <c r="F13" s="25" t="s">
        <v>103</v>
      </c>
      <c r="G13" s="26" t="s">
        <v>104</v>
      </c>
      <c r="H13" s="27" t="s">
        <v>169</v>
      </c>
      <c r="I13" s="24" t="s">
        <v>106</v>
      </c>
      <c r="J13" s="24" t="s">
        <v>107</v>
      </c>
      <c r="K13" s="28" t="s">
        <v>108</v>
      </c>
      <c r="L13" s="29">
        <v>0</v>
      </c>
      <c r="M13" s="29">
        <v>0</v>
      </c>
      <c r="N13" s="29">
        <v>0.02</v>
      </c>
      <c r="O13" s="27" t="s">
        <v>166</v>
      </c>
      <c r="P13" s="30" t="s">
        <v>164</v>
      </c>
      <c r="Q13" s="31">
        <v>3154292484.4299998</v>
      </c>
      <c r="R13" s="31">
        <v>5615.9</v>
      </c>
      <c r="S13" s="32">
        <v>2.1898000000000001E-2</v>
      </c>
      <c r="T13" s="32">
        <v>2.8499999999999999E-4</v>
      </c>
      <c r="U13" s="32">
        <v>6.7199999999999996E-4</v>
      </c>
      <c r="V13" s="32">
        <v>1.9949999999999998E-3</v>
      </c>
      <c r="W13" s="32">
        <v>4.9959999999999996E-3</v>
      </c>
      <c r="X13" s="32">
        <v>9.9100000000000004E-3</v>
      </c>
      <c r="Y13" s="32">
        <v>2.1898000000000001E-2</v>
      </c>
      <c r="Z13" s="32">
        <v>5.0092999999999999E-2</v>
      </c>
      <c r="AA13" s="32">
        <v>7.8801999999999997E-2</v>
      </c>
      <c r="AB13" s="32">
        <v>0.101498</v>
      </c>
    </row>
    <row r="14" spans="1:28" ht="15.6" customHeight="1" x14ac:dyDescent="0.25">
      <c r="A14" s="24" t="s">
        <v>170</v>
      </c>
      <c r="B14" s="50">
        <v>3057</v>
      </c>
      <c r="C14" s="25" t="s">
        <v>171</v>
      </c>
      <c r="D14" s="25" t="s">
        <v>164</v>
      </c>
      <c r="E14" s="25" t="s">
        <v>102</v>
      </c>
      <c r="F14" s="25" t="s">
        <v>138</v>
      </c>
      <c r="G14" s="26" t="s">
        <v>139</v>
      </c>
      <c r="H14" s="27" t="s">
        <v>172</v>
      </c>
      <c r="I14" s="24" t="s">
        <v>106</v>
      </c>
      <c r="J14" s="24" t="s">
        <v>107</v>
      </c>
      <c r="K14" s="28" t="s">
        <v>108</v>
      </c>
      <c r="L14" s="29">
        <v>0.03</v>
      </c>
      <c r="M14" s="29">
        <v>1.4999999999999999E-2</v>
      </c>
      <c r="N14" s="29">
        <v>0.02</v>
      </c>
      <c r="O14" s="27" t="s">
        <v>173</v>
      </c>
      <c r="P14" s="30" t="s">
        <v>164</v>
      </c>
      <c r="Q14" s="31">
        <v>553966752.41999996</v>
      </c>
      <c r="R14" s="31">
        <v>6930.56</v>
      </c>
      <c r="S14" s="32">
        <v>0.16683200000000001</v>
      </c>
      <c r="T14" s="32">
        <v>5.2610000000000001E-3</v>
      </c>
      <c r="U14" s="32">
        <v>-3.64E-3</v>
      </c>
      <c r="V14" s="32">
        <v>8.4259999999999995E-3</v>
      </c>
      <c r="W14" s="32">
        <v>-3.88E-4</v>
      </c>
      <c r="X14" s="32">
        <v>1.0583E-2</v>
      </c>
      <c r="Y14" s="32">
        <v>0.16683200000000001</v>
      </c>
      <c r="Z14" s="32">
        <v>0.33098</v>
      </c>
      <c r="AA14" s="32">
        <v>0.42970399999999997</v>
      </c>
      <c r="AB14" s="32">
        <v>0.38396999999999998</v>
      </c>
    </row>
    <row r="15" spans="1:28" ht="15.6" customHeight="1" x14ac:dyDescent="0.25">
      <c r="A15" s="24" t="s">
        <v>174</v>
      </c>
      <c r="B15" s="50">
        <v>3058</v>
      </c>
      <c r="C15" s="25" t="s">
        <v>175</v>
      </c>
      <c r="D15" s="25" t="s">
        <v>164</v>
      </c>
      <c r="E15" s="25" t="s">
        <v>102</v>
      </c>
      <c r="F15" s="25" t="s">
        <v>113</v>
      </c>
      <c r="G15" s="26" t="s">
        <v>176</v>
      </c>
      <c r="H15" s="27" t="s">
        <v>177</v>
      </c>
      <c r="I15" s="24" t="s">
        <v>106</v>
      </c>
      <c r="J15" s="24" t="s">
        <v>107</v>
      </c>
      <c r="K15" s="28" t="s">
        <v>108</v>
      </c>
      <c r="L15" s="29">
        <v>0.03</v>
      </c>
      <c r="M15" s="29">
        <v>1.4999999999999999E-2</v>
      </c>
      <c r="N15" s="29">
        <v>0.02</v>
      </c>
      <c r="O15" s="27" t="s">
        <v>173</v>
      </c>
      <c r="P15" s="30" t="s">
        <v>164</v>
      </c>
      <c r="Q15" s="31">
        <v>1178054560.9400001</v>
      </c>
      <c r="R15" s="31">
        <v>3608.93</v>
      </c>
      <c r="S15" s="32">
        <v>3.9782999999999999E-2</v>
      </c>
      <c r="T15" s="32">
        <v>-4.3999999999999999E-5</v>
      </c>
      <c r="U15" s="32">
        <v>-1.3090000000000001E-3</v>
      </c>
      <c r="V15" s="32">
        <v>6.2509999999999996E-3</v>
      </c>
      <c r="W15" s="32">
        <v>-3.209E-3</v>
      </c>
      <c r="X15" s="32">
        <v>3.8080000000000002E-3</v>
      </c>
      <c r="Y15" s="32">
        <v>3.9782999999999999E-2</v>
      </c>
      <c r="Z15" s="32">
        <v>0.12251099999999999</v>
      </c>
      <c r="AA15" s="32">
        <v>0.13465199999999999</v>
      </c>
      <c r="AB15" s="32">
        <v>0.12886300000000001</v>
      </c>
    </row>
    <row r="16" spans="1:28" ht="15.6" customHeight="1" x14ac:dyDescent="0.25">
      <c r="A16" s="24" t="s">
        <v>178</v>
      </c>
      <c r="B16" s="50">
        <v>3059</v>
      </c>
      <c r="C16" s="25" t="s">
        <v>179</v>
      </c>
      <c r="D16" s="25" t="s">
        <v>164</v>
      </c>
      <c r="E16" s="25" t="s">
        <v>102</v>
      </c>
      <c r="F16" s="25" t="s">
        <v>128</v>
      </c>
      <c r="G16" s="26" t="s">
        <v>129</v>
      </c>
      <c r="H16" s="27" t="s">
        <v>130</v>
      </c>
      <c r="I16" s="24" t="s">
        <v>106</v>
      </c>
      <c r="J16" s="24" t="s">
        <v>107</v>
      </c>
      <c r="K16" s="28" t="s">
        <v>180</v>
      </c>
      <c r="L16" s="29">
        <v>0.03</v>
      </c>
      <c r="M16" s="29">
        <v>1.4999999999999999E-2</v>
      </c>
      <c r="N16" s="29">
        <v>0.02</v>
      </c>
      <c r="O16" s="27" t="s">
        <v>173</v>
      </c>
      <c r="P16" s="30" t="s">
        <v>164</v>
      </c>
      <c r="Q16" s="31">
        <v>278619858.37</v>
      </c>
      <c r="R16" s="31">
        <v>1715.03</v>
      </c>
      <c r="S16" s="32">
        <v>2.7462E-2</v>
      </c>
      <c r="T16" s="32">
        <v>2.1599999999999999E-4</v>
      </c>
      <c r="U16" s="32">
        <v>6.3599999999999996E-4</v>
      </c>
      <c r="V16" s="32">
        <v>2.7659999999999998E-3</v>
      </c>
      <c r="W16" s="32">
        <v>5.4169999999999999E-3</v>
      </c>
      <c r="X16" s="32">
        <v>1.1447000000000001E-2</v>
      </c>
      <c r="Y16" s="32">
        <v>2.7462E-2</v>
      </c>
      <c r="Z16" s="32">
        <v>6.5480999999999998E-2</v>
      </c>
      <c r="AA16" s="32">
        <v>0.10510899999999999</v>
      </c>
      <c r="AB16" s="32">
        <v>0.131212</v>
      </c>
    </row>
    <row r="17" spans="1:28" ht="15.6" customHeight="1" x14ac:dyDescent="0.25">
      <c r="A17" s="24" t="s">
        <v>181</v>
      </c>
      <c r="B17" s="50">
        <v>3060</v>
      </c>
      <c r="C17" s="25" t="s">
        <v>182</v>
      </c>
      <c r="D17" s="25" t="s">
        <v>164</v>
      </c>
      <c r="E17" s="25" t="s">
        <v>102</v>
      </c>
      <c r="F17" s="25" t="s">
        <v>103</v>
      </c>
      <c r="G17" s="26" t="s">
        <v>104</v>
      </c>
      <c r="H17" s="27" t="s">
        <v>183</v>
      </c>
      <c r="I17" s="24" t="s">
        <v>106</v>
      </c>
      <c r="J17" s="24" t="s">
        <v>107</v>
      </c>
      <c r="K17" s="28" t="s">
        <v>108</v>
      </c>
      <c r="L17" s="29">
        <v>0.03</v>
      </c>
      <c r="M17" s="29">
        <v>1.4999999999999999E-2</v>
      </c>
      <c r="N17" s="29">
        <v>1.4999999999999999E-2</v>
      </c>
      <c r="O17" s="27" t="s">
        <v>173</v>
      </c>
      <c r="P17" s="30" t="s">
        <v>164</v>
      </c>
      <c r="Q17" s="31">
        <v>1404482405.3599999</v>
      </c>
      <c r="R17" s="31">
        <v>5915.2</v>
      </c>
      <c r="S17" s="32">
        <v>2.334E-2</v>
      </c>
      <c r="T17" s="32">
        <v>2.03E-4</v>
      </c>
      <c r="U17" s="32">
        <v>6.0599999999999998E-4</v>
      </c>
      <c r="V17" s="32">
        <v>1.977E-3</v>
      </c>
      <c r="W17" s="32">
        <v>5.2259999999999997E-3</v>
      </c>
      <c r="X17" s="32">
        <v>1.0577E-2</v>
      </c>
      <c r="Y17" s="32">
        <v>2.334E-2</v>
      </c>
      <c r="Z17" s="32">
        <v>5.4316000000000003E-2</v>
      </c>
      <c r="AA17" s="32">
        <v>8.5572999999999996E-2</v>
      </c>
      <c r="AB17" s="32">
        <v>0.110373</v>
      </c>
    </row>
    <row r="18" spans="1:28" ht="15.6" customHeight="1" x14ac:dyDescent="0.25">
      <c r="A18" s="24" t="s">
        <v>184</v>
      </c>
      <c r="B18" s="50">
        <v>3073</v>
      </c>
      <c r="C18" s="25" t="s">
        <v>185</v>
      </c>
      <c r="D18" s="25" t="s">
        <v>101</v>
      </c>
      <c r="E18" s="25" t="s">
        <v>102</v>
      </c>
      <c r="F18" s="25" t="s">
        <v>103</v>
      </c>
      <c r="G18" s="26" t="s">
        <v>134</v>
      </c>
      <c r="H18" s="27" t="s">
        <v>130</v>
      </c>
      <c r="I18" s="24" t="s">
        <v>106</v>
      </c>
      <c r="J18" s="24" t="s">
        <v>107</v>
      </c>
      <c r="K18" s="28" t="s">
        <v>108</v>
      </c>
      <c r="L18" s="29">
        <v>0</v>
      </c>
      <c r="M18" s="29">
        <v>0</v>
      </c>
      <c r="N18" s="29">
        <v>0.02</v>
      </c>
      <c r="O18" s="27" t="s">
        <v>109</v>
      </c>
      <c r="P18" s="30" t="s">
        <v>101</v>
      </c>
      <c r="Q18" s="31">
        <v>1330628668.3800001</v>
      </c>
      <c r="R18" s="31">
        <v>166.3</v>
      </c>
      <c r="S18" s="32">
        <v>2.1687000000000001E-2</v>
      </c>
      <c r="T18" s="32">
        <v>1.8000000000000001E-4</v>
      </c>
      <c r="U18" s="32">
        <v>5.4100000000000003E-4</v>
      </c>
      <c r="V18" s="32">
        <v>1.8680000000000001E-3</v>
      </c>
      <c r="W18" s="32">
        <v>4.7730000000000003E-3</v>
      </c>
      <c r="X18" s="32">
        <v>9.5309999999999995E-3</v>
      </c>
      <c r="Y18" s="32">
        <v>2.1687000000000001E-2</v>
      </c>
      <c r="Z18" s="32">
        <v>5.0736000000000003E-2</v>
      </c>
      <c r="AA18" s="32">
        <v>8.1273999999999999E-2</v>
      </c>
      <c r="AB18" s="32">
        <v>0.106748</v>
      </c>
    </row>
    <row r="19" spans="1:28" ht="15.6" customHeight="1" x14ac:dyDescent="0.25">
      <c r="A19" s="24" t="s">
        <v>186</v>
      </c>
      <c r="B19" s="50">
        <v>3077</v>
      </c>
      <c r="C19" s="25" t="s">
        <v>187</v>
      </c>
      <c r="D19" s="25" t="s">
        <v>127</v>
      </c>
      <c r="E19" s="25" t="s">
        <v>102</v>
      </c>
      <c r="F19" s="25" t="s">
        <v>103</v>
      </c>
      <c r="G19" s="26" t="s">
        <v>104</v>
      </c>
      <c r="H19" s="27" t="s">
        <v>188</v>
      </c>
      <c r="I19" s="24" t="s">
        <v>106</v>
      </c>
      <c r="J19" s="24" t="s">
        <v>107</v>
      </c>
      <c r="K19" s="28" t="s">
        <v>108</v>
      </c>
      <c r="L19" s="29">
        <v>0</v>
      </c>
      <c r="M19" s="29">
        <v>0</v>
      </c>
      <c r="N19" s="29">
        <v>0.02</v>
      </c>
      <c r="O19" s="27" t="s">
        <v>131</v>
      </c>
      <c r="P19" s="30" t="s">
        <v>131</v>
      </c>
      <c r="Q19" s="31">
        <v>331702748.23000002</v>
      </c>
      <c r="R19" s="31">
        <v>213.36</v>
      </c>
      <c r="S19" s="32">
        <v>2.385E-2</v>
      </c>
      <c r="T19" s="32">
        <v>4.2200000000000001E-4</v>
      </c>
      <c r="U19" s="32">
        <v>8.9099999999999997E-4</v>
      </c>
      <c r="V19" s="32">
        <v>2.3960000000000001E-3</v>
      </c>
      <c r="W19" s="32">
        <v>5.6559999999999996E-3</v>
      </c>
      <c r="X19" s="32">
        <v>1.1041E-2</v>
      </c>
      <c r="Y19" s="32">
        <v>2.385E-2</v>
      </c>
      <c r="Z19" s="32">
        <v>5.5454000000000003E-2</v>
      </c>
      <c r="AA19" s="32">
        <v>8.7184999999999999E-2</v>
      </c>
      <c r="AB19" s="32">
        <v>0.112418</v>
      </c>
    </row>
    <row r="20" spans="1:28" ht="15.6" customHeight="1" x14ac:dyDescent="0.25">
      <c r="A20" s="24" t="s">
        <v>196</v>
      </c>
      <c r="B20" s="50">
        <v>3567</v>
      </c>
      <c r="C20" s="25" t="s">
        <v>197</v>
      </c>
      <c r="D20" s="25" t="s">
        <v>112</v>
      </c>
      <c r="E20" s="25" t="s">
        <v>194</v>
      </c>
      <c r="F20" s="25" t="s">
        <v>113</v>
      </c>
      <c r="G20" s="26" t="s">
        <v>198</v>
      </c>
      <c r="H20" s="27" t="s">
        <v>199</v>
      </c>
      <c r="I20" s="24" t="s">
        <v>106</v>
      </c>
      <c r="J20" s="24" t="s">
        <v>107</v>
      </c>
      <c r="K20" s="28" t="s">
        <v>108</v>
      </c>
      <c r="L20" s="29">
        <v>0.03</v>
      </c>
      <c r="M20" s="29">
        <v>1.4999999999999999E-2</v>
      </c>
      <c r="N20" s="29">
        <v>0.02</v>
      </c>
      <c r="O20" s="27" t="s">
        <v>116</v>
      </c>
      <c r="P20" s="30" t="s">
        <v>112</v>
      </c>
      <c r="Q20" s="31">
        <v>228861542.02000001</v>
      </c>
      <c r="R20" s="31">
        <v>2239.4499999999998</v>
      </c>
      <c r="S20" s="32">
        <v>5.0256000000000002E-2</v>
      </c>
      <c r="T20" s="32">
        <v>-9.4600000000000001E-4</v>
      </c>
      <c r="U20" s="32">
        <v>-9.1E-4</v>
      </c>
      <c r="V20" s="32">
        <v>8.4430000000000009E-3</v>
      </c>
      <c r="W20" s="32">
        <v>3.0049999999999999E-3</v>
      </c>
      <c r="X20" s="32">
        <v>1.3573E-2</v>
      </c>
      <c r="Y20" s="32">
        <v>5.0256000000000002E-2</v>
      </c>
      <c r="Z20" s="32">
        <v>0.117317</v>
      </c>
      <c r="AA20" s="32">
        <v>0.1283</v>
      </c>
      <c r="AB20" s="32">
        <v>0.135848</v>
      </c>
    </row>
    <row r="21" spans="1:28" ht="15.6" customHeight="1" x14ac:dyDescent="0.25">
      <c r="A21" s="24" t="s">
        <v>200</v>
      </c>
      <c r="B21" s="50">
        <v>3573</v>
      </c>
      <c r="C21" s="25" t="s">
        <v>201</v>
      </c>
      <c r="D21" s="25" t="s">
        <v>137</v>
      </c>
      <c r="E21" s="25" t="s">
        <v>194</v>
      </c>
      <c r="F21" s="25" t="s">
        <v>155</v>
      </c>
      <c r="G21" s="26" t="s">
        <v>139</v>
      </c>
      <c r="H21" s="27" t="s">
        <v>202</v>
      </c>
      <c r="I21" s="24" t="s">
        <v>106</v>
      </c>
      <c r="J21" s="24" t="s">
        <v>121</v>
      </c>
      <c r="K21" s="28" t="s">
        <v>108</v>
      </c>
      <c r="L21" s="29">
        <v>3.0000000000000001E-3</v>
      </c>
      <c r="M21" s="29">
        <v>3.0000000000000001E-3</v>
      </c>
      <c r="N21" s="29">
        <v>0.02</v>
      </c>
      <c r="O21" s="27" t="s">
        <v>141</v>
      </c>
      <c r="P21" s="30" t="s">
        <v>142</v>
      </c>
      <c r="Q21" s="31">
        <v>50914042.886559002</v>
      </c>
      <c r="R21" s="31">
        <v>4676.16</v>
      </c>
      <c r="S21" s="32">
        <v>0.29403400000000002</v>
      </c>
      <c r="T21" s="32">
        <v>8.149E-3</v>
      </c>
      <c r="U21" s="32">
        <v>-1.3273E-2</v>
      </c>
      <c r="V21" s="32">
        <v>5.3119999999999999E-3</v>
      </c>
      <c r="W21" s="32">
        <v>-9.3999999999999997E-4</v>
      </c>
      <c r="X21" s="32">
        <v>2.5982000000000002E-2</v>
      </c>
      <c r="Y21" s="32">
        <v>0.29403400000000002</v>
      </c>
      <c r="Z21" s="32">
        <v>0.66127599999999997</v>
      </c>
      <c r="AA21" s="32">
        <v>0.90027599999999997</v>
      </c>
      <c r="AB21" s="32">
        <v>0.97167400000000004</v>
      </c>
    </row>
    <row r="22" spans="1:28" ht="15.6" customHeight="1" x14ac:dyDescent="0.25">
      <c r="A22" s="24" t="s">
        <v>203</v>
      </c>
      <c r="B22" s="50">
        <v>3574</v>
      </c>
      <c r="C22" s="25" t="s">
        <v>204</v>
      </c>
      <c r="D22" s="25" t="s">
        <v>137</v>
      </c>
      <c r="E22" s="25" t="s">
        <v>194</v>
      </c>
      <c r="F22" s="25" t="s">
        <v>155</v>
      </c>
      <c r="G22" s="26" t="s">
        <v>139</v>
      </c>
      <c r="H22" s="27" t="s">
        <v>202</v>
      </c>
      <c r="I22" s="24" t="s">
        <v>106</v>
      </c>
      <c r="J22" s="24" t="s">
        <v>107</v>
      </c>
      <c r="K22" s="28" t="s">
        <v>108</v>
      </c>
      <c r="L22" s="29">
        <v>4.5000000000000014E-3</v>
      </c>
      <c r="M22" s="29">
        <v>4.5000000000000014E-3</v>
      </c>
      <c r="N22" s="29">
        <v>0.02</v>
      </c>
      <c r="O22" s="27" t="s">
        <v>141</v>
      </c>
      <c r="P22" s="30" t="s">
        <v>142</v>
      </c>
      <c r="Q22" s="31">
        <v>1345708523.9129</v>
      </c>
      <c r="R22" s="31">
        <v>1223.82</v>
      </c>
      <c r="S22" s="32">
        <v>0.27862199999999998</v>
      </c>
      <c r="T22" s="32">
        <v>1.0178E-2</v>
      </c>
      <c r="U22" s="32">
        <v>-8.6750000000000004E-3</v>
      </c>
      <c r="V22" s="32">
        <v>6.6210000000000001E-3</v>
      </c>
      <c r="W22" s="32">
        <v>-3.8419999999999999E-3</v>
      </c>
      <c r="X22" s="32">
        <v>2.761E-3</v>
      </c>
      <c r="Y22" s="32">
        <v>0.27862199999999998</v>
      </c>
      <c r="Z22" s="32">
        <v>0.66325100000000003</v>
      </c>
      <c r="AA22" s="32">
        <v>0.84465800000000002</v>
      </c>
      <c r="AB22" s="32">
        <v>0.76261699999999999</v>
      </c>
    </row>
    <row r="23" spans="1:28" ht="15.6" customHeight="1" x14ac:dyDescent="0.25">
      <c r="A23" s="24" t="s">
        <v>205</v>
      </c>
      <c r="B23" s="50">
        <v>3578</v>
      </c>
      <c r="C23" s="25" t="s">
        <v>206</v>
      </c>
      <c r="D23" s="25" t="s">
        <v>137</v>
      </c>
      <c r="E23" s="25" t="s">
        <v>194</v>
      </c>
      <c r="F23" s="25" t="s">
        <v>155</v>
      </c>
      <c r="G23" s="26" t="s">
        <v>139</v>
      </c>
      <c r="H23" s="27" t="s">
        <v>202</v>
      </c>
      <c r="I23" s="24" t="s">
        <v>106</v>
      </c>
      <c r="J23" s="24" t="s">
        <v>107</v>
      </c>
      <c r="K23" s="28" t="s">
        <v>108</v>
      </c>
      <c r="L23" s="29">
        <v>3.0000000000000001E-3</v>
      </c>
      <c r="M23" s="29">
        <v>3.0000000000000001E-3</v>
      </c>
      <c r="N23" s="29">
        <v>0.02</v>
      </c>
      <c r="O23" s="27" t="s">
        <v>141</v>
      </c>
      <c r="P23" s="30" t="s">
        <v>142</v>
      </c>
      <c r="Q23" s="31">
        <v>91411878.332552999</v>
      </c>
      <c r="R23" s="31">
        <v>725.17</v>
      </c>
      <c r="S23" s="32">
        <v>0.27365800000000001</v>
      </c>
      <c r="T23" s="32">
        <v>1.1084E-2</v>
      </c>
      <c r="U23" s="32">
        <v>-7.0520000000000001E-3</v>
      </c>
      <c r="V23" s="32">
        <v>9.1710000000000003E-3</v>
      </c>
      <c r="W23" s="32">
        <v>-2.696E-3</v>
      </c>
      <c r="X23" s="32">
        <v>1.0211E-2</v>
      </c>
      <c r="Y23" s="32">
        <v>0.27365800000000001</v>
      </c>
      <c r="Z23" s="32">
        <v>0.54894600000000005</v>
      </c>
      <c r="AA23" s="32">
        <v>0.70772900000000005</v>
      </c>
      <c r="AB23" s="32">
        <v>0.65526099999999998</v>
      </c>
    </row>
    <row r="24" spans="1:28" ht="15.6" customHeight="1" x14ac:dyDescent="0.25">
      <c r="A24" s="24" t="s">
        <v>207</v>
      </c>
      <c r="B24" s="50">
        <v>3579</v>
      </c>
      <c r="C24" s="25" t="s">
        <v>208</v>
      </c>
      <c r="D24" s="25" t="s">
        <v>137</v>
      </c>
      <c r="E24" s="25" t="s">
        <v>194</v>
      </c>
      <c r="F24" s="25" t="s">
        <v>113</v>
      </c>
      <c r="G24" s="26" t="s">
        <v>209</v>
      </c>
      <c r="H24" s="27" t="s">
        <v>210</v>
      </c>
      <c r="I24" s="24" t="s">
        <v>106</v>
      </c>
      <c r="J24" s="24" t="s">
        <v>107</v>
      </c>
      <c r="K24" s="28" t="s">
        <v>108</v>
      </c>
      <c r="L24" s="29">
        <v>0</v>
      </c>
      <c r="M24" s="29">
        <v>0</v>
      </c>
      <c r="N24" s="29">
        <v>0.01</v>
      </c>
      <c r="O24" s="27" t="s">
        <v>141</v>
      </c>
      <c r="P24" s="30" t="s">
        <v>142</v>
      </c>
      <c r="Q24" s="31">
        <v>32901165.519306</v>
      </c>
      <c r="R24" s="31">
        <v>350.58</v>
      </c>
      <c r="S24" s="32">
        <v>6.5462999999999993E-2</v>
      </c>
      <c r="T24" s="32">
        <v>8.5599999999999999E-4</v>
      </c>
      <c r="U24" s="32">
        <v>8.8500000000000004E-4</v>
      </c>
      <c r="V24" s="32">
        <v>6.2686000000000006E-2</v>
      </c>
      <c r="W24" s="32">
        <v>5.8770000000000003E-2</v>
      </c>
      <c r="X24" s="32">
        <v>5.8577999999999998E-2</v>
      </c>
      <c r="Y24" s="32">
        <v>6.5462999999999993E-2</v>
      </c>
      <c r="Z24" s="32">
        <v>7.0505999999999999E-2</v>
      </c>
      <c r="AA24" s="32">
        <v>4.8071999999999997E-2</v>
      </c>
      <c r="AB24" s="32">
        <v>-8.4849999999999995E-3</v>
      </c>
    </row>
    <row r="25" spans="1:28" ht="15.6" customHeight="1" x14ac:dyDescent="0.25">
      <c r="A25" s="24" t="s">
        <v>211</v>
      </c>
      <c r="B25" s="50">
        <v>3582</v>
      </c>
      <c r="C25" s="25" t="s">
        <v>212</v>
      </c>
      <c r="D25" s="25" t="s">
        <v>137</v>
      </c>
      <c r="E25" s="25" t="s">
        <v>194</v>
      </c>
      <c r="F25" s="25" t="s">
        <v>128</v>
      </c>
      <c r="G25" s="26" t="s">
        <v>213</v>
      </c>
      <c r="H25" s="27" t="s">
        <v>130</v>
      </c>
      <c r="I25" s="24" t="s">
        <v>106</v>
      </c>
      <c r="J25" s="24" t="s">
        <v>107</v>
      </c>
      <c r="K25" s="28" t="s">
        <v>108</v>
      </c>
      <c r="L25" s="29">
        <v>0</v>
      </c>
      <c r="M25" s="29">
        <v>0</v>
      </c>
      <c r="N25" s="29">
        <v>0.01</v>
      </c>
      <c r="O25" s="27" t="s">
        <v>141</v>
      </c>
      <c r="P25" s="30" t="s">
        <v>142</v>
      </c>
      <c r="Q25" s="31">
        <v>101722104.896576</v>
      </c>
      <c r="R25" s="31">
        <v>225.77</v>
      </c>
      <c r="S25" s="32">
        <v>3.4361000000000003E-2</v>
      </c>
      <c r="T25" s="32">
        <v>0</v>
      </c>
      <c r="U25" s="32">
        <v>1.7699999999999999E-4</v>
      </c>
      <c r="V25" s="32">
        <v>2.1583999999999999E-2</v>
      </c>
      <c r="W25" s="32">
        <v>2.1769E-2</v>
      </c>
      <c r="X25" s="32">
        <v>2.4969000000000002E-2</v>
      </c>
      <c r="Y25" s="32">
        <v>3.4361000000000003E-2</v>
      </c>
      <c r="Z25" s="32">
        <v>5.5641000000000003E-2</v>
      </c>
      <c r="AA25" s="32">
        <v>7.4583999999999998E-2</v>
      </c>
      <c r="AB25" s="32">
        <v>9.1677999999999996E-2</v>
      </c>
    </row>
    <row r="26" spans="1:28" ht="15.6" customHeight="1" x14ac:dyDescent="0.25">
      <c r="A26" s="24" t="s">
        <v>214</v>
      </c>
      <c r="B26" s="50">
        <v>3583</v>
      </c>
      <c r="C26" s="25" t="s">
        <v>215</v>
      </c>
      <c r="D26" s="25" t="s">
        <v>137</v>
      </c>
      <c r="E26" s="25" t="s">
        <v>194</v>
      </c>
      <c r="F26" s="25" t="s">
        <v>103</v>
      </c>
      <c r="G26" s="26" t="s">
        <v>216</v>
      </c>
      <c r="H26" s="27" t="s">
        <v>217</v>
      </c>
      <c r="I26" s="24" t="s">
        <v>106</v>
      </c>
      <c r="J26" s="24" t="s">
        <v>107</v>
      </c>
      <c r="K26" s="28" t="s">
        <v>108</v>
      </c>
      <c r="L26" s="29">
        <v>0</v>
      </c>
      <c r="M26" s="29">
        <v>0</v>
      </c>
      <c r="N26" s="29">
        <v>6.0000000000000001E-3</v>
      </c>
      <c r="O26" s="27" t="s">
        <v>141</v>
      </c>
      <c r="P26" s="30" t="s">
        <v>142</v>
      </c>
      <c r="Q26" s="31">
        <v>1756454836.1292081</v>
      </c>
      <c r="R26" s="31">
        <v>2533.61</v>
      </c>
      <c r="S26" s="32">
        <v>2.6331E-2</v>
      </c>
      <c r="T26" s="32">
        <v>2.6800000000000001E-4</v>
      </c>
      <c r="U26" s="32">
        <v>6.7500000000000004E-4</v>
      </c>
      <c r="V26" s="32">
        <v>4.9100000000000003E-3</v>
      </c>
      <c r="W26" s="32">
        <v>7.8930000000000007E-3</v>
      </c>
      <c r="X26" s="32">
        <v>1.3010000000000001E-2</v>
      </c>
      <c r="Y26" s="32">
        <v>2.6331E-2</v>
      </c>
      <c r="Z26" s="32">
        <v>5.5463999999999999E-2</v>
      </c>
      <c r="AA26" s="32">
        <v>8.4797999999999998E-2</v>
      </c>
      <c r="AB26" s="32">
        <v>0.10832600000000001</v>
      </c>
    </row>
    <row r="27" spans="1:28" ht="15.6" customHeight="1" x14ac:dyDescent="0.25">
      <c r="A27" s="24" t="s">
        <v>218</v>
      </c>
      <c r="B27" s="50">
        <v>3584</v>
      </c>
      <c r="C27" s="25" t="s">
        <v>219</v>
      </c>
      <c r="D27" s="25" t="s">
        <v>145</v>
      </c>
      <c r="E27" s="25" t="s">
        <v>194</v>
      </c>
      <c r="F27" s="25" t="s">
        <v>138</v>
      </c>
      <c r="G27" s="26" t="s">
        <v>139</v>
      </c>
      <c r="H27" s="27" t="s">
        <v>220</v>
      </c>
      <c r="I27" s="24" t="s">
        <v>106</v>
      </c>
      <c r="J27" s="24" t="s">
        <v>107</v>
      </c>
      <c r="K27" s="28" t="s">
        <v>108</v>
      </c>
      <c r="L27" s="29">
        <v>0.02</v>
      </c>
      <c r="M27" s="29">
        <v>0.02</v>
      </c>
      <c r="N27" s="29">
        <v>0.02</v>
      </c>
      <c r="O27" s="27" t="s">
        <v>148</v>
      </c>
      <c r="P27" s="30" t="s">
        <v>145</v>
      </c>
      <c r="Q27" s="31">
        <v>349224717.27999997</v>
      </c>
      <c r="R27" s="31">
        <v>5871.79</v>
      </c>
      <c r="S27" s="32">
        <v>0.17899100000000001</v>
      </c>
      <c r="T27" s="32">
        <v>4.6129999999999999E-3</v>
      </c>
      <c r="U27" s="32">
        <v>-7.7429999999999999E-3</v>
      </c>
      <c r="V27" s="32">
        <v>4.176E-3</v>
      </c>
      <c r="W27" s="32">
        <v>-4.555E-3</v>
      </c>
      <c r="X27" s="32">
        <v>2.7699999999999999E-3</v>
      </c>
      <c r="Y27" s="32">
        <v>0.17899100000000001</v>
      </c>
      <c r="Z27" s="32" t="s">
        <v>139</v>
      </c>
      <c r="AA27" s="32">
        <v>0.43418299999999999</v>
      </c>
      <c r="AB27" s="32" t="s">
        <v>139</v>
      </c>
    </row>
    <row r="28" spans="1:28" ht="15.6" customHeight="1" x14ac:dyDescent="0.25">
      <c r="A28" s="24" t="s">
        <v>221</v>
      </c>
      <c r="B28" s="50">
        <v>3586</v>
      </c>
      <c r="C28" s="25" t="s">
        <v>222</v>
      </c>
      <c r="D28" s="25" t="s">
        <v>145</v>
      </c>
      <c r="E28" s="25" t="s">
        <v>194</v>
      </c>
      <c r="F28" s="25" t="s">
        <v>138</v>
      </c>
      <c r="G28" s="26" t="s">
        <v>139</v>
      </c>
      <c r="H28" s="27" t="s">
        <v>223</v>
      </c>
      <c r="I28" s="24" t="s">
        <v>106</v>
      </c>
      <c r="J28" s="24" t="s">
        <v>107</v>
      </c>
      <c r="K28" s="28" t="s">
        <v>108</v>
      </c>
      <c r="L28" s="29">
        <v>0.02</v>
      </c>
      <c r="M28" s="29">
        <v>0.02</v>
      </c>
      <c r="N28" s="29">
        <v>0.02</v>
      </c>
      <c r="O28" s="27" t="s">
        <v>148</v>
      </c>
      <c r="P28" s="30" t="s">
        <v>145</v>
      </c>
      <c r="Q28" s="31">
        <v>1531961.02</v>
      </c>
      <c r="R28" s="31">
        <v>66607</v>
      </c>
      <c r="S28" s="32">
        <v>0.13841000000000001</v>
      </c>
      <c r="T28" s="32">
        <v>3.7669999999999999E-3</v>
      </c>
      <c r="U28" s="32">
        <v>-2.5089999999999999E-3</v>
      </c>
      <c r="V28" s="32">
        <v>6.9080000000000001E-3</v>
      </c>
      <c r="W28" s="32">
        <v>5.0819999999999997E-3</v>
      </c>
      <c r="X28" s="32">
        <v>1.6576E-2</v>
      </c>
      <c r="Y28" s="32">
        <v>0.13841000000000001</v>
      </c>
      <c r="Z28" s="32" t="s">
        <v>139</v>
      </c>
      <c r="AA28" s="32">
        <v>0.36218</v>
      </c>
      <c r="AB28" s="32" t="s">
        <v>139</v>
      </c>
    </row>
    <row r="29" spans="1:28" ht="15.6" customHeight="1" x14ac:dyDescent="0.25">
      <c r="A29" s="24" t="s">
        <v>224</v>
      </c>
      <c r="B29" s="50">
        <v>3587</v>
      </c>
      <c r="C29" s="25" t="s">
        <v>1</v>
      </c>
      <c r="D29" s="25" t="s">
        <v>145</v>
      </c>
      <c r="E29" s="25" t="s">
        <v>194</v>
      </c>
      <c r="F29" s="25" t="s">
        <v>155</v>
      </c>
      <c r="G29" s="26" t="s">
        <v>139</v>
      </c>
      <c r="H29" s="27" t="s">
        <v>156</v>
      </c>
      <c r="I29" s="24" t="s">
        <v>106</v>
      </c>
      <c r="J29" s="24" t="s">
        <v>107</v>
      </c>
      <c r="K29" s="28" t="s">
        <v>108</v>
      </c>
      <c r="L29" s="29">
        <v>0.02</v>
      </c>
      <c r="M29" s="29">
        <v>0.02</v>
      </c>
      <c r="N29" s="29">
        <v>0.02</v>
      </c>
      <c r="O29" s="27" t="s">
        <v>148</v>
      </c>
      <c r="P29" s="30" t="s">
        <v>145</v>
      </c>
      <c r="Q29" s="31">
        <v>848915709.29999995</v>
      </c>
      <c r="R29" s="31">
        <v>11221.02</v>
      </c>
      <c r="S29" s="32">
        <v>0.26150699999999999</v>
      </c>
      <c r="T29" s="32">
        <v>1.6260000000000001E-3</v>
      </c>
      <c r="U29" s="32">
        <v>-1.2538000000000001E-2</v>
      </c>
      <c r="V29" s="32">
        <v>-1.0076999999999999E-2</v>
      </c>
      <c r="W29" s="32">
        <v>-8.8179999999999994E-3</v>
      </c>
      <c r="X29" s="32" t="s">
        <v>139</v>
      </c>
      <c r="Y29" s="32">
        <v>0.26150699999999999</v>
      </c>
      <c r="Z29" s="32" t="s">
        <v>139</v>
      </c>
      <c r="AA29" s="32">
        <v>1.0030490000000001</v>
      </c>
      <c r="AB29" s="32" t="s">
        <v>139</v>
      </c>
    </row>
    <row r="30" spans="1:28" ht="15.6" customHeight="1" x14ac:dyDescent="0.25">
      <c r="A30" s="24" t="s">
        <v>225</v>
      </c>
      <c r="B30" s="50">
        <v>3588</v>
      </c>
      <c r="C30" s="25" t="s">
        <v>226</v>
      </c>
      <c r="D30" s="25" t="s">
        <v>145</v>
      </c>
      <c r="E30" s="25" t="s">
        <v>194</v>
      </c>
      <c r="F30" s="25" t="s">
        <v>155</v>
      </c>
      <c r="G30" s="26" t="s">
        <v>139</v>
      </c>
      <c r="H30" s="27" t="s">
        <v>156</v>
      </c>
      <c r="I30" s="24" t="s">
        <v>106</v>
      </c>
      <c r="J30" s="24" t="s">
        <v>107</v>
      </c>
      <c r="K30" s="28" t="s">
        <v>227</v>
      </c>
      <c r="L30" s="29">
        <v>0.02</v>
      </c>
      <c r="M30" s="29">
        <v>0.02</v>
      </c>
      <c r="N30" s="29">
        <v>0.02</v>
      </c>
      <c r="O30" s="27" t="s">
        <v>148</v>
      </c>
      <c r="P30" s="30" t="s">
        <v>145</v>
      </c>
      <c r="Q30" s="31">
        <v>5572399.46</v>
      </c>
      <c r="R30" s="31">
        <v>8443.02</v>
      </c>
      <c r="S30" s="32">
        <v>0.25729000000000002</v>
      </c>
      <c r="T30" s="32">
        <v>6.9779999999999998E-3</v>
      </c>
      <c r="U30" s="32">
        <v>-9.8069999999999997E-3</v>
      </c>
      <c r="V30" s="32" t="s">
        <v>139</v>
      </c>
      <c r="W30" s="32" t="s">
        <v>139</v>
      </c>
      <c r="X30" s="32" t="s">
        <v>139</v>
      </c>
      <c r="Y30" s="32">
        <v>0.25729000000000002</v>
      </c>
      <c r="Z30" s="32" t="s">
        <v>139</v>
      </c>
      <c r="AA30" s="32">
        <v>0.80188899999999996</v>
      </c>
      <c r="AB30" s="32" t="s">
        <v>139</v>
      </c>
    </row>
    <row r="31" spans="1:28" ht="15.6" customHeight="1" x14ac:dyDescent="0.25">
      <c r="A31" s="24" t="s">
        <v>228</v>
      </c>
      <c r="B31" s="50">
        <v>3591</v>
      </c>
      <c r="C31" s="25" t="s">
        <v>229</v>
      </c>
      <c r="D31" s="25" t="s">
        <v>145</v>
      </c>
      <c r="E31" s="25" t="s">
        <v>194</v>
      </c>
      <c r="F31" s="25" t="s">
        <v>113</v>
      </c>
      <c r="G31" s="26" t="s">
        <v>230</v>
      </c>
      <c r="H31" s="27" t="s">
        <v>231</v>
      </c>
      <c r="I31" s="24" t="s">
        <v>106</v>
      </c>
      <c r="J31" s="24" t="s">
        <v>107</v>
      </c>
      <c r="K31" s="28" t="s">
        <v>108</v>
      </c>
      <c r="L31" s="29">
        <v>0.02</v>
      </c>
      <c r="M31" s="29">
        <v>0.02</v>
      </c>
      <c r="N31" s="29">
        <v>0.02</v>
      </c>
      <c r="O31" s="27" t="s">
        <v>148</v>
      </c>
      <c r="P31" s="30" t="s">
        <v>145</v>
      </c>
      <c r="Q31" s="31">
        <v>5675855243.5900002</v>
      </c>
      <c r="R31" s="31">
        <v>2872.89</v>
      </c>
      <c r="S31" s="32">
        <v>3.9155000000000002E-2</v>
      </c>
      <c r="T31" s="32">
        <v>1.2440000000000001E-3</v>
      </c>
      <c r="U31" s="32">
        <v>7.2999999999999999E-5</v>
      </c>
      <c r="V31" s="32">
        <v>6.7349999999999997E-3</v>
      </c>
      <c r="W31" s="32">
        <v>-4.5599999999999998E-3</v>
      </c>
      <c r="X31" s="32">
        <v>1.866E-3</v>
      </c>
      <c r="Y31" s="32">
        <v>3.9155000000000002E-2</v>
      </c>
      <c r="Z31" s="32" t="s">
        <v>139</v>
      </c>
      <c r="AA31" s="32">
        <v>0.14527599999999999</v>
      </c>
      <c r="AB31" s="32" t="s">
        <v>139</v>
      </c>
    </row>
    <row r="32" spans="1:28" ht="15.6" customHeight="1" x14ac:dyDescent="0.25">
      <c r="A32" s="24" t="s">
        <v>232</v>
      </c>
      <c r="B32" s="50">
        <v>3592</v>
      </c>
      <c r="C32" s="25" t="s">
        <v>233</v>
      </c>
      <c r="D32" s="25" t="s">
        <v>145</v>
      </c>
      <c r="E32" s="25" t="s">
        <v>194</v>
      </c>
      <c r="F32" s="25" t="s">
        <v>128</v>
      </c>
      <c r="G32" s="26" t="s">
        <v>129</v>
      </c>
      <c r="H32" s="27" t="s">
        <v>130</v>
      </c>
      <c r="I32" s="24" t="s">
        <v>106</v>
      </c>
      <c r="J32" s="24" t="s">
        <v>107</v>
      </c>
      <c r="K32" s="28" t="s">
        <v>108</v>
      </c>
      <c r="L32" s="29">
        <v>0.01</v>
      </c>
      <c r="M32" s="29">
        <v>0.01</v>
      </c>
      <c r="N32" s="29">
        <v>0.01</v>
      </c>
      <c r="O32" s="27" t="s">
        <v>148</v>
      </c>
      <c r="P32" s="30" t="s">
        <v>145</v>
      </c>
      <c r="Q32" s="31">
        <v>54351310.670000002</v>
      </c>
      <c r="R32" s="31">
        <v>2319.0300000000002</v>
      </c>
      <c r="S32" s="32">
        <v>5.1327999999999999E-2</v>
      </c>
      <c r="T32" s="32">
        <v>2.8899999999999998E-4</v>
      </c>
      <c r="U32" s="32">
        <v>5.7799999999999995E-4</v>
      </c>
      <c r="V32" s="32">
        <v>4.0120000000000003E-2</v>
      </c>
      <c r="W32" s="32">
        <v>4.1015999999999997E-2</v>
      </c>
      <c r="X32" s="32">
        <v>4.3390999999999999E-2</v>
      </c>
      <c r="Y32" s="32">
        <v>5.1327999999999999E-2</v>
      </c>
      <c r="Z32" s="32">
        <v>6.9879999999999998E-2</v>
      </c>
      <c r="AA32" s="32">
        <v>7.6970999999999998E-2</v>
      </c>
      <c r="AB32" s="32">
        <v>0.107903</v>
      </c>
    </row>
    <row r="33" spans="1:28" ht="15.6" customHeight="1" x14ac:dyDescent="0.25">
      <c r="A33" s="24" t="s">
        <v>234</v>
      </c>
      <c r="B33" s="50">
        <v>3593</v>
      </c>
      <c r="C33" s="25" t="s">
        <v>235</v>
      </c>
      <c r="D33" s="25" t="s">
        <v>145</v>
      </c>
      <c r="E33" s="25" t="s">
        <v>194</v>
      </c>
      <c r="F33" s="25" t="s">
        <v>113</v>
      </c>
      <c r="G33" s="26" t="s">
        <v>198</v>
      </c>
      <c r="H33" s="27" t="s">
        <v>120</v>
      </c>
      <c r="I33" s="24" t="s">
        <v>106</v>
      </c>
      <c r="J33" s="24" t="s">
        <v>107</v>
      </c>
      <c r="K33" s="28" t="s">
        <v>108</v>
      </c>
      <c r="L33" s="29">
        <v>0.02</v>
      </c>
      <c r="M33" s="29">
        <v>0.02</v>
      </c>
      <c r="N33" s="29">
        <v>0.02</v>
      </c>
      <c r="O33" s="27" t="s">
        <v>148</v>
      </c>
      <c r="P33" s="30" t="s">
        <v>145</v>
      </c>
      <c r="Q33" s="31">
        <v>1414543597.03</v>
      </c>
      <c r="R33" s="31">
        <v>2643.77</v>
      </c>
      <c r="S33" s="32">
        <v>4.5973E-2</v>
      </c>
      <c r="T33" s="32">
        <v>1.7799999999999999E-4</v>
      </c>
      <c r="U33" s="32">
        <v>-1.1410000000000001E-3</v>
      </c>
      <c r="V33" s="32">
        <v>6.2500000000000003E-3</v>
      </c>
      <c r="W33" s="32">
        <v>-1.5479999999999999E-3</v>
      </c>
      <c r="X33" s="32">
        <v>8.0260000000000001E-3</v>
      </c>
      <c r="Y33" s="32">
        <v>4.5973E-2</v>
      </c>
      <c r="Z33" s="32" t="s">
        <v>139</v>
      </c>
      <c r="AA33" s="32">
        <v>0.14691199999999999</v>
      </c>
      <c r="AB33" s="32" t="s">
        <v>139</v>
      </c>
    </row>
    <row r="34" spans="1:28" ht="15.6" customHeight="1" x14ac:dyDescent="0.25">
      <c r="A34" s="24" t="s">
        <v>236</v>
      </c>
      <c r="B34" s="50">
        <v>3594</v>
      </c>
      <c r="C34" s="25" t="s">
        <v>237</v>
      </c>
      <c r="D34" s="25" t="s">
        <v>145</v>
      </c>
      <c r="E34" s="25" t="s">
        <v>194</v>
      </c>
      <c r="F34" s="25" t="s">
        <v>113</v>
      </c>
      <c r="G34" s="26" t="s">
        <v>238</v>
      </c>
      <c r="H34" s="27" t="s">
        <v>115</v>
      </c>
      <c r="I34" s="24" t="s">
        <v>106</v>
      </c>
      <c r="J34" s="24" t="s">
        <v>107</v>
      </c>
      <c r="K34" s="28" t="s">
        <v>108</v>
      </c>
      <c r="L34" s="29">
        <v>0.02</v>
      </c>
      <c r="M34" s="29">
        <v>0.02</v>
      </c>
      <c r="N34" s="29">
        <v>0.02</v>
      </c>
      <c r="O34" s="27" t="s">
        <v>148</v>
      </c>
      <c r="P34" s="30" t="s">
        <v>145</v>
      </c>
      <c r="Q34" s="31">
        <v>1071069754.84</v>
      </c>
      <c r="R34" s="31">
        <v>30175.22</v>
      </c>
      <c r="S34" s="32">
        <v>6.028E-2</v>
      </c>
      <c r="T34" s="32">
        <v>1.322E-3</v>
      </c>
      <c r="U34" s="32">
        <v>1.072E-3</v>
      </c>
      <c r="V34" s="32">
        <v>1.0591E-2</v>
      </c>
      <c r="W34" s="32">
        <v>2.0630000000000002E-3</v>
      </c>
      <c r="X34" s="32">
        <v>1.1944E-2</v>
      </c>
      <c r="Y34" s="32">
        <v>6.028E-2</v>
      </c>
      <c r="Z34" s="32" t="s">
        <v>139</v>
      </c>
      <c r="AA34" s="32">
        <v>0.15048800000000001</v>
      </c>
      <c r="AB34" s="32" t="s">
        <v>139</v>
      </c>
    </row>
    <row r="35" spans="1:28" ht="15.6" customHeight="1" x14ac:dyDescent="0.25">
      <c r="A35" s="24" t="s">
        <v>239</v>
      </c>
      <c r="B35" s="50">
        <v>3597</v>
      </c>
      <c r="C35" s="25" t="s">
        <v>240</v>
      </c>
      <c r="D35" s="25" t="s">
        <v>241</v>
      </c>
      <c r="E35" s="25" t="s">
        <v>194</v>
      </c>
      <c r="F35" s="25" t="s">
        <v>103</v>
      </c>
      <c r="G35" s="26" t="s">
        <v>104</v>
      </c>
      <c r="H35" s="27" t="s">
        <v>130</v>
      </c>
      <c r="I35" s="24" t="s">
        <v>106</v>
      </c>
      <c r="J35" s="24" t="s">
        <v>107</v>
      </c>
      <c r="K35" s="28" t="s">
        <v>108</v>
      </c>
      <c r="L35" s="29">
        <v>0</v>
      </c>
      <c r="M35" s="29">
        <v>0</v>
      </c>
      <c r="N35" s="29">
        <v>6.5000000000000006E-3</v>
      </c>
      <c r="O35" s="27" t="s">
        <v>148</v>
      </c>
      <c r="P35" s="30" t="s">
        <v>241</v>
      </c>
      <c r="Q35" s="31">
        <v>518293859.19999999</v>
      </c>
      <c r="R35" s="31">
        <v>2069.64</v>
      </c>
      <c r="S35" s="32">
        <v>2.8285000000000001E-2</v>
      </c>
      <c r="T35" s="32">
        <v>2.3699999999999999E-4</v>
      </c>
      <c r="U35" s="32">
        <v>5.9900000000000003E-4</v>
      </c>
      <c r="V35" s="32">
        <v>8.4440000000000001E-3</v>
      </c>
      <c r="W35" s="32">
        <v>1.1365999999999999E-2</v>
      </c>
      <c r="X35" s="32">
        <v>1.6083E-2</v>
      </c>
      <c r="Y35" s="32">
        <v>2.8285000000000001E-2</v>
      </c>
      <c r="Z35" s="32">
        <v>5.9153999999999998E-2</v>
      </c>
      <c r="AA35" s="32">
        <v>8.9163999999999993E-2</v>
      </c>
      <c r="AB35" s="32">
        <v>0.114021</v>
      </c>
    </row>
    <row r="36" spans="1:28" ht="15.6" customHeight="1" x14ac:dyDescent="0.25">
      <c r="A36" s="24" t="s">
        <v>242</v>
      </c>
      <c r="B36" s="50">
        <v>3600</v>
      </c>
      <c r="C36" s="25" t="s">
        <v>243</v>
      </c>
      <c r="D36" s="25" t="s">
        <v>159</v>
      </c>
      <c r="E36" s="25" t="s">
        <v>194</v>
      </c>
      <c r="F36" s="25" t="s">
        <v>103</v>
      </c>
      <c r="G36" s="26" t="s">
        <v>244</v>
      </c>
      <c r="H36" s="27" t="s">
        <v>245</v>
      </c>
      <c r="I36" s="24" t="s">
        <v>106</v>
      </c>
      <c r="J36" s="24" t="s">
        <v>107</v>
      </c>
      <c r="K36" s="28" t="s">
        <v>108</v>
      </c>
      <c r="L36" s="29">
        <v>0</v>
      </c>
      <c r="M36" s="29">
        <v>0</v>
      </c>
      <c r="N36" s="29">
        <v>0.02</v>
      </c>
      <c r="O36" s="27" t="s">
        <v>161</v>
      </c>
      <c r="P36" s="30" t="s">
        <v>159</v>
      </c>
      <c r="Q36" s="31">
        <v>980215606.64999998</v>
      </c>
      <c r="R36" s="31">
        <v>19330.21</v>
      </c>
      <c r="S36" s="32">
        <v>2.2648999999999999E-2</v>
      </c>
      <c r="T36" s="32">
        <v>4.1999999999999998E-5</v>
      </c>
      <c r="U36" s="32">
        <v>4.1899999999999999E-4</v>
      </c>
      <c r="V36" s="32">
        <v>1.6299999999999999E-3</v>
      </c>
      <c r="W36" s="32">
        <v>4.7999999999999996E-3</v>
      </c>
      <c r="X36" s="32">
        <v>9.8119999999999995E-3</v>
      </c>
      <c r="Y36" s="32">
        <v>2.2648999999999999E-2</v>
      </c>
      <c r="Z36" s="32">
        <v>5.1763000000000003E-2</v>
      </c>
      <c r="AA36" s="32">
        <v>8.2092999999999999E-2</v>
      </c>
      <c r="AB36" s="32">
        <v>0.110883</v>
      </c>
    </row>
    <row r="37" spans="1:28" ht="15.6" customHeight="1" x14ac:dyDescent="0.25">
      <c r="A37" s="24" t="s">
        <v>246</v>
      </c>
      <c r="B37" s="50">
        <v>3601</v>
      </c>
      <c r="C37" s="25" t="s">
        <v>247</v>
      </c>
      <c r="D37" s="25" t="s">
        <v>159</v>
      </c>
      <c r="E37" s="25" t="s">
        <v>194</v>
      </c>
      <c r="F37" s="25" t="s">
        <v>103</v>
      </c>
      <c r="G37" s="26" t="s">
        <v>244</v>
      </c>
      <c r="H37" s="27" t="s">
        <v>188</v>
      </c>
      <c r="I37" s="24" t="s">
        <v>106</v>
      </c>
      <c r="J37" s="24" t="s">
        <v>121</v>
      </c>
      <c r="K37" s="28" t="s">
        <v>108</v>
      </c>
      <c r="L37" s="29">
        <v>0</v>
      </c>
      <c r="M37" s="29">
        <v>0</v>
      </c>
      <c r="N37" s="29">
        <v>0.02</v>
      </c>
      <c r="O37" s="27" t="s">
        <v>161</v>
      </c>
      <c r="P37" s="30" t="s">
        <v>159</v>
      </c>
      <c r="Q37" s="31">
        <v>499053393.72000003</v>
      </c>
      <c r="R37" s="31">
        <v>23204.23</v>
      </c>
      <c r="S37" s="32">
        <v>2.3841999999999999E-2</v>
      </c>
      <c r="T37" s="32">
        <v>8.2000000000000001E-5</v>
      </c>
      <c r="U37" s="32">
        <v>5.4500000000000002E-4</v>
      </c>
      <c r="V37" s="32">
        <v>1.9469999999999999E-3</v>
      </c>
      <c r="W37" s="32">
        <v>5.3790000000000001E-3</v>
      </c>
      <c r="X37" s="32">
        <v>1.0792E-2</v>
      </c>
      <c r="Y37" s="32">
        <v>2.3841999999999999E-2</v>
      </c>
      <c r="Z37" s="32">
        <v>5.5292000000000001E-2</v>
      </c>
      <c r="AA37" s="32">
        <v>8.7006E-2</v>
      </c>
      <c r="AB37" s="32">
        <v>0.111427</v>
      </c>
    </row>
    <row r="38" spans="1:28" ht="15.6" customHeight="1" x14ac:dyDescent="0.25">
      <c r="A38" s="24" t="s">
        <v>248</v>
      </c>
      <c r="B38" s="50">
        <v>3604</v>
      </c>
      <c r="C38" s="25" t="s">
        <v>249</v>
      </c>
      <c r="D38" s="25" t="s">
        <v>164</v>
      </c>
      <c r="E38" s="25" t="s">
        <v>194</v>
      </c>
      <c r="F38" s="25" t="s">
        <v>128</v>
      </c>
      <c r="G38" s="26" t="s">
        <v>250</v>
      </c>
      <c r="H38" s="27" t="s">
        <v>130</v>
      </c>
      <c r="I38" s="24" t="s">
        <v>106</v>
      </c>
      <c r="J38" s="24" t="s">
        <v>107</v>
      </c>
      <c r="K38" s="28" t="s">
        <v>108</v>
      </c>
      <c r="L38" s="29">
        <v>0</v>
      </c>
      <c r="M38" s="29">
        <v>0</v>
      </c>
      <c r="N38" s="29">
        <v>0.02</v>
      </c>
      <c r="O38" s="27" t="s">
        <v>166</v>
      </c>
      <c r="P38" s="30" t="s">
        <v>164</v>
      </c>
      <c r="Q38" s="31">
        <v>884900827.36000001</v>
      </c>
      <c r="R38" s="31">
        <v>228.38</v>
      </c>
      <c r="S38" s="32">
        <v>2.3896000000000001E-2</v>
      </c>
      <c r="T38" s="32">
        <v>8.7999999999999998E-5</v>
      </c>
      <c r="U38" s="32">
        <v>3.9399999999999998E-4</v>
      </c>
      <c r="V38" s="32">
        <v>2.1059999999999998E-3</v>
      </c>
      <c r="W38" s="32">
        <v>4.398E-3</v>
      </c>
      <c r="X38" s="32">
        <v>1.0129000000000001E-2</v>
      </c>
      <c r="Y38" s="32">
        <v>2.3896000000000001E-2</v>
      </c>
      <c r="Z38" s="32">
        <v>5.6336999999999998E-2</v>
      </c>
      <c r="AA38" s="32">
        <v>8.8456999999999994E-2</v>
      </c>
      <c r="AB38" s="32">
        <v>0.113071</v>
      </c>
    </row>
    <row r="39" spans="1:28" ht="15.6" customHeight="1" x14ac:dyDescent="0.25">
      <c r="A39" s="24" t="s">
        <v>251</v>
      </c>
      <c r="B39" s="50">
        <v>3606</v>
      </c>
      <c r="C39" s="25" t="s">
        <v>252</v>
      </c>
      <c r="D39" s="25" t="s">
        <v>164</v>
      </c>
      <c r="E39" s="25" t="s">
        <v>194</v>
      </c>
      <c r="F39" s="25" t="s">
        <v>155</v>
      </c>
      <c r="G39" s="26" t="s">
        <v>139</v>
      </c>
      <c r="H39" s="27" t="s">
        <v>156</v>
      </c>
      <c r="I39" s="24" t="s">
        <v>106</v>
      </c>
      <c r="J39" s="24" t="s">
        <v>107</v>
      </c>
      <c r="K39" s="28" t="s">
        <v>108</v>
      </c>
      <c r="L39" s="29">
        <v>0.03</v>
      </c>
      <c r="M39" s="29">
        <v>1.4999999999999999E-2</v>
      </c>
      <c r="N39" s="29">
        <v>0.02</v>
      </c>
      <c r="O39" s="27" t="s">
        <v>166</v>
      </c>
      <c r="P39" s="30" t="s">
        <v>164</v>
      </c>
      <c r="Q39" s="31">
        <v>658475488.27999997</v>
      </c>
      <c r="R39" s="31">
        <v>929.04</v>
      </c>
      <c r="S39" s="32">
        <v>0.26975300000000002</v>
      </c>
      <c r="T39" s="32">
        <v>8.9490000000000004E-3</v>
      </c>
      <c r="U39" s="32">
        <v>-7.1069999999999996E-3</v>
      </c>
      <c r="V39" s="32">
        <v>5.2259999999999997E-3</v>
      </c>
      <c r="W39" s="32">
        <v>-4.8199999999999996E-3</v>
      </c>
      <c r="X39" s="32">
        <v>5.378E-3</v>
      </c>
      <c r="Y39" s="32">
        <v>0.26975300000000002</v>
      </c>
      <c r="Z39" s="32">
        <v>0.51196200000000003</v>
      </c>
      <c r="AA39" s="32">
        <v>0.65988899999999995</v>
      </c>
      <c r="AB39" s="32" t="s">
        <v>139</v>
      </c>
    </row>
    <row r="40" spans="1:28" ht="15.6" customHeight="1" x14ac:dyDescent="0.25">
      <c r="A40" s="24" t="s">
        <v>253</v>
      </c>
      <c r="B40" s="50">
        <v>3614</v>
      </c>
      <c r="C40" s="25" t="s">
        <v>254</v>
      </c>
      <c r="D40" s="25" t="s">
        <v>164</v>
      </c>
      <c r="E40" s="25" t="s">
        <v>194</v>
      </c>
      <c r="F40" s="25" t="s">
        <v>103</v>
      </c>
      <c r="G40" s="26" t="s">
        <v>104</v>
      </c>
      <c r="H40" s="27" t="s">
        <v>169</v>
      </c>
      <c r="I40" s="24" t="s">
        <v>106</v>
      </c>
      <c r="J40" s="24" t="s">
        <v>107</v>
      </c>
      <c r="K40" s="28" t="s">
        <v>108</v>
      </c>
      <c r="L40" s="29">
        <v>0</v>
      </c>
      <c r="M40" s="29">
        <v>0</v>
      </c>
      <c r="N40" s="29">
        <v>0.01</v>
      </c>
      <c r="O40" s="27" t="s">
        <v>173</v>
      </c>
      <c r="P40" s="30" t="s">
        <v>164</v>
      </c>
      <c r="Q40" s="31">
        <v>370947600.19</v>
      </c>
      <c r="R40" s="31">
        <v>2022.05</v>
      </c>
      <c r="S40" s="32">
        <v>1.848E-2</v>
      </c>
      <c r="T40" s="32">
        <v>4.8999999999999998E-5</v>
      </c>
      <c r="U40" s="32">
        <v>3.4099999999999999E-4</v>
      </c>
      <c r="V40" s="32">
        <v>1.4109999999999999E-3</v>
      </c>
      <c r="W40" s="32">
        <v>4.3010000000000001E-3</v>
      </c>
      <c r="X40" s="32">
        <v>8.5640000000000004E-3</v>
      </c>
      <c r="Y40" s="32">
        <v>1.848E-2</v>
      </c>
      <c r="Z40" s="32">
        <v>4.2622E-2</v>
      </c>
      <c r="AA40" s="32">
        <v>6.8002999999999994E-2</v>
      </c>
      <c r="AB40" s="32">
        <v>9.0247999999999995E-2</v>
      </c>
    </row>
    <row r="41" spans="1:28" ht="15.6" customHeight="1" x14ac:dyDescent="0.25">
      <c r="A41" s="24" t="s">
        <v>255</v>
      </c>
      <c r="B41" s="50">
        <v>3615</v>
      </c>
      <c r="C41" s="25" t="s">
        <v>256</v>
      </c>
      <c r="D41" s="25" t="s">
        <v>164</v>
      </c>
      <c r="E41" s="25" t="s">
        <v>194</v>
      </c>
      <c r="F41" s="25" t="s">
        <v>128</v>
      </c>
      <c r="G41" s="26" t="s">
        <v>257</v>
      </c>
      <c r="H41" s="27" t="s">
        <v>258</v>
      </c>
      <c r="I41" s="24" t="s">
        <v>106</v>
      </c>
      <c r="J41" s="24" t="s">
        <v>107</v>
      </c>
      <c r="K41" s="28" t="s">
        <v>108</v>
      </c>
      <c r="L41" s="29">
        <v>0.03</v>
      </c>
      <c r="M41" s="29">
        <v>1.4999999999999999E-2</v>
      </c>
      <c r="N41" s="29">
        <v>0.02</v>
      </c>
      <c r="O41" s="27" t="s">
        <v>173</v>
      </c>
      <c r="P41" s="30" t="s">
        <v>164</v>
      </c>
      <c r="Q41" s="31">
        <v>480554117.22000003</v>
      </c>
      <c r="R41" s="31">
        <v>39669.32</v>
      </c>
      <c r="S41" s="32">
        <v>2.2081E-2</v>
      </c>
      <c r="T41" s="32">
        <v>8.0000000000000007E-5</v>
      </c>
      <c r="U41" s="32">
        <v>4.0499999999999998E-4</v>
      </c>
      <c r="V41" s="32">
        <v>2.1900000000000001E-3</v>
      </c>
      <c r="W41" s="32">
        <v>3.9129999999999998E-3</v>
      </c>
      <c r="X41" s="32">
        <v>8.6379999999999998E-3</v>
      </c>
      <c r="Y41" s="32">
        <v>2.2081E-2</v>
      </c>
      <c r="Z41" s="32">
        <v>5.3053000000000003E-2</v>
      </c>
      <c r="AA41" s="32">
        <v>8.3312999999999998E-2</v>
      </c>
      <c r="AB41" s="32">
        <v>9.7030000000000005E-2</v>
      </c>
    </row>
    <row r="42" spans="1:28" ht="15.6" customHeight="1" x14ac:dyDescent="0.25">
      <c r="A42" s="24" t="s">
        <v>259</v>
      </c>
      <c r="B42" s="50">
        <v>3619</v>
      </c>
      <c r="C42" s="25" t="s">
        <v>260</v>
      </c>
      <c r="D42" s="25" t="s">
        <v>261</v>
      </c>
      <c r="E42" s="25" t="s">
        <v>194</v>
      </c>
      <c r="F42" s="25" t="s">
        <v>103</v>
      </c>
      <c r="G42" s="26" t="s">
        <v>216</v>
      </c>
      <c r="H42" s="27" t="s">
        <v>217</v>
      </c>
      <c r="I42" s="24" t="s">
        <v>106</v>
      </c>
      <c r="J42" s="24" t="s">
        <v>107</v>
      </c>
      <c r="K42" s="28" t="s">
        <v>108</v>
      </c>
      <c r="L42" s="29">
        <v>0</v>
      </c>
      <c r="M42" s="29">
        <v>0</v>
      </c>
      <c r="N42" s="29">
        <v>6.5000000000000006E-3</v>
      </c>
      <c r="O42" s="27" t="s">
        <v>262</v>
      </c>
      <c r="P42" s="30" t="s">
        <v>261</v>
      </c>
      <c r="Q42" s="31">
        <v>213630799.99000001</v>
      </c>
      <c r="R42" s="31">
        <v>1914.6</v>
      </c>
      <c r="S42" s="32">
        <v>2.9388000000000001E-2</v>
      </c>
      <c r="T42" s="32">
        <v>4.1300000000000001E-4</v>
      </c>
      <c r="U42" s="32">
        <v>9.6199999999999996E-4</v>
      </c>
      <c r="V42" s="32">
        <v>2.7290000000000001E-3</v>
      </c>
      <c r="W42" s="32">
        <v>6.7780000000000002E-3</v>
      </c>
      <c r="X42" s="32">
        <v>1.3643000000000001E-2</v>
      </c>
      <c r="Y42" s="32">
        <v>2.9388000000000001E-2</v>
      </c>
      <c r="Z42" s="32">
        <v>6.4133999999999997E-2</v>
      </c>
      <c r="AA42" s="32">
        <v>9.9933999999999995E-2</v>
      </c>
      <c r="AB42" s="32">
        <v>0.13453699999999999</v>
      </c>
    </row>
    <row r="43" spans="1:28" ht="15.6" customHeight="1" x14ac:dyDescent="0.25">
      <c r="A43" s="24" t="s">
        <v>263</v>
      </c>
      <c r="B43" s="50">
        <v>3622</v>
      </c>
      <c r="C43" s="25" t="s">
        <v>264</v>
      </c>
      <c r="D43" s="25" t="s">
        <v>145</v>
      </c>
      <c r="E43" s="25" t="s">
        <v>194</v>
      </c>
      <c r="F43" s="25" t="s">
        <v>155</v>
      </c>
      <c r="G43" s="26" t="s">
        <v>139</v>
      </c>
      <c r="H43" s="27" t="s">
        <v>156</v>
      </c>
      <c r="I43" s="24" t="s">
        <v>106</v>
      </c>
      <c r="J43" s="24" t="s">
        <v>121</v>
      </c>
      <c r="K43" s="28" t="s">
        <v>108</v>
      </c>
      <c r="L43" s="29">
        <v>0.02</v>
      </c>
      <c r="M43" s="29">
        <v>0.02</v>
      </c>
      <c r="N43" s="29">
        <v>0.02</v>
      </c>
      <c r="O43" s="27" t="s">
        <v>148</v>
      </c>
      <c r="P43" s="30" t="s">
        <v>145</v>
      </c>
      <c r="Q43" s="31">
        <v>1078462198.74</v>
      </c>
      <c r="R43" s="31">
        <v>3995.91</v>
      </c>
      <c r="S43" s="32">
        <v>0.26422000000000001</v>
      </c>
      <c r="T43" s="32">
        <v>6.8690000000000001E-3</v>
      </c>
      <c r="U43" s="32">
        <v>-1.5007E-2</v>
      </c>
      <c r="V43" s="32">
        <v>-4.9799999999999996E-4</v>
      </c>
      <c r="W43" s="32">
        <v>-8.0579999999999992E-3</v>
      </c>
      <c r="X43" s="32">
        <v>-2.8400000000000001E-3</v>
      </c>
      <c r="Y43" s="32">
        <v>0.26422000000000001</v>
      </c>
      <c r="Z43" s="32">
        <v>0.59930799999999995</v>
      </c>
      <c r="AA43" s="32">
        <v>0.81290899999999999</v>
      </c>
      <c r="AB43" s="32">
        <v>0.83925899999999998</v>
      </c>
    </row>
    <row r="44" spans="1:28" ht="15.6" customHeight="1" x14ac:dyDescent="0.25">
      <c r="A44" s="24" t="s">
        <v>265</v>
      </c>
      <c r="B44" s="50">
        <v>3623</v>
      </c>
      <c r="C44" s="25" t="s">
        <v>266</v>
      </c>
      <c r="D44" s="25" t="s">
        <v>145</v>
      </c>
      <c r="E44" s="25" t="s">
        <v>194</v>
      </c>
      <c r="F44" s="25" t="s">
        <v>103</v>
      </c>
      <c r="G44" s="26" t="s">
        <v>267</v>
      </c>
      <c r="H44" s="27" t="s">
        <v>188</v>
      </c>
      <c r="I44" s="24" t="s">
        <v>106</v>
      </c>
      <c r="J44" s="24" t="s">
        <v>107</v>
      </c>
      <c r="K44" s="28" t="s">
        <v>108</v>
      </c>
      <c r="L44" s="29">
        <v>0.01</v>
      </c>
      <c r="M44" s="29">
        <v>0.01</v>
      </c>
      <c r="N44" s="29">
        <v>0.01</v>
      </c>
      <c r="O44" s="27" t="s">
        <v>148</v>
      </c>
      <c r="P44" s="30" t="s">
        <v>145</v>
      </c>
      <c r="Q44" s="31">
        <v>512544948.94</v>
      </c>
      <c r="R44" s="31">
        <v>1636.71</v>
      </c>
      <c r="S44" s="32">
        <v>1.9470999999999999E-2</v>
      </c>
      <c r="T44" s="32">
        <v>4.8999999999999998E-5</v>
      </c>
      <c r="U44" s="32">
        <v>3.7300000000000001E-4</v>
      </c>
      <c r="V44" s="32">
        <v>1.438E-3</v>
      </c>
      <c r="W44" s="32">
        <v>4.5050000000000003E-3</v>
      </c>
      <c r="X44" s="32">
        <v>9.162E-3</v>
      </c>
      <c r="Y44" s="32">
        <v>1.9470999999999999E-2</v>
      </c>
      <c r="Z44" s="32">
        <v>4.4812999999999999E-2</v>
      </c>
      <c r="AA44" s="32">
        <v>7.1874999999999994E-2</v>
      </c>
      <c r="AB44" s="32">
        <v>9.6586000000000005E-2</v>
      </c>
    </row>
    <row r="45" spans="1:28" ht="15.6" customHeight="1" x14ac:dyDescent="0.25">
      <c r="A45" s="24" t="s">
        <v>268</v>
      </c>
      <c r="B45" s="50">
        <v>3624</v>
      </c>
      <c r="C45" s="25" t="s">
        <v>269</v>
      </c>
      <c r="D45" s="25" t="s">
        <v>112</v>
      </c>
      <c r="E45" s="25" t="s">
        <v>194</v>
      </c>
      <c r="F45" s="25" t="s">
        <v>128</v>
      </c>
      <c r="G45" s="26" t="s">
        <v>250</v>
      </c>
      <c r="H45" s="27" t="s">
        <v>270</v>
      </c>
      <c r="I45" s="24" t="s">
        <v>106</v>
      </c>
      <c r="J45" s="24" t="s">
        <v>107</v>
      </c>
      <c r="K45" s="28" t="s">
        <v>108</v>
      </c>
      <c r="L45" s="29">
        <v>5.0000000000000001E-3</v>
      </c>
      <c r="M45" s="29">
        <v>0</v>
      </c>
      <c r="N45" s="29">
        <v>0.01</v>
      </c>
      <c r="O45" s="27" t="s">
        <v>116</v>
      </c>
      <c r="P45" s="30" t="s">
        <v>112</v>
      </c>
      <c r="Q45" s="31">
        <v>587436613.15999997</v>
      </c>
      <c r="R45" s="31">
        <v>2272.64</v>
      </c>
      <c r="S45" s="32">
        <v>3.3521000000000002E-2</v>
      </c>
      <c r="T45" s="32">
        <v>2.5999999999999998E-4</v>
      </c>
      <c r="U45" s="32">
        <v>7.4399999999999998E-4</v>
      </c>
      <c r="V45" s="32">
        <v>3.1159999999999998E-3</v>
      </c>
      <c r="W45" s="32">
        <v>8.8920000000000006E-3</v>
      </c>
      <c r="X45" s="32">
        <v>1.5478E-2</v>
      </c>
      <c r="Y45" s="32">
        <v>3.3521000000000002E-2</v>
      </c>
      <c r="Z45" s="32">
        <v>7.843E-2</v>
      </c>
      <c r="AA45" s="32">
        <v>0.114028</v>
      </c>
      <c r="AB45" s="32">
        <v>0.138991</v>
      </c>
    </row>
    <row r="46" spans="1:28" ht="15.6" customHeight="1" x14ac:dyDescent="0.25">
      <c r="A46" s="24" t="s">
        <v>271</v>
      </c>
      <c r="B46" s="50">
        <v>3626</v>
      </c>
      <c r="C46" s="25" t="s">
        <v>272</v>
      </c>
      <c r="D46" s="25" t="s">
        <v>145</v>
      </c>
      <c r="E46" s="25" t="s">
        <v>194</v>
      </c>
      <c r="F46" s="25" t="s">
        <v>128</v>
      </c>
      <c r="G46" s="26" t="s">
        <v>129</v>
      </c>
      <c r="H46" s="27" t="s">
        <v>130</v>
      </c>
      <c r="I46" s="24" t="s">
        <v>106</v>
      </c>
      <c r="J46" s="24" t="s">
        <v>107</v>
      </c>
      <c r="K46" s="28" t="s">
        <v>108</v>
      </c>
      <c r="L46" s="29">
        <v>0.01</v>
      </c>
      <c r="M46" s="29">
        <v>5.0000000000000001E-3</v>
      </c>
      <c r="N46" s="29">
        <v>8.0000000000000002E-3</v>
      </c>
      <c r="O46" s="27" t="s">
        <v>148</v>
      </c>
      <c r="P46" s="30" t="s">
        <v>145</v>
      </c>
      <c r="Q46" s="31">
        <v>10146006018.26</v>
      </c>
      <c r="R46" s="31">
        <v>19018.810000000001</v>
      </c>
      <c r="S46" s="32">
        <v>3.3043999999999997E-2</v>
      </c>
      <c r="T46" s="32">
        <v>-1.5E-5</v>
      </c>
      <c r="U46" s="32">
        <v>4.4799999999999999E-4</v>
      </c>
      <c r="V46" s="32">
        <v>2.846E-3</v>
      </c>
      <c r="W46" s="32">
        <v>6.2570000000000004E-3</v>
      </c>
      <c r="X46" s="32">
        <v>1.3717999999999999E-2</v>
      </c>
      <c r="Y46" s="32">
        <v>3.3043999999999997E-2</v>
      </c>
      <c r="Z46" s="32">
        <v>7.5183E-2</v>
      </c>
      <c r="AA46" s="32">
        <v>0.11684</v>
      </c>
      <c r="AB46" s="32">
        <v>0.15845899999999999</v>
      </c>
    </row>
    <row r="47" spans="1:28" ht="15.6" customHeight="1" x14ac:dyDescent="0.25">
      <c r="A47" s="24" t="s">
        <v>273</v>
      </c>
      <c r="B47" s="50">
        <v>3628</v>
      </c>
      <c r="C47" s="25" t="s">
        <v>274</v>
      </c>
      <c r="D47" s="25" t="s">
        <v>241</v>
      </c>
      <c r="E47" s="25" t="s">
        <v>194</v>
      </c>
      <c r="F47" s="25" t="s">
        <v>128</v>
      </c>
      <c r="G47" s="26" t="s">
        <v>275</v>
      </c>
      <c r="H47" s="27" t="s">
        <v>130</v>
      </c>
      <c r="I47" s="24" t="s">
        <v>106</v>
      </c>
      <c r="J47" s="24" t="s">
        <v>107</v>
      </c>
      <c r="K47" s="28" t="s">
        <v>108</v>
      </c>
      <c r="L47" s="29">
        <v>0</v>
      </c>
      <c r="M47" s="29">
        <v>0</v>
      </c>
      <c r="N47" s="29">
        <v>8.0000000000000002E-3</v>
      </c>
      <c r="O47" s="27" t="s">
        <v>148</v>
      </c>
      <c r="P47" s="30" t="s">
        <v>241</v>
      </c>
      <c r="Q47" s="31">
        <v>681672792.42999995</v>
      </c>
      <c r="R47" s="31">
        <v>2384.4</v>
      </c>
      <c r="S47" s="32">
        <v>2.5777999999999999E-2</v>
      </c>
      <c r="T47" s="32">
        <v>5.5000000000000002E-5</v>
      </c>
      <c r="U47" s="32">
        <v>4.0700000000000003E-4</v>
      </c>
      <c r="V47" s="32">
        <v>5.3080000000000002E-3</v>
      </c>
      <c r="W47" s="32">
        <v>7.1469999999999997E-3</v>
      </c>
      <c r="X47" s="32">
        <v>1.1934E-2</v>
      </c>
      <c r="Y47" s="32">
        <v>2.5777999999999999E-2</v>
      </c>
      <c r="Z47" s="32">
        <v>5.7618000000000003E-2</v>
      </c>
      <c r="AA47" s="32">
        <v>8.8146000000000002E-2</v>
      </c>
      <c r="AB47" s="32">
        <v>0.125891</v>
      </c>
    </row>
    <row r="48" spans="1:28" ht="15.6" customHeight="1" x14ac:dyDescent="0.25">
      <c r="A48" s="24" t="s">
        <v>276</v>
      </c>
      <c r="B48" s="50">
        <v>3630</v>
      </c>
      <c r="C48" s="25" t="s">
        <v>277</v>
      </c>
      <c r="D48" s="25" t="s">
        <v>145</v>
      </c>
      <c r="E48" s="25" t="s">
        <v>194</v>
      </c>
      <c r="F48" s="25" t="s">
        <v>155</v>
      </c>
      <c r="G48" s="26" t="s">
        <v>139</v>
      </c>
      <c r="H48" s="27" t="s">
        <v>156</v>
      </c>
      <c r="I48" s="24" t="s">
        <v>106</v>
      </c>
      <c r="J48" s="24" t="s">
        <v>107</v>
      </c>
      <c r="K48" s="28" t="s">
        <v>108</v>
      </c>
      <c r="L48" s="29">
        <v>0.02</v>
      </c>
      <c r="M48" s="29">
        <v>0.02</v>
      </c>
      <c r="N48" s="29">
        <v>0.02</v>
      </c>
      <c r="O48" s="27" t="s">
        <v>148</v>
      </c>
      <c r="P48" s="30" t="s">
        <v>145</v>
      </c>
      <c r="Q48" s="31">
        <v>176666641.03</v>
      </c>
      <c r="R48" s="31">
        <v>272.66000000000003</v>
      </c>
      <c r="S48" s="32">
        <v>0.287468</v>
      </c>
      <c r="T48" s="32">
        <v>7.724E-3</v>
      </c>
      <c r="U48" s="32">
        <v>-1.346E-2</v>
      </c>
      <c r="V48" s="32">
        <v>6.9700000000000003E-4</v>
      </c>
      <c r="W48" s="32">
        <v>-7.8960000000000002E-3</v>
      </c>
      <c r="X48" s="32">
        <v>-2.9250000000000001E-3</v>
      </c>
      <c r="Y48" s="32">
        <v>0.287468</v>
      </c>
      <c r="Z48" s="32">
        <v>0.62452300000000005</v>
      </c>
      <c r="AA48" s="32">
        <v>0.81494999999999995</v>
      </c>
      <c r="AB48" s="32">
        <v>0.72003499999999998</v>
      </c>
    </row>
    <row r="49" spans="1:28" ht="15.6" customHeight="1" x14ac:dyDescent="0.25">
      <c r="A49" s="24" t="s">
        <v>278</v>
      </c>
      <c r="B49" s="50">
        <v>3631</v>
      </c>
      <c r="C49" s="25" t="s">
        <v>279</v>
      </c>
      <c r="D49" s="25" t="s">
        <v>145</v>
      </c>
      <c r="E49" s="25" t="s">
        <v>194</v>
      </c>
      <c r="F49" s="25" t="s">
        <v>155</v>
      </c>
      <c r="G49" s="26" t="s">
        <v>139</v>
      </c>
      <c r="H49" s="27" t="s">
        <v>280</v>
      </c>
      <c r="I49" s="24" t="s">
        <v>106</v>
      </c>
      <c r="J49" s="24" t="s">
        <v>107</v>
      </c>
      <c r="K49" s="28" t="s">
        <v>108</v>
      </c>
      <c r="L49" s="29">
        <v>0.02</v>
      </c>
      <c r="M49" s="29">
        <v>0.02</v>
      </c>
      <c r="N49" s="29">
        <v>0.02</v>
      </c>
      <c r="O49" s="27" t="s">
        <v>148</v>
      </c>
      <c r="P49" s="30" t="s">
        <v>145</v>
      </c>
      <c r="Q49" s="31">
        <v>3159148.13</v>
      </c>
      <c r="R49" s="31">
        <v>331.7</v>
      </c>
      <c r="S49" s="32">
        <v>0.22629299999999999</v>
      </c>
      <c r="T49" s="32">
        <v>5.9439999999999996E-3</v>
      </c>
      <c r="U49" s="32">
        <v>-9.6439999999999998E-3</v>
      </c>
      <c r="V49" s="32">
        <v>5.9439999999999996E-3</v>
      </c>
      <c r="W49" s="32">
        <v>-6.3509999999999999E-3</v>
      </c>
      <c r="X49" s="32">
        <v>1.1589E-2</v>
      </c>
      <c r="Y49" s="32">
        <v>0.22629299999999999</v>
      </c>
      <c r="Z49" s="32">
        <v>0.57427600000000001</v>
      </c>
      <c r="AA49" s="32">
        <v>0.78679200000000005</v>
      </c>
      <c r="AB49" s="32">
        <v>0.72428099999999995</v>
      </c>
    </row>
    <row r="50" spans="1:28" ht="15.6" customHeight="1" x14ac:dyDescent="0.25">
      <c r="A50" s="24" t="s">
        <v>281</v>
      </c>
      <c r="B50" s="50">
        <v>3632</v>
      </c>
      <c r="C50" s="25" t="s">
        <v>282</v>
      </c>
      <c r="D50" s="25" t="s">
        <v>145</v>
      </c>
      <c r="E50" s="25" t="s">
        <v>194</v>
      </c>
      <c r="F50" s="25" t="s">
        <v>138</v>
      </c>
      <c r="G50" s="26" t="s">
        <v>139</v>
      </c>
      <c r="H50" s="27" t="s">
        <v>283</v>
      </c>
      <c r="I50" s="24" t="s">
        <v>106</v>
      </c>
      <c r="J50" s="24" t="s">
        <v>107</v>
      </c>
      <c r="K50" s="28" t="s">
        <v>108</v>
      </c>
      <c r="L50" s="29">
        <v>0.02</v>
      </c>
      <c r="M50" s="29">
        <v>0.02</v>
      </c>
      <c r="N50" s="29">
        <v>0.02</v>
      </c>
      <c r="O50" s="27" t="s">
        <v>148</v>
      </c>
      <c r="P50" s="30" t="s">
        <v>145</v>
      </c>
      <c r="Q50" s="31">
        <v>80472593.579999998</v>
      </c>
      <c r="R50" s="31">
        <v>243.86</v>
      </c>
      <c r="S50" s="32">
        <v>0.10785</v>
      </c>
      <c r="T50" s="32">
        <v>2.0960000000000002E-3</v>
      </c>
      <c r="U50" s="32">
        <v>-2.2910000000000001E-3</v>
      </c>
      <c r="V50" s="32">
        <v>5.1110000000000001E-3</v>
      </c>
      <c r="W50" s="32">
        <v>-2.4600000000000002E-4</v>
      </c>
      <c r="X50" s="32">
        <v>7.3530000000000002E-3</v>
      </c>
      <c r="Y50" s="32">
        <v>0.10785</v>
      </c>
      <c r="Z50" s="32">
        <v>0.241586</v>
      </c>
      <c r="AA50" s="32">
        <v>0.28246100000000002</v>
      </c>
      <c r="AB50" s="32">
        <v>0.283744</v>
      </c>
    </row>
    <row r="51" spans="1:28" ht="15.6" customHeight="1" x14ac:dyDescent="0.25">
      <c r="A51" s="24" t="s">
        <v>284</v>
      </c>
      <c r="B51" s="50">
        <v>3634</v>
      </c>
      <c r="C51" s="25" t="s">
        <v>285</v>
      </c>
      <c r="D51" s="25" t="s">
        <v>137</v>
      </c>
      <c r="E51" s="25" t="s">
        <v>194</v>
      </c>
      <c r="F51" s="25" t="s">
        <v>113</v>
      </c>
      <c r="G51" s="26" t="s">
        <v>286</v>
      </c>
      <c r="H51" s="27" t="s">
        <v>115</v>
      </c>
      <c r="I51" s="24" t="s">
        <v>106</v>
      </c>
      <c r="J51" s="24" t="s">
        <v>107</v>
      </c>
      <c r="K51" s="28" t="s">
        <v>108</v>
      </c>
      <c r="L51" s="29">
        <v>0.03</v>
      </c>
      <c r="M51" s="29">
        <v>1.4999999999999999E-2</v>
      </c>
      <c r="N51" s="29">
        <v>0.02</v>
      </c>
      <c r="O51" s="27" t="s">
        <v>141</v>
      </c>
      <c r="P51" s="30" t="s">
        <v>142</v>
      </c>
      <c r="Q51" s="31">
        <v>551271901.62202203</v>
      </c>
      <c r="R51" s="31">
        <v>34.08</v>
      </c>
      <c r="S51" s="32">
        <v>-0.77149000000000001</v>
      </c>
      <c r="T51" s="32">
        <v>0</v>
      </c>
      <c r="U51" s="32">
        <v>0</v>
      </c>
      <c r="V51" s="32">
        <v>2.6480000000000002E-3</v>
      </c>
      <c r="W51" s="32">
        <v>-0.77875899999999998</v>
      </c>
      <c r="X51" s="32">
        <v>-0.77931700000000004</v>
      </c>
      <c r="Y51" s="32">
        <v>-0.77149000000000001</v>
      </c>
      <c r="Z51" s="32">
        <v>-0.75932200000000005</v>
      </c>
      <c r="AA51" s="32">
        <v>-0.75295400000000001</v>
      </c>
      <c r="AB51" s="32" t="s">
        <v>139</v>
      </c>
    </row>
    <row r="52" spans="1:28" ht="15.6" customHeight="1" x14ac:dyDescent="0.25">
      <c r="A52" s="24" t="s">
        <v>287</v>
      </c>
      <c r="B52" s="50">
        <v>3635</v>
      </c>
      <c r="C52" s="25" t="s">
        <v>288</v>
      </c>
      <c r="D52" s="25" t="s">
        <v>261</v>
      </c>
      <c r="E52" s="25" t="s">
        <v>194</v>
      </c>
      <c r="F52" s="25" t="s">
        <v>128</v>
      </c>
      <c r="G52" s="26" t="s">
        <v>289</v>
      </c>
      <c r="H52" s="27" t="s">
        <v>290</v>
      </c>
      <c r="I52" s="24" t="s">
        <v>106</v>
      </c>
      <c r="J52" s="24" t="s">
        <v>107</v>
      </c>
      <c r="K52" s="28" t="s">
        <v>108</v>
      </c>
      <c r="L52" s="29">
        <v>0.03</v>
      </c>
      <c r="M52" s="29">
        <v>1.4999999999999999E-2</v>
      </c>
      <c r="N52" s="29">
        <v>0.02</v>
      </c>
      <c r="O52" s="27" t="s">
        <v>262</v>
      </c>
      <c r="P52" s="30" t="s">
        <v>291</v>
      </c>
      <c r="Q52" s="31">
        <v>331688627.62</v>
      </c>
      <c r="R52" s="31">
        <v>171.61</v>
      </c>
      <c r="S52" s="32">
        <v>3.1185999999999998E-2</v>
      </c>
      <c r="T52" s="32">
        <v>2.33E-4</v>
      </c>
      <c r="U52" s="32">
        <v>6.9999999999999999E-4</v>
      </c>
      <c r="V52" s="32">
        <v>2.8630000000000001E-3</v>
      </c>
      <c r="W52" s="32">
        <v>5.7429999999999998E-3</v>
      </c>
      <c r="X52" s="32">
        <v>1.2628E-2</v>
      </c>
      <c r="Y52" s="32">
        <v>3.1185999999999998E-2</v>
      </c>
      <c r="Z52" s="32">
        <v>7.1692000000000006E-2</v>
      </c>
      <c r="AA52" s="32">
        <v>0.111392</v>
      </c>
      <c r="AB52" s="32">
        <v>0.146206</v>
      </c>
    </row>
    <row r="53" spans="1:28" ht="15.6" customHeight="1" x14ac:dyDescent="0.25">
      <c r="A53" s="24" t="s">
        <v>292</v>
      </c>
      <c r="B53" s="50">
        <v>3640</v>
      </c>
      <c r="C53" s="25" t="s">
        <v>293</v>
      </c>
      <c r="D53" s="25" t="s">
        <v>159</v>
      </c>
      <c r="E53" s="25" t="s">
        <v>194</v>
      </c>
      <c r="F53" s="25" t="s">
        <v>138</v>
      </c>
      <c r="G53" s="26" t="s">
        <v>139</v>
      </c>
      <c r="H53" s="27" t="s">
        <v>294</v>
      </c>
      <c r="I53" s="24" t="s">
        <v>106</v>
      </c>
      <c r="J53" s="24" t="s">
        <v>121</v>
      </c>
      <c r="K53" s="28" t="s">
        <v>227</v>
      </c>
      <c r="L53" s="29">
        <v>0</v>
      </c>
      <c r="M53" s="29">
        <v>0</v>
      </c>
      <c r="N53" s="29">
        <v>0.02</v>
      </c>
      <c r="O53" s="27" t="s">
        <v>161</v>
      </c>
      <c r="P53" s="30" t="s">
        <v>159</v>
      </c>
      <c r="Q53" s="31">
        <v>588102804.67999995</v>
      </c>
      <c r="R53" s="31">
        <v>128.78</v>
      </c>
      <c r="S53" s="32">
        <v>0.15790699999999999</v>
      </c>
      <c r="T53" s="32">
        <v>4.0540000000000003E-3</v>
      </c>
      <c r="U53" s="32">
        <v>-3.7910000000000001E-3</v>
      </c>
      <c r="V53" s="32">
        <v>7.4320000000000002E-3</v>
      </c>
      <c r="W53" s="32">
        <v>-3.5590000000000001E-3</v>
      </c>
      <c r="X53" s="32">
        <v>3.663E-3</v>
      </c>
      <c r="Y53" s="32">
        <v>0.15790699999999999</v>
      </c>
      <c r="Z53" s="32" t="s">
        <v>139</v>
      </c>
      <c r="AA53" s="32">
        <v>-6.7392999999999995E-2</v>
      </c>
      <c r="AB53" s="32" t="s">
        <v>139</v>
      </c>
    </row>
    <row r="54" spans="1:28" ht="15.6" customHeight="1" x14ac:dyDescent="0.25">
      <c r="A54" s="24" t="s">
        <v>295</v>
      </c>
      <c r="B54" s="50">
        <v>3649</v>
      </c>
      <c r="C54" s="25" t="s">
        <v>296</v>
      </c>
      <c r="D54" s="25" t="s">
        <v>145</v>
      </c>
      <c r="E54" s="25" t="s">
        <v>194</v>
      </c>
      <c r="F54" s="25" t="s">
        <v>155</v>
      </c>
      <c r="G54" s="26" t="s">
        <v>139</v>
      </c>
      <c r="H54" s="27" t="s">
        <v>156</v>
      </c>
      <c r="I54" s="24" t="s">
        <v>106</v>
      </c>
      <c r="J54" s="24" t="s">
        <v>107</v>
      </c>
      <c r="K54" s="28" t="s">
        <v>108</v>
      </c>
      <c r="L54" s="29">
        <v>0.02</v>
      </c>
      <c r="M54" s="29">
        <v>0.02</v>
      </c>
      <c r="N54" s="29">
        <v>0.02</v>
      </c>
      <c r="O54" s="27" t="s">
        <v>148</v>
      </c>
      <c r="P54" s="30" t="s">
        <v>145</v>
      </c>
      <c r="Q54" s="31">
        <v>1750270195.24</v>
      </c>
      <c r="R54" s="31">
        <v>1804.25</v>
      </c>
      <c r="S54" s="32">
        <v>0.28837299999999999</v>
      </c>
      <c r="T54" s="32">
        <v>7.5160000000000001E-3</v>
      </c>
      <c r="U54" s="32">
        <v>-1.5318999999999999E-2</v>
      </c>
      <c r="V54" s="32">
        <v>1.3899999999999999E-4</v>
      </c>
      <c r="W54" s="32">
        <v>-8.3920000000000002E-3</v>
      </c>
      <c r="X54" s="32">
        <v>-5.6649999999999999E-3</v>
      </c>
      <c r="Y54" s="32">
        <v>0.28837299999999999</v>
      </c>
      <c r="Z54" s="32" t="s">
        <v>139</v>
      </c>
      <c r="AA54" s="32">
        <v>0.87882000000000005</v>
      </c>
      <c r="AB54" s="32" t="s">
        <v>139</v>
      </c>
    </row>
    <row r="55" spans="1:28" ht="15.6" customHeight="1" x14ac:dyDescent="0.25">
      <c r="A55" s="24" t="s">
        <v>297</v>
      </c>
      <c r="B55" s="50">
        <v>3650</v>
      </c>
      <c r="C55" s="25" t="s">
        <v>298</v>
      </c>
      <c r="D55" s="25" t="s">
        <v>145</v>
      </c>
      <c r="E55" s="25" t="s">
        <v>194</v>
      </c>
      <c r="F55" s="25" t="s">
        <v>138</v>
      </c>
      <c r="G55" s="26" t="s">
        <v>139</v>
      </c>
      <c r="H55" s="27" t="s">
        <v>283</v>
      </c>
      <c r="I55" s="24" t="s">
        <v>106</v>
      </c>
      <c r="J55" s="24" t="s">
        <v>107</v>
      </c>
      <c r="K55" s="28" t="s">
        <v>108</v>
      </c>
      <c r="L55" s="29">
        <v>0.02</v>
      </c>
      <c r="M55" s="29">
        <v>0.02</v>
      </c>
      <c r="N55" s="29">
        <v>0.02</v>
      </c>
      <c r="O55" s="27" t="s">
        <v>148</v>
      </c>
      <c r="P55" s="30" t="s">
        <v>145</v>
      </c>
      <c r="Q55" s="31">
        <v>1694408815.8599999</v>
      </c>
      <c r="R55" s="31">
        <v>556.79</v>
      </c>
      <c r="S55" s="32">
        <v>0.118367</v>
      </c>
      <c r="T55" s="32">
        <v>3.4060000000000002E-3</v>
      </c>
      <c r="U55" s="32">
        <v>-5.2880000000000002E-3</v>
      </c>
      <c r="V55" s="32">
        <v>4.5649999999999996E-3</v>
      </c>
      <c r="W55" s="32">
        <v>-5.5009999999999998E-3</v>
      </c>
      <c r="X55" s="32">
        <v>1.9980000000000002E-3</v>
      </c>
      <c r="Y55" s="32">
        <v>0.118367</v>
      </c>
      <c r="Z55" s="32" t="s">
        <v>139</v>
      </c>
      <c r="AA55" s="32">
        <v>0.29474</v>
      </c>
      <c r="AB55" s="32" t="s">
        <v>139</v>
      </c>
    </row>
    <row r="56" spans="1:28" ht="15.6" customHeight="1" x14ac:dyDescent="0.25">
      <c r="A56" s="24" t="s">
        <v>299</v>
      </c>
      <c r="B56" s="50">
        <v>3657</v>
      </c>
      <c r="C56" s="25" t="s">
        <v>300</v>
      </c>
      <c r="D56" s="25" t="s">
        <v>159</v>
      </c>
      <c r="E56" s="25" t="s">
        <v>194</v>
      </c>
      <c r="F56" s="25" t="s">
        <v>155</v>
      </c>
      <c r="G56" s="26" t="s">
        <v>139</v>
      </c>
      <c r="H56" s="27" t="s">
        <v>156</v>
      </c>
      <c r="I56" s="24" t="s">
        <v>106</v>
      </c>
      <c r="J56" s="24" t="s">
        <v>107</v>
      </c>
      <c r="K56" s="28" t="s">
        <v>227</v>
      </c>
      <c r="L56" s="29">
        <v>0</v>
      </c>
      <c r="M56" s="29">
        <v>0</v>
      </c>
      <c r="N56" s="29">
        <v>0.02</v>
      </c>
      <c r="O56" s="27" t="s">
        <v>161</v>
      </c>
      <c r="P56" s="30" t="s">
        <v>159</v>
      </c>
      <c r="Q56" s="31">
        <v>15571750.029999999</v>
      </c>
      <c r="R56" s="31">
        <v>4499.21</v>
      </c>
      <c r="S56" s="32">
        <v>0.30165500000000001</v>
      </c>
      <c r="T56" s="32">
        <v>8.9910000000000007E-3</v>
      </c>
      <c r="U56" s="32">
        <v>-7.9749999999999995E-3</v>
      </c>
      <c r="V56" s="32">
        <v>8.2579999999999997E-3</v>
      </c>
      <c r="W56" s="32">
        <v>-5.6930000000000001E-3</v>
      </c>
      <c r="X56" s="32">
        <v>3.6340000000000001E-3</v>
      </c>
      <c r="Y56" s="32">
        <v>0.30165500000000001</v>
      </c>
      <c r="Z56" s="32">
        <v>0.61465099999999995</v>
      </c>
      <c r="AA56" s="32">
        <v>0.83415099999999998</v>
      </c>
      <c r="AB56" s="32">
        <v>0.79377200000000003</v>
      </c>
    </row>
    <row r="57" spans="1:28" ht="15.6" customHeight="1" x14ac:dyDescent="0.25">
      <c r="A57" s="24" t="s">
        <v>301</v>
      </c>
      <c r="B57" s="50">
        <v>3658</v>
      </c>
      <c r="C57" s="25" t="s">
        <v>302</v>
      </c>
      <c r="D57" s="25" t="s">
        <v>127</v>
      </c>
      <c r="E57" s="25" t="s">
        <v>194</v>
      </c>
      <c r="F57" s="25" t="s">
        <v>103</v>
      </c>
      <c r="G57" s="26" t="s">
        <v>104</v>
      </c>
      <c r="H57" s="27" t="s">
        <v>217</v>
      </c>
      <c r="I57" s="24" t="s">
        <v>106</v>
      </c>
      <c r="J57" s="24" t="s">
        <v>121</v>
      </c>
      <c r="K57" s="28" t="s">
        <v>108</v>
      </c>
      <c r="L57" s="29">
        <v>0.03</v>
      </c>
      <c r="M57" s="29">
        <v>1.4999999999999999E-2</v>
      </c>
      <c r="N57" s="29">
        <v>0.02</v>
      </c>
      <c r="O57" s="27" t="s">
        <v>131</v>
      </c>
      <c r="P57" s="30" t="s">
        <v>131</v>
      </c>
      <c r="Q57" s="31">
        <v>1502656.87</v>
      </c>
      <c r="R57" s="31">
        <v>1502.65</v>
      </c>
      <c r="S57" s="32">
        <v>1.7187000000000001E-2</v>
      </c>
      <c r="T57" s="32">
        <v>1.66E-4</v>
      </c>
      <c r="U57" s="32">
        <v>4.66E-4</v>
      </c>
      <c r="V57" s="32">
        <v>1.5330000000000001E-3</v>
      </c>
      <c r="W57" s="32">
        <v>3.7469999999999999E-3</v>
      </c>
      <c r="X57" s="32">
        <v>7.4079999999999997E-3</v>
      </c>
      <c r="Y57" s="32">
        <v>1.7187000000000001E-2</v>
      </c>
      <c r="Z57" s="32">
        <v>4.1345E-2</v>
      </c>
      <c r="AA57" s="32">
        <v>6.7526000000000003E-2</v>
      </c>
      <c r="AB57" s="32">
        <v>8.5431999999999994E-2</v>
      </c>
    </row>
    <row r="58" spans="1:28" ht="15.6" customHeight="1" x14ac:dyDescent="0.25">
      <c r="A58" s="24" t="s">
        <v>303</v>
      </c>
      <c r="B58" s="50">
        <v>3659</v>
      </c>
      <c r="C58" s="25" t="s">
        <v>304</v>
      </c>
      <c r="D58" s="25" t="s">
        <v>145</v>
      </c>
      <c r="E58" s="25" t="s">
        <v>194</v>
      </c>
      <c r="F58" s="25" t="s">
        <v>155</v>
      </c>
      <c r="G58" s="26" t="s">
        <v>139</v>
      </c>
      <c r="H58" s="27" t="s">
        <v>305</v>
      </c>
      <c r="I58" s="24" t="s">
        <v>106</v>
      </c>
      <c r="J58" s="24" t="s">
        <v>107</v>
      </c>
      <c r="K58" s="28" t="s">
        <v>108</v>
      </c>
      <c r="L58" s="29">
        <v>0.02</v>
      </c>
      <c r="M58" s="29">
        <v>0.02</v>
      </c>
      <c r="N58" s="29">
        <v>0.02</v>
      </c>
      <c r="O58" s="27" t="s">
        <v>148</v>
      </c>
      <c r="P58" s="30" t="s">
        <v>145</v>
      </c>
      <c r="Q58" s="31">
        <v>1303442.1599999999</v>
      </c>
      <c r="R58" s="31">
        <v>1977.9</v>
      </c>
      <c r="S58" s="32">
        <v>0.30997200000000003</v>
      </c>
      <c r="T58" s="32">
        <v>5.5209999999999999E-3</v>
      </c>
      <c r="U58" s="32">
        <v>-8.5710000000000005E-3</v>
      </c>
      <c r="V58" s="32">
        <v>5.9969999999999997E-3</v>
      </c>
      <c r="W58" s="32">
        <v>-2.8990000000000001E-3</v>
      </c>
      <c r="X58" s="32">
        <v>1.2636E-2</v>
      </c>
      <c r="Y58" s="32">
        <v>0.30997200000000003</v>
      </c>
      <c r="Z58" s="32" t="s">
        <v>139</v>
      </c>
      <c r="AA58" s="32">
        <v>0.965947</v>
      </c>
      <c r="AB58" s="32" t="s">
        <v>139</v>
      </c>
    </row>
    <row r="59" spans="1:28" ht="15.6" customHeight="1" x14ac:dyDescent="0.25">
      <c r="A59" s="24" t="s">
        <v>306</v>
      </c>
      <c r="B59" s="50">
        <v>3660</v>
      </c>
      <c r="C59" s="25" t="s">
        <v>307</v>
      </c>
      <c r="D59" s="25" t="s">
        <v>159</v>
      </c>
      <c r="E59" s="25" t="s">
        <v>194</v>
      </c>
      <c r="F59" s="25" t="s">
        <v>113</v>
      </c>
      <c r="G59" s="26" t="s">
        <v>308</v>
      </c>
      <c r="H59" s="27" t="s">
        <v>309</v>
      </c>
      <c r="I59" s="24" t="s">
        <v>106</v>
      </c>
      <c r="J59" s="24" t="s">
        <v>121</v>
      </c>
      <c r="K59" s="28" t="s">
        <v>108</v>
      </c>
      <c r="L59" s="29">
        <v>0</v>
      </c>
      <c r="M59" s="29">
        <v>0</v>
      </c>
      <c r="N59" s="29">
        <v>0.02</v>
      </c>
      <c r="O59" s="27" t="s">
        <v>161</v>
      </c>
      <c r="P59" s="30" t="s">
        <v>159</v>
      </c>
      <c r="Q59" s="31">
        <v>2553647092.6999998</v>
      </c>
      <c r="R59" s="31">
        <v>1850.69</v>
      </c>
      <c r="S59" s="32">
        <v>4.6769999999999999E-2</v>
      </c>
      <c r="T59" s="32">
        <v>-1.279E-3</v>
      </c>
      <c r="U59" s="32">
        <v>-1.1119999999999999E-3</v>
      </c>
      <c r="V59" s="32">
        <v>4.914E-3</v>
      </c>
      <c r="W59" s="32">
        <v>-2.4849999999999998E-3</v>
      </c>
      <c r="X59" s="32">
        <v>5.1209999999999997E-3</v>
      </c>
      <c r="Y59" s="32">
        <v>4.6769999999999999E-2</v>
      </c>
      <c r="Z59" s="32">
        <v>0.138095</v>
      </c>
      <c r="AA59" s="32">
        <v>0.17569100000000001</v>
      </c>
      <c r="AB59" s="32">
        <v>0.196936</v>
      </c>
    </row>
    <row r="60" spans="1:28" ht="15.6" customHeight="1" x14ac:dyDescent="0.25">
      <c r="A60" s="24" t="s">
        <v>310</v>
      </c>
      <c r="B60" s="50">
        <v>3661</v>
      </c>
      <c r="C60" s="25" t="s">
        <v>311</v>
      </c>
      <c r="D60" s="25" t="s">
        <v>159</v>
      </c>
      <c r="E60" s="25" t="s">
        <v>194</v>
      </c>
      <c r="F60" s="25" t="s">
        <v>103</v>
      </c>
      <c r="G60" s="26" t="s">
        <v>244</v>
      </c>
      <c r="H60" s="27" t="s">
        <v>130</v>
      </c>
      <c r="I60" s="24" t="s">
        <v>106</v>
      </c>
      <c r="J60" s="24" t="s">
        <v>107</v>
      </c>
      <c r="K60" s="28" t="s">
        <v>227</v>
      </c>
      <c r="L60" s="29">
        <v>0</v>
      </c>
      <c r="M60" s="29">
        <v>0</v>
      </c>
      <c r="N60" s="29">
        <v>0.02</v>
      </c>
      <c r="O60" s="27" t="s">
        <v>161</v>
      </c>
      <c r="P60" s="30" t="s">
        <v>159</v>
      </c>
      <c r="Q60" s="31">
        <v>4793813104.8599997</v>
      </c>
      <c r="R60" s="31">
        <v>1758.98</v>
      </c>
      <c r="S60" s="32">
        <v>2.6433999999999999E-2</v>
      </c>
      <c r="T60" s="32">
        <v>3.4099999999999999E-4</v>
      </c>
      <c r="U60" s="32">
        <v>8.0800000000000002E-4</v>
      </c>
      <c r="V60" s="32">
        <v>2.496E-3</v>
      </c>
      <c r="W60" s="32">
        <v>5.9589999999999999E-3</v>
      </c>
      <c r="X60" s="32">
        <v>1.2123999999999999E-2</v>
      </c>
      <c r="Y60" s="32">
        <v>2.6433999999999999E-2</v>
      </c>
      <c r="Z60" s="32">
        <v>6.1685999999999998E-2</v>
      </c>
      <c r="AA60" s="32">
        <v>9.6457000000000001E-2</v>
      </c>
      <c r="AB60" s="32">
        <v>0.13239300000000001</v>
      </c>
    </row>
    <row r="61" spans="1:28" ht="15.6" customHeight="1" x14ac:dyDescent="0.25">
      <c r="A61" s="24" t="s">
        <v>312</v>
      </c>
      <c r="B61" s="50">
        <v>3665</v>
      </c>
      <c r="C61" s="25" t="s">
        <v>313</v>
      </c>
      <c r="D61" s="25" t="s">
        <v>164</v>
      </c>
      <c r="E61" s="25" t="s">
        <v>194</v>
      </c>
      <c r="F61" s="25" t="s">
        <v>103</v>
      </c>
      <c r="G61" s="26" t="s">
        <v>104</v>
      </c>
      <c r="H61" s="27" t="s">
        <v>169</v>
      </c>
      <c r="I61" s="24" t="s">
        <v>106</v>
      </c>
      <c r="J61" s="24" t="s">
        <v>107</v>
      </c>
      <c r="K61" s="28" t="s">
        <v>108</v>
      </c>
      <c r="L61" s="29">
        <v>0.02</v>
      </c>
      <c r="M61" s="29">
        <v>0.02</v>
      </c>
      <c r="N61" s="29">
        <v>0.02</v>
      </c>
      <c r="O61" s="27" t="s">
        <v>166</v>
      </c>
      <c r="P61" s="30" t="s">
        <v>164</v>
      </c>
      <c r="Q61" s="31">
        <v>3618144650.7399998</v>
      </c>
      <c r="R61" s="31">
        <v>1571.22</v>
      </c>
      <c r="S61" s="32">
        <v>2.0379000000000001E-2</v>
      </c>
      <c r="T61" s="32">
        <v>6.3999999999999997E-5</v>
      </c>
      <c r="U61" s="32">
        <v>3.6900000000000002E-4</v>
      </c>
      <c r="V61" s="32">
        <v>1.4920000000000001E-3</v>
      </c>
      <c r="W61" s="32">
        <v>4.5649999999999996E-3</v>
      </c>
      <c r="X61" s="32">
        <v>9.3139999999999994E-3</v>
      </c>
      <c r="Y61" s="32">
        <v>2.0379000000000001E-2</v>
      </c>
      <c r="Z61" s="32">
        <v>4.6336000000000002E-2</v>
      </c>
      <c r="AA61" s="32">
        <v>7.2937000000000002E-2</v>
      </c>
      <c r="AB61" s="32">
        <v>0.100926</v>
      </c>
    </row>
    <row r="62" spans="1:28" ht="15.6" customHeight="1" x14ac:dyDescent="0.25">
      <c r="A62" s="24" t="s">
        <v>314</v>
      </c>
      <c r="B62" s="50">
        <v>3677</v>
      </c>
      <c r="C62" s="25" t="s">
        <v>315</v>
      </c>
      <c r="D62" s="25" t="s">
        <v>316</v>
      </c>
      <c r="E62" s="25" t="s">
        <v>194</v>
      </c>
      <c r="F62" s="25" t="s">
        <v>103</v>
      </c>
      <c r="G62" s="26" t="s">
        <v>244</v>
      </c>
      <c r="H62" s="27" t="s">
        <v>317</v>
      </c>
      <c r="I62" s="24" t="s">
        <v>106</v>
      </c>
      <c r="J62" s="24" t="s">
        <v>107</v>
      </c>
      <c r="K62" s="28" t="s">
        <v>108</v>
      </c>
      <c r="L62" s="29">
        <v>0.03</v>
      </c>
      <c r="M62" s="29">
        <v>0.03</v>
      </c>
      <c r="N62" s="29">
        <v>0.02</v>
      </c>
      <c r="O62" s="27" t="s">
        <v>166</v>
      </c>
      <c r="P62" s="30" t="s">
        <v>316</v>
      </c>
      <c r="Q62" s="31">
        <v>1461905333</v>
      </c>
      <c r="R62" s="31">
        <v>1565.47</v>
      </c>
      <c r="S62" s="32">
        <v>2.5118999999999999E-2</v>
      </c>
      <c r="T62" s="32">
        <v>6.9999999999999994E-5</v>
      </c>
      <c r="U62" s="32">
        <v>4.73E-4</v>
      </c>
      <c r="V62" s="32">
        <v>2.1770000000000001E-3</v>
      </c>
      <c r="W62" s="32">
        <v>5.6470000000000001E-3</v>
      </c>
      <c r="X62" s="32">
        <v>1.1436E-2</v>
      </c>
      <c r="Y62" s="32">
        <v>2.5118999999999999E-2</v>
      </c>
      <c r="Z62" s="32">
        <v>5.7785999999999997E-2</v>
      </c>
      <c r="AA62" s="32">
        <v>9.2725000000000002E-2</v>
      </c>
      <c r="AB62" s="32">
        <v>0.120658</v>
      </c>
    </row>
    <row r="63" spans="1:28" ht="15.6" customHeight="1" x14ac:dyDescent="0.25">
      <c r="A63" s="24" t="s">
        <v>318</v>
      </c>
      <c r="B63" s="50">
        <v>3687</v>
      </c>
      <c r="C63" s="25" t="s">
        <v>319</v>
      </c>
      <c r="D63" s="25" t="s">
        <v>316</v>
      </c>
      <c r="E63" s="25" t="s">
        <v>194</v>
      </c>
      <c r="F63" s="25" t="s">
        <v>128</v>
      </c>
      <c r="G63" s="26" t="s">
        <v>275</v>
      </c>
      <c r="H63" s="27" t="s">
        <v>130</v>
      </c>
      <c r="I63" s="24" t="s">
        <v>106</v>
      </c>
      <c r="J63" s="24" t="s">
        <v>107</v>
      </c>
      <c r="K63" s="28" t="s">
        <v>108</v>
      </c>
      <c r="L63" s="29">
        <v>0.02</v>
      </c>
      <c r="M63" s="29">
        <v>0.02</v>
      </c>
      <c r="N63" s="29">
        <v>0.02</v>
      </c>
      <c r="O63" s="27" t="s">
        <v>166</v>
      </c>
      <c r="P63" s="30" t="s">
        <v>316</v>
      </c>
      <c r="Q63" s="31">
        <v>1093311375.8099999</v>
      </c>
      <c r="R63" s="31">
        <v>1576.83</v>
      </c>
      <c r="S63" s="32">
        <v>2.843E-2</v>
      </c>
      <c r="T63" s="32">
        <v>-1.3999999999999999E-4</v>
      </c>
      <c r="U63" s="32">
        <v>2.6600000000000001E-4</v>
      </c>
      <c r="V63" s="32">
        <v>2.346E-3</v>
      </c>
      <c r="W63" s="32">
        <v>5.0670000000000003E-3</v>
      </c>
      <c r="X63" s="32">
        <v>1.0873000000000001E-2</v>
      </c>
      <c r="Y63" s="32">
        <v>2.843E-2</v>
      </c>
      <c r="Z63" s="32">
        <v>6.9509000000000001E-2</v>
      </c>
      <c r="AA63" s="32">
        <v>0.109288</v>
      </c>
      <c r="AB63" s="32">
        <v>0.14039099999999999</v>
      </c>
    </row>
    <row r="64" spans="1:28" ht="15.6" customHeight="1" x14ac:dyDescent="0.25">
      <c r="A64" s="24" t="s">
        <v>320</v>
      </c>
      <c r="B64" s="50">
        <v>3690</v>
      </c>
      <c r="C64" s="25" t="s">
        <v>321</v>
      </c>
      <c r="D64" s="25" t="s">
        <v>322</v>
      </c>
      <c r="E64" s="25" t="s">
        <v>194</v>
      </c>
      <c r="F64" s="25" t="s">
        <v>103</v>
      </c>
      <c r="G64" s="26" t="s">
        <v>216</v>
      </c>
      <c r="H64" s="27" t="s">
        <v>323</v>
      </c>
      <c r="I64" s="24" t="s">
        <v>106</v>
      </c>
      <c r="J64" s="24" t="s">
        <v>107</v>
      </c>
      <c r="K64" s="28" t="s">
        <v>108</v>
      </c>
      <c r="L64" s="29">
        <v>0.03</v>
      </c>
      <c r="M64" s="29">
        <v>1.4999999999999999E-2</v>
      </c>
      <c r="N64" s="29">
        <v>0.02</v>
      </c>
      <c r="O64" s="27" t="s">
        <v>166</v>
      </c>
      <c r="P64" s="30" t="s">
        <v>322</v>
      </c>
      <c r="Q64" s="31">
        <v>177080013.09</v>
      </c>
      <c r="R64" s="31">
        <v>155.08000000000001</v>
      </c>
      <c r="S64" s="32">
        <v>1.7451999999999999E-2</v>
      </c>
      <c r="T64" s="32">
        <v>1.2899999999999999E-4</v>
      </c>
      <c r="U64" s="32">
        <v>3.2299999999999999E-4</v>
      </c>
      <c r="V64" s="32">
        <v>6.0330000000000002E-3</v>
      </c>
      <c r="W64" s="32">
        <v>7.7980000000000002E-3</v>
      </c>
      <c r="X64" s="32">
        <v>1.0359E-2</v>
      </c>
      <c r="Y64" s="32">
        <v>1.7451999999999999E-2</v>
      </c>
      <c r="Z64" s="32">
        <v>3.7324000000000003E-2</v>
      </c>
      <c r="AA64" s="32">
        <v>7.0108000000000004E-2</v>
      </c>
      <c r="AB64" s="32">
        <v>0.100873</v>
      </c>
    </row>
    <row r="65" spans="1:28" ht="15.6" customHeight="1" x14ac:dyDescent="0.25">
      <c r="A65" s="24" t="s">
        <v>324</v>
      </c>
      <c r="B65" s="50">
        <v>3691</v>
      </c>
      <c r="C65" s="25" t="s">
        <v>325</v>
      </c>
      <c r="D65" s="25" t="s">
        <v>322</v>
      </c>
      <c r="E65" s="25" t="s">
        <v>194</v>
      </c>
      <c r="F65" s="25" t="s">
        <v>113</v>
      </c>
      <c r="G65" s="26" t="s">
        <v>326</v>
      </c>
      <c r="H65" s="27" t="s">
        <v>327</v>
      </c>
      <c r="I65" s="24" t="s">
        <v>106</v>
      </c>
      <c r="J65" s="24" t="s">
        <v>107</v>
      </c>
      <c r="K65" s="28" t="s">
        <v>108</v>
      </c>
      <c r="L65" s="29">
        <v>0.03</v>
      </c>
      <c r="M65" s="29">
        <v>1.4999999999999999E-2</v>
      </c>
      <c r="N65" s="29">
        <v>0.02</v>
      </c>
      <c r="O65" s="27" t="s">
        <v>166</v>
      </c>
      <c r="P65" s="30" t="s">
        <v>322</v>
      </c>
      <c r="Q65" s="31">
        <v>2129230772.0699999</v>
      </c>
      <c r="R65" s="31">
        <v>167.21</v>
      </c>
      <c r="S65" s="32">
        <v>4.9917999999999997E-2</v>
      </c>
      <c r="T65" s="32">
        <v>2.3900000000000001E-4</v>
      </c>
      <c r="U65" s="32">
        <v>-2.99E-4</v>
      </c>
      <c r="V65" s="32">
        <v>5.2909999999999997E-3</v>
      </c>
      <c r="W65" s="32">
        <v>-5.7679999999999997E-3</v>
      </c>
      <c r="X65" s="32">
        <v>3.0590000000000001E-3</v>
      </c>
      <c r="Y65" s="32">
        <v>4.9917999999999997E-2</v>
      </c>
      <c r="Z65" s="32">
        <v>0.142535</v>
      </c>
      <c r="AA65" s="32">
        <v>5.9565E-2</v>
      </c>
      <c r="AB65" s="32">
        <v>2.8225E-2</v>
      </c>
    </row>
    <row r="66" spans="1:28" ht="15.6" customHeight="1" x14ac:dyDescent="0.25">
      <c r="A66" s="24" t="s">
        <v>328</v>
      </c>
      <c r="B66" s="50">
        <v>3692</v>
      </c>
      <c r="C66" s="25" t="s">
        <v>329</v>
      </c>
      <c r="D66" s="25" t="s">
        <v>322</v>
      </c>
      <c r="E66" s="25" t="s">
        <v>194</v>
      </c>
      <c r="F66" s="25" t="s">
        <v>155</v>
      </c>
      <c r="G66" s="26" t="s">
        <v>139</v>
      </c>
      <c r="H66" s="27" t="s">
        <v>330</v>
      </c>
      <c r="I66" s="24" t="s">
        <v>106</v>
      </c>
      <c r="J66" s="24" t="s">
        <v>107</v>
      </c>
      <c r="K66" s="28" t="s">
        <v>108</v>
      </c>
      <c r="L66" s="29">
        <v>0.03</v>
      </c>
      <c r="M66" s="29">
        <v>1.4999999999999999E-2</v>
      </c>
      <c r="N66" s="29">
        <v>0.02</v>
      </c>
      <c r="O66" s="27" t="s">
        <v>166</v>
      </c>
      <c r="P66" s="30" t="s">
        <v>322</v>
      </c>
      <c r="Q66" s="31">
        <v>1518550269.3599999</v>
      </c>
      <c r="R66" s="31">
        <v>266.55</v>
      </c>
      <c r="S66" s="32">
        <v>0.24876999999999999</v>
      </c>
      <c r="T66" s="32">
        <v>7.2550000000000002E-3</v>
      </c>
      <c r="U66" s="32">
        <v>-1.3545E-2</v>
      </c>
      <c r="V66" s="32">
        <v>-3.8869999999999998E-3</v>
      </c>
      <c r="W66" s="32">
        <v>-1.9134999999999999E-2</v>
      </c>
      <c r="X66" s="32">
        <v>2.5579999999999999E-3</v>
      </c>
      <c r="Y66" s="32">
        <v>0.24876999999999999</v>
      </c>
      <c r="Z66" s="32">
        <v>0.61408499999999999</v>
      </c>
      <c r="AA66" s="32">
        <v>0.75246500000000005</v>
      </c>
      <c r="AB66" s="32">
        <v>0.661887</v>
      </c>
    </row>
    <row r="67" spans="1:28" ht="15.6" customHeight="1" x14ac:dyDescent="0.25">
      <c r="A67" s="24" t="s">
        <v>331</v>
      </c>
      <c r="B67" s="50">
        <v>3697</v>
      </c>
      <c r="C67" s="25" t="s">
        <v>332</v>
      </c>
      <c r="D67" s="25" t="s">
        <v>137</v>
      </c>
      <c r="E67" s="25" t="s">
        <v>194</v>
      </c>
      <c r="F67" s="25" t="s">
        <v>113</v>
      </c>
      <c r="G67" s="26" t="s">
        <v>333</v>
      </c>
      <c r="H67" s="27" t="s">
        <v>115</v>
      </c>
      <c r="I67" s="24" t="s">
        <v>106</v>
      </c>
      <c r="J67" s="24" t="s">
        <v>107</v>
      </c>
      <c r="K67" s="28" t="s">
        <v>108</v>
      </c>
      <c r="L67" s="29">
        <v>0.03</v>
      </c>
      <c r="M67" s="29">
        <v>1.4999999999999999E-2</v>
      </c>
      <c r="N67" s="29">
        <v>0.02</v>
      </c>
      <c r="O67" s="27" t="s">
        <v>141</v>
      </c>
      <c r="P67" s="30" t="s">
        <v>137</v>
      </c>
      <c r="Q67" s="31">
        <v>648054473.11710405</v>
      </c>
      <c r="R67" s="31">
        <v>169.21</v>
      </c>
      <c r="S67" s="32">
        <v>5.6034E-2</v>
      </c>
      <c r="T67" s="32">
        <v>4.1399999999999998E-4</v>
      </c>
      <c r="U67" s="32">
        <v>-2.3E-3</v>
      </c>
      <c r="V67" s="32">
        <v>2.9039999999999999E-3</v>
      </c>
      <c r="W67" s="32">
        <v>-6.5170000000000002E-3</v>
      </c>
      <c r="X67" s="32">
        <v>2.7260000000000001E-3</v>
      </c>
      <c r="Y67" s="32">
        <v>5.6034E-2</v>
      </c>
      <c r="Z67" s="32">
        <v>0.14926</v>
      </c>
      <c r="AA67" s="32">
        <v>0.173124</v>
      </c>
      <c r="AB67" s="32">
        <v>0.18443100000000001</v>
      </c>
    </row>
    <row r="68" spans="1:28" ht="15.6" customHeight="1" x14ac:dyDescent="0.25">
      <c r="A68" s="24" t="s">
        <v>334</v>
      </c>
      <c r="B68" s="50">
        <v>3704</v>
      </c>
      <c r="C68" s="25" t="s">
        <v>335</v>
      </c>
      <c r="D68" s="25" t="s">
        <v>101</v>
      </c>
      <c r="E68" s="25" t="s">
        <v>194</v>
      </c>
      <c r="F68" s="25" t="s">
        <v>103</v>
      </c>
      <c r="G68" s="26" t="s">
        <v>336</v>
      </c>
      <c r="H68" s="27" t="s">
        <v>337</v>
      </c>
      <c r="I68" s="24" t="s">
        <v>106</v>
      </c>
      <c r="J68" s="24" t="s">
        <v>121</v>
      </c>
      <c r="K68" s="28" t="s">
        <v>108</v>
      </c>
      <c r="L68" s="29">
        <v>0</v>
      </c>
      <c r="M68" s="29">
        <v>0</v>
      </c>
      <c r="N68" s="29">
        <v>0.02</v>
      </c>
      <c r="O68" s="27" t="s">
        <v>109</v>
      </c>
      <c r="P68" s="30" t="s">
        <v>101</v>
      </c>
      <c r="Q68" s="31">
        <v>679921546.55999994</v>
      </c>
      <c r="R68" s="31">
        <v>157681.25</v>
      </c>
      <c r="S68" s="32">
        <v>2.368E-2</v>
      </c>
      <c r="T68" s="32">
        <v>2.05E-4</v>
      </c>
      <c r="U68" s="32">
        <v>6.0099999999999997E-4</v>
      </c>
      <c r="V68" s="32">
        <v>2.0609999999999999E-3</v>
      </c>
      <c r="W68" s="32">
        <v>5.2440000000000004E-3</v>
      </c>
      <c r="X68" s="32">
        <v>1.0527E-2</v>
      </c>
      <c r="Y68" s="32">
        <v>2.368E-2</v>
      </c>
      <c r="Z68" s="32">
        <v>5.4671999999999998E-2</v>
      </c>
      <c r="AA68" s="32">
        <v>8.7091000000000002E-2</v>
      </c>
      <c r="AB68" s="32">
        <v>0.11558300000000001</v>
      </c>
    </row>
    <row r="69" spans="1:28" ht="15.6" customHeight="1" x14ac:dyDescent="0.25">
      <c r="A69" s="24" t="s">
        <v>338</v>
      </c>
      <c r="B69" s="50">
        <v>3706</v>
      </c>
      <c r="C69" s="25" t="s">
        <v>339</v>
      </c>
      <c r="D69" s="25" t="s">
        <v>145</v>
      </c>
      <c r="E69" s="25" t="s">
        <v>194</v>
      </c>
      <c r="F69" s="25" t="s">
        <v>113</v>
      </c>
      <c r="G69" s="26" t="s">
        <v>198</v>
      </c>
      <c r="H69" s="27" t="s">
        <v>120</v>
      </c>
      <c r="I69" s="24" t="s">
        <v>106</v>
      </c>
      <c r="J69" s="24" t="s">
        <v>107</v>
      </c>
      <c r="K69" s="28" t="s">
        <v>108</v>
      </c>
      <c r="L69" s="29">
        <v>0.02</v>
      </c>
      <c r="M69" s="29">
        <v>0.02</v>
      </c>
      <c r="N69" s="29">
        <v>0.02</v>
      </c>
      <c r="O69" s="27" t="s">
        <v>148</v>
      </c>
      <c r="P69" s="30" t="s">
        <v>145</v>
      </c>
      <c r="Q69" s="31">
        <v>2634574205.79</v>
      </c>
      <c r="R69" s="31">
        <v>1668.71</v>
      </c>
      <c r="S69" s="32">
        <v>4.2155999999999999E-2</v>
      </c>
      <c r="T69" s="32">
        <v>2.6800000000000001E-3</v>
      </c>
      <c r="U69" s="32">
        <v>1.8E-5</v>
      </c>
      <c r="V69" s="32">
        <v>5.6769999999999998E-3</v>
      </c>
      <c r="W69" s="32">
        <v>-4.2009999999999999E-3</v>
      </c>
      <c r="X69" s="32">
        <v>-7.2499999999999995E-4</v>
      </c>
      <c r="Y69" s="32">
        <v>4.2155999999999999E-2</v>
      </c>
      <c r="Z69" s="32" t="s">
        <v>139</v>
      </c>
      <c r="AA69" s="32">
        <v>0.16483700000000001</v>
      </c>
      <c r="AB69" s="32" t="s">
        <v>139</v>
      </c>
    </row>
    <row r="70" spans="1:28" ht="15.6" customHeight="1" x14ac:dyDescent="0.25">
      <c r="A70" s="24" t="s">
        <v>340</v>
      </c>
      <c r="B70" s="50">
        <v>3709</v>
      </c>
      <c r="C70" s="25" t="s">
        <v>341</v>
      </c>
      <c r="D70" s="25" t="s">
        <v>342</v>
      </c>
      <c r="E70" s="25" t="s">
        <v>194</v>
      </c>
      <c r="F70" s="25" t="s">
        <v>103</v>
      </c>
      <c r="G70" s="26" t="s">
        <v>343</v>
      </c>
      <c r="H70" s="27" t="s">
        <v>130</v>
      </c>
      <c r="I70" s="24" t="s">
        <v>106</v>
      </c>
      <c r="J70" s="24" t="s">
        <v>107</v>
      </c>
      <c r="K70" s="28" t="s">
        <v>108</v>
      </c>
      <c r="L70" s="29">
        <v>0.03</v>
      </c>
      <c r="M70" s="29">
        <v>0.03</v>
      </c>
      <c r="N70" s="29">
        <v>0.02</v>
      </c>
      <c r="O70" s="27" t="s">
        <v>166</v>
      </c>
      <c r="P70" s="30" t="s">
        <v>344</v>
      </c>
      <c r="Q70" s="31">
        <v>644842908.40999997</v>
      </c>
      <c r="R70" s="31">
        <v>1565.11</v>
      </c>
      <c r="S70" s="32">
        <v>2.9048000000000001E-2</v>
      </c>
      <c r="T70" s="32">
        <v>3.9599999999999998E-4</v>
      </c>
      <c r="U70" s="32">
        <v>9.0200000000000002E-4</v>
      </c>
      <c r="V70" s="32">
        <v>2.8960000000000001E-3</v>
      </c>
      <c r="W70" s="32">
        <v>6.7149999999999996E-3</v>
      </c>
      <c r="X70" s="32">
        <v>1.2892000000000001E-2</v>
      </c>
      <c r="Y70" s="32">
        <v>2.9048000000000001E-2</v>
      </c>
      <c r="Z70" s="32">
        <v>6.5925999999999998E-2</v>
      </c>
      <c r="AA70" s="32">
        <v>0.103667</v>
      </c>
      <c r="AB70" s="32">
        <v>0.141816</v>
      </c>
    </row>
    <row r="71" spans="1:28" ht="15.6" customHeight="1" x14ac:dyDescent="0.25">
      <c r="A71" s="24" t="s">
        <v>345</v>
      </c>
      <c r="B71" s="50">
        <v>3718</v>
      </c>
      <c r="C71" s="25" t="s">
        <v>346</v>
      </c>
      <c r="D71" s="25" t="s">
        <v>164</v>
      </c>
      <c r="E71" s="25" t="s">
        <v>102</v>
      </c>
      <c r="F71" s="25" t="s">
        <v>113</v>
      </c>
      <c r="G71" s="26" t="s">
        <v>347</v>
      </c>
      <c r="H71" s="27" t="s">
        <v>199</v>
      </c>
      <c r="I71" s="24" t="s">
        <v>106</v>
      </c>
      <c r="J71" s="24" t="s">
        <v>121</v>
      </c>
      <c r="K71" s="28" t="s">
        <v>108</v>
      </c>
      <c r="L71" s="29">
        <v>0.03</v>
      </c>
      <c r="M71" s="29">
        <v>1.4999999999999999E-2</v>
      </c>
      <c r="N71" s="29">
        <v>0.02</v>
      </c>
      <c r="O71" s="27" t="s">
        <v>166</v>
      </c>
      <c r="P71" s="30" t="s">
        <v>164</v>
      </c>
      <c r="Q71" s="31">
        <v>2941497103.98</v>
      </c>
      <c r="R71" s="31">
        <v>1834.77</v>
      </c>
      <c r="S71" s="32">
        <v>4.8295999999999999E-2</v>
      </c>
      <c r="T71" s="32">
        <v>-1.823E-3</v>
      </c>
      <c r="U71" s="32">
        <v>-1.5889999999999999E-3</v>
      </c>
      <c r="V71" s="32">
        <v>4.3680000000000004E-3</v>
      </c>
      <c r="W71" s="32">
        <v>-1.219E-3</v>
      </c>
      <c r="X71" s="32">
        <v>6.9040000000000004E-3</v>
      </c>
      <c r="Y71" s="32">
        <v>4.8295999999999999E-2</v>
      </c>
      <c r="Z71" s="32">
        <v>0.13694600000000001</v>
      </c>
      <c r="AA71" s="32">
        <v>0.18285999999999999</v>
      </c>
      <c r="AB71" s="32">
        <v>0.20449400000000001</v>
      </c>
    </row>
    <row r="72" spans="1:28" ht="15.6" customHeight="1" x14ac:dyDescent="0.25">
      <c r="A72" s="24" t="s">
        <v>348</v>
      </c>
      <c r="B72" s="50">
        <v>3720</v>
      </c>
      <c r="C72" s="25" t="s">
        <v>349</v>
      </c>
      <c r="D72" s="25" t="s">
        <v>350</v>
      </c>
      <c r="E72" s="25" t="s">
        <v>194</v>
      </c>
      <c r="F72" s="25" t="s">
        <v>128</v>
      </c>
      <c r="G72" s="26" t="s">
        <v>275</v>
      </c>
      <c r="H72" s="27" t="s">
        <v>130</v>
      </c>
      <c r="I72" s="24" t="s">
        <v>106</v>
      </c>
      <c r="J72" s="24" t="s">
        <v>107</v>
      </c>
      <c r="K72" s="28" t="s">
        <v>108</v>
      </c>
      <c r="L72" s="29">
        <v>5.0000000000000001E-3</v>
      </c>
      <c r="M72" s="29">
        <v>5.0000000000000001E-3</v>
      </c>
      <c r="N72" s="29">
        <v>7.4999999999999997E-3</v>
      </c>
      <c r="O72" s="27" t="s">
        <v>166</v>
      </c>
      <c r="P72" s="30" t="s">
        <v>350</v>
      </c>
      <c r="Q72" s="31">
        <v>209154126.81999999</v>
      </c>
      <c r="R72" s="31">
        <v>144</v>
      </c>
      <c r="S72" s="32">
        <v>3.0411000000000001E-2</v>
      </c>
      <c r="T72" s="32">
        <v>1.3899999999999999E-4</v>
      </c>
      <c r="U72" s="32">
        <v>6.2500000000000001E-4</v>
      </c>
      <c r="V72" s="32">
        <v>2.7859999999999998E-3</v>
      </c>
      <c r="W72" s="32">
        <v>6.0080000000000003E-3</v>
      </c>
      <c r="X72" s="32">
        <v>1.2943E-2</v>
      </c>
      <c r="Y72" s="32">
        <v>3.0411000000000001E-2</v>
      </c>
      <c r="Z72" s="32">
        <v>6.9360000000000005E-2</v>
      </c>
      <c r="AA72" s="32">
        <v>0.108545</v>
      </c>
      <c r="AB72" s="32">
        <v>0.14394699999999999</v>
      </c>
    </row>
    <row r="73" spans="1:28" ht="15.6" customHeight="1" x14ac:dyDescent="0.25">
      <c r="A73" s="24" t="s">
        <v>351</v>
      </c>
      <c r="B73" s="50">
        <v>3725</v>
      </c>
      <c r="C73" s="25" t="s">
        <v>352</v>
      </c>
      <c r="D73" s="25" t="s">
        <v>261</v>
      </c>
      <c r="E73" s="25" t="s">
        <v>194</v>
      </c>
      <c r="F73" s="25" t="s">
        <v>103</v>
      </c>
      <c r="G73" s="26" t="s">
        <v>244</v>
      </c>
      <c r="H73" s="27" t="s">
        <v>217</v>
      </c>
      <c r="I73" s="24" t="s">
        <v>106</v>
      </c>
      <c r="J73" s="24" t="s">
        <v>107</v>
      </c>
      <c r="K73" s="28" t="s">
        <v>108</v>
      </c>
      <c r="L73" s="29">
        <v>0</v>
      </c>
      <c r="M73" s="29">
        <v>0</v>
      </c>
      <c r="N73" s="29">
        <v>0.02</v>
      </c>
      <c r="O73" s="27" t="s">
        <v>166</v>
      </c>
      <c r="P73" s="30" t="s">
        <v>261</v>
      </c>
      <c r="Q73" s="31">
        <v>79353865.909999996</v>
      </c>
      <c r="R73" s="31">
        <v>134.87</v>
      </c>
      <c r="S73" s="32">
        <v>2.6955E-2</v>
      </c>
      <c r="T73" s="32">
        <v>2.9700000000000001E-4</v>
      </c>
      <c r="U73" s="32">
        <v>7.4200000000000004E-4</v>
      </c>
      <c r="V73" s="32">
        <v>2.8999999999999998E-3</v>
      </c>
      <c r="W73" s="32">
        <v>6.718E-3</v>
      </c>
      <c r="X73" s="32">
        <v>1.2766E-2</v>
      </c>
      <c r="Y73" s="32">
        <v>2.6955E-2</v>
      </c>
      <c r="Z73" s="32">
        <v>6.0715999999999999E-2</v>
      </c>
      <c r="AA73" s="32">
        <v>9.4190999999999997E-2</v>
      </c>
      <c r="AB73" s="32">
        <v>0.12739300000000001</v>
      </c>
    </row>
    <row r="74" spans="1:28" ht="15.6" customHeight="1" x14ac:dyDescent="0.25">
      <c r="A74" s="24" t="s">
        <v>353</v>
      </c>
      <c r="B74" s="50">
        <v>3732</v>
      </c>
      <c r="C74" s="25" t="s">
        <v>354</v>
      </c>
      <c r="D74" s="25" t="s">
        <v>355</v>
      </c>
      <c r="E74" s="25" t="s">
        <v>194</v>
      </c>
      <c r="F74" s="25" t="s">
        <v>103</v>
      </c>
      <c r="G74" s="26" t="s">
        <v>356</v>
      </c>
      <c r="H74" s="27" t="s">
        <v>147</v>
      </c>
      <c r="I74" s="24" t="s">
        <v>106</v>
      </c>
      <c r="J74" s="24" t="s">
        <v>107</v>
      </c>
      <c r="K74" s="28" t="s">
        <v>108</v>
      </c>
      <c r="L74" s="29">
        <v>0</v>
      </c>
      <c r="M74" s="29">
        <v>0</v>
      </c>
      <c r="N74" s="29">
        <v>0.02</v>
      </c>
      <c r="O74" s="27" t="s">
        <v>109</v>
      </c>
      <c r="P74" s="30" t="s">
        <v>355</v>
      </c>
      <c r="Q74" s="31">
        <v>25320384.579999998</v>
      </c>
      <c r="R74" s="31">
        <v>1431.82</v>
      </c>
      <c r="S74" s="32">
        <v>2.8281000000000001E-2</v>
      </c>
      <c r="T74" s="32">
        <v>1.3999999999999999E-4</v>
      </c>
      <c r="U74" s="32">
        <v>4.3300000000000001E-4</v>
      </c>
      <c r="V74" s="32">
        <v>1.3140000000000001E-2</v>
      </c>
      <c r="W74" s="32">
        <v>1.5273999999999999E-2</v>
      </c>
      <c r="X74" s="32">
        <v>1.9009000000000002E-2</v>
      </c>
      <c r="Y74" s="32">
        <v>2.8281000000000001E-2</v>
      </c>
      <c r="Z74" s="32">
        <v>5.1764999999999999E-2</v>
      </c>
      <c r="AA74" s="32">
        <v>8.0195000000000002E-2</v>
      </c>
      <c r="AB74" s="32">
        <v>0.10881200000000001</v>
      </c>
    </row>
    <row r="75" spans="1:28" ht="15.6" customHeight="1" x14ac:dyDescent="0.25">
      <c r="A75" s="24" t="s">
        <v>357</v>
      </c>
      <c r="B75" s="50">
        <v>3733</v>
      </c>
      <c r="C75" s="25" t="s">
        <v>358</v>
      </c>
      <c r="D75" s="25" t="s">
        <v>164</v>
      </c>
      <c r="E75" s="25" t="s">
        <v>194</v>
      </c>
      <c r="F75" s="25" t="s">
        <v>155</v>
      </c>
      <c r="G75" s="26" t="s">
        <v>139</v>
      </c>
      <c r="H75" s="27" t="s">
        <v>156</v>
      </c>
      <c r="I75" s="24" t="s">
        <v>106</v>
      </c>
      <c r="J75" s="24" t="s">
        <v>121</v>
      </c>
      <c r="K75" s="28" t="s">
        <v>227</v>
      </c>
      <c r="L75" s="29">
        <v>0.03</v>
      </c>
      <c r="M75" s="29">
        <v>1.4999999999999999E-2</v>
      </c>
      <c r="N75" s="29">
        <v>0.02</v>
      </c>
      <c r="O75" s="27" t="s">
        <v>166</v>
      </c>
      <c r="P75" s="30" t="s">
        <v>164</v>
      </c>
      <c r="Q75" s="31">
        <v>1625830207.8399999</v>
      </c>
      <c r="R75" s="31">
        <v>290846.19</v>
      </c>
      <c r="S75" s="32">
        <v>0.276702</v>
      </c>
      <c r="T75" s="32">
        <v>9.9889999999999996E-3</v>
      </c>
      <c r="U75" s="32">
        <v>-5.3920000000000001E-3</v>
      </c>
      <c r="V75" s="32">
        <v>6.6259999999999999E-3</v>
      </c>
      <c r="W75" s="32">
        <v>-3.1449999999999998E-3</v>
      </c>
      <c r="X75" s="32">
        <v>8.1469999999999997E-3</v>
      </c>
      <c r="Y75" s="32">
        <v>0.276702</v>
      </c>
      <c r="Z75" s="32">
        <v>0.57653699999999997</v>
      </c>
      <c r="AA75" s="32">
        <v>0.79429700000000003</v>
      </c>
      <c r="AB75" s="32">
        <v>0.836225</v>
      </c>
    </row>
    <row r="76" spans="1:28" ht="15.6" customHeight="1" x14ac:dyDescent="0.25">
      <c r="A76" s="24" t="s">
        <v>359</v>
      </c>
      <c r="B76" s="50">
        <v>3735</v>
      </c>
      <c r="C76" s="25" t="s">
        <v>360</v>
      </c>
      <c r="D76" s="25" t="s">
        <v>159</v>
      </c>
      <c r="E76" s="25" t="s">
        <v>194</v>
      </c>
      <c r="F76" s="25" t="s">
        <v>361</v>
      </c>
      <c r="G76" s="26" t="s">
        <v>139</v>
      </c>
      <c r="H76" s="27" t="s">
        <v>217</v>
      </c>
      <c r="I76" s="24" t="s">
        <v>106</v>
      </c>
      <c r="J76" s="24" t="s">
        <v>107</v>
      </c>
      <c r="K76" s="28" t="s">
        <v>108</v>
      </c>
      <c r="L76" s="29">
        <v>0</v>
      </c>
      <c r="M76" s="29">
        <v>0</v>
      </c>
      <c r="N76" s="29">
        <v>0.02</v>
      </c>
      <c r="O76" s="27" t="s">
        <v>161</v>
      </c>
      <c r="P76" s="30" t="s">
        <v>159</v>
      </c>
      <c r="Q76" s="31">
        <v>1531047633.9300001</v>
      </c>
      <c r="R76" s="31">
        <v>13063.77</v>
      </c>
      <c r="S76" s="32">
        <v>2.0989000000000001E-2</v>
      </c>
      <c r="T76" s="32">
        <v>5.5000000000000002E-5</v>
      </c>
      <c r="U76" s="32">
        <v>3.8400000000000001E-4</v>
      </c>
      <c r="V76" s="32">
        <v>1.5969999999999999E-3</v>
      </c>
      <c r="W76" s="32">
        <v>4.9659999999999999E-3</v>
      </c>
      <c r="X76" s="32">
        <v>1.0104E-2</v>
      </c>
      <c r="Y76" s="32">
        <v>2.0989000000000001E-2</v>
      </c>
      <c r="Z76" s="32">
        <v>4.8098000000000002E-2</v>
      </c>
      <c r="AA76" s="32">
        <v>7.5384999999999994E-2</v>
      </c>
      <c r="AB76" s="32">
        <v>0.10184</v>
      </c>
    </row>
    <row r="77" spans="1:28" ht="15.6" customHeight="1" x14ac:dyDescent="0.25">
      <c r="A77" s="24" t="s">
        <v>362</v>
      </c>
      <c r="B77" s="50">
        <v>3736</v>
      </c>
      <c r="C77" s="25" t="s">
        <v>363</v>
      </c>
      <c r="D77" s="25" t="s">
        <v>159</v>
      </c>
      <c r="E77" s="25" t="s">
        <v>194</v>
      </c>
      <c r="F77" s="25" t="s">
        <v>113</v>
      </c>
      <c r="G77" s="26" t="s">
        <v>198</v>
      </c>
      <c r="H77" s="27" t="s">
        <v>115</v>
      </c>
      <c r="I77" s="24" t="s">
        <v>106</v>
      </c>
      <c r="J77" s="24" t="s">
        <v>121</v>
      </c>
      <c r="K77" s="28" t="s">
        <v>108</v>
      </c>
      <c r="L77" s="29">
        <v>0</v>
      </c>
      <c r="M77" s="29">
        <v>0</v>
      </c>
      <c r="N77" s="29">
        <v>0.02</v>
      </c>
      <c r="O77" s="27" t="s">
        <v>161</v>
      </c>
      <c r="P77" s="30" t="s">
        <v>159</v>
      </c>
      <c r="Q77" s="31">
        <v>10928460122.040001</v>
      </c>
      <c r="R77" s="31">
        <v>16192.76</v>
      </c>
      <c r="S77" s="32">
        <v>4.2068000000000001E-2</v>
      </c>
      <c r="T77" s="32">
        <v>-3.5599999999999998E-4</v>
      </c>
      <c r="U77" s="32">
        <v>-2.14E-4</v>
      </c>
      <c r="V77" s="32">
        <v>4.921E-3</v>
      </c>
      <c r="W77" s="32">
        <v>5.9199999999999997E-4</v>
      </c>
      <c r="X77" s="32">
        <v>7.5069999999999998E-3</v>
      </c>
      <c r="Y77" s="32">
        <v>4.2068000000000001E-2</v>
      </c>
      <c r="Z77" s="32">
        <v>0.106019</v>
      </c>
      <c r="AA77" s="32">
        <v>0.14273</v>
      </c>
      <c r="AB77" s="32">
        <v>0.14890800000000001</v>
      </c>
    </row>
    <row r="78" spans="1:28" ht="15.6" customHeight="1" x14ac:dyDescent="0.25">
      <c r="A78" s="24" t="s">
        <v>364</v>
      </c>
      <c r="B78" s="50">
        <v>3737</v>
      </c>
      <c r="C78" s="25" t="s">
        <v>365</v>
      </c>
      <c r="D78" s="25" t="s">
        <v>159</v>
      </c>
      <c r="E78" s="25" t="s">
        <v>194</v>
      </c>
      <c r="F78" s="25" t="s">
        <v>113</v>
      </c>
      <c r="G78" s="26" t="s">
        <v>366</v>
      </c>
      <c r="H78" s="27" t="s">
        <v>367</v>
      </c>
      <c r="I78" s="24" t="s">
        <v>106</v>
      </c>
      <c r="J78" s="24" t="s">
        <v>121</v>
      </c>
      <c r="K78" s="28" t="s">
        <v>108</v>
      </c>
      <c r="L78" s="29">
        <v>0</v>
      </c>
      <c r="M78" s="29">
        <v>0</v>
      </c>
      <c r="N78" s="29">
        <v>0.02</v>
      </c>
      <c r="O78" s="27" t="s">
        <v>161</v>
      </c>
      <c r="P78" s="30" t="s">
        <v>159</v>
      </c>
      <c r="Q78" s="31">
        <v>2804008780.4499998</v>
      </c>
      <c r="R78" s="31">
        <v>1784.26</v>
      </c>
      <c r="S78" s="32">
        <v>4.9175999999999997E-2</v>
      </c>
      <c r="T78" s="32">
        <v>-5.2700000000000002E-4</v>
      </c>
      <c r="U78" s="32">
        <v>-3.2499999999999999E-4</v>
      </c>
      <c r="V78" s="32">
        <v>4.1529999999999996E-3</v>
      </c>
      <c r="W78" s="32">
        <v>9.4200000000000002E-4</v>
      </c>
      <c r="X78" s="32">
        <v>8.4950000000000008E-3</v>
      </c>
      <c r="Y78" s="32">
        <v>4.9175999999999997E-2</v>
      </c>
      <c r="Z78" s="32">
        <v>0.141598</v>
      </c>
      <c r="AA78" s="32">
        <v>0.1653</v>
      </c>
      <c r="AB78" s="32">
        <v>0.189697</v>
      </c>
    </row>
    <row r="79" spans="1:28" ht="15.6" customHeight="1" x14ac:dyDescent="0.25">
      <c r="A79" s="24" t="s">
        <v>368</v>
      </c>
      <c r="B79" s="50">
        <v>3738</v>
      </c>
      <c r="C79" s="25" t="s">
        <v>369</v>
      </c>
      <c r="D79" s="25" t="s">
        <v>159</v>
      </c>
      <c r="E79" s="25" t="s">
        <v>194</v>
      </c>
      <c r="F79" s="25" t="s">
        <v>138</v>
      </c>
      <c r="G79" s="26" t="s">
        <v>139</v>
      </c>
      <c r="H79" s="27" t="s">
        <v>370</v>
      </c>
      <c r="I79" s="24" t="s">
        <v>106</v>
      </c>
      <c r="J79" s="24" t="s">
        <v>121</v>
      </c>
      <c r="K79" s="28" t="s">
        <v>108</v>
      </c>
      <c r="L79" s="29">
        <v>0</v>
      </c>
      <c r="M79" s="29">
        <v>0</v>
      </c>
      <c r="N79" s="29">
        <v>0.02</v>
      </c>
      <c r="O79" s="27" t="s">
        <v>161</v>
      </c>
      <c r="P79" s="30" t="s">
        <v>159</v>
      </c>
      <c r="Q79" s="31">
        <v>2207187395.1799998</v>
      </c>
      <c r="R79" s="31">
        <v>19941.34</v>
      </c>
      <c r="S79" s="32">
        <v>0.135045</v>
      </c>
      <c r="T79" s="32">
        <v>2.947E-3</v>
      </c>
      <c r="U79" s="32">
        <v>-1.4419999999999999E-3</v>
      </c>
      <c r="V79" s="32">
        <v>9.2149999999999992E-3</v>
      </c>
      <c r="W79" s="32">
        <v>3.7800000000000003E-4</v>
      </c>
      <c r="X79" s="32">
        <v>1.0134000000000001E-2</v>
      </c>
      <c r="Y79" s="32">
        <v>0.135045</v>
      </c>
      <c r="Z79" s="32">
        <v>0.28015000000000001</v>
      </c>
      <c r="AA79" s="32">
        <v>0.31950600000000001</v>
      </c>
      <c r="AB79" s="32">
        <v>0.31917400000000001</v>
      </c>
    </row>
    <row r="80" spans="1:28" ht="15.6" customHeight="1" x14ac:dyDescent="0.25">
      <c r="A80" s="24" t="s">
        <v>371</v>
      </c>
      <c r="B80" s="50">
        <v>3739</v>
      </c>
      <c r="C80" s="25" t="s">
        <v>372</v>
      </c>
      <c r="D80" s="25" t="s">
        <v>145</v>
      </c>
      <c r="E80" s="25" t="s">
        <v>194</v>
      </c>
      <c r="F80" s="25" t="s">
        <v>128</v>
      </c>
      <c r="G80" s="26" t="s">
        <v>129</v>
      </c>
      <c r="H80" s="27" t="s">
        <v>373</v>
      </c>
      <c r="I80" s="24" t="s">
        <v>106</v>
      </c>
      <c r="J80" s="24" t="s">
        <v>107</v>
      </c>
      <c r="K80" s="28" t="s">
        <v>108</v>
      </c>
      <c r="L80" s="29">
        <v>0.01</v>
      </c>
      <c r="M80" s="29">
        <v>0.01</v>
      </c>
      <c r="N80" s="29">
        <v>0.01</v>
      </c>
      <c r="O80" s="27" t="s">
        <v>148</v>
      </c>
      <c r="P80" s="30" t="s">
        <v>145</v>
      </c>
      <c r="Q80" s="31">
        <v>1246513681.1099999</v>
      </c>
      <c r="R80" s="31">
        <v>1490.97</v>
      </c>
      <c r="S80" s="32">
        <v>2.9433999999999998E-2</v>
      </c>
      <c r="T80" s="32">
        <v>2.1499999999999999E-4</v>
      </c>
      <c r="U80" s="32">
        <v>4.2299999999999998E-4</v>
      </c>
      <c r="V80" s="32">
        <v>2.6559999999999999E-3</v>
      </c>
      <c r="W80" s="32">
        <v>5.4149999999999997E-3</v>
      </c>
      <c r="X80" s="32">
        <v>1.1753E-2</v>
      </c>
      <c r="Y80" s="32">
        <v>2.9433999999999998E-2</v>
      </c>
      <c r="Z80" s="32">
        <v>7.0060999999999998E-2</v>
      </c>
      <c r="AA80" s="32">
        <v>0.10888200000000001</v>
      </c>
      <c r="AB80" s="32">
        <v>0.141683</v>
      </c>
    </row>
    <row r="81" spans="1:28" ht="15.6" customHeight="1" x14ac:dyDescent="0.25">
      <c r="A81" s="24" t="s">
        <v>374</v>
      </c>
      <c r="B81" s="50">
        <v>3740</v>
      </c>
      <c r="C81" s="25" t="s">
        <v>375</v>
      </c>
      <c r="D81" s="25" t="s">
        <v>137</v>
      </c>
      <c r="E81" s="25" t="s">
        <v>194</v>
      </c>
      <c r="F81" s="25" t="s">
        <v>155</v>
      </c>
      <c r="G81" s="26" t="s">
        <v>139</v>
      </c>
      <c r="H81" s="27" t="s">
        <v>139</v>
      </c>
      <c r="I81" s="24" t="s">
        <v>106</v>
      </c>
      <c r="J81" s="24" t="s">
        <v>107</v>
      </c>
      <c r="K81" s="28" t="s">
        <v>108</v>
      </c>
      <c r="L81" s="29">
        <v>2E-3</v>
      </c>
      <c r="M81" s="29">
        <v>2E-3</v>
      </c>
      <c r="N81" s="29">
        <v>0.02</v>
      </c>
      <c r="O81" s="27" t="s">
        <v>141</v>
      </c>
      <c r="P81" s="30" t="s">
        <v>142</v>
      </c>
      <c r="Q81" s="31">
        <v>29238570.711663999</v>
      </c>
      <c r="R81" s="31">
        <v>255.03</v>
      </c>
      <c r="S81" s="32">
        <v>0.27133600000000002</v>
      </c>
      <c r="T81" s="32">
        <v>8.9409999999999993E-3</v>
      </c>
      <c r="U81" s="32">
        <v>-8.1670000000000006E-3</v>
      </c>
      <c r="V81" s="32">
        <v>5.7970000000000001E-3</v>
      </c>
      <c r="W81" s="32">
        <v>1.1703E-2</v>
      </c>
      <c r="X81" s="32">
        <v>1.8408999999999998E-2</v>
      </c>
      <c r="Y81" s="32">
        <v>0.27133600000000002</v>
      </c>
      <c r="Z81" s="32">
        <v>0.64939899999999995</v>
      </c>
      <c r="AA81" s="32">
        <v>0.87577199999999999</v>
      </c>
      <c r="AB81" s="32">
        <v>0.92897700000000005</v>
      </c>
    </row>
    <row r="82" spans="1:28" ht="15.6" customHeight="1" x14ac:dyDescent="0.25">
      <c r="A82" s="24" t="s">
        <v>376</v>
      </c>
      <c r="B82" s="50">
        <v>3744</v>
      </c>
      <c r="C82" s="25" t="s">
        <v>377</v>
      </c>
      <c r="D82" s="25" t="s">
        <v>145</v>
      </c>
      <c r="E82" s="25" t="s">
        <v>194</v>
      </c>
      <c r="F82" s="25" t="s">
        <v>103</v>
      </c>
      <c r="G82" s="26" t="s">
        <v>378</v>
      </c>
      <c r="H82" s="27" t="s">
        <v>379</v>
      </c>
      <c r="I82" s="24" t="s">
        <v>106</v>
      </c>
      <c r="J82" s="24" t="s">
        <v>107</v>
      </c>
      <c r="K82" s="28" t="s">
        <v>108</v>
      </c>
      <c r="L82" s="29">
        <v>0.01</v>
      </c>
      <c r="M82" s="29">
        <v>0.01</v>
      </c>
      <c r="N82" s="29">
        <v>0.01</v>
      </c>
      <c r="O82" s="27" t="s">
        <v>148</v>
      </c>
      <c r="P82" s="30" t="s">
        <v>145</v>
      </c>
      <c r="Q82" s="31">
        <v>2465263504.2800002</v>
      </c>
      <c r="R82" s="31">
        <v>142980.13</v>
      </c>
      <c r="S82" s="32">
        <v>3.0782E-2</v>
      </c>
      <c r="T82" s="32">
        <v>4.4000000000000002E-4</v>
      </c>
      <c r="U82" s="32">
        <v>9.4200000000000002E-4</v>
      </c>
      <c r="V82" s="32">
        <v>2.9169999999999999E-3</v>
      </c>
      <c r="W82" s="32">
        <v>6.8069999999999997E-3</v>
      </c>
      <c r="X82" s="32">
        <v>1.3634E-2</v>
      </c>
      <c r="Y82" s="32">
        <v>3.0782E-2</v>
      </c>
      <c r="Z82" s="32">
        <v>6.6489999999999994E-2</v>
      </c>
      <c r="AA82" s="32">
        <v>0.100762</v>
      </c>
      <c r="AB82" s="32">
        <v>0.137685</v>
      </c>
    </row>
    <row r="83" spans="1:28" ht="15.6" customHeight="1" x14ac:dyDescent="0.25">
      <c r="A83" s="24" t="s">
        <v>380</v>
      </c>
      <c r="B83" s="50">
        <v>3745</v>
      </c>
      <c r="C83" s="25" t="s">
        <v>381</v>
      </c>
      <c r="D83" s="25" t="s">
        <v>127</v>
      </c>
      <c r="E83" s="25" t="s">
        <v>194</v>
      </c>
      <c r="F83" s="25" t="s">
        <v>128</v>
      </c>
      <c r="G83" s="26" t="s">
        <v>250</v>
      </c>
      <c r="H83" s="27" t="s">
        <v>130</v>
      </c>
      <c r="I83" s="24" t="s">
        <v>106</v>
      </c>
      <c r="J83" s="24" t="s">
        <v>121</v>
      </c>
      <c r="K83" s="28" t="s">
        <v>180</v>
      </c>
      <c r="L83" s="29">
        <v>0</v>
      </c>
      <c r="M83" s="29">
        <v>0</v>
      </c>
      <c r="N83" s="29">
        <v>0.02</v>
      </c>
      <c r="O83" s="27" t="s">
        <v>131</v>
      </c>
      <c r="P83" s="30" t="s">
        <v>131</v>
      </c>
      <c r="Q83" s="31">
        <v>5654958.8300000001</v>
      </c>
      <c r="R83" s="31">
        <v>1110.33</v>
      </c>
      <c r="S83" s="32">
        <v>2.3799000000000001E-2</v>
      </c>
      <c r="T83" s="32">
        <v>4.5000000000000003E-5</v>
      </c>
      <c r="U83" s="32">
        <v>3.9599999999999998E-4</v>
      </c>
      <c r="V83" s="32">
        <v>2.0579999999999999E-3</v>
      </c>
      <c r="W83" s="32">
        <v>4.3509999999999998E-3</v>
      </c>
      <c r="X83" s="32">
        <v>9.6480000000000003E-3</v>
      </c>
      <c r="Y83" s="32">
        <v>2.3799000000000001E-2</v>
      </c>
      <c r="Z83" s="32">
        <v>5.7709000000000003E-2</v>
      </c>
      <c r="AA83" s="32">
        <v>9.3091999999999994E-2</v>
      </c>
      <c r="AB83" s="32">
        <v>0.12316100000000001</v>
      </c>
    </row>
    <row r="84" spans="1:28" ht="15.6" customHeight="1" x14ac:dyDescent="0.25">
      <c r="A84" s="24" t="s">
        <v>382</v>
      </c>
      <c r="B84" s="50">
        <v>3748</v>
      </c>
      <c r="C84" s="25" t="s">
        <v>383</v>
      </c>
      <c r="D84" s="25" t="s">
        <v>355</v>
      </c>
      <c r="E84" s="25" t="s">
        <v>194</v>
      </c>
      <c r="F84" s="25" t="s">
        <v>128</v>
      </c>
      <c r="G84" s="26" t="s">
        <v>250</v>
      </c>
      <c r="H84" s="27" t="s">
        <v>130</v>
      </c>
      <c r="I84" s="24" t="s">
        <v>106</v>
      </c>
      <c r="J84" s="24" t="s">
        <v>107</v>
      </c>
      <c r="K84" s="28" t="s">
        <v>108</v>
      </c>
      <c r="L84" s="29">
        <v>0.02</v>
      </c>
      <c r="M84" s="29">
        <v>1.4999999999999999E-2</v>
      </c>
      <c r="N84" s="29">
        <v>0.02</v>
      </c>
      <c r="O84" s="27" t="s">
        <v>109</v>
      </c>
      <c r="P84" s="30" t="s">
        <v>355</v>
      </c>
      <c r="Q84" s="31">
        <v>167154291.52000001</v>
      </c>
      <c r="R84" s="31">
        <v>1436.34</v>
      </c>
      <c r="S84" s="32">
        <v>2.8506E-2</v>
      </c>
      <c r="T84" s="32">
        <v>6.9999999999999994E-5</v>
      </c>
      <c r="U84" s="32">
        <v>5.2899999999999996E-4</v>
      </c>
      <c r="V84" s="32">
        <v>3.1849999999999999E-3</v>
      </c>
      <c r="W84" s="32">
        <v>5.5589999999999997E-3</v>
      </c>
      <c r="X84" s="32">
        <v>1.2134000000000001E-2</v>
      </c>
      <c r="Y84" s="32">
        <v>2.8506E-2</v>
      </c>
      <c r="Z84" s="32">
        <v>6.3625000000000001E-2</v>
      </c>
      <c r="AA84" s="32">
        <v>9.9034999999999998E-2</v>
      </c>
      <c r="AB84" s="32">
        <v>0.13205500000000001</v>
      </c>
    </row>
    <row r="85" spans="1:28" ht="15.6" customHeight="1" x14ac:dyDescent="0.25">
      <c r="A85" s="24" t="s">
        <v>384</v>
      </c>
      <c r="B85" s="50">
        <v>3751</v>
      </c>
      <c r="C85" s="25" t="s">
        <v>385</v>
      </c>
      <c r="D85" s="25" t="s">
        <v>137</v>
      </c>
      <c r="E85" s="25" t="s">
        <v>194</v>
      </c>
      <c r="F85" s="25" t="s">
        <v>103</v>
      </c>
      <c r="G85" s="26" t="s">
        <v>343</v>
      </c>
      <c r="H85" s="27" t="s">
        <v>386</v>
      </c>
      <c r="I85" s="24" t="s">
        <v>106</v>
      </c>
      <c r="J85" s="24" t="s">
        <v>107</v>
      </c>
      <c r="K85" s="28" t="s">
        <v>108</v>
      </c>
      <c r="L85" s="29">
        <v>5.0000000000000001E-3</v>
      </c>
      <c r="M85" s="29">
        <v>5.0000000000000001E-3</v>
      </c>
      <c r="N85" s="29">
        <v>4.0000000000000001E-3</v>
      </c>
      <c r="O85" s="27" t="s">
        <v>141</v>
      </c>
      <c r="P85" s="30" t="s">
        <v>142</v>
      </c>
      <c r="Q85" s="31">
        <v>135106622.38309199</v>
      </c>
      <c r="R85" s="31">
        <v>2412618.2599999998</v>
      </c>
      <c r="S85" s="32">
        <v>4.7551000000000003E-2</v>
      </c>
      <c r="T85" s="32">
        <v>2.5300000000000002E-4</v>
      </c>
      <c r="U85" s="32">
        <v>5.1400000000000003E-4</v>
      </c>
      <c r="V85" s="32">
        <v>4.3975E-2</v>
      </c>
      <c r="W85" s="32">
        <v>4.4811999999999998E-2</v>
      </c>
      <c r="X85" s="32">
        <v>4.6221999999999999E-2</v>
      </c>
      <c r="Y85" s="32">
        <v>4.7551000000000003E-2</v>
      </c>
      <c r="Z85" s="32">
        <v>4.2346000000000002E-2</v>
      </c>
      <c r="AA85" s="32">
        <v>3.1537000000000003E-2</v>
      </c>
      <c r="AB85" s="32">
        <v>4.7169999999999998E-3</v>
      </c>
    </row>
    <row r="86" spans="1:28" ht="15.6" customHeight="1" x14ac:dyDescent="0.25">
      <c r="A86" s="24" t="s">
        <v>387</v>
      </c>
      <c r="B86" s="50">
        <v>3755</v>
      </c>
      <c r="C86" s="25" t="s">
        <v>388</v>
      </c>
      <c r="D86" s="25" t="s">
        <v>159</v>
      </c>
      <c r="E86" s="25" t="s">
        <v>194</v>
      </c>
      <c r="F86" s="25" t="s">
        <v>128</v>
      </c>
      <c r="G86" s="26" t="s">
        <v>389</v>
      </c>
      <c r="H86" s="27" t="s">
        <v>130</v>
      </c>
      <c r="I86" s="24" t="s">
        <v>106</v>
      </c>
      <c r="J86" s="24" t="s">
        <v>121</v>
      </c>
      <c r="K86" s="28" t="s">
        <v>108</v>
      </c>
      <c r="L86" s="29">
        <v>0</v>
      </c>
      <c r="M86" s="29">
        <v>0</v>
      </c>
      <c r="N86" s="29">
        <v>0.02</v>
      </c>
      <c r="O86" s="27" t="s">
        <v>161</v>
      </c>
      <c r="P86" s="30" t="s">
        <v>159</v>
      </c>
      <c r="Q86" s="31">
        <v>1272871414</v>
      </c>
      <c r="R86" s="31">
        <v>1385.97</v>
      </c>
      <c r="S86" s="32">
        <v>2.5884999999999998E-2</v>
      </c>
      <c r="T86" s="32">
        <v>3.39E-4</v>
      </c>
      <c r="U86" s="32">
        <v>7.7999999999999999E-4</v>
      </c>
      <c r="V86" s="32">
        <v>2.4659999999999999E-3</v>
      </c>
      <c r="W86" s="32">
        <v>5.3819999999999996E-3</v>
      </c>
      <c r="X86" s="32">
        <v>1.0992999999999999E-2</v>
      </c>
      <c r="Y86" s="32">
        <v>2.5884999999999998E-2</v>
      </c>
      <c r="Z86" s="32">
        <v>6.1184000000000002E-2</v>
      </c>
      <c r="AA86" s="32">
        <v>9.7797999999999996E-2</v>
      </c>
      <c r="AB86" s="32">
        <v>0.12573400000000001</v>
      </c>
    </row>
    <row r="87" spans="1:28" ht="15.6" customHeight="1" x14ac:dyDescent="0.25">
      <c r="A87" s="24" t="s">
        <v>390</v>
      </c>
      <c r="B87" s="50">
        <v>3756</v>
      </c>
      <c r="C87" s="25" t="s">
        <v>391</v>
      </c>
      <c r="D87" s="25" t="s">
        <v>101</v>
      </c>
      <c r="E87" s="25" t="s">
        <v>194</v>
      </c>
      <c r="F87" s="25" t="s">
        <v>103</v>
      </c>
      <c r="G87" s="26" t="s">
        <v>392</v>
      </c>
      <c r="H87" s="27" t="s">
        <v>337</v>
      </c>
      <c r="I87" s="24" t="s">
        <v>106</v>
      </c>
      <c r="J87" s="24" t="s">
        <v>121</v>
      </c>
      <c r="K87" s="28" t="s">
        <v>108</v>
      </c>
      <c r="L87" s="29">
        <v>0</v>
      </c>
      <c r="M87" s="29">
        <v>0</v>
      </c>
      <c r="N87" s="29">
        <v>0.02</v>
      </c>
      <c r="O87" s="27" t="s">
        <v>109</v>
      </c>
      <c r="P87" s="30" t="s">
        <v>101</v>
      </c>
      <c r="Q87" s="31">
        <v>28694853.789999999</v>
      </c>
      <c r="R87" s="31">
        <v>129256.1</v>
      </c>
      <c r="S87" s="32">
        <v>2.1083999999999999E-2</v>
      </c>
      <c r="T87" s="32">
        <v>-6.0000000000000002E-5</v>
      </c>
      <c r="U87" s="32">
        <v>2.8800000000000001E-4</v>
      </c>
      <c r="V87" s="32">
        <v>1.6479999999999999E-3</v>
      </c>
      <c r="W87" s="32">
        <v>4.3990000000000001E-3</v>
      </c>
      <c r="X87" s="32">
        <v>9.2409999999999992E-3</v>
      </c>
      <c r="Y87" s="32">
        <v>2.1083999999999999E-2</v>
      </c>
      <c r="Z87" s="32">
        <v>5.1819999999999998E-2</v>
      </c>
      <c r="AA87" s="32">
        <v>8.6112999999999995E-2</v>
      </c>
      <c r="AB87" s="32">
        <v>0.115165</v>
      </c>
    </row>
    <row r="88" spans="1:28" ht="15.6" customHeight="1" x14ac:dyDescent="0.25">
      <c r="A88" s="24" t="s">
        <v>393</v>
      </c>
      <c r="B88" s="50">
        <v>3761</v>
      </c>
      <c r="C88" s="25" t="s">
        <v>394</v>
      </c>
      <c r="D88" s="25" t="s">
        <v>241</v>
      </c>
      <c r="E88" s="25" t="s">
        <v>194</v>
      </c>
      <c r="F88" s="25" t="s">
        <v>128</v>
      </c>
      <c r="G88" s="26" t="s">
        <v>289</v>
      </c>
      <c r="H88" s="27" t="s">
        <v>130</v>
      </c>
      <c r="I88" s="24" t="s">
        <v>106</v>
      </c>
      <c r="J88" s="24" t="s">
        <v>107</v>
      </c>
      <c r="K88" s="28" t="s">
        <v>108</v>
      </c>
      <c r="L88" s="29">
        <v>0</v>
      </c>
      <c r="M88" s="29">
        <v>0</v>
      </c>
      <c r="N88" s="29">
        <v>0.02</v>
      </c>
      <c r="O88" s="27" t="s">
        <v>148</v>
      </c>
      <c r="P88" s="30" t="s">
        <v>241</v>
      </c>
      <c r="Q88" s="31">
        <v>3164311526.2600002</v>
      </c>
      <c r="R88" s="31">
        <v>1411.89</v>
      </c>
      <c r="S88" s="32">
        <v>3.2905999999999998E-2</v>
      </c>
      <c r="T88" s="32">
        <v>1.7000000000000001E-4</v>
      </c>
      <c r="U88" s="32">
        <v>7.5100000000000004E-4</v>
      </c>
      <c r="V88" s="32">
        <v>3.0899999999999999E-3</v>
      </c>
      <c r="W88" s="32">
        <v>6.509E-3</v>
      </c>
      <c r="X88" s="32">
        <v>1.3321E-2</v>
      </c>
      <c r="Y88" s="32">
        <v>3.2905999999999998E-2</v>
      </c>
      <c r="Z88" s="32">
        <v>7.6201000000000005E-2</v>
      </c>
      <c r="AA88" s="32">
        <v>0.116092</v>
      </c>
      <c r="AB88" s="32">
        <v>0.15432499999999999</v>
      </c>
    </row>
    <row r="89" spans="1:28" ht="15.6" customHeight="1" x14ac:dyDescent="0.25">
      <c r="A89" s="24" t="s">
        <v>395</v>
      </c>
      <c r="B89" s="50">
        <v>3762</v>
      </c>
      <c r="C89" s="25" t="s">
        <v>396</v>
      </c>
      <c r="D89" s="25" t="s">
        <v>342</v>
      </c>
      <c r="E89" s="25" t="s">
        <v>194</v>
      </c>
      <c r="F89" s="25" t="s">
        <v>128</v>
      </c>
      <c r="G89" s="26" t="s">
        <v>289</v>
      </c>
      <c r="H89" s="27" t="s">
        <v>130</v>
      </c>
      <c r="I89" s="24" t="s">
        <v>106</v>
      </c>
      <c r="J89" s="24" t="s">
        <v>107</v>
      </c>
      <c r="K89" s="28" t="s">
        <v>108</v>
      </c>
      <c r="L89" s="29">
        <v>0.03</v>
      </c>
      <c r="M89" s="29">
        <v>0.03</v>
      </c>
      <c r="N89" s="29">
        <v>0.02</v>
      </c>
      <c r="O89" s="27" t="s">
        <v>148</v>
      </c>
      <c r="P89" s="30" t="s">
        <v>344</v>
      </c>
      <c r="Q89" s="31">
        <v>729948779.62</v>
      </c>
      <c r="R89" s="31">
        <v>1346.07</v>
      </c>
      <c r="S89" s="32">
        <v>3.2278000000000001E-2</v>
      </c>
      <c r="T89" s="32">
        <v>-8.2000000000000001E-5</v>
      </c>
      <c r="U89" s="32">
        <v>6.1700000000000004E-4</v>
      </c>
      <c r="V89" s="32">
        <v>2.764E-3</v>
      </c>
      <c r="W89" s="32">
        <v>6.0769999999999999E-3</v>
      </c>
      <c r="X89" s="32">
        <v>1.2311000000000001E-2</v>
      </c>
      <c r="Y89" s="32">
        <v>3.2278000000000001E-2</v>
      </c>
      <c r="Z89" s="32">
        <v>7.6684000000000002E-2</v>
      </c>
      <c r="AA89" s="32">
        <v>0.109914</v>
      </c>
      <c r="AB89" s="32">
        <v>0.147232</v>
      </c>
    </row>
    <row r="90" spans="1:28" ht="15.6" customHeight="1" x14ac:dyDescent="0.25">
      <c r="A90" s="24" t="s">
        <v>397</v>
      </c>
      <c r="B90" s="50">
        <v>3763</v>
      </c>
      <c r="C90" s="25" t="s">
        <v>398</v>
      </c>
      <c r="D90" s="25" t="s">
        <v>342</v>
      </c>
      <c r="E90" s="25" t="s">
        <v>194</v>
      </c>
      <c r="F90" s="25" t="s">
        <v>103</v>
      </c>
      <c r="G90" s="26" t="s">
        <v>244</v>
      </c>
      <c r="H90" s="27" t="s">
        <v>130</v>
      </c>
      <c r="I90" s="24" t="s">
        <v>106</v>
      </c>
      <c r="J90" s="24" t="s">
        <v>107</v>
      </c>
      <c r="K90" s="28" t="s">
        <v>108</v>
      </c>
      <c r="L90" s="29">
        <v>0.03</v>
      </c>
      <c r="M90" s="29">
        <v>0.03</v>
      </c>
      <c r="N90" s="29">
        <v>0.02</v>
      </c>
      <c r="O90" s="27" t="s">
        <v>148</v>
      </c>
      <c r="P90" s="30" t="s">
        <v>344</v>
      </c>
      <c r="Q90" s="31">
        <v>223249045.61000001</v>
      </c>
      <c r="R90" s="31">
        <v>1282.3599999999999</v>
      </c>
      <c r="S90" s="32">
        <v>2.8174999999999999E-2</v>
      </c>
      <c r="T90" s="32">
        <v>3.1199999999999999E-4</v>
      </c>
      <c r="U90" s="32">
        <v>7.6499999999999995E-4</v>
      </c>
      <c r="V90" s="32">
        <v>2.2820000000000002E-3</v>
      </c>
      <c r="W90" s="32">
        <v>5.8279999999999998E-3</v>
      </c>
      <c r="X90" s="32">
        <v>1.2115000000000001E-2</v>
      </c>
      <c r="Y90" s="32">
        <v>2.8174999999999999E-2</v>
      </c>
      <c r="Z90" s="32">
        <v>6.2910999999999995E-2</v>
      </c>
      <c r="AA90" s="32">
        <v>9.7356999999999999E-2</v>
      </c>
      <c r="AB90" s="32">
        <v>0.12806300000000001</v>
      </c>
    </row>
    <row r="91" spans="1:28" ht="15.6" customHeight="1" x14ac:dyDescent="0.25">
      <c r="A91" s="24" t="s">
        <v>399</v>
      </c>
      <c r="B91" s="50">
        <v>3767</v>
      </c>
      <c r="C91" s="25" t="s">
        <v>400</v>
      </c>
      <c r="D91" s="25" t="s">
        <v>145</v>
      </c>
      <c r="E91" s="25" t="s">
        <v>194</v>
      </c>
      <c r="F91" s="25" t="s">
        <v>103</v>
      </c>
      <c r="G91" s="26" t="s">
        <v>401</v>
      </c>
      <c r="H91" s="27" t="s">
        <v>379</v>
      </c>
      <c r="I91" s="24" t="s">
        <v>106</v>
      </c>
      <c r="J91" s="24" t="s">
        <v>107</v>
      </c>
      <c r="K91" s="28" t="s">
        <v>108</v>
      </c>
      <c r="L91" s="29">
        <v>0.01</v>
      </c>
      <c r="M91" s="29">
        <v>5.0000000000000001E-3</v>
      </c>
      <c r="N91" s="29">
        <v>4.0000000000000001E-3</v>
      </c>
      <c r="O91" s="27" t="s">
        <v>148</v>
      </c>
      <c r="P91" s="30" t="s">
        <v>145</v>
      </c>
      <c r="Q91" s="31">
        <v>202019790.16</v>
      </c>
      <c r="R91" s="31">
        <v>1274.4000000000001</v>
      </c>
      <c r="S91" s="32">
        <v>2.2374000000000002E-2</v>
      </c>
      <c r="T91" s="32">
        <v>1.3300000000000001E-4</v>
      </c>
      <c r="U91" s="32">
        <v>4.95E-4</v>
      </c>
      <c r="V91" s="32">
        <v>2.029E-3</v>
      </c>
      <c r="W91" s="32">
        <v>5.0949999999999997E-3</v>
      </c>
      <c r="X91" s="32">
        <v>1.0066E-2</v>
      </c>
      <c r="Y91" s="32">
        <v>2.2374000000000002E-2</v>
      </c>
      <c r="Z91" s="32">
        <v>5.0636E-2</v>
      </c>
      <c r="AA91" s="32">
        <v>0.08</v>
      </c>
      <c r="AB91" s="32">
        <v>0.11222600000000001</v>
      </c>
    </row>
    <row r="92" spans="1:28" ht="15.6" customHeight="1" x14ac:dyDescent="0.25">
      <c r="A92" s="24" t="s">
        <v>402</v>
      </c>
      <c r="B92" s="50">
        <v>3771</v>
      </c>
      <c r="C92" s="25" t="s">
        <v>403</v>
      </c>
      <c r="D92" s="25" t="s">
        <v>145</v>
      </c>
      <c r="E92" s="25" t="s">
        <v>194</v>
      </c>
      <c r="F92" s="25" t="s">
        <v>128</v>
      </c>
      <c r="G92" s="26" t="s">
        <v>129</v>
      </c>
      <c r="H92" s="27" t="s">
        <v>130</v>
      </c>
      <c r="I92" s="24" t="s">
        <v>106</v>
      </c>
      <c r="J92" s="24" t="s">
        <v>107</v>
      </c>
      <c r="K92" s="28" t="s">
        <v>108</v>
      </c>
      <c r="L92" s="29">
        <v>0.03</v>
      </c>
      <c r="M92" s="29">
        <v>1.4999999999999999E-2</v>
      </c>
      <c r="N92" s="29">
        <v>0.01</v>
      </c>
      <c r="O92" s="27" t="s">
        <v>148</v>
      </c>
      <c r="P92" s="30" t="s">
        <v>145</v>
      </c>
      <c r="Q92" s="31">
        <v>4938877214.8400002</v>
      </c>
      <c r="R92" s="31">
        <v>2536.4699999999998</v>
      </c>
      <c r="S92" s="32">
        <v>3.3223000000000003E-2</v>
      </c>
      <c r="T92" s="32">
        <v>1.2999999999999999E-4</v>
      </c>
      <c r="U92" s="32">
        <v>4.2200000000000001E-4</v>
      </c>
      <c r="V92" s="32">
        <v>2.7239999999999999E-3</v>
      </c>
      <c r="W92" s="32">
        <v>5.5979999999999997E-3</v>
      </c>
      <c r="X92" s="32">
        <v>1.2458E-2</v>
      </c>
      <c r="Y92" s="32">
        <v>3.3223000000000003E-2</v>
      </c>
      <c r="Z92" s="32">
        <v>7.4875999999999998E-2</v>
      </c>
      <c r="AA92" s="32">
        <v>0.109431</v>
      </c>
      <c r="AB92" s="32">
        <v>0.14621500000000001</v>
      </c>
    </row>
    <row r="93" spans="1:28" ht="15.6" customHeight="1" x14ac:dyDescent="0.25">
      <c r="A93" s="24" t="s">
        <v>404</v>
      </c>
      <c r="B93" s="50">
        <v>3772</v>
      </c>
      <c r="C93" s="25" t="s">
        <v>405</v>
      </c>
      <c r="D93" s="25" t="s">
        <v>145</v>
      </c>
      <c r="E93" s="25" t="s">
        <v>194</v>
      </c>
      <c r="F93" s="25" t="s">
        <v>113</v>
      </c>
      <c r="G93" s="26" t="s">
        <v>406</v>
      </c>
      <c r="H93" s="27" t="s">
        <v>407</v>
      </c>
      <c r="I93" s="24" t="s">
        <v>106</v>
      </c>
      <c r="J93" s="24" t="s">
        <v>107</v>
      </c>
      <c r="K93" s="28" t="s">
        <v>108</v>
      </c>
      <c r="L93" s="29">
        <v>0.01</v>
      </c>
      <c r="M93" s="29">
        <v>5.0000000000000001E-3</v>
      </c>
      <c r="N93" s="29">
        <v>0.01</v>
      </c>
      <c r="O93" s="27" t="s">
        <v>148</v>
      </c>
      <c r="P93" s="30" t="s">
        <v>145</v>
      </c>
      <c r="Q93" s="31">
        <v>877572874.95000005</v>
      </c>
      <c r="R93" s="31">
        <v>151724.21</v>
      </c>
      <c r="S93" s="32">
        <v>6.6210000000000005E-2</v>
      </c>
      <c r="T93" s="32">
        <v>9.2900000000000003E-4</v>
      </c>
      <c r="U93" s="32">
        <v>-1.0189999999999999E-3</v>
      </c>
      <c r="V93" s="32">
        <v>6.1079999999999997E-3</v>
      </c>
      <c r="W93" s="32">
        <v>1.3200000000000001E-4</v>
      </c>
      <c r="X93" s="32" t="s">
        <v>139</v>
      </c>
      <c r="Y93" s="32">
        <v>6.6210000000000005E-2</v>
      </c>
      <c r="Z93" s="32" t="s">
        <v>139</v>
      </c>
      <c r="AA93" s="32">
        <v>0.19502</v>
      </c>
      <c r="AB93" s="32" t="s">
        <v>139</v>
      </c>
    </row>
    <row r="94" spans="1:28" ht="15.6" customHeight="1" x14ac:dyDescent="0.25">
      <c r="A94" s="24" t="s">
        <v>408</v>
      </c>
      <c r="B94" s="50">
        <v>3774</v>
      </c>
      <c r="C94" s="25" t="s">
        <v>409</v>
      </c>
      <c r="D94" s="25" t="s">
        <v>145</v>
      </c>
      <c r="E94" s="25" t="s">
        <v>194</v>
      </c>
      <c r="F94" s="25" t="s">
        <v>138</v>
      </c>
      <c r="G94" s="26" t="s">
        <v>139</v>
      </c>
      <c r="H94" s="27" t="s">
        <v>283</v>
      </c>
      <c r="I94" s="24" t="s">
        <v>106</v>
      </c>
      <c r="J94" s="24" t="s">
        <v>107</v>
      </c>
      <c r="K94" s="28" t="s">
        <v>108</v>
      </c>
      <c r="L94" s="29">
        <v>0.01</v>
      </c>
      <c r="M94" s="29">
        <v>5.0000000000000001E-3</v>
      </c>
      <c r="N94" s="29">
        <v>0.02</v>
      </c>
      <c r="O94" s="27" t="s">
        <v>148</v>
      </c>
      <c r="P94" s="30" t="s">
        <v>145</v>
      </c>
      <c r="Q94" s="31">
        <v>30232246.48</v>
      </c>
      <c r="R94" s="31">
        <v>163417.54</v>
      </c>
      <c r="S94" s="32">
        <v>9.6354999999999996E-2</v>
      </c>
      <c r="T94" s="32">
        <v>1.8680000000000001E-3</v>
      </c>
      <c r="U94" s="32">
        <v>-2.9710000000000001E-3</v>
      </c>
      <c r="V94" s="32">
        <v>5.6179999999999997E-3</v>
      </c>
      <c r="W94" s="32">
        <v>-4.823E-3</v>
      </c>
      <c r="X94" s="32" t="s">
        <v>139</v>
      </c>
      <c r="Y94" s="32">
        <v>9.6354999999999996E-2</v>
      </c>
      <c r="Z94" s="32" t="s">
        <v>139</v>
      </c>
      <c r="AA94" s="32">
        <v>0.247636</v>
      </c>
      <c r="AB94" s="32" t="s">
        <v>139</v>
      </c>
    </row>
    <row r="95" spans="1:28" ht="15.6" customHeight="1" x14ac:dyDescent="0.25">
      <c r="A95" s="24" t="s">
        <v>410</v>
      </c>
      <c r="B95" s="50">
        <v>3775</v>
      </c>
      <c r="C95" s="25" t="s">
        <v>411</v>
      </c>
      <c r="D95" s="25" t="s">
        <v>145</v>
      </c>
      <c r="E95" s="25" t="s">
        <v>194</v>
      </c>
      <c r="F95" s="25" t="s">
        <v>155</v>
      </c>
      <c r="G95" s="26" t="s">
        <v>139</v>
      </c>
      <c r="H95" s="27" t="s">
        <v>156</v>
      </c>
      <c r="I95" s="24" t="s">
        <v>106</v>
      </c>
      <c r="J95" s="24" t="s">
        <v>107</v>
      </c>
      <c r="K95" s="28" t="s">
        <v>108</v>
      </c>
      <c r="L95" s="29">
        <v>0.02</v>
      </c>
      <c r="M95" s="29">
        <v>0.01</v>
      </c>
      <c r="N95" s="29">
        <v>0.02</v>
      </c>
      <c r="O95" s="27" t="s">
        <v>148</v>
      </c>
      <c r="P95" s="30" t="s">
        <v>145</v>
      </c>
      <c r="Q95" s="31">
        <v>4546204.32</v>
      </c>
      <c r="R95" s="31">
        <v>2151.54</v>
      </c>
      <c r="S95" s="32">
        <v>0.27859299999999998</v>
      </c>
      <c r="T95" s="32">
        <v>8.1530000000000005E-3</v>
      </c>
      <c r="U95" s="32">
        <v>-1.3037E-2</v>
      </c>
      <c r="V95" s="32">
        <v>-2.2309999999999999E-3</v>
      </c>
      <c r="W95" s="32">
        <v>1.4009999999999999E-3</v>
      </c>
      <c r="X95" s="32">
        <v>2.3314999999999999E-2</v>
      </c>
      <c r="Y95" s="32">
        <v>0.27859299999999998</v>
      </c>
      <c r="Z95" s="32" t="s">
        <v>139</v>
      </c>
      <c r="AA95" s="32">
        <v>0.95379599999999998</v>
      </c>
      <c r="AB95" s="32" t="s">
        <v>139</v>
      </c>
    </row>
    <row r="96" spans="1:28" ht="15.6" customHeight="1" x14ac:dyDescent="0.25">
      <c r="A96" s="24" t="s">
        <v>412</v>
      </c>
      <c r="B96" s="50">
        <v>3779</v>
      </c>
      <c r="C96" s="25" t="s">
        <v>413</v>
      </c>
      <c r="D96" s="25" t="s">
        <v>164</v>
      </c>
      <c r="E96" s="25" t="s">
        <v>194</v>
      </c>
      <c r="F96" s="25" t="s">
        <v>128</v>
      </c>
      <c r="G96" s="26" t="s">
        <v>129</v>
      </c>
      <c r="H96" s="27" t="s">
        <v>130</v>
      </c>
      <c r="I96" s="24" t="s">
        <v>106</v>
      </c>
      <c r="J96" s="24" t="s">
        <v>107</v>
      </c>
      <c r="K96" s="28" t="s">
        <v>108</v>
      </c>
      <c r="L96" s="29">
        <v>0.03</v>
      </c>
      <c r="M96" s="29">
        <v>1.4999999999999999E-2</v>
      </c>
      <c r="N96" s="29">
        <v>0.02</v>
      </c>
      <c r="O96" s="27" t="s">
        <v>173</v>
      </c>
      <c r="P96" s="30" t="s">
        <v>414</v>
      </c>
      <c r="Q96" s="31">
        <v>2175566392.73</v>
      </c>
      <c r="R96" s="31">
        <v>2745.2</v>
      </c>
      <c r="S96" s="32">
        <v>2.8684999999999999E-2</v>
      </c>
      <c r="T96" s="32">
        <v>5.5000000000000002E-5</v>
      </c>
      <c r="U96" s="32">
        <v>4.8500000000000003E-4</v>
      </c>
      <c r="V96" s="32">
        <v>2.6220000000000002E-3</v>
      </c>
      <c r="W96" s="32">
        <v>5.5380000000000004E-3</v>
      </c>
      <c r="X96" s="32">
        <v>1.2160000000000001E-2</v>
      </c>
      <c r="Y96" s="32">
        <v>2.8684999999999999E-2</v>
      </c>
      <c r="Z96" s="32">
        <v>6.7835000000000006E-2</v>
      </c>
      <c r="AA96" s="32">
        <v>0.10788300000000001</v>
      </c>
      <c r="AB96" s="32">
        <v>0.140711</v>
      </c>
    </row>
    <row r="97" spans="1:28" ht="15.6" customHeight="1" x14ac:dyDescent="0.25">
      <c r="A97" s="24" t="s">
        <v>415</v>
      </c>
      <c r="B97" s="50">
        <v>3781</v>
      </c>
      <c r="C97" s="25" t="s">
        <v>416</v>
      </c>
      <c r="D97" s="25" t="s">
        <v>137</v>
      </c>
      <c r="E97" s="25" t="s">
        <v>194</v>
      </c>
      <c r="F97" s="25" t="s">
        <v>103</v>
      </c>
      <c r="G97" s="26" t="s">
        <v>216</v>
      </c>
      <c r="H97" s="27" t="s">
        <v>386</v>
      </c>
      <c r="I97" s="24" t="s">
        <v>106</v>
      </c>
      <c r="J97" s="24" t="s">
        <v>107</v>
      </c>
      <c r="K97" s="28" t="s">
        <v>108</v>
      </c>
      <c r="L97" s="29">
        <v>5.0000000000000001E-3</v>
      </c>
      <c r="M97" s="29">
        <v>5.0000000000000001E-3</v>
      </c>
      <c r="N97" s="29">
        <v>6.0000000000000001E-3</v>
      </c>
      <c r="O97" s="27" t="s">
        <v>141</v>
      </c>
      <c r="P97" s="30" t="s">
        <v>142</v>
      </c>
      <c r="Q97" s="31">
        <v>62644690.381833002</v>
      </c>
      <c r="R97" s="31">
        <v>1238.82</v>
      </c>
      <c r="S97" s="32">
        <v>2.3487999999999998E-2</v>
      </c>
      <c r="T97" s="32">
        <v>1.13E-4</v>
      </c>
      <c r="U97" s="32">
        <v>5.3300000000000005E-4</v>
      </c>
      <c r="V97" s="32">
        <v>1.949E-3</v>
      </c>
      <c r="W97" s="32">
        <v>5.1770000000000002E-3</v>
      </c>
      <c r="X97" s="32">
        <v>9.9209999999999993E-3</v>
      </c>
      <c r="Y97" s="32">
        <v>2.3487999999999998E-2</v>
      </c>
      <c r="Z97" s="32">
        <v>5.4233999999999997E-2</v>
      </c>
      <c r="AA97" s="32">
        <v>8.7581000000000006E-2</v>
      </c>
      <c r="AB97" s="32">
        <v>0.11329599999999999</v>
      </c>
    </row>
    <row r="98" spans="1:28" ht="15.6" customHeight="1" x14ac:dyDescent="0.25">
      <c r="A98" s="24" t="s">
        <v>417</v>
      </c>
      <c r="B98" s="50">
        <v>3788</v>
      </c>
      <c r="C98" s="25" t="s">
        <v>418</v>
      </c>
      <c r="D98" s="25" t="s">
        <v>322</v>
      </c>
      <c r="E98" s="25" t="s">
        <v>194</v>
      </c>
      <c r="F98" s="25" t="s">
        <v>128</v>
      </c>
      <c r="G98" s="26" t="s">
        <v>289</v>
      </c>
      <c r="H98" s="27" t="s">
        <v>130</v>
      </c>
      <c r="I98" s="24" t="s">
        <v>106</v>
      </c>
      <c r="J98" s="24" t="s">
        <v>107</v>
      </c>
      <c r="K98" s="28" t="s">
        <v>108</v>
      </c>
      <c r="L98" s="29">
        <v>0.03</v>
      </c>
      <c r="M98" s="29">
        <v>1.4999999999999999E-2</v>
      </c>
      <c r="N98" s="29">
        <v>0.02</v>
      </c>
      <c r="O98" s="27" t="s">
        <v>148</v>
      </c>
      <c r="P98" s="30" t="s">
        <v>322</v>
      </c>
      <c r="Q98" s="31">
        <v>962299510.72000003</v>
      </c>
      <c r="R98" s="31">
        <v>130.61000000000001</v>
      </c>
      <c r="S98" s="32">
        <v>3.3062000000000001E-2</v>
      </c>
      <c r="T98" s="32">
        <v>3.8299999999999999E-4</v>
      </c>
      <c r="U98" s="32">
        <v>1.073E-3</v>
      </c>
      <c r="V98" s="32">
        <v>3.8430000000000001E-3</v>
      </c>
      <c r="W98" s="32">
        <v>6.9389999999999999E-3</v>
      </c>
      <c r="X98" s="32">
        <v>1.4132E-2</v>
      </c>
      <c r="Y98" s="32">
        <v>3.3062000000000001E-2</v>
      </c>
      <c r="Z98" s="32">
        <v>7.4449000000000001E-2</v>
      </c>
      <c r="AA98" s="32">
        <v>0.109497</v>
      </c>
      <c r="AB98" s="32">
        <v>0.14189499999999999</v>
      </c>
    </row>
    <row r="99" spans="1:28" ht="15.6" customHeight="1" x14ac:dyDescent="0.25">
      <c r="A99" s="24" t="s">
        <v>422</v>
      </c>
      <c r="B99" s="50">
        <v>3795</v>
      </c>
      <c r="C99" s="25" t="s">
        <v>423</v>
      </c>
      <c r="D99" s="25" t="s">
        <v>355</v>
      </c>
      <c r="E99" s="25" t="s">
        <v>194</v>
      </c>
      <c r="F99" s="25" t="s">
        <v>103</v>
      </c>
      <c r="G99" s="26" t="s">
        <v>392</v>
      </c>
      <c r="H99" s="27" t="s">
        <v>424</v>
      </c>
      <c r="I99" s="24" t="s">
        <v>106</v>
      </c>
      <c r="J99" s="24" t="s">
        <v>107</v>
      </c>
      <c r="K99" s="28" t="s">
        <v>108</v>
      </c>
      <c r="L99" s="29">
        <v>0.02</v>
      </c>
      <c r="M99" s="29">
        <v>1.4999999999999999E-2</v>
      </c>
      <c r="N99" s="29">
        <v>0.02</v>
      </c>
      <c r="O99" s="27" t="s">
        <v>166</v>
      </c>
      <c r="P99" s="30" t="s">
        <v>355</v>
      </c>
      <c r="Q99" s="31">
        <v>1194817397.74</v>
      </c>
      <c r="R99" s="31">
        <v>1264.51</v>
      </c>
      <c r="S99" s="32">
        <v>2.8341000000000002E-2</v>
      </c>
      <c r="T99" s="32">
        <v>3.5599999999999998E-4</v>
      </c>
      <c r="U99" s="32">
        <v>8.4699999999999999E-4</v>
      </c>
      <c r="V99" s="32">
        <v>2.6559999999999999E-3</v>
      </c>
      <c r="W99" s="32">
        <v>6.4869999999999997E-3</v>
      </c>
      <c r="X99" s="32">
        <v>1.2345E-2</v>
      </c>
      <c r="Y99" s="32">
        <v>2.8341000000000002E-2</v>
      </c>
      <c r="Z99" s="32">
        <v>6.3730999999999996E-2</v>
      </c>
      <c r="AA99" s="32">
        <v>0.110447</v>
      </c>
      <c r="AB99" s="32">
        <v>0.13804</v>
      </c>
    </row>
    <row r="100" spans="1:28" ht="15.6" customHeight="1" x14ac:dyDescent="0.25">
      <c r="A100" s="24" t="s">
        <v>425</v>
      </c>
      <c r="B100" s="50">
        <v>3796</v>
      </c>
      <c r="C100" s="25" t="s">
        <v>426</v>
      </c>
      <c r="D100" s="25" t="s">
        <v>355</v>
      </c>
      <c r="E100" s="25" t="s">
        <v>194</v>
      </c>
      <c r="F100" s="25" t="s">
        <v>128</v>
      </c>
      <c r="G100" s="26" t="s">
        <v>289</v>
      </c>
      <c r="H100" s="27" t="s">
        <v>130</v>
      </c>
      <c r="I100" s="24" t="s">
        <v>106</v>
      </c>
      <c r="J100" s="24" t="s">
        <v>107</v>
      </c>
      <c r="K100" s="28" t="s">
        <v>108</v>
      </c>
      <c r="L100" s="29">
        <v>0.02</v>
      </c>
      <c r="M100" s="29">
        <v>1.4999999999999999E-2</v>
      </c>
      <c r="N100" s="29">
        <v>0.02</v>
      </c>
      <c r="O100" s="27" t="s">
        <v>166</v>
      </c>
      <c r="P100" s="30" t="s">
        <v>355</v>
      </c>
      <c r="Q100" s="31">
        <v>2940531474.1300001</v>
      </c>
      <c r="R100" s="31">
        <v>1283.8800000000001</v>
      </c>
      <c r="S100" s="32">
        <v>3.2962999999999999E-2</v>
      </c>
      <c r="T100" s="32">
        <v>1.56E-4</v>
      </c>
      <c r="U100" s="32">
        <v>6.5499999999999998E-4</v>
      </c>
      <c r="V100" s="32">
        <v>3.0230000000000001E-3</v>
      </c>
      <c r="W100" s="32">
        <v>6.0889999999999998E-3</v>
      </c>
      <c r="X100" s="32">
        <v>1.3219E-2</v>
      </c>
      <c r="Y100" s="32">
        <v>3.2962999999999999E-2</v>
      </c>
      <c r="Z100" s="32">
        <v>7.5609999999999997E-2</v>
      </c>
      <c r="AA100" s="32">
        <v>0.105173</v>
      </c>
      <c r="AB100" s="32">
        <v>0.13687099999999999</v>
      </c>
    </row>
    <row r="101" spans="1:28" ht="15.6" customHeight="1" x14ac:dyDescent="0.25">
      <c r="A101" s="24" t="s">
        <v>427</v>
      </c>
      <c r="B101" s="50">
        <v>3800</v>
      </c>
      <c r="C101" s="25" t="s">
        <v>428</v>
      </c>
      <c r="D101" s="25" t="s">
        <v>137</v>
      </c>
      <c r="E101" s="25" t="s">
        <v>194</v>
      </c>
      <c r="F101" s="25" t="s">
        <v>128</v>
      </c>
      <c r="G101" s="26" t="s">
        <v>250</v>
      </c>
      <c r="H101" s="27" t="s">
        <v>210</v>
      </c>
      <c r="I101" s="24" t="s">
        <v>106</v>
      </c>
      <c r="J101" s="24" t="s">
        <v>107</v>
      </c>
      <c r="K101" s="28" t="s">
        <v>108</v>
      </c>
      <c r="L101" s="29">
        <v>0</v>
      </c>
      <c r="M101" s="29">
        <v>0</v>
      </c>
      <c r="N101" s="29">
        <v>0.01</v>
      </c>
      <c r="O101" s="27" t="s">
        <v>141</v>
      </c>
      <c r="P101" s="30" t="s">
        <v>137</v>
      </c>
      <c r="Q101" s="31">
        <v>1603402541.5005341</v>
      </c>
      <c r="R101" s="31">
        <v>1268514.67</v>
      </c>
      <c r="S101" s="32">
        <v>3.3607999999999999E-2</v>
      </c>
      <c r="T101" s="32">
        <v>2.0599999999999999E-4</v>
      </c>
      <c r="U101" s="32">
        <v>1.4250000000000001E-3</v>
      </c>
      <c r="V101" s="32">
        <v>3.6570000000000001E-3</v>
      </c>
      <c r="W101" s="32">
        <v>6.4219999999999998E-3</v>
      </c>
      <c r="X101" s="32">
        <v>1.3686E-2</v>
      </c>
      <c r="Y101" s="32">
        <v>3.3607999999999999E-2</v>
      </c>
      <c r="Z101" s="32">
        <v>7.9418000000000002E-2</v>
      </c>
      <c r="AA101" s="32">
        <v>0.11731900000000001</v>
      </c>
      <c r="AB101" s="32">
        <v>0.15399399999999999</v>
      </c>
    </row>
    <row r="102" spans="1:28" ht="15.6" customHeight="1" x14ac:dyDescent="0.25">
      <c r="A102" s="24" t="s">
        <v>429</v>
      </c>
      <c r="B102" s="50">
        <v>3805</v>
      </c>
      <c r="C102" s="25" t="s">
        <v>430</v>
      </c>
      <c r="D102" s="25" t="s">
        <v>355</v>
      </c>
      <c r="E102" s="25" t="s">
        <v>194</v>
      </c>
      <c r="F102" s="25" t="s">
        <v>113</v>
      </c>
      <c r="G102" s="26" t="s">
        <v>431</v>
      </c>
      <c r="H102" s="27" t="s">
        <v>432</v>
      </c>
      <c r="I102" s="24" t="s">
        <v>106</v>
      </c>
      <c r="J102" s="24" t="s">
        <v>107</v>
      </c>
      <c r="K102" s="28" t="s">
        <v>108</v>
      </c>
      <c r="L102" s="29">
        <v>0.03</v>
      </c>
      <c r="M102" s="29">
        <v>1.4999999999999999E-2</v>
      </c>
      <c r="N102" s="29">
        <v>0.02</v>
      </c>
      <c r="O102" s="27" t="s">
        <v>166</v>
      </c>
      <c r="P102" s="30" t="s">
        <v>433</v>
      </c>
      <c r="Q102" s="31">
        <v>706948843.26999998</v>
      </c>
      <c r="R102" s="31">
        <v>1304.1400000000001</v>
      </c>
      <c r="S102" s="32">
        <v>4.5822000000000002E-2</v>
      </c>
      <c r="T102" s="32">
        <v>-3.9899999999999999E-4</v>
      </c>
      <c r="U102" s="32">
        <v>7.6000000000000004E-4</v>
      </c>
      <c r="V102" s="32">
        <v>6.9410000000000001E-3</v>
      </c>
      <c r="W102" s="32">
        <v>5.195E-3</v>
      </c>
      <c r="X102" s="32">
        <v>1.1894999999999999E-2</v>
      </c>
      <c r="Y102" s="32">
        <v>4.5822000000000002E-2</v>
      </c>
      <c r="Z102" s="32">
        <v>0.18004600000000001</v>
      </c>
      <c r="AA102" s="32">
        <v>0.19628300000000001</v>
      </c>
      <c r="AB102" s="32">
        <v>0.18292600000000001</v>
      </c>
    </row>
    <row r="103" spans="1:28" ht="15.6" customHeight="1" x14ac:dyDescent="0.25">
      <c r="A103" s="24" t="s">
        <v>434</v>
      </c>
      <c r="B103" s="50">
        <v>3807</v>
      </c>
      <c r="C103" s="25" t="s">
        <v>435</v>
      </c>
      <c r="D103" s="25" t="s">
        <v>355</v>
      </c>
      <c r="E103" s="25" t="s">
        <v>194</v>
      </c>
      <c r="F103" s="25" t="s">
        <v>138</v>
      </c>
      <c r="G103" s="26" t="s">
        <v>139</v>
      </c>
      <c r="H103" s="27" t="s">
        <v>436</v>
      </c>
      <c r="I103" s="24" t="s">
        <v>106</v>
      </c>
      <c r="J103" s="24" t="s">
        <v>107</v>
      </c>
      <c r="K103" s="28" t="s">
        <v>108</v>
      </c>
      <c r="L103" s="29">
        <v>0.03</v>
      </c>
      <c r="M103" s="29">
        <v>1.4999999999999999E-2</v>
      </c>
      <c r="N103" s="29">
        <v>0.02</v>
      </c>
      <c r="O103" s="27" t="s">
        <v>166</v>
      </c>
      <c r="P103" s="30" t="s">
        <v>355</v>
      </c>
      <c r="Q103" s="31">
        <v>1384101962.9100001</v>
      </c>
      <c r="R103" s="31">
        <v>1280.96</v>
      </c>
      <c r="S103" s="32">
        <v>0.129913</v>
      </c>
      <c r="T103" s="32">
        <v>4.1390000000000003E-3</v>
      </c>
      <c r="U103" s="32">
        <v>-7.6150000000000002E-3</v>
      </c>
      <c r="V103" s="32">
        <v>2.42E-4</v>
      </c>
      <c r="W103" s="32">
        <v>-1.6213000000000002E-2</v>
      </c>
      <c r="X103" s="32">
        <v>-5.1260000000000003E-3</v>
      </c>
      <c r="Y103" s="32">
        <v>0.129913</v>
      </c>
      <c r="Z103" s="32">
        <v>0.31067299999999998</v>
      </c>
      <c r="AA103" s="32">
        <v>0.34068799999999999</v>
      </c>
      <c r="AB103" s="32">
        <v>0.267073</v>
      </c>
    </row>
    <row r="104" spans="1:28" ht="15.6" customHeight="1" x14ac:dyDescent="0.25">
      <c r="A104" s="24" t="s">
        <v>437</v>
      </c>
      <c r="B104" s="50">
        <v>3810</v>
      </c>
      <c r="C104" s="25" t="s">
        <v>438</v>
      </c>
      <c r="D104" s="25" t="s">
        <v>241</v>
      </c>
      <c r="E104" s="25" t="s">
        <v>194</v>
      </c>
      <c r="F104" s="25" t="s">
        <v>113</v>
      </c>
      <c r="G104" s="26" t="s">
        <v>439</v>
      </c>
      <c r="H104" s="27" t="s">
        <v>440</v>
      </c>
      <c r="I104" s="24" t="s">
        <v>106</v>
      </c>
      <c r="J104" s="24" t="s">
        <v>121</v>
      </c>
      <c r="K104" s="28" t="s">
        <v>108</v>
      </c>
      <c r="L104" s="29">
        <v>0.03</v>
      </c>
      <c r="M104" s="29">
        <v>1.4999999999999999E-2</v>
      </c>
      <c r="N104" s="29">
        <v>0.02</v>
      </c>
      <c r="O104" s="27" t="s">
        <v>116</v>
      </c>
      <c r="P104" s="30" t="s">
        <v>241</v>
      </c>
      <c r="Q104" s="31">
        <v>3212418494.6199999</v>
      </c>
      <c r="R104" s="31">
        <v>1363.12</v>
      </c>
      <c r="S104" s="32">
        <v>4.8973000000000003E-2</v>
      </c>
      <c r="T104" s="32">
        <v>-1.9989999999999999E-3</v>
      </c>
      <c r="U104" s="32">
        <v>-1.9550000000000001E-3</v>
      </c>
      <c r="V104" s="32">
        <v>4.5909999999999996E-3</v>
      </c>
      <c r="W104" s="32">
        <v>-2.4220000000000001E-3</v>
      </c>
      <c r="X104" s="32">
        <v>6.5199999999999998E-3</v>
      </c>
      <c r="Y104" s="32">
        <v>4.8973000000000003E-2</v>
      </c>
      <c r="Z104" s="32">
        <v>0.140095</v>
      </c>
      <c r="AA104" s="32">
        <v>0.179088</v>
      </c>
      <c r="AB104" s="32">
        <v>0.200215</v>
      </c>
    </row>
    <row r="105" spans="1:28" ht="15.6" customHeight="1" x14ac:dyDescent="0.25">
      <c r="A105" s="24" t="s">
        <v>441</v>
      </c>
      <c r="B105" s="50">
        <v>3811</v>
      </c>
      <c r="C105" s="25" t="s">
        <v>442</v>
      </c>
      <c r="D105" s="25" t="s">
        <v>241</v>
      </c>
      <c r="E105" s="25" t="s">
        <v>194</v>
      </c>
      <c r="F105" s="25" t="s">
        <v>128</v>
      </c>
      <c r="G105" s="26" t="s">
        <v>289</v>
      </c>
      <c r="H105" s="27" t="s">
        <v>130</v>
      </c>
      <c r="I105" s="24" t="s">
        <v>106</v>
      </c>
      <c r="J105" s="24" t="s">
        <v>107</v>
      </c>
      <c r="K105" s="28" t="s">
        <v>108</v>
      </c>
      <c r="L105" s="29">
        <v>0.03</v>
      </c>
      <c r="M105" s="29">
        <v>1.4999999999999999E-2</v>
      </c>
      <c r="N105" s="29">
        <v>0.02</v>
      </c>
      <c r="O105" s="27" t="s">
        <v>161</v>
      </c>
      <c r="P105" s="30" t="s">
        <v>241</v>
      </c>
      <c r="Q105" s="31">
        <v>91173685.620000005</v>
      </c>
      <c r="R105" s="31">
        <v>1197.95</v>
      </c>
      <c r="S105" s="32">
        <v>2.5309000000000002E-2</v>
      </c>
      <c r="T105" s="32">
        <v>7.4299999999999995E-4</v>
      </c>
      <c r="U105" s="32">
        <v>1.17E-3</v>
      </c>
      <c r="V105" s="32">
        <v>2.905E-3</v>
      </c>
      <c r="W105" s="32">
        <v>5.1269999999999996E-3</v>
      </c>
      <c r="X105" s="32">
        <v>9.9059999999999999E-3</v>
      </c>
      <c r="Y105" s="32">
        <v>2.5309000000000002E-2</v>
      </c>
      <c r="Z105" s="32">
        <v>5.6049000000000002E-2</v>
      </c>
      <c r="AA105" s="32">
        <v>8.9323E-2</v>
      </c>
      <c r="AB105" s="32">
        <v>0.112292</v>
      </c>
    </row>
    <row r="106" spans="1:28" ht="15.6" customHeight="1" x14ac:dyDescent="0.25">
      <c r="A106" s="24" t="s">
        <v>443</v>
      </c>
      <c r="B106" s="50">
        <v>3812</v>
      </c>
      <c r="C106" s="25" t="s">
        <v>444</v>
      </c>
      <c r="D106" s="25" t="s">
        <v>241</v>
      </c>
      <c r="E106" s="25" t="s">
        <v>194</v>
      </c>
      <c r="F106" s="25" t="s">
        <v>103</v>
      </c>
      <c r="G106" s="26" t="s">
        <v>445</v>
      </c>
      <c r="H106" s="27" t="s">
        <v>446</v>
      </c>
      <c r="I106" s="24" t="s">
        <v>106</v>
      </c>
      <c r="J106" s="24" t="s">
        <v>107</v>
      </c>
      <c r="K106" s="28" t="s">
        <v>108</v>
      </c>
      <c r="L106" s="29">
        <v>0</v>
      </c>
      <c r="M106" s="29">
        <v>0</v>
      </c>
      <c r="N106" s="29">
        <v>0.02</v>
      </c>
      <c r="O106" s="27" t="s">
        <v>161</v>
      </c>
      <c r="P106" s="30" t="s">
        <v>241</v>
      </c>
      <c r="Q106" s="31">
        <v>358540694.74000001</v>
      </c>
      <c r="R106" s="31">
        <v>1162.9000000000001</v>
      </c>
      <c r="S106" s="32">
        <v>2.2078E-2</v>
      </c>
      <c r="T106" s="32">
        <v>3.9599999999999998E-4</v>
      </c>
      <c r="U106" s="32">
        <v>6.2799999999999998E-4</v>
      </c>
      <c r="V106" s="32">
        <v>1.8779999999999999E-3</v>
      </c>
      <c r="W106" s="32">
        <v>5.0650000000000001E-3</v>
      </c>
      <c r="X106" s="32">
        <v>1.0312999999999999E-2</v>
      </c>
      <c r="Y106" s="32">
        <v>2.2078E-2</v>
      </c>
      <c r="Z106" s="32">
        <v>5.0934E-2</v>
      </c>
      <c r="AA106" s="32">
        <v>8.1084000000000003E-2</v>
      </c>
      <c r="AB106" s="32">
        <v>0.10695499999999999</v>
      </c>
    </row>
    <row r="107" spans="1:28" ht="15.6" customHeight="1" x14ac:dyDescent="0.25">
      <c r="A107" s="24" t="s">
        <v>447</v>
      </c>
      <c r="B107" s="50">
        <v>3814</v>
      </c>
      <c r="C107" s="25" t="s">
        <v>448</v>
      </c>
      <c r="D107" s="25" t="s">
        <v>137</v>
      </c>
      <c r="E107" s="25" t="s">
        <v>194</v>
      </c>
      <c r="F107" s="25" t="s">
        <v>138</v>
      </c>
      <c r="G107" s="26" t="s">
        <v>139</v>
      </c>
      <c r="H107" s="27" t="s">
        <v>449</v>
      </c>
      <c r="I107" s="24" t="s">
        <v>106</v>
      </c>
      <c r="J107" s="24" t="s">
        <v>107</v>
      </c>
      <c r="K107" s="28" t="s">
        <v>108</v>
      </c>
      <c r="L107" s="29">
        <v>2E-3</v>
      </c>
      <c r="M107" s="29">
        <v>1E-3</v>
      </c>
      <c r="N107" s="29">
        <v>0.02</v>
      </c>
      <c r="O107" s="27" t="s">
        <v>141</v>
      </c>
      <c r="P107" s="30" t="s">
        <v>142</v>
      </c>
      <c r="Q107" s="31">
        <v>39475863.853023998</v>
      </c>
      <c r="R107" s="31">
        <v>1388.14</v>
      </c>
      <c r="S107" s="32">
        <v>0.10305499999999999</v>
      </c>
      <c r="T107" s="32">
        <v>2.3400000000000001E-3</v>
      </c>
      <c r="U107" s="32">
        <v>-2.006E-3</v>
      </c>
      <c r="V107" s="32">
        <v>5.476E-3</v>
      </c>
      <c r="W107" s="32">
        <v>4.4279999999999996E-3</v>
      </c>
      <c r="X107" s="32">
        <v>1.2383999999999999E-2</v>
      </c>
      <c r="Y107" s="32">
        <v>0.10305499999999999</v>
      </c>
      <c r="Z107" s="32">
        <v>0.208402</v>
      </c>
      <c r="AA107" s="32">
        <v>0.27890799999999999</v>
      </c>
      <c r="AB107" s="32">
        <v>0.31916099999999997</v>
      </c>
    </row>
    <row r="108" spans="1:28" ht="15.6" customHeight="1" x14ac:dyDescent="0.25">
      <c r="A108" s="24" t="s">
        <v>450</v>
      </c>
      <c r="B108" s="50">
        <v>3815</v>
      </c>
      <c r="C108" s="25" t="s">
        <v>451</v>
      </c>
      <c r="D108" s="25" t="s">
        <v>137</v>
      </c>
      <c r="E108" s="25" t="s">
        <v>194</v>
      </c>
      <c r="F108" s="25" t="s">
        <v>155</v>
      </c>
      <c r="G108" s="26" t="s">
        <v>139</v>
      </c>
      <c r="H108" s="27" t="s">
        <v>452</v>
      </c>
      <c r="I108" s="24" t="s">
        <v>106</v>
      </c>
      <c r="J108" s="24" t="s">
        <v>107</v>
      </c>
      <c r="K108" s="28" t="s">
        <v>108</v>
      </c>
      <c r="L108" s="29">
        <v>2.5000000000000001E-3</v>
      </c>
      <c r="M108" s="29">
        <v>2.5000000000000001E-3</v>
      </c>
      <c r="N108" s="29">
        <v>0.02</v>
      </c>
      <c r="O108" s="27" t="s">
        <v>141</v>
      </c>
      <c r="P108" s="30" t="s">
        <v>142</v>
      </c>
      <c r="Q108" s="31">
        <v>39130546.728869997</v>
      </c>
      <c r="R108" s="31">
        <v>1755.52</v>
      </c>
      <c r="S108" s="32">
        <v>0.24640200000000001</v>
      </c>
      <c r="T108" s="32">
        <v>6.5539999999999999E-3</v>
      </c>
      <c r="U108" s="32">
        <v>-9.7249999999999993E-3</v>
      </c>
      <c r="V108" s="32">
        <v>8.0510000000000009E-3</v>
      </c>
      <c r="W108" s="32">
        <v>2.908E-3</v>
      </c>
      <c r="X108" s="32">
        <v>1.7439E-2</v>
      </c>
      <c r="Y108" s="32">
        <v>0.24640200000000001</v>
      </c>
      <c r="Z108" s="32">
        <v>0.53540399999999999</v>
      </c>
      <c r="AA108" s="32">
        <v>0.68801599999999996</v>
      </c>
      <c r="AB108" s="32">
        <v>0.772787</v>
      </c>
    </row>
    <row r="109" spans="1:28" ht="15.6" customHeight="1" x14ac:dyDescent="0.25">
      <c r="A109" s="24" t="s">
        <v>453</v>
      </c>
      <c r="B109" s="50">
        <v>3816</v>
      </c>
      <c r="C109" s="25" t="s">
        <v>454</v>
      </c>
      <c r="D109" s="25" t="s">
        <v>137</v>
      </c>
      <c r="E109" s="25" t="s">
        <v>194</v>
      </c>
      <c r="F109" s="25" t="s">
        <v>113</v>
      </c>
      <c r="G109" s="26" t="s">
        <v>455</v>
      </c>
      <c r="H109" s="27" t="s">
        <v>456</v>
      </c>
      <c r="I109" s="24" t="s">
        <v>106</v>
      </c>
      <c r="J109" s="24" t="s">
        <v>107</v>
      </c>
      <c r="K109" s="28" t="s">
        <v>108</v>
      </c>
      <c r="L109" s="29">
        <v>0</v>
      </c>
      <c r="M109" s="29">
        <v>0</v>
      </c>
      <c r="N109" s="29">
        <v>0.02</v>
      </c>
      <c r="O109" s="27" t="s">
        <v>141</v>
      </c>
      <c r="P109" s="30" t="s">
        <v>142</v>
      </c>
      <c r="Q109" s="31">
        <v>37578481.779080003</v>
      </c>
      <c r="R109" s="31">
        <v>1178.45</v>
      </c>
      <c r="S109" s="32">
        <v>3.7221999999999998E-2</v>
      </c>
      <c r="T109" s="32">
        <v>4.4099999999999999E-4</v>
      </c>
      <c r="U109" s="32">
        <v>-1.1609999999999999E-3</v>
      </c>
      <c r="V109" s="32">
        <v>3.9610000000000001E-3</v>
      </c>
      <c r="W109" s="32">
        <v>1.0280000000000001E-3</v>
      </c>
      <c r="X109" s="32">
        <v>5.8979999999999996E-3</v>
      </c>
      <c r="Y109" s="32">
        <v>3.7221999999999998E-2</v>
      </c>
      <c r="Z109" s="32">
        <v>9.5824999999999994E-2</v>
      </c>
      <c r="AA109" s="32">
        <v>0.113763</v>
      </c>
      <c r="AB109" s="32">
        <v>0.12517300000000001</v>
      </c>
    </row>
    <row r="110" spans="1:28" ht="15.6" customHeight="1" x14ac:dyDescent="0.25">
      <c r="A110" s="24" t="s">
        <v>457</v>
      </c>
      <c r="B110" s="50">
        <v>3817</v>
      </c>
      <c r="C110" s="25" t="s">
        <v>458</v>
      </c>
      <c r="D110" s="25" t="s">
        <v>137</v>
      </c>
      <c r="E110" s="25" t="s">
        <v>194</v>
      </c>
      <c r="F110" s="25" t="s">
        <v>113</v>
      </c>
      <c r="G110" s="26" t="s">
        <v>459</v>
      </c>
      <c r="H110" s="27" t="s">
        <v>407</v>
      </c>
      <c r="I110" s="24" t="s">
        <v>106</v>
      </c>
      <c r="J110" s="24" t="s">
        <v>107</v>
      </c>
      <c r="K110" s="28" t="s">
        <v>108</v>
      </c>
      <c r="L110" s="29">
        <v>0</v>
      </c>
      <c r="M110" s="29">
        <v>0</v>
      </c>
      <c r="N110" s="29">
        <v>0.02</v>
      </c>
      <c r="O110" s="27" t="s">
        <v>141</v>
      </c>
      <c r="P110" s="30" t="s">
        <v>142</v>
      </c>
      <c r="Q110" s="31">
        <v>117614918.89665</v>
      </c>
      <c r="R110" s="31">
        <v>1162.02</v>
      </c>
      <c r="S110" s="32">
        <v>2.368E-2</v>
      </c>
      <c r="T110" s="32">
        <v>3.1E-4</v>
      </c>
      <c r="U110" s="32">
        <v>6.6299999999999996E-4</v>
      </c>
      <c r="V110" s="32">
        <v>2.4849999999999998E-3</v>
      </c>
      <c r="W110" s="32">
        <v>3.8270000000000001E-3</v>
      </c>
      <c r="X110" s="32">
        <v>8.7069999999999995E-3</v>
      </c>
      <c r="Y110" s="32">
        <v>2.368E-2</v>
      </c>
      <c r="Z110" s="32">
        <v>5.8345000000000001E-2</v>
      </c>
      <c r="AA110" s="32">
        <v>8.7525000000000006E-2</v>
      </c>
      <c r="AB110" s="32">
        <v>0.10261099999999999</v>
      </c>
    </row>
    <row r="111" spans="1:28" ht="15.6" customHeight="1" x14ac:dyDescent="0.25">
      <c r="A111" s="24" t="s">
        <v>460</v>
      </c>
      <c r="B111" s="50">
        <v>3818</v>
      </c>
      <c r="C111" s="25" t="s">
        <v>461</v>
      </c>
      <c r="D111" s="25" t="s">
        <v>137</v>
      </c>
      <c r="E111" s="25" t="s">
        <v>194</v>
      </c>
      <c r="F111" s="25" t="s">
        <v>138</v>
      </c>
      <c r="G111" s="26" t="s">
        <v>139</v>
      </c>
      <c r="H111" s="27" t="s">
        <v>462</v>
      </c>
      <c r="I111" s="24" t="s">
        <v>106</v>
      </c>
      <c r="J111" s="24" t="s">
        <v>107</v>
      </c>
      <c r="K111" s="28" t="s">
        <v>108</v>
      </c>
      <c r="L111" s="29">
        <v>2E-3</v>
      </c>
      <c r="M111" s="29">
        <v>2E-3</v>
      </c>
      <c r="N111" s="29">
        <v>0.02</v>
      </c>
      <c r="O111" s="27" t="s">
        <v>141</v>
      </c>
      <c r="P111" s="30" t="s">
        <v>142</v>
      </c>
      <c r="Q111" s="31">
        <v>16525546.983751001</v>
      </c>
      <c r="R111" s="31">
        <v>1448.59</v>
      </c>
      <c r="S111" s="32">
        <v>0.166271</v>
      </c>
      <c r="T111" s="32">
        <v>4.3610000000000003E-3</v>
      </c>
      <c r="U111" s="32">
        <v>-2.6229999999999999E-3</v>
      </c>
      <c r="V111" s="32">
        <v>3.1020000000000002E-3</v>
      </c>
      <c r="W111" s="32">
        <v>-1.3240000000000001E-3</v>
      </c>
      <c r="X111" s="32">
        <v>-3.1100000000000002E-4</v>
      </c>
      <c r="Y111" s="32">
        <v>0.166271</v>
      </c>
      <c r="Z111" s="32">
        <v>0.32758100000000001</v>
      </c>
      <c r="AA111" s="32">
        <v>0.39077499999999998</v>
      </c>
      <c r="AB111" s="32">
        <v>0.40951799999999999</v>
      </c>
    </row>
    <row r="112" spans="1:28" ht="15.6" customHeight="1" x14ac:dyDescent="0.25">
      <c r="A112" s="24" t="s">
        <v>463</v>
      </c>
      <c r="B112" s="50">
        <v>3820</v>
      </c>
      <c r="C112" s="25" t="s">
        <v>464</v>
      </c>
      <c r="D112" s="25" t="s">
        <v>241</v>
      </c>
      <c r="E112" s="25" t="s">
        <v>194</v>
      </c>
      <c r="F112" s="25" t="s">
        <v>113</v>
      </c>
      <c r="G112" s="26" t="s">
        <v>465</v>
      </c>
      <c r="H112" s="27" t="s">
        <v>115</v>
      </c>
      <c r="I112" s="24" t="s">
        <v>106</v>
      </c>
      <c r="J112" s="24" t="s">
        <v>107</v>
      </c>
      <c r="K112" s="28" t="s">
        <v>108</v>
      </c>
      <c r="L112" s="29">
        <v>0.03</v>
      </c>
      <c r="M112" s="29">
        <v>1.4999999999999999E-2</v>
      </c>
      <c r="N112" s="29">
        <v>0.02</v>
      </c>
      <c r="O112" s="27" t="s">
        <v>161</v>
      </c>
      <c r="P112" s="30" t="s">
        <v>466</v>
      </c>
      <c r="Q112" s="31">
        <v>2426633387.4699998</v>
      </c>
      <c r="R112" s="31">
        <v>1210.8699999999999</v>
      </c>
      <c r="S112" s="32">
        <v>4.6406000000000003E-2</v>
      </c>
      <c r="T112" s="32">
        <v>6.6000000000000005E-5</v>
      </c>
      <c r="U112" s="32">
        <v>4.7899999999999999E-4</v>
      </c>
      <c r="V112" s="32">
        <v>6.5250000000000004E-3</v>
      </c>
      <c r="W112" s="32">
        <v>-3.3419999999999999E-3</v>
      </c>
      <c r="X112" s="32">
        <v>5.7479999999999996E-3</v>
      </c>
      <c r="Y112" s="32">
        <v>4.6406000000000003E-2</v>
      </c>
      <c r="Z112" s="32">
        <v>0.123266</v>
      </c>
      <c r="AA112" s="32">
        <v>0.12603500000000001</v>
      </c>
      <c r="AB112" s="32">
        <v>0.11627700000000001</v>
      </c>
    </row>
    <row r="113" spans="1:28" ht="15.6" customHeight="1" x14ac:dyDescent="0.25">
      <c r="A113" s="24" t="s">
        <v>467</v>
      </c>
      <c r="B113" s="50">
        <v>3821</v>
      </c>
      <c r="C113" s="25" t="s">
        <v>468</v>
      </c>
      <c r="D113" s="25" t="s">
        <v>241</v>
      </c>
      <c r="E113" s="25" t="s">
        <v>194</v>
      </c>
      <c r="F113" s="25" t="s">
        <v>155</v>
      </c>
      <c r="G113" s="26" t="s">
        <v>139</v>
      </c>
      <c r="H113" s="27" t="s">
        <v>156</v>
      </c>
      <c r="I113" s="24" t="s">
        <v>106</v>
      </c>
      <c r="J113" s="24" t="s">
        <v>121</v>
      </c>
      <c r="K113" s="28" t="s">
        <v>108</v>
      </c>
      <c r="L113" s="29">
        <v>0</v>
      </c>
      <c r="M113" s="29">
        <v>0</v>
      </c>
      <c r="N113" s="29">
        <v>0.02</v>
      </c>
      <c r="O113" s="27" t="s">
        <v>161</v>
      </c>
      <c r="P113" s="30" t="s">
        <v>466</v>
      </c>
      <c r="Q113" s="31">
        <v>1854503884.97</v>
      </c>
      <c r="R113" s="31">
        <v>2092.1</v>
      </c>
      <c r="S113" s="32">
        <v>0.318606</v>
      </c>
      <c r="T113" s="32">
        <v>6.7809999999999997E-3</v>
      </c>
      <c r="U113" s="32">
        <v>-5.9680000000000002E-3</v>
      </c>
      <c r="V113" s="32">
        <v>7.6239999999999997E-3</v>
      </c>
      <c r="W113" s="32">
        <v>8.4349999999999998E-3</v>
      </c>
      <c r="X113" s="32">
        <v>1.7018999999999999E-2</v>
      </c>
      <c r="Y113" s="32">
        <v>0.318606</v>
      </c>
      <c r="Z113" s="32">
        <v>0.75495500000000004</v>
      </c>
      <c r="AA113" s="32">
        <v>1.0024120000000001</v>
      </c>
      <c r="AB113" s="32">
        <v>1.0713859999999999</v>
      </c>
    </row>
    <row r="114" spans="1:28" ht="15.6" customHeight="1" x14ac:dyDescent="0.25">
      <c r="A114" s="24" t="s">
        <v>469</v>
      </c>
      <c r="B114" s="50">
        <v>3823</v>
      </c>
      <c r="C114" s="25" t="s">
        <v>470</v>
      </c>
      <c r="D114" s="25" t="s">
        <v>145</v>
      </c>
      <c r="E114" s="25" t="s">
        <v>194</v>
      </c>
      <c r="F114" s="25" t="s">
        <v>113</v>
      </c>
      <c r="G114" s="26" t="s">
        <v>439</v>
      </c>
      <c r="H114" s="27" t="s">
        <v>471</v>
      </c>
      <c r="I114" s="24" t="s">
        <v>106</v>
      </c>
      <c r="J114" s="24" t="s">
        <v>121</v>
      </c>
      <c r="K114" s="28" t="s">
        <v>108</v>
      </c>
      <c r="L114" s="29">
        <v>0.03</v>
      </c>
      <c r="M114" s="29">
        <v>0.03</v>
      </c>
      <c r="N114" s="29">
        <v>0.02</v>
      </c>
      <c r="O114" s="27" t="s">
        <v>148</v>
      </c>
      <c r="P114" s="30" t="s">
        <v>145</v>
      </c>
      <c r="Q114" s="31">
        <v>2841792093.79</v>
      </c>
      <c r="R114" s="31">
        <v>1312.44</v>
      </c>
      <c r="S114" s="32">
        <v>4.9952000000000003E-2</v>
      </c>
      <c r="T114" s="32">
        <v>-1.916E-3</v>
      </c>
      <c r="U114" s="32">
        <v>-1.8860000000000001E-3</v>
      </c>
      <c r="V114" s="32">
        <v>5.0229999999999997E-3</v>
      </c>
      <c r="W114" s="32">
        <v>-2.3410000000000002E-3</v>
      </c>
      <c r="X114" s="32">
        <v>5.3239999999999997E-3</v>
      </c>
      <c r="Y114" s="32">
        <v>4.9952000000000003E-2</v>
      </c>
      <c r="Z114" s="32">
        <v>0.13978499999999999</v>
      </c>
      <c r="AA114" s="32">
        <v>0.179372</v>
      </c>
      <c r="AB114" s="32">
        <v>0.19575799999999999</v>
      </c>
    </row>
    <row r="115" spans="1:28" ht="15.6" customHeight="1" x14ac:dyDescent="0.25">
      <c r="A115" s="24" t="s">
        <v>472</v>
      </c>
      <c r="B115" s="50">
        <v>3825</v>
      </c>
      <c r="C115" s="25" t="s">
        <v>473</v>
      </c>
      <c r="D115" s="25" t="s">
        <v>355</v>
      </c>
      <c r="E115" s="25" t="s">
        <v>194</v>
      </c>
      <c r="F115" s="25" t="s">
        <v>138</v>
      </c>
      <c r="G115" s="26" t="s">
        <v>139</v>
      </c>
      <c r="H115" s="27" t="s">
        <v>474</v>
      </c>
      <c r="I115" s="24" t="s">
        <v>106</v>
      </c>
      <c r="J115" s="24" t="s">
        <v>107</v>
      </c>
      <c r="K115" s="28" t="s">
        <v>108</v>
      </c>
      <c r="L115" s="29">
        <v>0.03</v>
      </c>
      <c r="M115" s="29">
        <v>1.4999999999999999E-2</v>
      </c>
      <c r="N115" s="29">
        <v>0.02</v>
      </c>
      <c r="O115" s="27" t="s">
        <v>109</v>
      </c>
      <c r="P115" s="30" t="s">
        <v>475</v>
      </c>
      <c r="Q115" s="31">
        <v>1760736713.1300001</v>
      </c>
      <c r="R115" s="31">
        <v>1350.19</v>
      </c>
      <c r="S115" s="32">
        <v>0.12554299999999999</v>
      </c>
      <c r="T115" s="32">
        <v>3.225E-3</v>
      </c>
      <c r="U115" s="32">
        <v>-7.8770000000000003E-3</v>
      </c>
      <c r="V115" s="32">
        <v>3.48E-4</v>
      </c>
      <c r="W115" s="32">
        <v>-1.9577000000000001E-2</v>
      </c>
      <c r="X115" s="32">
        <v>-3.3509999999999998E-3</v>
      </c>
      <c r="Y115" s="32">
        <v>0.12554299999999999</v>
      </c>
      <c r="Z115" s="32">
        <v>0.29546899999999998</v>
      </c>
      <c r="AA115" s="32">
        <v>0.31752799999999998</v>
      </c>
      <c r="AB115" s="32">
        <v>0.25158999999999998</v>
      </c>
    </row>
    <row r="116" spans="1:28" ht="15.6" customHeight="1" x14ac:dyDescent="0.25">
      <c r="A116" s="24" t="s">
        <v>476</v>
      </c>
      <c r="B116" s="50">
        <v>3826</v>
      </c>
      <c r="C116" s="25" t="s">
        <v>477</v>
      </c>
      <c r="D116" s="25" t="s">
        <v>355</v>
      </c>
      <c r="E116" s="25" t="s">
        <v>194</v>
      </c>
      <c r="F116" s="25" t="s">
        <v>113</v>
      </c>
      <c r="G116" s="26" t="s">
        <v>465</v>
      </c>
      <c r="H116" s="27" t="s">
        <v>478</v>
      </c>
      <c r="I116" s="24" t="s">
        <v>106</v>
      </c>
      <c r="J116" s="24" t="s">
        <v>107</v>
      </c>
      <c r="K116" s="28" t="s">
        <v>108</v>
      </c>
      <c r="L116" s="29">
        <v>0.03</v>
      </c>
      <c r="M116" s="29">
        <v>1.4999999999999999E-2</v>
      </c>
      <c r="N116" s="29">
        <v>0.02</v>
      </c>
      <c r="O116" s="27" t="s">
        <v>109</v>
      </c>
      <c r="P116" s="30" t="s">
        <v>475</v>
      </c>
      <c r="Q116" s="31">
        <v>1940152261.4000001</v>
      </c>
      <c r="R116" s="31">
        <v>1204.33</v>
      </c>
      <c r="S116" s="32">
        <v>3.8367999999999999E-2</v>
      </c>
      <c r="T116" s="32">
        <v>1E-4</v>
      </c>
      <c r="U116" s="32">
        <v>2.24E-4</v>
      </c>
      <c r="V116" s="32">
        <v>8.6009999999999993E-3</v>
      </c>
      <c r="W116" s="32">
        <v>-3.6150000000000002E-3</v>
      </c>
      <c r="X116" s="32">
        <v>1.4100000000000001E-4</v>
      </c>
      <c r="Y116" s="32">
        <v>3.8367999999999999E-2</v>
      </c>
      <c r="Z116" s="32">
        <v>0.114079</v>
      </c>
      <c r="AA116" s="32">
        <v>0.122406</v>
      </c>
      <c r="AB116" s="32">
        <v>0.103786</v>
      </c>
    </row>
    <row r="117" spans="1:28" ht="15.6" customHeight="1" x14ac:dyDescent="0.25">
      <c r="A117" s="24" t="s">
        <v>479</v>
      </c>
      <c r="B117" s="50">
        <v>3828</v>
      </c>
      <c r="C117" s="25" t="s">
        <v>480</v>
      </c>
      <c r="D117" s="25" t="s">
        <v>355</v>
      </c>
      <c r="E117" s="25" t="s">
        <v>194</v>
      </c>
      <c r="F117" s="25" t="s">
        <v>113</v>
      </c>
      <c r="G117" s="26" t="s">
        <v>465</v>
      </c>
      <c r="H117" s="27" t="s">
        <v>309</v>
      </c>
      <c r="I117" s="24" t="s">
        <v>106</v>
      </c>
      <c r="J117" s="24" t="s">
        <v>107</v>
      </c>
      <c r="K117" s="28" t="s">
        <v>108</v>
      </c>
      <c r="L117" s="29">
        <v>0.03</v>
      </c>
      <c r="M117" s="29">
        <v>1.4999999999999999E-2</v>
      </c>
      <c r="N117" s="29">
        <v>0.02</v>
      </c>
      <c r="O117" s="27" t="s">
        <v>109</v>
      </c>
      <c r="P117" s="30" t="s">
        <v>475</v>
      </c>
      <c r="Q117" s="31">
        <v>1133735.92</v>
      </c>
      <c r="R117" s="31">
        <v>1084.9100000000001</v>
      </c>
      <c r="S117" s="32">
        <v>2.2381000000000002E-2</v>
      </c>
      <c r="T117" s="32">
        <v>-6.8199999999999999E-4</v>
      </c>
      <c r="U117" s="32">
        <v>-7.4600000000000003E-4</v>
      </c>
      <c r="V117" s="32">
        <v>2.7910000000000001E-3</v>
      </c>
      <c r="W117" s="32">
        <v>-1.519E-3</v>
      </c>
      <c r="X117" s="32">
        <v>8.9499999999999996E-4</v>
      </c>
      <c r="Y117" s="32">
        <v>2.2381000000000002E-2</v>
      </c>
      <c r="Z117" s="32">
        <v>7.0130999999999999E-2</v>
      </c>
      <c r="AA117" s="32">
        <v>6.9476999999999997E-2</v>
      </c>
      <c r="AB117" s="32">
        <v>-5.2499999999999997E-4</v>
      </c>
    </row>
    <row r="118" spans="1:28" ht="15.6" customHeight="1" x14ac:dyDescent="0.25">
      <c r="A118" s="24" t="s">
        <v>481</v>
      </c>
      <c r="B118" s="50">
        <v>3830</v>
      </c>
      <c r="C118" s="25" t="s">
        <v>482</v>
      </c>
      <c r="D118" s="25" t="s">
        <v>137</v>
      </c>
      <c r="E118" s="25" t="s">
        <v>194</v>
      </c>
      <c r="F118" s="25" t="s">
        <v>113</v>
      </c>
      <c r="G118" s="26" t="s">
        <v>238</v>
      </c>
      <c r="H118" s="27" t="s">
        <v>115</v>
      </c>
      <c r="I118" s="24" t="s">
        <v>106</v>
      </c>
      <c r="J118" s="24" t="s">
        <v>107</v>
      </c>
      <c r="K118" s="28" t="s">
        <v>108</v>
      </c>
      <c r="L118" s="29">
        <v>0</v>
      </c>
      <c r="M118" s="29">
        <v>0</v>
      </c>
      <c r="N118" s="29">
        <v>0.02</v>
      </c>
      <c r="O118" s="27" t="s">
        <v>141</v>
      </c>
      <c r="P118" s="30" t="s">
        <v>142</v>
      </c>
      <c r="Q118" s="31">
        <v>1867402354.9128051</v>
      </c>
      <c r="R118" s="31">
        <v>1675.7</v>
      </c>
      <c r="S118" s="32">
        <v>4.9364999999999999E-2</v>
      </c>
      <c r="T118" s="32">
        <v>8.4199999999999998E-4</v>
      </c>
      <c r="U118" s="32">
        <v>1.7899999999999999E-4</v>
      </c>
      <c r="V118" s="32">
        <v>6.6499999999999997E-3</v>
      </c>
      <c r="W118" s="32">
        <v>-2.542E-3</v>
      </c>
      <c r="X118" s="32">
        <v>3.437E-3</v>
      </c>
      <c r="Y118" s="32">
        <v>4.9364999999999999E-2</v>
      </c>
      <c r="Z118" s="32">
        <v>0.14192099999999999</v>
      </c>
      <c r="AA118" s="32">
        <v>0.26202199999999998</v>
      </c>
      <c r="AB118" s="32">
        <v>0.23891899999999999</v>
      </c>
    </row>
    <row r="119" spans="1:28" ht="15.6" customHeight="1" x14ac:dyDescent="0.25">
      <c r="A119" s="24" t="s">
        <v>483</v>
      </c>
      <c r="B119" s="50">
        <v>3831</v>
      </c>
      <c r="C119" s="25" t="s">
        <v>484</v>
      </c>
      <c r="D119" s="25" t="s">
        <v>137</v>
      </c>
      <c r="E119" s="25" t="s">
        <v>194</v>
      </c>
      <c r="F119" s="25" t="s">
        <v>113</v>
      </c>
      <c r="G119" s="26" t="s">
        <v>238</v>
      </c>
      <c r="H119" s="27" t="s">
        <v>115</v>
      </c>
      <c r="I119" s="24" t="s">
        <v>106</v>
      </c>
      <c r="J119" s="24" t="s">
        <v>107</v>
      </c>
      <c r="K119" s="28" t="s">
        <v>108</v>
      </c>
      <c r="L119" s="29">
        <v>0</v>
      </c>
      <c r="M119" s="29">
        <v>0</v>
      </c>
      <c r="N119" s="29">
        <v>0.02</v>
      </c>
      <c r="O119" s="27" t="s">
        <v>141</v>
      </c>
      <c r="P119" s="30" t="s">
        <v>142</v>
      </c>
      <c r="Q119" s="31">
        <v>190362637.14283901</v>
      </c>
      <c r="R119" s="31">
        <v>1498.32</v>
      </c>
      <c r="S119" s="32">
        <v>5.7867000000000002E-2</v>
      </c>
      <c r="T119" s="32">
        <v>8.0000000000000007E-5</v>
      </c>
      <c r="U119" s="32">
        <v>3.1399999999999999E-4</v>
      </c>
      <c r="V119" s="32">
        <v>1.2359999999999999E-3</v>
      </c>
      <c r="W119" s="32">
        <v>-3.7299999999999998E-3</v>
      </c>
      <c r="X119" s="32">
        <v>6.888E-3</v>
      </c>
      <c r="Y119" s="32">
        <v>5.7867000000000002E-2</v>
      </c>
      <c r="Z119" s="32">
        <v>0.151367</v>
      </c>
      <c r="AA119" s="32">
        <v>0.14685500000000001</v>
      </c>
      <c r="AB119" s="32">
        <v>0.138377</v>
      </c>
    </row>
    <row r="120" spans="1:28" ht="15.6" customHeight="1" x14ac:dyDescent="0.25">
      <c r="A120" s="24" t="s">
        <v>485</v>
      </c>
      <c r="B120" s="50">
        <v>3833</v>
      </c>
      <c r="C120" s="25" t="s">
        <v>486</v>
      </c>
      <c r="D120" s="25" t="s">
        <v>322</v>
      </c>
      <c r="E120" s="25" t="s">
        <v>194</v>
      </c>
      <c r="F120" s="25" t="s">
        <v>103</v>
      </c>
      <c r="G120" s="26" t="s">
        <v>487</v>
      </c>
      <c r="H120" s="27" t="s">
        <v>188</v>
      </c>
      <c r="I120" s="24" t="s">
        <v>106</v>
      </c>
      <c r="J120" s="24" t="s">
        <v>107</v>
      </c>
      <c r="K120" s="28" t="s">
        <v>108</v>
      </c>
      <c r="L120" s="29">
        <v>0.03</v>
      </c>
      <c r="M120" s="29">
        <v>1.4999999999999999E-2</v>
      </c>
      <c r="N120" s="29">
        <v>0.02</v>
      </c>
      <c r="O120" s="27" t="s">
        <v>166</v>
      </c>
      <c r="P120" s="30" t="s">
        <v>322</v>
      </c>
      <c r="Q120" s="31">
        <v>176930856.16</v>
      </c>
      <c r="R120" s="31">
        <v>117.71</v>
      </c>
      <c r="S120" s="32">
        <v>4.3713000000000002E-2</v>
      </c>
      <c r="T120" s="32">
        <v>2.5500000000000002E-4</v>
      </c>
      <c r="U120" s="32">
        <v>7.6499999999999995E-4</v>
      </c>
      <c r="V120" s="32">
        <v>2.8969999999999998E-3</v>
      </c>
      <c r="W120" s="32">
        <v>6.4120000000000002E-3</v>
      </c>
      <c r="X120" s="32">
        <v>1.2733E-2</v>
      </c>
      <c r="Y120" s="32">
        <v>4.3713000000000002E-2</v>
      </c>
      <c r="Z120" s="32">
        <v>9.1120000000000007E-2</v>
      </c>
      <c r="AA120" s="32">
        <v>0.141486</v>
      </c>
      <c r="AB120" s="32">
        <v>0.13095699999999999</v>
      </c>
    </row>
    <row r="121" spans="1:28" ht="15.6" customHeight="1" x14ac:dyDescent="0.25">
      <c r="A121" s="24" t="s">
        <v>488</v>
      </c>
      <c r="B121" s="50">
        <v>3835</v>
      </c>
      <c r="C121" s="25" t="s">
        <v>489</v>
      </c>
      <c r="D121" s="25" t="s">
        <v>322</v>
      </c>
      <c r="E121" s="25" t="s">
        <v>194</v>
      </c>
      <c r="F121" s="25" t="s">
        <v>138</v>
      </c>
      <c r="G121" s="26" t="s">
        <v>139</v>
      </c>
      <c r="H121" s="27" t="s">
        <v>490</v>
      </c>
      <c r="I121" s="24" t="s">
        <v>106</v>
      </c>
      <c r="J121" s="24" t="s">
        <v>107</v>
      </c>
      <c r="K121" s="28" t="s">
        <v>108</v>
      </c>
      <c r="L121" s="29">
        <v>0.03</v>
      </c>
      <c r="M121" s="29">
        <v>1.4999999999999999E-2</v>
      </c>
      <c r="N121" s="29">
        <v>0.02</v>
      </c>
      <c r="O121" s="27" t="s">
        <v>166</v>
      </c>
      <c r="P121" s="30" t="s">
        <v>322</v>
      </c>
      <c r="Q121" s="31">
        <v>2500514163.7399998</v>
      </c>
      <c r="R121" s="31">
        <v>127.23</v>
      </c>
      <c r="S121" s="32">
        <v>0.151507</v>
      </c>
      <c r="T121" s="32">
        <v>3.9449999999999997E-3</v>
      </c>
      <c r="U121" s="32">
        <v>-8.4939999999999998E-3</v>
      </c>
      <c r="V121" s="32">
        <v>-2.3599999999999999E-4</v>
      </c>
      <c r="W121" s="32">
        <v>-1.7680999999999999E-2</v>
      </c>
      <c r="X121" s="32">
        <v>-3.0560000000000001E-3</v>
      </c>
      <c r="Y121" s="32">
        <v>0.151507</v>
      </c>
      <c r="Z121" s="32">
        <v>0.34992000000000001</v>
      </c>
      <c r="AA121" s="32">
        <v>0.37249199999999999</v>
      </c>
      <c r="AB121" s="32">
        <v>0.25907999999999998</v>
      </c>
    </row>
    <row r="122" spans="1:28" ht="15.6" customHeight="1" x14ac:dyDescent="0.25">
      <c r="A122" s="24" t="s">
        <v>495</v>
      </c>
      <c r="B122" s="50">
        <v>3837</v>
      </c>
      <c r="C122" s="25" t="s">
        <v>496</v>
      </c>
      <c r="D122" s="25" t="s">
        <v>145</v>
      </c>
      <c r="E122" s="25" t="s">
        <v>194</v>
      </c>
      <c r="F122" s="25" t="s">
        <v>138</v>
      </c>
      <c r="G122" s="26" t="s">
        <v>139</v>
      </c>
      <c r="H122" s="27" t="s">
        <v>497</v>
      </c>
      <c r="I122" s="24" t="s">
        <v>106</v>
      </c>
      <c r="J122" s="24" t="s">
        <v>107</v>
      </c>
      <c r="K122" s="28" t="s">
        <v>108</v>
      </c>
      <c r="L122" s="29">
        <v>0.03</v>
      </c>
      <c r="M122" s="29">
        <v>0.03</v>
      </c>
      <c r="N122" s="29">
        <v>0.02</v>
      </c>
      <c r="O122" s="27" t="s">
        <v>148</v>
      </c>
      <c r="P122" s="30" t="s">
        <v>494</v>
      </c>
      <c r="Q122" s="31">
        <v>1319774.03</v>
      </c>
      <c r="R122" s="31">
        <v>1337.15</v>
      </c>
      <c r="S122" s="32">
        <v>0.101133</v>
      </c>
      <c r="T122" s="32">
        <v>9.0600000000000001E-4</v>
      </c>
      <c r="U122" s="32">
        <v>-1.35E-4</v>
      </c>
      <c r="V122" s="32">
        <v>1.0629999999999999E-3</v>
      </c>
      <c r="W122" s="32">
        <v>-1.6949999999999999E-3</v>
      </c>
      <c r="X122" s="32">
        <v>4.522E-3</v>
      </c>
      <c r="Y122" s="32">
        <v>0.101133</v>
      </c>
      <c r="Z122" s="32" t="s">
        <v>139</v>
      </c>
      <c r="AA122" s="32">
        <v>0.31527699999999997</v>
      </c>
      <c r="AB122" s="32" t="s">
        <v>139</v>
      </c>
    </row>
    <row r="123" spans="1:28" ht="15.6" customHeight="1" x14ac:dyDescent="0.25">
      <c r="A123" s="24" t="s">
        <v>498</v>
      </c>
      <c r="B123" s="50">
        <v>3838</v>
      </c>
      <c r="C123" s="25" t="s">
        <v>499</v>
      </c>
      <c r="D123" s="25" t="s">
        <v>145</v>
      </c>
      <c r="E123" s="25" t="s">
        <v>194</v>
      </c>
      <c r="F123" s="25" t="s">
        <v>128</v>
      </c>
      <c r="G123" s="26" t="s">
        <v>289</v>
      </c>
      <c r="H123" s="27" t="s">
        <v>373</v>
      </c>
      <c r="I123" s="24" t="s">
        <v>106</v>
      </c>
      <c r="J123" s="24" t="s">
        <v>107</v>
      </c>
      <c r="K123" s="28" t="s">
        <v>108</v>
      </c>
      <c r="L123" s="29">
        <v>0.01</v>
      </c>
      <c r="M123" s="29">
        <v>0.01</v>
      </c>
      <c r="N123" s="29">
        <v>0.01</v>
      </c>
      <c r="O123" s="27" t="s">
        <v>148</v>
      </c>
      <c r="P123" s="30" t="s">
        <v>494</v>
      </c>
      <c r="Q123" s="31">
        <v>1437536917.01</v>
      </c>
      <c r="R123" s="31">
        <v>1214.2</v>
      </c>
      <c r="S123" s="32">
        <v>3.5282000000000001E-2</v>
      </c>
      <c r="T123" s="32">
        <v>5.44E-4</v>
      </c>
      <c r="U123" s="32">
        <v>8.4900000000000004E-4</v>
      </c>
      <c r="V123" s="32">
        <v>3.1059999999999998E-3</v>
      </c>
      <c r="W123" s="32">
        <v>6.5160000000000001E-3</v>
      </c>
      <c r="X123" s="32">
        <v>1.4141000000000001E-2</v>
      </c>
      <c r="Y123" s="32">
        <v>3.5282000000000001E-2</v>
      </c>
      <c r="Z123" s="32">
        <v>7.4303999999999995E-2</v>
      </c>
      <c r="AA123" s="32">
        <v>0.11848</v>
      </c>
      <c r="AB123" s="32">
        <v>0.16548299999999999</v>
      </c>
    </row>
    <row r="124" spans="1:28" ht="15.6" customHeight="1" x14ac:dyDescent="0.25">
      <c r="A124" s="24" t="s">
        <v>500</v>
      </c>
      <c r="B124" s="50">
        <v>3839</v>
      </c>
      <c r="C124" s="25" t="s">
        <v>501</v>
      </c>
      <c r="D124" s="25" t="s">
        <v>145</v>
      </c>
      <c r="E124" s="25" t="s">
        <v>194</v>
      </c>
      <c r="F124" s="25" t="s">
        <v>138</v>
      </c>
      <c r="G124" s="26" t="s">
        <v>139</v>
      </c>
      <c r="H124" s="27" t="s">
        <v>497</v>
      </c>
      <c r="I124" s="24" t="s">
        <v>106</v>
      </c>
      <c r="J124" s="24" t="s">
        <v>107</v>
      </c>
      <c r="K124" s="28" t="s">
        <v>108</v>
      </c>
      <c r="L124" s="29">
        <v>0.03</v>
      </c>
      <c r="M124" s="29">
        <v>0.03</v>
      </c>
      <c r="N124" s="29">
        <v>0.02</v>
      </c>
      <c r="O124" s="27" t="s">
        <v>148</v>
      </c>
      <c r="P124" s="30" t="s">
        <v>494</v>
      </c>
      <c r="Q124" s="31">
        <v>1142649.29</v>
      </c>
      <c r="R124" s="31">
        <v>1142.6400000000001</v>
      </c>
      <c r="S124" s="32">
        <v>5.2755999999999997E-2</v>
      </c>
      <c r="T124" s="32">
        <v>1.815E-3</v>
      </c>
      <c r="U124" s="32">
        <v>1.165E-3</v>
      </c>
      <c r="V124" s="32">
        <v>9.810000000000001E-4</v>
      </c>
      <c r="W124" s="32">
        <v>-1.9480000000000001E-3</v>
      </c>
      <c r="X124" s="32">
        <v>-1.32E-3</v>
      </c>
      <c r="Y124" s="32">
        <v>5.2755999999999997E-2</v>
      </c>
      <c r="Z124" s="32">
        <v>0.109607</v>
      </c>
      <c r="AA124" s="32">
        <v>0.13594899999999999</v>
      </c>
      <c r="AB124" s="32">
        <v>0.12689700000000001</v>
      </c>
    </row>
    <row r="125" spans="1:28" ht="15.6" customHeight="1" x14ac:dyDescent="0.25">
      <c r="A125" s="24" t="s">
        <v>502</v>
      </c>
      <c r="B125" s="50">
        <v>3841</v>
      </c>
      <c r="C125" s="25" t="s">
        <v>503</v>
      </c>
      <c r="D125" s="25" t="s">
        <v>504</v>
      </c>
      <c r="E125" s="25" t="s">
        <v>194</v>
      </c>
      <c r="F125" s="25" t="s">
        <v>128</v>
      </c>
      <c r="G125" s="26" t="s">
        <v>289</v>
      </c>
      <c r="H125" s="27" t="s">
        <v>130</v>
      </c>
      <c r="I125" s="24" t="s">
        <v>106</v>
      </c>
      <c r="J125" s="24" t="s">
        <v>107</v>
      </c>
      <c r="K125" s="28" t="s">
        <v>108</v>
      </c>
      <c r="L125" s="29">
        <v>0.02</v>
      </c>
      <c r="M125" s="29">
        <v>0.02</v>
      </c>
      <c r="N125" s="29">
        <v>0.02</v>
      </c>
      <c r="O125" s="27" t="s">
        <v>148</v>
      </c>
      <c r="P125" s="30" t="s">
        <v>504</v>
      </c>
      <c r="Q125" s="31">
        <v>1190568886.26</v>
      </c>
      <c r="R125" s="31">
        <v>1171.07</v>
      </c>
      <c r="S125" s="32">
        <v>2.878E-2</v>
      </c>
      <c r="T125" s="32">
        <v>0</v>
      </c>
      <c r="U125" s="32">
        <v>4.44E-4</v>
      </c>
      <c r="V125" s="32">
        <v>2.5170000000000001E-3</v>
      </c>
      <c r="W125" s="32">
        <v>4.9950000000000003E-3</v>
      </c>
      <c r="X125" s="32">
        <v>1.1207999999999999E-2</v>
      </c>
      <c r="Y125" s="32">
        <v>2.878E-2</v>
      </c>
      <c r="Z125" s="32">
        <v>6.9157999999999997E-2</v>
      </c>
      <c r="AA125" s="32">
        <v>0.104106</v>
      </c>
      <c r="AB125" s="32">
        <v>0.13150100000000001</v>
      </c>
    </row>
    <row r="126" spans="1:28" ht="15.6" customHeight="1" x14ac:dyDescent="0.25">
      <c r="A126" s="24" t="s">
        <v>505</v>
      </c>
      <c r="B126" s="50">
        <v>3843</v>
      </c>
      <c r="C126" s="25" t="s">
        <v>506</v>
      </c>
      <c r="D126" s="25" t="s">
        <v>316</v>
      </c>
      <c r="E126" s="25" t="s">
        <v>194</v>
      </c>
      <c r="F126" s="25" t="s">
        <v>128</v>
      </c>
      <c r="G126" s="26" t="s">
        <v>289</v>
      </c>
      <c r="H126" s="27" t="s">
        <v>130</v>
      </c>
      <c r="I126" s="24" t="s">
        <v>106</v>
      </c>
      <c r="J126" s="24" t="s">
        <v>107</v>
      </c>
      <c r="K126" s="28" t="s">
        <v>108</v>
      </c>
      <c r="L126" s="29">
        <v>0.03</v>
      </c>
      <c r="M126" s="29">
        <v>0.03</v>
      </c>
      <c r="N126" s="29">
        <v>0.02</v>
      </c>
      <c r="O126" s="27" t="s">
        <v>161</v>
      </c>
      <c r="P126" s="30" t="s">
        <v>316</v>
      </c>
      <c r="Q126" s="31">
        <v>1037031756.04</v>
      </c>
      <c r="R126" s="31">
        <v>118032.3</v>
      </c>
      <c r="S126" s="32">
        <v>2.8475E-2</v>
      </c>
      <c r="T126" s="32">
        <v>-7.6000000000000004E-5</v>
      </c>
      <c r="U126" s="32">
        <v>3.1399999999999999E-4</v>
      </c>
      <c r="V126" s="32">
        <v>2.4260000000000002E-3</v>
      </c>
      <c r="W126" s="32">
        <v>4.9230000000000003E-3</v>
      </c>
      <c r="X126" s="32">
        <v>1.0822999999999999E-2</v>
      </c>
      <c r="Y126" s="32">
        <v>2.8475E-2</v>
      </c>
      <c r="Z126" s="32">
        <v>7.0791000000000007E-2</v>
      </c>
      <c r="AA126" s="32">
        <v>0.10993799999999999</v>
      </c>
      <c r="AB126" s="32">
        <v>0.138458</v>
      </c>
    </row>
    <row r="127" spans="1:28" ht="15.6" customHeight="1" x14ac:dyDescent="0.25">
      <c r="A127" s="24" t="s">
        <v>507</v>
      </c>
      <c r="B127" s="50">
        <v>3844</v>
      </c>
      <c r="C127" s="25" t="s">
        <v>508</v>
      </c>
      <c r="D127" s="25" t="s">
        <v>504</v>
      </c>
      <c r="E127" s="25" t="s">
        <v>194</v>
      </c>
      <c r="F127" s="25" t="s">
        <v>103</v>
      </c>
      <c r="G127" s="26" t="s">
        <v>216</v>
      </c>
      <c r="H127" s="27" t="s">
        <v>509</v>
      </c>
      <c r="I127" s="24" t="s">
        <v>106</v>
      </c>
      <c r="J127" s="24" t="s">
        <v>107</v>
      </c>
      <c r="K127" s="28" t="s">
        <v>108</v>
      </c>
      <c r="L127" s="29">
        <v>0.02</v>
      </c>
      <c r="M127" s="29">
        <v>0.02</v>
      </c>
      <c r="N127" s="29">
        <v>0.02</v>
      </c>
      <c r="O127" s="27" t="s">
        <v>161</v>
      </c>
      <c r="P127" s="30" t="s">
        <v>504</v>
      </c>
      <c r="Q127" s="31">
        <v>1264568390.8599999</v>
      </c>
      <c r="R127" s="31">
        <v>1155.24</v>
      </c>
      <c r="S127" s="32">
        <v>2.8993000000000001E-2</v>
      </c>
      <c r="T127" s="32">
        <v>4.8500000000000003E-4</v>
      </c>
      <c r="U127" s="32">
        <v>9.9599999999999992E-4</v>
      </c>
      <c r="V127" s="32">
        <v>2.7339999999999999E-3</v>
      </c>
      <c r="W127" s="32">
        <v>6.9210000000000001E-3</v>
      </c>
      <c r="X127" s="32">
        <v>1.3271E-2</v>
      </c>
      <c r="Y127" s="32">
        <v>2.8993000000000001E-2</v>
      </c>
      <c r="Z127" s="32">
        <v>6.4531000000000005E-2</v>
      </c>
      <c r="AA127" s="32">
        <v>0.10144499999999999</v>
      </c>
      <c r="AB127" s="32">
        <v>0.128021</v>
      </c>
    </row>
    <row r="128" spans="1:28" ht="15.6" customHeight="1" x14ac:dyDescent="0.25">
      <c r="A128" s="24" t="s">
        <v>510</v>
      </c>
      <c r="B128" s="50">
        <v>3850</v>
      </c>
      <c r="C128" s="25" t="s">
        <v>511</v>
      </c>
      <c r="D128" s="25" t="s">
        <v>159</v>
      </c>
      <c r="E128" s="25" t="s">
        <v>194</v>
      </c>
      <c r="F128" s="25" t="s">
        <v>128</v>
      </c>
      <c r="G128" s="26" t="s">
        <v>289</v>
      </c>
      <c r="H128" s="27" t="s">
        <v>512</v>
      </c>
      <c r="I128" s="24" t="s">
        <v>106</v>
      </c>
      <c r="J128" s="24" t="s">
        <v>121</v>
      </c>
      <c r="K128" s="28" t="s">
        <v>227</v>
      </c>
      <c r="L128" s="29">
        <v>0</v>
      </c>
      <c r="M128" s="29">
        <v>0</v>
      </c>
      <c r="N128" s="29">
        <v>0.02</v>
      </c>
      <c r="O128" s="27" t="s">
        <v>161</v>
      </c>
      <c r="P128" s="30" t="s">
        <v>513</v>
      </c>
      <c r="Q128" s="31">
        <v>1187178202.9400001</v>
      </c>
      <c r="R128" s="31">
        <v>1139.1099999999999</v>
      </c>
      <c r="S128" s="32">
        <v>2.4941999999999999E-2</v>
      </c>
      <c r="T128" s="32">
        <v>3.1599999999999998E-4</v>
      </c>
      <c r="U128" s="32">
        <v>7.8200000000000003E-4</v>
      </c>
      <c r="V128" s="32">
        <v>2.5170000000000001E-3</v>
      </c>
      <c r="W128" s="32">
        <v>4.5589999999999997E-3</v>
      </c>
      <c r="X128" s="32">
        <v>1.0145E-2</v>
      </c>
      <c r="Y128" s="32">
        <v>2.4941999999999999E-2</v>
      </c>
      <c r="Z128" s="32">
        <v>5.8407000000000001E-2</v>
      </c>
      <c r="AA128" s="32">
        <v>9.2294000000000001E-2</v>
      </c>
      <c r="AB128" s="32">
        <v>0.11806800000000001</v>
      </c>
    </row>
    <row r="129" spans="1:28" ht="15.6" customHeight="1" x14ac:dyDescent="0.25">
      <c r="A129" s="24" t="s">
        <v>514</v>
      </c>
      <c r="B129" s="50">
        <v>3852</v>
      </c>
      <c r="C129" s="25" t="s">
        <v>515</v>
      </c>
      <c r="D129" s="25" t="s">
        <v>355</v>
      </c>
      <c r="E129" s="25" t="s">
        <v>194</v>
      </c>
      <c r="F129" s="25" t="s">
        <v>113</v>
      </c>
      <c r="G129" s="26" t="s">
        <v>465</v>
      </c>
      <c r="H129" s="27" t="s">
        <v>309</v>
      </c>
      <c r="I129" s="24" t="s">
        <v>106</v>
      </c>
      <c r="J129" s="24" t="s">
        <v>107</v>
      </c>
      <c r="K129" s="28" t="s">
        <v>108</v>
      </c>
      <c r="L129" s="29">
        <v>0.03</v>
      </c>
      <c r="M129" s="29">
        <v>1.4999999999999999E-2</v>
      </c>
      <c r="N129" s="29">
        <v>0.02</v>
      </c>
      <c r="O129" s="27" t="s">
        <v>262</v>
      </c>
      <c r="P129" s="30" t="s">
        <v>516</v>
      </c>
      <c r="Q129" s="31">
        <v>1282990500.9200001</v>
      </c>
      <c r="R129" s="31">
        <v>1207.47</v>
      </c>
      <c r="S129" s="32">
        <v>3.3890000000000003E-2</v>
      </c>
      <c r="T129" s="32">
        <v>7.9999999999999996E-6</v>
      </c>
      <c r="U129" s="32">
        <v>1.0200000000000001E-3</v>
      </c>
      <c r="V129" s="32">
        <v>5.7720000000000002E-3</v>
      </c>
      <c r="W129" s="32">
        <v>-2.24E-4</v>
      </c>
      <c r="X129" s="32">
        <v>6.594E-3</v>
      </c>
      <c r="Y129" s="32">
        <v>3.3890000000000003E-2</v>
      </c>
      <c r="Z129" s="32">
        <v>9.5976000000000006E-2</v>
      </c>
      <c r="AA129" s="32">
        <v>0.18227599999999999</v>
      </c>
      <c r="AB129" s="32">
        <v>0.16764200000000001</v>
      </c>
    </row>
    <row r="130" spans="1:28" ht="15.6" customHeight="1" x14ac:dyDescent="0.25">
      <c r="A130" s="24" t="s">
        <v>517</v>
      </c>
      <c r="B130" s="50">
        <v>3853</v>
      </c>
      <c r="C130" s="25" t="s">
        <v>518</v>
      </c>
      <c r="D130" s="25" t="s">
        <v>355</v>
      </c>
      <c r="E130" s="25" t="s">
        <v>194</v>
      </c>
      <c r="F130" s="25" t="s">
        <v>128</v>
      </c>
      <c r="G130" s="26" t="s">
        <v>289</v>
      </c>
      <c r="H130" s="27" t="s">
        <v>130</v>
      </c>
      <c r="I130" s="24" t="s">
        <v>106</v>
      </c>
      <c r="J130" s="24" t="s">
        <v>107</v>
      </c>
      <c r="K130" s="28" t="s">
        <v>108</v>
      </c>
      <c r="L130" s="29">
        <v>0.02</v>
      </c>
      <c r="M130" s="29">
        <v>1.4999999999999999E-2</v>
      </c>
      <c r="N130" s="29">
        <v>0.02</v>
      </c>
      <c r="O130" s="27" t="s">
        <v>262</v>
      </c>
      <c r="P130" s="30" t="s">
        <v>516</v>
      </c>
      <c r="Q130" s="31">
        <v>1048209.46</v>
      </c>
      <c r="R130" s="31">
        <v>1131.98</v>
      </c>
      <c r="S130" s="32">
        <v>1.7180999999999998E-2</v>
      </c>
      <c r="T130" s="32">
        <v>-8.0000000000000007E-5</v>
      </c>
      <c r="U130" s="32">
        <v>1.15E-4</v>
      </c>
      <c r="V130" s="32">
        <v>1.353E-3</v>
      </c>
      <c r="W130" s="32">
        <v>2.32E-3</v>
      </c>
      <c r="X130" s="32">
        <v>5.5789999999999998E-3</v>
      </c>
      <c r="Y130" s="32">
        <v>1.7180999999999998E-2</v>
      </c>
      <c r="Z130" s="32">
        <v>4.1993000000000003E-2</v>
      </c>
      <c r="AA130" s="32">
        <v>9.0508000000000005E-2</v>
      </c>
      <c r="AB130" s="32">
        <v>0.11049200000000001</v>
      </c>
    </row>
    <row r="131" spans="1:28" ht="15.6" customHeight="1" x14ac:dyDescent="0.25">
      <c r="A131" s="24" t="s">
        <v>519</v>
      </c>
      <c r="B131" s="50">
        <v>3855</v>
      </c>
      <c r="C131" s="25" t="s">
        <v>520</v>
      </c>
      <c r="D131" s="25" t="s">
        <v>159</v>
      </c>
      <c r="E131" s="25" t="s">
        <v>194</v>
      </c>
      <c r="F131" s="25" t="s">
        <v>138</v>
      </c>
      <c r="G131" s="26" t="s">
        <v>139</v>
      </c>
      <c r="H131" s="27" t="s">
        <v>521</v>
      </c>
      <c r="I131" s="24" t="s">
        <v>106</v>
      </c>
      <c r="J131" s="24" t="s">
        <v>121</v>
      </c>
      <c r="K131" s="28" t="s">
        <v>227</v>
      </c>
      <c r="L131" s="29">
        <v>0</v>
      </c>
      <c r="M131" s="29">
        <v>0</v>
      </c>
      <c r="N131" s="29">
        <v>0.02</v>
      </c>
      <c r="O131" s="27" t="s">
        <v>161</v>
      </c>
      <c r="P131" s="30" t="s">
        <v>513</v>
      </c>
      <c r="Q131" s="31">
        <v>1239245973.6800001</v>
      </c>
      <c r="R131" s="31">
        <v>1287.6600000000001</v>
      </c>
      <c r="S131" s="32">
        <v>0.139651</v>
      </c>
      <c r="T131" s="32">
        <v>-2.0769999999999999E-3</v>
      </c>
      <c r="U131" s="32">
        <v>-7.5459999999999998E-3</v>
      </c>
      <c r="V131" s="32">
        <v>4.47E-3</v>
      </c>
      <c r="W131" s="32">
        <v>-7.2979999999999998E-3</v>
      </c>
      <c r="X131" s="32">
        <v>5.208E-3</v>
      </c>
      <c r="Y131" s="32">
        <v>0.139651</v>
      </c>
      <c r="Z131" s="32">
        <v>0.33762399999999998</v>
      </c>
      <c r="AA131" s="32">
        <v>0.40669</v>
      </c>
      <c r="AB131" s="32">
        <v>0.43447400000000003</v>
      </c>
    </row>
    <row r="132" spans="1:28" ht="15.6" customHeight="1" x14ac:dyDescent="0.25">
      <c r="A132" s="24" t="s">
        <v>522</v>
      </c>
      <c r="B132" s="50">
        <v>3860</v>
      </c>
      <c r="C132" s="25" t="s">
        <v>523</v>
      </c>
      <c r="D132" s="25" t="s">
        <v>524</v>
      </c>
      <c r="E132" s="25" t="s">
        <v>194</v>
      </c>
      <c r="F132" s="25" t="s">
        <v>103</v>
      </c>
      <c r="G132" s="26" t="s">
        <v>392</v>
      </c>
      <c r="H132" s="27" t="s">
        <v>188</v>
      </c>
      <c r="I132" s="24" t="s">
        <v>106</v>
      </c>
      <c r="J132" s="24" t="s">
        <v>107</v>
      </c>
      <c r="K132" s="28" t="s">
        <v>108</v>
      </c>
      <c r="L132" s="29">
        <v>0</v>
      </c>
      <c r="M132" s="29">
        <v>0</v>
      </c>
      <c r="N132" s="29">
        <v>6.0000000000000001E-3</v>
      </c>
      <c r="O132" s="27" t="s">
        <v>141</v>
      </c>
      <c r="P132" s="30" t="s">
        <v>525</v>
      </c>
      <c r="Q132" s="31">
        <v>292977767.41000003</v>
      </c>
      <c r="R132" s="31">
        <v>1148.19</v>
      </c>
      <c r="S132" s="32">
        <v>2.8927000000000001E-2</v>
      </c>
      <c r="T132" s="32">
        <v>5.1400000000000003E-4</v>
      </c>
      <c r="U132" s="32">
        <v>1.0369999999999999E-3</v>
      </c>
      <c r="V132" s="32">
        <v>3.101E-3</v>
      </c>
      <c r="W132" s="32">
        <v>6.8570000000000002E-3</v>
      </c>
      <c r="X132" s="32">
        <v>1.2969E-2</v>
      </c>
      <c r="Y132" s="32">
        <v>2.8927000000000001E-2</v>
      </c>
      <c r="Z132" s="32">
        <v>6.5428E-2</v>
      </c>
      <c r="AA132" s="32">
        <v>9.8766999999999994E-2</v>
      </c>
      <c r="AB132" s="32">
        <v>0.13514699999999999</v>
      </c>
    </row>
    <row r="133" spans="1:28" ht="15.6" customHeight="1" x14ac:dyDescent="0.25">
      <c r="A133" s="24" t="s">
        <v>526</v>
      </c>
      <c r="B133" s="50">
        <v>3865</v>
      </c>
      <c r="C133" s="25" t="s">
        <v>527</v>
      </c>
      <c r="D133" s="25" t="s">
        <v>524</v>
      </c>
      <c r="E133" s="25" t="s">
        <v>194</v>
      </c>
      <c r="F133" s="25" t="s">
        <v>128</v>
      </c>
      <c r="G133" s="26" t="s">
        <v>289</v>
      </c>
      <c r="H133" s="27" t="s">
        <v>130</v>
      </c>
      <c r="I133" s="24" t="s">
        <v>106</v>
      </c>
      <c r="J133" s="24" t="s">
        <v>107</v>
      </c>
      <c r="K133" s="28" t="s">
        <v>108</v>
      </c>
      <c r="L133" s="29">
        <v>0</v>
      </c>
      <c r="M133" s="29">
        <v>0</v>
      </c>
      <c r="N133" s="29">
        <v>8.0000000000000002E-3</v>
      </c>
      <c r="O133" s="27" t="s">
        <v>262</v>
      </c>
      <c r="P133" s="30" t="s">
        <v>528</v>
      </c>
      <c r="Q133" s="31">
        <v>499332681.36000001</v>
      </c>
      <c r="R133" s="31">
        <v>1167.21</v>
      </c>
      <c r="S133" s="32">
        <v>3.5339000000000002E-2</v>
      </c>
      <c r="T133" s="32">
        <v>1.11E-4</v>
      </c>
      <c r="U133" s="32">
        <v>5.2300000000000003E-4</v>
      </c>
      <c r="V133" s="32">
        <v>2.947E-3</v>
      </c>
      <c r="W133" s="32">
        <v>5.7299999999999999E-3</v>
      </c>
      <c r="X133" s="32">
        <v>1.2368000000000001E-2</v>
      </c>
      <c r="Y133" s="32">
        <v>3.5339000000000002E-2</v>
      </c>
      <c r="Z133" s="32">
        <v>7.6096999999999998E-2</v>
      </c>
      <c r="AA133" s="32">
        <v>0.114165</v>
      </c>
      <c r="AB133" s="32">
        <v>0.15023300000000001</v>
      </c>
    </row>
    <row r="134" spans="1:28" ht="15.6" customHeight="1" x14ac:dyDescent="0.25">
      <c r="A134" s="24" t="s">
        <v>529</v>
      </c>
      <c r="B134" s="50">
        <v>3873</v>
      </c>
      <c r="C134" s="25" t="s">
        <v>530</v>
      </c>
      <c r="D134" s="25" t="s">
        <v>127</v>
      </c>
      <c r="E134" s="25" t="s">
        <v>194</v>
      </c>
      <c r="F134" s="25" t="s">
        <v>113</v>
      </c>
      <c r="G134" s="26" t="s">
        <v>531</v>
      </c>
      <c r="H134" s="27" t="s">
        <v>309</v>
      </c>
      <c r="I134" s="24" t="s">
        <v>106</v>
      </c>
      <c r="J134" s="24" t="s">
        <v>121</v>
      </c>
      <c r="K134" s="28" t="s">
        <v>108</v>
      </c>
      <c r="L134" s="29">
        <v>0.03</v>
      </c>
      <c r="M134" s="29">
        <v>0.02</v>
      </c>
      <c r="N134" s="29">
        <v>0.02</v>
      </c>
      <c r="O134" s="27" t="s">
        <v>131</v>
      </c>
      <c r="P134" s="30" t="s">
        <v>131</v>
      </c>
      <c r="Q134" s="31">
        <v>1616154056.1700001</v>
      </c>
      <c r="R134" s="31">
        <v>1235.4100000000001</v>
      </c>
      <c r="S134" s="32">
        <v>4.8495000000000003E-2</v>
      </c>
      <c r="T134" s="32">
        <v>-2.0110000000000002E-3</v>
      </c>
      <c r="U134" s="32">
        <v>-2.0110000000000002E-3</v>
      </c>
      <c r="V134" s="32">
        <v>4.8149999999999998E-3</v>
      </c>
      <c r="W134" s="32">
        <v>-7.4399999999999998E-4</v>
      </c>
      <c r="X134" s="32">
        <v>7.0759999999999998E-3</v>
      </c>
      <c r="Y134" s="32">
        <v>4.8495000000000003E-2</v>
      </c>
      <c r="Z134" s="32">
        <v>0.13628100000000001</v>
      </c>
      <c r="AA134" s="32">
        <v>0.17476800000000001</v>
      </c>
      <c r="AB134" s="32">
        <v>0.196766</v>
      </c>
    </row>
    <row r="135" spans="1:28" ht="15.6" customHeight="1" x14ac:dyDescent="0.25">
      <c r="A135" s="24" t="s">
        <v>532</v>
      </c>
      <c r="B135" s="50">
        <v>3875</v>
      </c>
      <c r="C135" s="25" t="s">
        <v>533</v>
      </c>
      <c r="D135" s="25" t="s">
        <v>241</v>
      </c>
      <c r="E135" s="25" t="s">
        <v>194</v>
      </c>
      <c r="F135" s="25" t="s">
        <v>128</v>
      </c>
      <c r="G135" s="26" t="s">
        <v>289</v>
      </c>
      <c r="H135" s="27" t="s">
        <v>130</v>
      </c>
      <c r="I135" s="24" t="s">
        <v>106</v>
      </c>
      <c r="J135" s="24" t="s">
        <v>107</v>
      </c>
      <c r="K135" s="28" t="s">
        <v>108</v>
      </c>
      <c r="L135" s="29">
        <v>0.03</v>
      </c>
      <c r="M135" s="29">
        <v>1.4999999999999999E-2</v>
      </c>
      <c r="N135" s="29">
        <v>0.02</v>
      </c>
      <c r="O135" s="27" t="s">
        <v>166</v>
      </c>
      <c r="P135" s="30" t="s">
        <v>534</v>
      </c>
      <c r="Q135" s="31">
        <v>2094861415.4300001</v>
      </c>
      <c r="R135" s="31">
        <v>1149.01</v>
      </c>
      <c r="S135" s="32">
        <v>3.1937E-2</v>
      </c>
      <c r="T135" s="32">
        <v>8.7000000000000001E-5</v>
      </c>
      <c r="U135" s="32">
        <v>5.22E-4</v>
      </c>
      <c r="V135" s="32">
        <v>3.029E-3</v>
      </c>
      <c r="W135" s="32">
        <v>6.3150000000000003E-3</v>
      </c>
      <c r="X135" s="32">
        <v>1.2683E-2</v>
      </c>
      <c r="Y135" s="32">
        <v>3.1937E-2</v>
      </c>
      <c r="Z135" s="32">
        <v>7.2737999999999997E-2</v>
      </c>
      <c r="AA135" s="32">
        <v>0.107533</v>
      </c>
      <c r="AB135" s="32">
        <v>0.150229</v>
      </c>
    </row>
    <row r="136" spans="1:28" ht="15.6" customHeight="1" x14ac:dyDescent="0.25">
      <c r="A136" s="24" t="s">
        <v>535</v>
      </c>
      <c r="B136" s="50">
        <v>3876</v>
      </c>
      <c r="C136" s="25" t="s">
        <v>536</v>
      </c>
      <c r="D136" s="25" t="s">
        <v>241</v>
      </c>
      <c r="E136" s="25" t="s">
        <v>194</v>
      </c>
      <c r="F136" s="25" t="s">
        <v>103</v>
      </c>
      <c r="G136" s="26" t="s">
        <v>244</v>
      </c>
      <c r="H136" s="27" t="s">
        <v>188</v>
      </c>
      <c r="I136" s="24" t="s">
        <v>106</v>
      </c>
      <c r="J136" s="24" t="s">
        <v>107</v>
      </c>
      <c r="K136" s="28" t="s">
        <v>108</v>
      </c>
      <c r="L136" s="29">
        <v>0.03</v>
      </c>
      <c r="M136" s="29">
        <v>1.4999999999999999E-2</v>
      </c>
      <c r="N136" s="29">
        <v>0.02</v>
      </c>
      <c r="O136" s="27" t="s">
        <v>116</v>
      </c>
      <c r="P136" s="30" t="s">
        <v>534</v>
      </c>
      <c r="Q136" s="31">
        <v>688451170.15999997</v>
      </c>
      <c r="R136" s="31">
        <v>1137.1400000000001</v>
      </c>
      <c r="S136" s="32">
        <v>2.9336999999999998E-2</v>
      </c>
      <c r="T136" s="32">
        <v>2.99E-4</v>
      </c>
      <c r="U136" s="32">
        <v>8.6300000000000005E-4</v>
      </c>
      <c r="V136" s="32">
        <v>2.4420000000000002E-3</v>
      </c>
      <c r="W136" s="32">
        <v>6.6930000000000002E-3</v>
      </c>
      <c r="X136" s="32">
        <v>1.3178E-2</v>
      </c>
      <c r="Y136" s="32">
        <v>2.9336999999999998E-2</v>
      </c>
      <c r="Z136" s="32">
        <v>6.6464999999999996E-2</v>
      </c>
      <c r="AA136" s="32">
        <v>0.10263799999999999</v>
      </c>
      <c r="AB136" s="32">
        <v>0.13723099999999999</v>
      </c>
    </row>
    <row r="137" spans="1:28" ht="15.6" customHeight="1" x14ac:dyDescent="0.25">
      <c r="A137" s="24" t="s">
        <v>537</v>
      </c>
      <c r="B137" s="50">
        <v>3877</v>
      </c>
      <c r="C137" s="25" t="s">
        <v>538</v>
      </c>
      <c r="D137" s="25" t="s">
        <v>241</v>
      </c>
      <c r="E137" s="25" t="s">
        <v>194</v>
      </c>
      <c r="F137" s="25" t="s">
        <v>113</v>
      </c>
      <c r="G137" s="26" t="s">
        <v>531</v>
      </c>
      <c r="H137" s="27" t="s">
        <v>309</v>
      </c>
      <c r="I137" s="24" t="s">
        <v>106</v>
      </c>
      <c r="J137" s="24" t="s">
        <v>121</v>
      </c>
      <c r="K137" s="28" t="s">
        <v>108</v>
      </c>
      <c r="L137" s="29">
        <v>0.03</v>
      </c>
      <c r="M137" s="29">
        <v>1.4999999999999999E-2</v>
      </c>
      <c r="N137" s="29">
        <v>0.02</v>
      </c>
      <c r="O137" s="27" t="s">
        <v>262</v>
      </c>
      <c r="P137" s="30" t="s">
        <v>241</v>
      </c>
      <c r="Q137" s="31">
        <v>1299043124.26</v>
      </c>
      <c r="R137" s="31">
        <v>1159.1500000000001</v>
      </c>
      <c r="S137" s="32">
        <v>5.3025999999999997E-2</v>
      </c>
      <c r="T137" s="32">
        <v>-5.0980000000000001E-3</v>
      </c>
      <c r="U137" s="32">
        <v>-4.6369999999999996E-3</v>
      </c>
      <c r="V137" s="32">
        <v>2.248E-3</v>
      </c>
      <c r="W137" s="32">
        <v>-5.0980000000000001E-3</v>
      </c>
      <c r="X137" s="32">
        <v>3.454E-3</v>
      </c>
      <c r="Y137" s="32">
        <v>5.3025999999999997E-2</v>
      </c>
      <c r="Z137" s="32">
        <v>0.144094</v>
      </c>
      <c r="AA137" s="32">
        <v>0.15487699999999999</v>
      </c>
      <c r="AB137" s="32">
        <v>0.16010099999999999</v>
      </c>
    </row>
    <row r="138" spans="1:28" ht="15.6" customHeight="1" x14ac:dyDescent="0.25">
      <c r="A138" s="24" t="s">
        <v>539</v>
      </c>
      <c r="B138" s="50">
        <v>3881</v>
      </c>
      <c r="C138" s="25" t="s">
        <v>540</v>
      </c>
      <c r="D138" s="25" t="s">
        <v>112</v>
      </c>
      <c r="E138" s="25" t="s">
        <v>194</v>
      </c>
      <c r="F138" s="25" t="s">
        <v>128</v>
      </c>
      <c r="G138" s="26" t="s">
        <v>289</v>
      </c>
      <c r="H138" s="27" t="s">
        <v>258</v>
      </c>
      <c r="I138" s="24" t="s">
        <v>106</v>
      </c>
      <c r="J138" s="24" t="s">
        <v>107</v>
      </c>
      <c r="K138" s="28" t="s">
        <v>108</v>
      </c>
      <c r="L138" s="29">
        <v>0.03</v>
      </c>
      <c r="M138" s="29">
        <v>1.4999999999999999E-2</v>
      </c>
      <c r="N138" s="29">
        <v>0.02</v>
      </c>
      <c r="O138" s="27" t="s">
        <v>116</v>
      </c>
      <c r="P138" s="30" t="s">
        <v>112</v>
      </c>
      <c r="Q138" s="31">
        <v>1090101.78</v>
      </c>
      <c r="R138" s="31">
        <v>1090.0999999999999</v>
      </c>
      <c r="S138" s="32">
        <v>1.9729E-2</v>
      </c>
      <c r="T138" s="32">
        <v>1.3799999999999999E-4</v>
      </c>
      <c r="U138" s="32">
        <v>4.7699999999999999E-4</v>
      </c>
      <c r="V138" s="32">
        <v>1.9300000000000001E-3</v>
      </c>
      <c r="W138" s="32">
        <v>3.6830000000000001E-3</v>
      </c>
      <c r="X138" s="32">
        <v>8.1010000000000006E-3</v>
      </c>
      <c r="Y138" s="32">
        <v>1.9729E-2</v>
      </c>
      <c r="Z138" s="32">
        <v>4.6331999999999998E-2</v>
      </c>
      <c r="AA138" s="32">
        <v>7.4159000000000003E-2</v>
      </c>
      <c r="AB138" s="32" t="s">
        <v>139</v>
      </c>
    </row>
    <row r="139" spans="1:28" ht="15.6" customHeight="1" x14ac:dyDescent="0.25">
      <c r="A139" s="24" t="s">
        <v>541</v>
      </c>
      <c r="B139" s="50">
        <v>3882</v>
      </c>
      <c r="C139" s="25" t="s">
        <v>542</v>
      </c>
      <c r="D139" s="25" t="s">
        <v>112</v>
      </c>
      <c r="E139" s="25" t="s">
        <v>194</v>
      </c>
      <c r="F139" s="25" t="s">
        <v>155</v>
      </c>
      <c r="G139" s="26" t="s">
        <v>139</v>
      </c>
      <c r="H139" s="27" t="s">
        <v>543</v>
      </c>
      <c r="I139" s="24" t="s">
        <v>106</v>
      </c>
      <c r="J139" s="24" t="s">
        <v>107</v>
      </c>
      <c r="K139" s="28" t="s">
        <v>108</v>
      </c>
      <c r="L139" s="29">
        <v>0.03</v>
      </c>
      <c r="M139" s="29">
        <v>1.4999999999999999E-2</v>
      </c>
      <c r="N139" s="29">
        <v>0.02</v>
      </c>
      <c r="O139" s="27" t="s">
        <v>116</v>
      </c>
      <c r="P139" s="30" t="s">
        <v>544</v>
      </c>
      <c r="Q139" s="31">
        <v>184494194.08000001</v>
      </c>
      <c r="R139" s="31">
        <v>1524.31</v>
      </c>
      <c r="S139" s="32">
        <v>0.25063400000000002</v>
      </c>
      <c r="T139" s="32">
        <v>6.796E-3</v>
      </c>
      <c r="U139" s="32">
        <v>-8.0630000000000007E-3</v>
      </c>
      <c r="V139" s="32">
        <v>6.3309999999999998E-3</v>
      </c>
      <c r="W139" s="32">
        <v>-4.0049999999999999E-3</v>
      </c>
      <c r="X139" s="32">
        <v>1.6951999999999998E-2</v>
      </c>
      <c r="Y139" s="32">
        <v>0.25063400000000002</v>
      </c>
      <c r="Z139" s="32">
        <v>0.52214899999999997</v>
      </c>
      <c r="AA139" s="32">
        <v>0.69983499999999998</v>
      </c>
      <c r="AB139" s="32" t="s">
        <v>139</v>
      </c>
    </row>
    <row r="140" spans="1:28" ht="15.6" customHeight="1" x14ac:dyDescent="0.25">
      <c r="A140" s="24" t="s">
        <v>545</v>
      </c>
      <c r="B140" s="50">
        <v>3884</v>
      </c>
      <c r="C140" s="25" t="s">
        <v>546</v>
      </c>
      <c r="D140" s="25" t="s">
        <v>159</v>
      </c>
      <c r="E140" s="25" t="s">
        <v>194</v>
      </c>
      <c r="F140" s="25" t="s">
        <v>138</v>
      </c>
      <c r="G140" s="26" t="s">
        <v>139</v>
      </c>
      <c r="H140" s="27" t="s">
        <v>547</v>
      </c>
      <c r="I140" s="24" t="s">
        <v>106</v>
      </c>
      <c r="J140" s="24" t="s">
        <v>121</v>
      </c>
      <c r="K140" s="28" t="s">
        <v>108</v>
      </c>
      <c r="L140" s="29">
        <v>0</v>
      </c>
      <c r="M140" s="29">
        <v>0</v>
      </c>
      <c r="N140" s="29">
        <v>0.02</v>
      </c>
      <c r="O140" s="27" t="s">
        <v>548</v>
      </c>
      <c r="P140" s="30" t="s">
        <v>159</v>
      </c>
      <c r="Q140" s="31">
        <v>5826816633.1599998</v>
      </c>
      <c r="R140" s="31">
        <v>1323.18</v>
      </c>
      <c r="S140" s="32">
        <v>0.130913</v>
      </c>
      <c r="T140" s="32">
        <v>1.2639999999999999E-3</v>
      </c>
      <c r="U140" s="32">
        <v>-3.5620000000000001E-3</v>
      </c>
      <c r="V140" s="32">
        <v>7.1630000000000001E-3</v>
      </c>
      <c r="W140" s="32">
        <v>-3.2469999999999999E-3</v>
      </c>
      <c r="X140" s="32">
        <v>5.1279999999999997E-3</v>
      </c>
      <c r="Y140" s="32">
        <v>0.130913</v>
      </c>
      <c r="Z140" s="32">
        <v>0.28914699999999999</v>
      </c>
      <c r="AA140" s="32">
        <v>0.33459100000000003</v>
      </c>
      <c r="AB140" s="32" t="s">
        <v>139</v>
      </c>
    </row>
    <row r="141" spans="1:28" ht="15.6" customHeight="1" x14ac:dyDescent="0.25">
      <c r="A141" s="24" t="s">
        <v>549</v>
      </c>
      <c r="B141" s="50">
        <v>3885</v>
      </c>
      <c r="C141" s="25" t="s">
        <v>550</v>
      </c>
      <c r="D141" s="25" t="s">
        <v>322</v>
      </c>
      <c r="E141" s="25" t="s">
        <v>194</v>
      </c>
      <c r="F141" s="25" t="s">
        <v>138</v>
      </c>
      <c r="G141" s="26" t="s">
        <v>139</v>
      </c>
      <c r="H141" s="27" t="s">
        <v>551</v>
      </c>
      <c r="I141" s="24" t="s">
        <v>106</v>
      </c>
      <c r="J141" s="24" t="s">
        <v>121</v>
      </c>
      <c r="K141" s="28" t="s">
        <v>108</v>
      </c>
      <c r="L141" s="29">
        <v>0.03</v>
      </c>
      <c r="M141" s="29">
        <v>1.4999999999999999E-2</v>
      </c>
      <c r="N141" s="29">
        <v>0.02</v>
      </c>
      <c r="O141" s="27" t="s">
        <v>548</v>
      </c>
      <c r="P141" s="30" t="s">
        <v>322</v>
      </c>
      <c r="Q141" s="31">
        <v>1860152192.4100001</v>
      </c>
      <c r="R141" s="31">
        <v>1332.08</v>
      </c>
      <c r="S141" s="32">
        <v>0.12300899999999999</v>
      </c>
      <c r="T141" s="32">
        <v>1.835E-3</v>
      </c>
      <c r="U141" s="32">
        <v>-2.725E-3</v>
      </c>
      <c r="V141" s="32">
        <v>6.8780000000000004E-3</v>
      </c>
      <c r="W141" s="32">
        <v>-2.2499999999999999E-4</v>
      </c>
      <c r="X141" s="32">
        <v>1.2749999999999999E-2</v>
      </c>
      <c r="Y141" s="32">
        <v>0.12300899999999999</v>
      </c>
      <c r="Z141" s="32">
        <v>0.27677000000000002</v>
      </c>
      <c r="AA141" s="32">
        <v>0.333227</v>
      </c>
      <c r="AB141" s="32" t="s">
        <v>139</v>
      </c>
    </row>
    <row r="142" spans="1:28" ht="15.6" customHeight="1" x14ac:dyDescent="0.25">
      <c r="A142" s="24" t="s">
        <v>552</v>
      </c>
      <c r="B142" s="50">
        <v>3886</v>
      </c>
      <c r="C142" s="25" t="s">
        <v>553</v>
      </c>
      <c r="D142" s="25" t="s">
        <v>145</v>
      </c>
      <c r="E142" s="25" t="s">
        <v>194</v>
      </c>
      <c r="F142" s="25" t="s">
        <v>138</v>
      </c>
      <c r="G142" s="26" t="s">
        <v>139</v>
      </c>
      <c r="H142" s="27" t="s">
        <v>554</v>
      </c>
      <c r="I142" s="24" t="s">
        <v>106</v>
      </c>
      <c r="J142" s="24" t="s">
        <v>121</v>
      </c>
      <c r="K142" s="28" t="s">
        <v>108</v>
      </c>
      <c r="L142" s="29">
        <v>0.03</v>
      </c>
      <c r="M142" s="29">
        <v>1.4999999999999999E-2</v>
      </c>
      <c r="N142" s="29">
        <v>0.02</v>
      </c>
      <c r="O142" s="27" t="s">
        <v>548</v>
      </c>
      <c r="P142" s="30" t="s">
        <v>145</v>
      </c>
      <c r="Q142" s="31">
        <v>5800831436.3500004</v>
      </c>
      <c r="R142" s="31">
        <v>1323.05</v>
      </c>
      <c r="S142" s="32">
        <v>0.11883000000000001</v>
      </c>
      <c r="T142" s="32">
        <v>1.2639999999999999E-3</v>
      </c>
      <c r="U142" s="32">
        <v>-5.1359999999999999E-3</v>
      </c>
      <c r="V142" s="32">
        <v>5.4640000000000001E-3</v>
      </c>
      <c r="W142" s="32">
        <v>-2.6610000000000002E-3</v>
      </c>
      <c r="X142" s="32">
        <v>3.6489999999999999E-3</v>
      </c>
      <c r="Y142" s="32">
        <v>0.11883000000000001</v>
      </c>
      <c r="Z142" s="32">
        <v>0.27732200000000001</v>
      </c>
      <c r="AA142" s="32">
        <v>0.33563199999999999</v>
      </c>
      <c r="AB142" s="32" t="s">
        <v>139</v>
      </c>
    </row>
    <row r="143" spans="1:28" ht="15.6" customHeight="1" x14ac:dyDescent="0.25">
      <c r="A143" s="24" t="s">
        <v>555</v>
      </c>
      <c r="B143" s="50">
        <v>3887</v>
      </c>
      <c r="C143" s="25" t="s">
        <v>556</v>
      </c>
      <c r="D143" s="25" t="s">
        <v>137</v>
      </c>
      <c r="E143" s="25" t="s">
        <v>194</v>
      </c>
      <c r="F143" s="25" t="s">
        <v>138</v>
      </c>
      <c r="G143" s="26" t="s">
        <v>139</v>
      </c>
      <c r="H143" s="27" t="s">
        <v>557</v>
      </c>
      <c r="I143" s="24" t="s">
        <v>106</v>
      </c>
      <c r="J143" s="24" t="s">
        <v>121</v>
      </c>
      <c r="K143" s="28" t="s">
        <v>108</v>
      </c>
      <c r="L143" s="29">
        <v>0.03</v>
      </c>
      <c r="M143" s="29">
        <v>1.4999999999999999E-2</v>
      </c>
      <c r="N143" s="29">
        <v>0.02</v>
      </c>
      <c r="O143" s="27" t="s">
        <v>141</v>
      </c>
      <c r="P143" s="30" t="s">
        <v>137</v>
      </c>
      <c r="Q143" s="31">
        <v>2582000553.6436849</v>
      </c>
      <c r="R143" s="31">
        <v>1368.3</v>
      </c>
      <c r="S143" s="32">
        <v>0.12653400000000001</v>
      </c>
      <c r="T143" s="32">
        <v>8.12E-4</v>
      </c>
      <c r="U143" s="32">
        <v>-4.6849999999999999E-3</v>
      </c>
      <c r="V143" s="32">
        <v>7.11E-3</v>
      </c>
      <c r="W143" s="32">
        <v>-3.075E-3</v>
      </c>
      <c r="X143" s="32">
        <v>9.2569999999999996E-3</v>
      </c>
      <c r="Y143" s="32">
        <v>0.12653400000000001</v>
      </c>
      <c r="Z143" s="32">
        <v>0.29387600000000003</v>
      </c>
      <c r="AA143" s="32">
        <v>0.364929</v>
      </c>
      <c r="AB143" s="32" t="s">
        <v>139</v>
      </c>
    </row>
    <row r="144" spans="1:28" ht="15.6" customHeight="1" x14ac:dyDescent="0.25">
      <c r="A144" s="24" t="s">
        <v>558</v>
      </c>
      <c r="B144" s="50">
        <v>3889</v>
      </c>
      <c r="C144" s="25" t="s">
        <v>559</v>
      </c>
      <c r="D144" s="25" t="s">
        <v>137</v>
      </c>
      <c r="E144" s="25" t="s">
        <v>194</v>
      </c>
      <c r="F144" s="25" t="s">
        <v>103</v>
      </c>
      <c r="G144" s="26" t="s">
        <v>244</v>
      </c>
      <c r="H144" s="27" t="s">
        <v>217</v>
      </c>
      <c r="I144" s="24" t="s">
        <v>106</v>
      </c>
      <c r="J144" s="24" t="s">
        <v>107</v>
      </c>
      <c r="K144" s="28" t="s">
        <v>108</v>
      </c>
      <c r="L144" s="29">
        <v>5.0000000000000001E-3</v>
      </c>
      <c r="M144" s="29">
        <v>5.0000000000000001E-3</v>
      </c>
      <c r="N144" s="29">
        <v>0.02</v>
      </c>
      <c r="O144" s="27" t="s">
        <v>141</v>
      </c>
      <c r="P144" s="30" t="s">
        <v>142</v>
      </c>
      <c r="Q144" s="31">
        <v>2890842163.8750982</v>
      </c>
      <c r="R144" s="31">
        <v>1497.68</v>
      </c>
      <c r="S144" s="32">
        <v>2.7630999999999999E-2</v>
      </c>
      <c r="T144" s="32">
        <v>3.0699999999999998E-4</v>
      </c>
      <c r="U144" s="32">
        <v>7.8200000000000003E-4</v>
      </c>
      <c r="V144" s="32">
        <v>2.3760000000000001E-3</v>
      </c>
      <c r="W144" s="32">
        <v>6.1809999999999999E-3</v>
      </c>
      <c r="X144" s="32">
        <v>1.2699E-2</v>
      </c>
      <c r="Y144" s="32">
        <v>2.7630999999999999E-2</v>
      </c>
      <c r="Z144" s="32">
        <v>6.3255000000000006E-2</v>
      </c>
      <c r="AA144" s="32">
        <v>0.101397</v>
      </c>
      <c r="AB144" s="32" t="s">
        <v>139</v>
      </c>
    </row>
    <row r="145" spans="1:28" ht="15.6" customHeight="1" x14ac:dyDescent="0.25">
      <c r="A145" s="24" t="s">
        <v>560</v>
      </c>
      <c r="B145" s="50">
        <v>3890</v>
      </c>
      <c r="C145" s="25" t="s">
        <v>561</v>
      </c>
      <c r="D145" s="25" t="s">
        <v>355</v>
      </c>
      <c r="E145" s="25" t="s">
        <v>194</v>
      </c>
      <c r="F145" s="25" t="s">
        <v>113</v>
      </c>
      <c r="G145" s="26" t="s">
        <v>562</v>
      </c>
      <c r="H145" s="27" t="s">
        <v>309</v>
      </c>
      <c r="I145" s="24" t="s">
        <v>106</v>
      </c>
      <c r="J145" s="24" t="s">
        <v>121</v>
      </c>
      <c r="K145" s="28" t="s">
        <v>108</v>
      </c>
      <c r="L145" s="29">
        <v>0</v>
      </c>
      <c r="M145" s="29">
        <v>0</v>
      </c>
      <c r="N145" s="29">
        <v>0.02</v>
      </c>
      <c r="O145" s="27" t="s">
        <v>161</v>
      </c>
      <c r="P145" s="30" t="s">
        <v>355</v>
      </c>
      <c r="Q145" s="31">
        <v>1025564752.87</v>
      </c>
      <c r="R145" s="31">
        <v>1170.43</v>
      </c>
      <c r="S145" s="32">
        <v>4.6858999999999998E-2</v>
      </c>
      <c r="T145" s="32">
        <v>-5.1929999999999997E-3</v>
      </c>
      <c r="U145" s="32">
        <v>-6.038E-3</v>
      </c>
      <c r="V145" s="32">
        <v>-1.34E-3</v>
      </c>
      <c r="W145" s="32">
        <v>-1.0274E-2</v>
      </c>
      <c r="X145" s="32">
        <v>-2.0379999999999999E-3</v>
      </c>
      <c r="Y145" s="32">
        <v>4.6858999999999998E-2</v>
      </c>
      <c r="Z145" s="32">
        <v>0.13541400000000001</v>
      </c>
      <c r="AA145" s="32">
        <v>0.14630000000000001</v>
      </c>
      <c r="AB145" s="32" t="s">
        <v>139</v>
      </c>
    </row>
    <row r="146" spans="1:28" ht="15.6" customHeight="1" x14ac:dyDescent="0.25">
      <c r="A146" s="24" t="s">
        <v>563</v>
      </c>
      <c r="B146" s="50">
        <v>3892</v>
      </c>
      <c r="C146" s="25" t="s">
        <v>564</v>
      </c>
      <c r="D146" s="25" t="s">
        <v>112</v>
      </c>
      <c r="E146" s="25" t="s">
        <v>194</v>
      </c>
      <c r="F146" s="25" t="s">
        <v>128</v>
      </c>
      <c r="G146" s="26" t="s">
        <v>289</v>
      </c>
      <c r="H146" s="27" t="s">
        <v>373</v>
      </c>
      <c r="I146" s="24" t="s">
        <v>106</v>
      </c>
      <c r="J146" s="24" t="s">
        <v>107</v>
      </c>
      <c r="K146" s="28" t="s">
        <v>108</v>
      </c>
      <c r="L146" s="29">
        <v>0.03</v>
      </c>
      <c r="M146" s="29">
        <v>1.4999999999999999E-2</v>
      </c>
      <c r="N146" s="29">
        <v>0.02</v>
      </c>
      <c r="O146" s="27" t="s">
        <v>166</v>
      </c>
      <c r="P146" s="30" t="s">
        <v>112</v>
      </c>
      <c r="Q146" s="31">
        <v>1106783.4099999999</v>
      </c>
      <c r="R146" s="31">
        <v>1106.78</v>
      </c>
      <c r="S146" s="32">
        <v>2.0544E-2</v>
      </c>
      <c r="T146" s="32">
        <v>-1.08E-4</v>
      </c>
      <c r="U146" s="32">
        <v>2.2599999999999999E-4</v>
      </c>
      <c r="V146" s="32">
        <v>1.7830000000000001E-3</v>
      </c>
      <c r="W146" s="32">
        <v>3.8E-3</v>
      </c>
      <c r="X146" s="32">
        <v>8.1799999999999998E-3</v>
      </c>
      <c r="Y146" s="32">
        <v>2.0544E-2</v>
      </c>
      <c r="Z146" s="32">
        <v>4.9160000000000002E-2</v>
      </c>
      <c r="AA146" s="32">
        <v>8.9018E-2</v>
      </c>
      <c r="AB146" s="32" t="s">
        <v>139</v>
      </c>
    </row>
    <row r="147" spans="1:28" ht="15.6" customHeight="1" x14ac:dyDescent="0.25">
      <c r="A147" s="24" t="s">
        <v>565</v>
      </c>
      <c r="B147" s="50">
        <v>3894</v>
      </c>
      <c r="C147" s="25" t="s">
        <v>566</v>
      </c>
      <c r="D147" s="25" t="s">
        <v>112</v>
      </c>
      <c r="E147" s="25" t="s">
        <v>194</v>
      </c>
      <c r="F147" s="25" t="s">
        <v>103</v>
      </c>
      <c r="G147" s="26" t="s">
        <v>401</v>
      </c>
      <c r="H147" s="27" t="s">
        <v>567</v>
      </c>
      <c r="I147" s="24" t="s">
        <v>106</v>
      </c>
      <c r="J147" s="24" t="s">
        <v>107</v>
      </c>
      <c r="K147" s="28" t="s">
        <v>108</v>
      </c>
      <c r="L147" s="29">
        <v>0.03</v>
      </c>
      <c r="M147" s="29">
        <v>1.4999999999999999E-2</v>
      </c>
      <c r="N147" s="29">
        <v>0.02</v>
      </c>
      <c r="O147" s="27" t="s">
        <v>166</v>
      </c>
      <c r="P147" s="30" t="s">
        <v>112</v>
      </c>
      <c r="Q147" s="31">
        <v>6321382.8899999997</v>
      </c>
      <c r="R147" s="31">
        <v>1102.43</v>
      </c>
      <c r="S147" s="32">
        <v>2.2065000000000001E-2</v>
      </c>
      <c r="T147" s="32">
        <v>1.36E-4</v>
      </c>
      <c r="U147" s="32">
        <v>5.2599999999999999E-4</v>
      </c>
      <c r="V147" s="32">
        <v>1.918E-3</v>
      </c>
      <c r="W147" s="32">
        <v>5.1330000000000004E-3</v>
      </c>
      <c r="X147" s="32">
        <v>1.0253999999999999E-2</v>
      </c>
      <c r="Y147" s="32">
        <v>2.2065000000000001E-2</v>
      </c>
      <c r="Z147" s="32">
        <v>4.9952999999999997E-2</v>
      </c>
      <c r="AA147" s="32">
        <v>7.9426999999999998E-2</v>
      </c>
      <c r="AB147" s="32" t="s">
        <v>139</v>
      </c>
    </row>
    <row r="148" spans="1:28" ht="15.6" customHeight="1" x14ac:dyDescent="0.25">
      <c r="A148" s="24" t="s">
        <v>568</v>
      </c>
      <c r="B148" s="50">
        <v>3895</v>
      </c>
      <c r="C148" s="25" t="s">
        <v>569</v>
      </c>
      <c r="D148" s="25" t="s">
        <v>570</v>
      </c>
      <c r="E148" s="25" t="s">
        <v>194</v>
      </c>
      <c r="F148" s="25" t="s">
        <v>103</v>
      </c>
      <c r="G148" s="26" t="s">
        <v>244</v>
      </c>
      <c r="H148" s="27" t="s">
        <v>188</v>
      </c>
      <c r="I148" s="24" t="s">
        <v>106</v>
      </c>
      <c r="J148" s="24" t="s">
        <v>107</v>
      </c>
      <c r="K148" s="28" t="s">
        <v>227</v>
      </c>
      <c r="L148" s="29">
        <v>0.03</v>
      </c>
      <c r="M148" s="29">
        <v>1.4999999999999999E-2</v>
      </c>
      <c r="N148" s="29">
        <v>0.02</v>
      </c>
      <c r="O148" s="27" t="s">
        <v>131</v>
      </c>
      <c r="P148" s="30" t="s">
        <v>570</v>
      </c>
      <c r="Q148" s="31">
        <v>981593641.85000002</v>
      </c>
      <c r="R148" s="31">
        <v>1809.2</v>
      </c>
      <c r="S148" s="32">
        <v>3.0554000000000001E-2</v>
      </c>
      <c r="T148" s="32">
        <v>3.21E-4</v>
      </c>
      <c r="U148" s="32">
        <v>8.1899999999999996E-4</v>
      </c>
      <c r="V148" s="32">
        <v>2.4380000000000001E-3</v>
      </c>
      <c r="W148" s="32">
        <v>6.2290000000000002E-3</v>
      </c>
      <c r="X148" s="32">
        <v>1.3609E-2</v>
      </c>
      <c r="Y148" s="32">
        <v>3.0554000000000001E-2</v>
      </c>
      <c r="Z148" s="32">
        <v>6.8281999999999995E-2</v>
      </c>
      <c r="AA148" s="32">
        <v>0.106463</v>
      </c>
      <c r="AB148" s="32">
        <v>0.141178</v>
      </c>
    </row>
    <row r="149" spans="1:28" ht="15.6" customHeight="1" x14ac:dyDescent="0.25">
      <c r="A149" s="24" t="s">
        <v>571</v>
      </c>
      <c r="B149" s="50">
        <v>3896</v>
      </c>
      <c r="C149" s="25" t="s">
        <v>572</v>
      </c>
      <c r="D149" s="25" t="s">
        <v>570</v>
      </c>
      <c r="E149" s="25" t="s">
        <v>194</v>
      </c>
      <c r="F149" s="25" t="s">
        <v>128</v>
      </c>
      <c r="G149" s="26" t="s">
        <v>289</v>
      </c>
      <c r="H149" s="27" t="s">
        <v>130</v>
      </c>
      <c r="I149" s="24" t="s">
        <v>106</v>
      </c>
      <c r="J149" s="24" t="s">
        <v>107</v>
      </c>
      <c r="K149" s="28" t="s">
        <v>227</v>
      </c>
      <c r="L149" s="29">
        <v>0.03</v>
      </c>
      <c r="M149" s="29">
        <v>1.4999999999999999E-2</v>
      </c>
      <c r="N149" s="29">
        <v>0.02</v>
      </c>
      <c r="O149" s="27" t="s">
        <v>131</v>
      </c>
      <c r="P149" s="30" t="s">
        <v>570</v>
      </c>
      <c r="Q149" s="31">
        <v>2510160889.1700001</v>
      </c>
      <c r="R149" s="31">
        <v>1886.09</v>
      </c>
      <c r="S149" s="32">
        <v>3.4659000000000002E-2</v>
      </c>
      <c r="T149" s="32">
        <v>6.3999999999999997E-5</v>
      </c>
      <c r="U149" s="32">
        <v>6.5799999999999995E-4</v>
      </c>
      <c r="V149" s="32">
        <v>3.1110000000000001E-3</v>
      </c>
      <c r="W149" s="32">
        <v>6.3010000000000002E-3</v>
      </c>
      <c r="X149" s="32">
        <v>1.3596E-2</v>
      </c>
      <c r="Y149" s="32">
        <v>3.4659000000000002E-2</v>
      </c>
      <c r="Z149" s="32">
        <v>7.9801999999999998E-2</v>
      </c>
      <c r="AA149" s="32">
        <v>0.124748</v>
      </c>
      <c r="AB149" s="32">
        <v>0.16561999999999999</v>
      </c>
    </row>
    <row r="150" spans="1:28" ht="15.6" customHeight="1" x14ac:dyDescent="0.25">
      <c r="A150" s="24" t="s">
        <v>573</v>
      </c>
      <c r="B150" s="50">
        <v>3897</v>
      </c>
      <c r="C150" s="25" t="s">
        <v>574</v>
      </c>
      <c r="D150" s="25" t="s">
        <v>570</v>
      </c>
      <c r="E150" s="25" t="s">
        <v>194</v>
      </c>
      <c r="F150" s="25" t="s">
        <v>113</v>
      </c>
      <c r="G150" s="26" t="s">
        <v>493</v>
      </c>
      <c r="H150" s="27" t="s">
        <v>115</v>
      </c>
      <c r="I150" s="24" t="s">
        <v>106</v>
      </c>
      <c r="J150" s="24" t="s">
        <v>107</v>
      </c>
      <c r="K150" s="28" t="s">
        <v>108</v>
      </c>
      <c r="L150" s="29">
        <v>0.03</v>
      </c>
      <c r="M150" s="29">
        <v>0.03</v>
      </c>
      <c r="N150" s="29">
        <v>0.02</v>
      </c>
      <c r="O150" s="27" t="s">
        <v>131</v>
      </c>
      <c r="P150" s="30" t="s">
        <v>570</v>
      </c>
      <c r="Q150" s="31">
        <v>1358358471.3800001</v>
      </c>
      <c r="R150" s="31">
        <v>2454.92</v>
      </c>
      <c r="S150" s="32">
        <v>5.926E-2</v>
      </c>
      <c r="T150" s="32">
        <v>1.4970000000000001E-3</v>
      </c>
      <c r="U150" s="32">
        <v>1.5999999999999999E-5</v>
      </c>
      <c r="V150" s="32">
        <v>7.1139999999999997E-3</v>
      </c>
      <c r="W150" s="32">
        <v>-3.8470000000000002E-3</v>
      </c>
      <c r="X150" s="32">
        <v>3.2160000000000001E-3</v>
      </c>
      <c r="Y150" s="32">
        <v>5.926E-2</v>
      </c>
      <c r="Z150" s="32">
        <v>0.160389</v>
      </c>
      <c r="AA150" s="32">
        <v>0.19045500000000001</v>
      </c>
      <c r="AB150" s="32" t="s">
        <v>139</v>
      </c>
    </row>
    <row r="151" spans="1:28" ht="15.6" customHeight="1" x14ac:dyDescent="0.25">
      <c r="A151" s="24" t="s">
        <v>575</v>
      </c>
      <c r="B151" s="50">
        <v>3898</v>
      </c>
      <c r="C151" s="25" t="s">
        <v>576</v>
      </c>
      <c r="D151" s="25" t="s">
        <v>570</v>
      </c>
      <c r="E151" s="25" t="s">
        <v>194</v>
      </c>
      <c r="F151" s="25" t="s">
        <v>138</v>
      </c>
      <c r="G151" s="26" t="s">
        <v>139</v>
      </c>
      <c r="H151" s="27" t="s">
        <v>577</v>
      </c>
      <c r="I151" s="24" t="s">
        <v>106</v>
      </c>
      <c r="J151" s="24" t="s">
        <v>107</v>
      </c>
      <c r="K151" s="28" t="s">
        <v>227</v>
      </c>
      <c r="L151" s="29">
        <v>0.03</v>
      </c>
      <c r="M151" s="29">
        <v>1.4999999999999999E-2</v>
      </c>
      <c r="N151" s="29">
        <v>0.02</v>
      </c>
      <c r="O151" s="27" t="s">
        <v>131</v>
      </c>
      <c r="P151" s="30" t="s">
        <v>570</v>
      </c>
      <c r="Q151" s="31">
        <v>2165259930.6199999</v>
      </c>
      <c r="R151" s="31">
        <v>4783.6099999999997</v>
      </c>
      <c r="S151" s="32">
        <v>0.13977700000000001</v>
      </c>
      <c r="T151" s="32">
        <v>4.045E-3</v>
      </c>
      <c r="U151" s="32">
        <v>-7.2490000000000002E-3</v>
      </c>
      <c r="V151" s="32">
        <v>1.126E-3</v>
      </c>
      <c r="W151" s="32">
        <v>-1.2848E-2</v>
      </c>
      <c r="X151" s="32">
        <v>-1.0456999999999999E-2</v>
      </c>
      <c r="Y151" s="32">
        <v>0.13977700000000001</v>
      </c>
      <c r="Z151" s="32">
        <v>0.32777699999999999</v>
      </c>
      <c r="AA151" s="32">
        <v>0.366234</v>
      </c>
      <c r="AB151" s="32" t="s">
        <v>139</v>
      </c>
    </row>
    <row r="152" spans="1:28" ht="15.6" customHeight="1" x14ac:dyDescent="0.25">
      <c r="A152" s="24" t="s">
        <v>578</v>
      </c>
      <c r="B152" s="50">
        <v>3899</v>
      </c>
      <c r="C152" s="25" t="s">
        <v>14</v>
      </c>
      <c r="D152" s="25" t="s">
        <v>570</v>
      </c>
      <c r="E152" s="25" t="s">
        <v>194</v>
      </c>
      <c r="F152" s="25" t="s">
        <v>155</v>
      </c>
      <c r="G152" s="26" t="s">
        <v>139</v>
      </c>
      <c r="H152" s="27" t="s">
        <v>156</v>
      </c>
      <c r="I152" s="24" t="s">
        <v>106</v>
      </c>
      <c r="J152" s="24" t="s">
        <v>107</v>
      </c>
      <c r="K152" s="28" t="s">
        <v>227</v>
      </c>
      <c r="L152" s="29">
        <v>0.03</v>
      </c>
      <c r="M152" s="29">
        <v>1.4999999999999999E-2</v>
      </c>
      <c r="N152" s="29">
        <v>0.02</v>
      </c>
      <c r="O152" s="27" t="s">
        <v>131</v>
      </c>
      <c r="P152" s="30" t="s">
        <v>570</v>
      </c>
      <c r="Q152" s="31">
        <v>1210595200.8399999</v>
      </c>
      <c r="R152" s="31">
        <v>8666.23</v>
      </c>
      <c r="S152" s="32">
        <v>0.25936100000000001</v>
      </c>
      <c r="T152" s="32">
        <v>1.0074E-2</v>
      </c>
      <c r="U152" s="32">
        <v>-1.2392E-2</v>
      </c>
      <c r="V152" s="32">
        <v>-3.8739999999999998E-3</v>
      </c>
      <c r="W152" s="32">
        <v>-1.558E-2</v>
      </c>
      <c r="X152" s="32">
        <v>-1.7946E-2</v>
      </c>
      <c r="Y152" s="32">
        <v>0.25936100000000001</v>
      </c>
      <c r="Z152" s="32">
        <v>0.62665800000000005</v>
      </c>
      <c r="AA152" s="32">
        <v>0.80173000000000005</v>
      </c>
      <c r="AB152" s="32" t="s">
        <v>139</v>
      </c>
    </row>
    <row r="153" spans="1:28" ht="15.6" customHeight="1" x14ac:dyDescent="0.25">
      <c r="A153" s="24" t="s">
        <v>579</v>
      </c>
      <c r="B153" s="50">
        <v>3900</v>
      </c>
      <c r="C153" s="25" t="s">
        <v>580</v>
      </c>
      <c r="D153" s="25" t="s">
        <v>159</v>
      </c>
      <c r="E153" s="25" t="s">
        <v>194</v>
      </c>
      <c r="F153" s="25" t="s">
        <v>113</v>
      </c>
      <c r="G153" s="26" t="s">
        <v>465</v>
      </c>
      <c r="H153" s="27" t="s">
        <v>512</v>
      </c>
      <c r="I153" s="24" t="s">
        <v>106</v>
      </c>
      <c r="J153" s="24" t="s">
        <v>107</v>
      </c>
      <c r="K153" s="28" t="s">
        <v>227</v>
      </c>
      <c r="L153" s="29">
        <v>0</v>
      </c>
      <c r="M153" s="29">
        <v>0</v>
      </c>
      <c r="N153" s="29">
        <v>0.02</v>
      </c>
      <c r="O153" s="27" t="s">
        <v>161</v>
      </c>
      <c r="P153" s="30" t="s">
        <v>581</v>
      </c>
      <c r="Q153" s="31">
        <v>1084106.5</v>
      </c>
      <c r="R153" s="31">
        <v>1074.44</v>
      </c>
      <c r="S153" s="32">
        <v>2.5336999999999998E-2</v>
      </c>
      <c r="T153" s="32">
        <v>-5.9500000000000004E-4</v>
      </c>
      <c r="U153" s="32">
        <v>-4.0900000000000002E-4</v>
      </c>
      <c r="V153" s="32">
        <v>2.4910000000000002E-3</v>
      </c>
      <c r="W153" s="32">
        <v>2.6319999999999998E-3</v>
      </c>
      <c r="X153" s="32">
        <v>7.3220000000000004E-3</v>
      </c>
      <c r="Y153" s="32">
        <v>2.5336999999999998E-2</v>
      </c>
      <c r="Z153" s="32">
        <v>6.3433000000000003E-2</v>
      </c>
      <c r="AA153" s="32">
        <v>8.0338999999999994E-2</v>
      </c>
      <c r="AB153" s="32" t="s">
        <v>139</v>
      </c>
    </row>
    <row r="154" spans="1:28" ht="15.6" customHeight="1" x14ac:dyDescent="0.25">
      <c r="A154" s="24" t="s">
        <v>582</v>
      </c>
      <c r="B154" s="50">
        <v>3901</v>
      </c>
      <c r="C154" s="25" t="s">
        <v>583</v>
      </c>
      <c r="D154" s="25" t="s">
        <v>159</v>
      </c>
      <c r="E154" s="25" t="s">
        <v>194</v>
      </c>
      <c r="F154" s="25" t="s">
        <v>128</v>
      </c>
      <c r="G154" s="26" t="s">
        <v>289</v>
      </c>
      <c r="H154" s="27" t="s">
        <v>270</v>
      </c>
      <c r="I154" s="24" t="s">
        <v>106</v>
      </c>
      <c r="J154" s="24" t="s">
        <v>107</v>
      </c>
      <c r="K154" s="28" t="s">
        <v>227</v>
      </c>
      <c r="L154" s="29">
        <v>0</v>
      </c>
      <c r="M154" s="29">
        <v>0</v>
      </c>
      <c r="N154" s="29">
        <v>0.02</v>
      </c>
      <c r="O154" s="27" t="s">
        <v>161</v>
      </c>
      <c r="P154" s="30" t="s">
        <v>581</v>
      </c>
      <c r="Q154" s="31">
        <v>1095744.5</v>
      </c>
      <c r="R154" s="31">
        <v>1095.74</v>
      </c>
      <c r="S154" s="32">
        <v>2.2603000000000002E-2</v>
      </c>
      <c r="T154" s="32">
        <v>4.4700000000000002E-4</v>
      </c>
      <c r="U154" s="32">
        <v>8.1300000000000003E-4</v>
      </c>
      <c r="V154" s="32">
        <v>2.3600000000000001E-3</v>
      </c>
      <c r="W154" s="32">
        <v>4.1700000000000001E-3</v>
      </c>
      <c r="X154" s="32">
        <v>8.7460000000000003E-3</v>
      </c>
      <c r="Y154" s="32">
        <v>2.2603000000000002E-2</v>
      </c>
      <c r="Z154" s="32">
        <v>5.4295999999999997E-2</v>
      </c>
      <c r="AA154" s="32">
        <v>8.1506999999999996E-2</v>
      </c>
      <c r="AB154" s="32" t="s">
        <v>139</v>
      </c>
    </row>
    <row r="155" spans="1:28" ht="15.6" customHeight="1" x14ac:dyDescent="0.25">
      <c r="A155" s="24" t="s">
        <v>584</v>
      </c>
      <c r="B155" s="50">
        <v>3903</v>
      </c>
      <c r="C155" s="25" t="s">
        <v>585</v>
      </c>
      <c r="D155" s="25" t="s">
        <v>145</v>
      </c>
      <c r="E155" s="25" t="s">
        <v>194</v>
      </c>
      <c r="F155" s="25" t="s">
        <v>155</v>
      </c>
      <c r="G155" s="26" t="s">
        <v>139</v>
      </c>
      <c r="H155" s="27" t="s">
        <v>156</v>
      </c>
      <c r="I155" s="24" t="s">
        <v>106</v>
      </c>
      <c r="J155" s="24" t="s">
        <v>121</v>
      </c>
      <c r="K155" s="28" t="s">
        <v>227</v>
      </c>
      <c r="L155" s="29">
        <v>0</v>
      </c>
      <c r="M155" s="29">
        <v>0</v>
      </c>
      <c r="N155" s="29">
        <v>0.02</v>
      </c>
      <c r="O155" s="27" t="s">
        <v>148</v>
      </c>
      <c r="P155" s="30" t="s">
        <v>145</v>
      </c>
      <c r="Q155" s="31">
        <v>1332723786.78</v>
      </c>
      <c r="R155" s="31">
        <v>1802.98</v>
      </c>
      <c r="S155" s="32">
        <v>0.30010999999999999</v>
      </c>
      <c r="T155" s="32">
        <v>7.9050000000000006E-3</v>
      </c>
      <c r="U155" s="32">
        <v>-1.4614E-2</v>
      </c>
      <c r="V155" s="32">
        <v>1.0989999999999999E-3</v>
      </c>
      <c r="W155" s="32">
        <v>-4.9069999999999999E-3</v>
      </c>
      <c r="X155" s="32">
        <v>2.3679999999999999E-3</v>
      </c>
      <c r="Y155" s="32">
        <v>0.30010999999999999</v>
      </c>
      <c r="Z155" s="32">
        <v>0.70702799999999999</v>
      </c>
      <c r="AA155" s="32">
        <v>0.96012299999999995</v>
      </c>
      <c r="AB155" s="32" t="s">
        <v>139</v>
      </c>
    </row>
    <row r="156" spans="1:28" ht="15.6" customHeight="1" x14ac:dyDescent="0.25">
      <c r="A156" s="24" t="s">
        <v>586</v>
      </c>
      <c r="B156" s="50">
        <v>3905</v>
      </c>
      <c r="C156" s="25" t="s">
        <v>587</v>
      </c>
      <c r="D156" s="25" t="s">
        <v>164</v>
      </c>
      <c r="E156" s="25" t="s">
        <v>194</v>
      </c>
      <c r="F156" s="25" t="s">
        <v>155</v>
      </c>
      <c r="G156" s="26" t="s">
        <v>139</v>
      </c>
      <c r="H156" s="27" t="s">
        <v>588</v>
      </c>
      <c r="I156" s="24" t="s">
        <v>106</v>
      </c>
      <c r="J156" s="24" t="s">
        <v>107</v>
      </c>
      <c r="K156" s="28" t="s">
        <v>227</v>
      </c>
      <c r="L156" s="29">
        <v>0</v>
      </c>
      <c r="M156" s="29">
        <v>0</v>
      </c>
      <c r="N156" s="29">
        <v>0.01</v>
      </c>
      <c r="O156" s="27" t="s">
        <v>166</v>
      </c>
      <c r="P156" s="30" t="s">
        <v>164</v>
      </c>
      <c r="Q156" s="31">
        <v>198001081.12</v>
      </c>
      <c r="R156" s="31">
        <v>1488</v>
      </c>
      <c r="S156" s="32">
        <v>0.290323</v>
      </c>
      <c r="T156" s="32">
        <v>9.7509999999999993E-3</v>
      </c>
      <c r="U156" s="32">
        <v>-5.8190000000000004E-3</v>
      </c>
      <c r="V156" s="32">
        <v>1.4080000000000001E-2</v>
      </c>
      <c r="W156" s="32">
        <v>1.2624E-2</v>
      </c>
      <c r="X156" s="32">
        <v>4.4965999999999999E-2</v>
      </c>
      <c r="Y156" s="32">
        <v>0.290323</v>
      </c>
      <c r="Z156" s="32">
        <v>0.55524899999999999</v>
      </c>
      <c r="AA156" s="32">
        <v>0.74779200000000001</v>
      </c>
      <c r="AB156" s="32" t="s">
        <v>139</v>
      </c>
    </row>
    <row r="157" spans="1:28" ht="15.6" customHeight="1" x14ac:dyDescent="0.25">
      <c r="A157" s="24" t="s">
        <v>589</v>
      </c>
      <c r="B157" s="50">
        <v>3907</v>
      </c>
      <c r="C157" s="25" t="s">
        <v>590</v>
      </c>
      <c r="D157" s="25" t="s">
        <v>322</v>
      </c>
      <c r="E157" s="25" t="s">
        <v>194</v>
      </c>
      <c r="F157" s="25" t="s">
        <v>113</v>
      </c>
      <c r="G157" s="26" t="s">
        <v>465</v>
      </c>
      <c r="H157" s="27" t="s">
        <v>120</v>
      </c>
      <c r="I157" s="24" t="s">
        <v>106</v>
      </c>
      <c r="J157" s="24" t="s">
        <v>107</v>
      </c>
      <c r="K157" s="28" t="s">
        <v>108</v>
      </c>
      <c r="L157" s="29">
        <v>0.03</v>
      </c>
      <c r="M157" s="29">
        <v>1.4999999999999999E-2</v>
      </c>
      <c r="N157" s="29">
        <v>0.02</v>
      </c>
      <c r="O157" s="27" t="s">
        <v>548</v>
      </c>
      <c r="P157" s="30" t="s">
        <v>322</v>
      </c>
      <c r="Q157" s="31">
        <v>466600489.63999999</v>
      </c>
      <c r="R157" s="31">
        <v>105.07</v>
      </c>
      <c r="S157" s="32">
        <v>3.3746999999999999E-2</v>
      </c>
      <c r="T157" s="32">
        <v>0</v>
      </c>
      <c r="U157" s="32">
        <v>-5.71E-4</v>
      </c>
      <c r="V157" s="32">
        <v>5.2620000000000002E-3</v>
      </c>
      <c r="W157" s="32">
        <v>-2.6580000000000002E-3</v>
      </c>
      <c r="X157" s="32">
        <v>2.2889999999999998E-3</v>
      </c>
      <c r="Y157" s="32">
        <v>3.3746999999999999E-2</v>
      </c>
      <c r="Z157" s="32">
        <v>9.1296000000000002E-2</v>
      </c>
      <c r="AA157" s="32">
        <v>7.2361999999999996E-2</v>
      </c>
      <c r="AB157" s="32" t="s">
        <v>139</v>
      </c>
    </row>
    <row r="158" spans="1:28" ht="15.6" customHeight="1" x14ac:dyDescent="0.25">
      <c r="A158" s="24" t="s">
        <v>591</v>
      </c>
      <c r="B158" s="50">
        <v>3909</v>
      </c>
      <c r="C158" s="25" t="s">
        <v>592</v>
      </c>
      <c r="D158" s="25" t="s">
        <v>355</v>
      </c>
      <c r="E158" s="25" t="s">
        <v>194</v>
      </c>
      <c r="F158" s="25" t="s">
        <v>155</v>
      </c>
      <c r="G158" s="26" t="s">
        <v>139</v>
      </c>
      <c r="H158" s="27" t="s">
        <v>156</v>
      </c>
      <c r="I158" s="24" t="s">
        <v>106</v>
      </c>
      <c r="J158" s="24" t="s">
        <v>107</v>
      </c>
      <c r="K158" s="28" t="s">
        <v>108</v>
      </c>
      <c r="L158" s="29">
        <v>0.03</v>
      </c>
      <c r="M158" s="29">
        <v>1.4999999999999999E-2</v>
      </c>
      <c r="N158" s="29">
        <v>0.02</v>
      </c>
      <c r="O158" s="27" t="s">
        <v>161</v>
      </c>
      <c r="P158" s="30" t="s">
        <v>355</v>
      </c>
      <c r="Q158" s="31">
        <v>1126757868.3</v>
      </c>
      <c r="R158" s="31">
        <v>1532.76</v>
      </c>
      <c r="S158" s="32">
        <v>0.24408299999999999</v>
      </c>
      <c r="T158" s="32">
        <v>7.1890000000000001E-3</v>
      </c>
      <c r="U158" s="32">
        <v>-8.6789999999999992E-3</v>
      </c>
      <c r="V158" s="32">
        <v>9.1000000000000003E-5</v>
      </c>
      <c r="W158" s="32">
        <v>-1.5398E-2</v>
      </c>
      <c r="X158" s="32">
        <v>-1.0470999999999999E-2</v>
      </c>
      <c r="Y158" s="32">
        <v>0.24408299999999999</v>
      </c>
      <c r="Z158" s="32">
        <v>0.62255199999999999</v>
      </c>
      <c r="AA158" s="32">
        <v>0.879857</v>
      </c>
      <c r="AB158" s="32" t="s">
        <v>139</v>
      </c>
    </row>
    <row r="159" spans="1:28" ht="15.6" customHeight="1" x14ac:dyDescent="0.25">
      <c r="A159" s="24" t="s">
        <v>593</v>
      </c>
      <c r="B159" s="50">
        <v>3911</v>
      </c>
      <c r="C159" s="25" t="s">
        <v>594</v>
      </c>
      <c r="D159" s="25" t="s">
        <v>261</v>
      </c>
      <c r="E159" s="25" t="s">
        <v>194</v>
      </c>
      <c r="F159" s="25" t="s">
        <v>128</v>
      </c>
      <c r="G159" s="26" t="s">
        <v>289</v>
      </c>
      <c r="H159" s="27" t="s">
        <v>270</v>
      </c>
      <c r="I159" s="24" t="s">
        <v>106</v>
      </c>
      <c r="J159" s="24" t="s">
        <v>107</v>
      </c>
      <c r="K159" s="28" t="s">
        <v>108</v>
      </c>
      <c r="L159" s="29">
        <v>0.03</v>
      </c>
      <c r="M159" s="29">
        <v>1.4999999999999999E-2</v>
      </c>
      <c r="N159" s="29">
        <v>0.02</v>
      </c>
      <c r="O159" s="27" t="s">
        <v>262</v>
      </c>
      <c r="P159" s="30" t="s">
        <v>595</v>
      </c>
      <c r="Q159" s="31">
        <v>781487831.00999999</v>
      </c>
      <c r="R159" s="31">
        <v>1126.32</v>
      </c>
      <c r="S159" s="32">
        <v>3.2724000000000003E-2</v>
      </c>
      <c r="T159" s="32">
        <v>-1.3300000000000001E-4</v>
      </c>
      <c r="U159" s="32">
        <v>3.5500000000000001E-4</v>
      </c>
      <c r="V159" s="32">
        <v>2.9919999999999999E-3</v>
      </c>
      <c r="W159" s="32">
        <v>6.2810000000000001E-3</v>
      </c>
      <c r="X159" s="32">
        <v>1.3488E-2</v>
      </c>
      <c r="Y159" s="32">
        <v>3.2724000000000003E-2</v>
      </c>
      <c r="Z159" s="32">
        <v>7.4979000000000004E-2</v>
      </c>
      <c r="AA159" s="32">
        <v>0.11329400000000001</v>
      </c>
      <c r="AB159" s="32" t="s">
        <v>139</v>
      </c>
    </row>
    <row r="160" spans="1:28" ht="15.6" customHeight="1" x14ac:dyDescent="0.25">
      <c r="A160" s="24" t="s">
        <v>596</v>
      </c>
      <c r="B160" s="50">
        <v>3912</v>
      </c>
      <c r="C160" s="25" t="s">
        <v>597</v>
      </c>
      <c r="D160" s="25" t="s">
        <v>261</v>
      </c>
      <c r="E160" s="25" t="s">
        <v>194</v>
      </c>
      <c r="F160" s="25" t="s">
        <v>113</v>
      </c>
      <c r="G160" s="26" t="s">
        <v>465</v>
      </c>
      <c r="H160" s="27" t="s">
        <v>598</v>
      </c>
      <c r="I160" s="24" t="s">
        <v>106</v>
      </c>
      <c r="J160" s="24" t="s">
        <v>107</v>
      </c>
      <c r="K160" s="28" t="s">
        <v>108</v>
      </c>
      <c r="L160" s="29">
        <v>0.03</v>
      </c>
      <c r="M160" s="29">
        <v>1.4999999999999999E-2</v>
      </c>
      <c r="N160" s="29">
        <v>0.02</v>
      </c>
      <c r="O160" s="27" t="s">
        <v>262</v>
      </c>
      <c r="P160" s="30" t="s">
        <v>595</v>
      </c>
      <c r="Q160" s="31">
        <v>518196824.88999999</v>
      </c>
      <c r="R160" s="31">
        <v>1157.02</v>
      </c>
      <c r="S160" s="32">
        <v>5.3838999999999998E-2</v>
      </c>
      <c r="T160" s="32">
        <v>-7.4299999999999995E-4</v>
      </c>
      <c r="U160" s="32">
        <v>-9.5E-4</v>
      </c>
      <c r="V160" s="32">
        <v>7.5589999999999997E-3</v>
      </c>
      <c r="W160" s="32">
        <v>1.957E-3</v>
      </c>
      <c r="X160" s="32">
        <v>9.5720000000000006E-3</v>
      </c>
      <c r="Y160" s="32">
        <v>5.3838999999999998E-2</v>
      </c>
      <c r="Z160" s="32">
        <v>0.121643</v>
      </c>
      <c r="AA160" s="32">
        <v>0.162157</v>
      </c>
      <c r="AB160" s="32" t="s">
        <v>139</v>
      </c>
    </row>
    <row r="161" spans="1:28" ht="15.6" customHeight="1" x14ac:dyDescent="0.25">
      <c r="A161" s="24" t="s">
        <v>599</v>
      </c>
      <c r="B161" s="50">
        <v>3914</v>
      </c>
      <c r="C161" s="25" t="s">
        <v>600</v>
      </c>
      <c r="D161" s="25" t="s">
        <v>342</v>
      </c>
      <c r="E161" s="25" t="s">
        <v>194</v>
      </c>
      <c r="F161" s="25" t="s">
        <v>128</v>
      </c>
      <c r="G161" s="26" t="s">
        <v>289</v>
      </c>
      <c r="H161" s="27" t="s">
        <v>130</v>
      </c>
      <c r="I161" s="24" t="s">
        <v>106</v>
      </c>
      <c r="J161" s="24" t="s">
        <v>107</v>
      </c>
      <c r="K161" s="28" t="s">
        <v>108</v>
      </c>
      <c r="L161" s="29">
        <v>0.03</v>
      </c>
      <c r="M161" s="29">
        <v>0.03</v>
      </c>
      <c r="N161" s="29">
        <v>0.02</v>
      </c>
      <c r="O161" s="27" t="s">
        <v>141</v>
      </c>
      <c r="P161" s="30" t="s">
        <v>344</v>
      </c>
      <c r="Q161" s="31">
        <v>1458054849.4200001</v>
      </c>
      <c r="R161" s="31">
        <v>1131.42</v>
      </c>
      <c r="S161" s="32">
        <v>3.4667999999999997E-2</v>
      </c>
      <c r="T161" s="32">
        <v>2.03E-4</v>
      </c>
      <c r="U161" s="32">
        <v>9.0200000000000002E-4</v>
      </c>
      <c r="V161" s="32">
        <v>3.3170000000000001E-3</v>
      </c>
      <c r="W161" s="32">
        <v>6.8700000000000002E-3</v>
      </c>
      <c r="X161" s="32">
        <v>1.4063000000000001E-2</v>
      </c>
      <c r="Y161" s="32">
        <v>3.4667999999999997E-2</v>
      </c>
      <c r="Z161" s="32">
        <v>7.9651E-2</v>
      </c>
      <c r="AA161" s="32">
        <v>0.121784</v>
      </c>
      <c r="AB161" s="32" t="s">
        <v>139</v>
      </c>
    </row>
    <row r="162" spans="1:28" ht="15.6" customHeight="1" x14ac:dyDescent="0.25">
      <c r="A162" s="24" t="s">
        <v>601</v>
      </c>
      <c r="B162" s="50">
        <v>3916</v>
      </c>
      <c r="C162" s="25" t="s">
        <v>602</v>
      </c>
      <c r="D162" s="25" t="s">
        <v>355</v>
      </c>
      <c r="E162" s="25" t="s">
        <v>194</v>
      </c>
      <c r="F162" s="25" t="s">
        <v>138</v>
      </c>
      <c r="G162" s="26" t="s">
        <v>139</v>
      </c>
      <c r="H162" s="27" t="s">
        <v>603</v>
      </c>
      <c r="I162" s="24" t="s">
        <v>106</v>
      </c>
      <c r="J162" s="24" t="s">
        <v>107</v>
      </c>
      <c r="K162" s="28" t="s">
        <v>108</v>
      </c>
      <c r="L162" s="29">
        <v>0.03</v>
      </c>
      <c r="M162" s="29">
        <v>1.4999999999999999E-2</v>
      </c>
      <c r="N162" s="29">
        <v>0.02</v>
      </c>
      <c r="O162" s="27" t="s">
        <v>161</v>
      </c>
      <c r="P162" s="30" t="s">
        <v>355</v>
      </c>
      <c r="Q162" s="31">
        <v>1013284645.37</v>
      </c>
      <c r="R162" s="31">
        <v>1393.13</v>
      </c>
      <c r="S162" s="32">
        <v>0.18720899999999999</v>
      </c>
      <c r="T162" s="32">
        <v>3.6600000000000001E-3</v>
      </c>
      <c r="U162" s="32">
        <v>-4.6579999999999998E-3</v>
      </c>
      <c r="V162" s="32">
        <v>3.5199999999999999E-4</v>
      </c>
      <c r="W162" s="32">
        <v>-1.3860000000000001E-2</v>
      </c>
      <c r="X162" s="32" t="s">
        <v>139</v>
      </c>
      <c r="Y162" s="32">
        <v>0.18720899999999999</v>
      </c>
      <c r="Z162" s="32" t="s">
        <v>139</v>
      </c>
      <c r="AA162" s="32">
        <v>0.43167100000000003</v>
      </c>
      <c r="AB162" s="32" t="s">
        <v>139</v>
      </c>
    </row>
    <row r="163" spans="1:28" ht="15.6" customHeight="1" x14ac:dyDescent="0.25">
      <c r="A163" s="24" t="s">
        <v>604</v>
      </c>
      <c r="B163" s="50">
        <v>3917</v>
      </c>
      <c r="C163" s="25" t="s">
        <v>605</v>
      </c>
      <c r="D163" s="25" t="s">
        <v>355</v>
      </c>
      <c r="E163" s="25" t="s">
        <v>194</v>
      </c>
      <c r="F163" s="25" t="s">
        <v>113</v>
      </c>
      <c r="G163" s="26" t="s">
        <v>493</v>
      </c>
      <c r="H163" s="27" t="s">
        <v>115</v>
      </c>
      <c r="I163" s="24" t="s">
        <v>106</v>
      </c>
      <c r="J163" s="24" t="s">
        <v>107</v>
      </c>
      <c r="K163" s="28" t="s">
        <v>108</v>
      </c>
      <c r="L163" s="29">
        <v>0.03</v>
      </c>
      <c r="M163" s="29">
        <v>1.4999999999999999E-2</v>
      </c>
      <c r="N163" s="29">
        <v>0.02</v>
      </c>
      <c r="O163" s="27" t="s">
        <v>161</v>
      </c>
      <c r="P163" s="30" t="s">
        <v>355</v>
      </c>
      <c r="Q163" s="31">
        <v>1065494.8500000001</v>
      </c>
      <c r="R163" s="31">
        <v>1065.49</v>
      </c>
      <c r="S163" s="32">
        <v>2.3584000000000001E-2</v>
      </c>
      <c r="T163" s="32">
        <v>-9.19E-4</v>
      </c>
      <c r="U163" s="32">
        <v>-9.6599999999999995E-4</v>
      </c>
      <c r="V163" s="32">
        <v>3.163E-3</v>
      </c>
      <c r="W163" s="32">
        <v>-1.7240000000000001E-3</v>
      </c>
      <c r="X163" s="32">
        <v>1.2030000000000001E-3</v>
      </c>
      <c r="Y163" s="32">
        <v>2.3584000000000001E-2</v>
      </c>
      <c r="Z163" s="32">
        <v>6.8931999999999993E-2</v>
      </c>
      <c r="AA163" s="32">
        <v>8.4655999999999995E-2</v>
      </c>
      <c r="AB163" s="32" t="s">
        <v>139</v>
      </c>
    </row>
    <row r="164" spans="1:28" ht="15.6" customHeight="1" x14ac:dyDescent="0.25">
      <c r="A164" s="24" t="s">
        <v>606</v>
      </c>
      <c r="B164" s="50">
        <v>3921</v>
      </c>
      <c r="C164" s="25" t="s">
        <v>67</v>
      </c>
      <c r="D164" s="25" t="s">
        <v>145</v>
      </c>
      <c r="E164" s="25" t="s">
        <v>194</v>
      </c>
      <c r="F164" s="25" t="s">
        <v>138</v>
      </c>
      <c r="G164" s="26" t="s">
        <v>139</v>
      </c>
      <c r="H164" s="27" t="s">
        <v>607</v>
      </c>
      <c r="I164" s="24" t="s">
        <v>106</v>
      </c>
      <c r="J164" s="24" t="s">
        <v>107</v>
      </c>
      <c r="K164" s="28" t="s">
        <v>108</v>
      </c>
      <c r="L164" s="29">
        <v>0.02</v>
      </c>
      <c r="M164" s="29">
        <v>0.01</v>
      </c>
      <c r="N164" s="29">
        <v>0.02</v>
      </c>
      <c r="O164" s="27" t="s">
        <v>148</v>
      </c>
      <c r="P164" s="30" t="s">
        <v>145</v>
      </c>
      <c r="Q164" s="31">
        <v>1054795789.36</v>
      </c>
      <c r="R164" s="31">
        <v>1523.28</v>
      </c>
      <c r="S164" s="32">
        <v>0.105805</v>
      </c>
      <c r="T164" s="32">
        <v>4.0670000000000003E-3</v>
      </c>
      <c r="U164" s="32">
        <v>-4.0930000000000003E-3</v>
      </c>
      <c r="V164" s="32" t="s">
        <v>139</v>
      </c>
      <c r="W164" s="32" t="s">
        <v>139</v>
      </c>
      <c r="X164" s="32" t="s">
        <v>139</v>
      </c>
      <c r="Y164" s="32">
        <v>0.105805</v>
      </c>
      <c r="Z164" s="32" t="s">
        <v>139</v>
      </c>
      <c r="AA164" s="32">
        <v>0.32368200000000003</v>
      </c>
      <c r="AB164" s="32" t="s">
        <v>139</v>
      </c>
    </row>
    <row r="165" spans="1:28" ht="15.6" customHeight="1" x14ac:dyDescent="0.25">
      <c r="A165" s="24" t="s">
        <v>608</v>
      </c>
      <c r="B165" s="50">
        <v>3923</v>
      </c>
      <c r="C165" s="25" t="s">
        <v>609</v>
      </c>
      <c r="D165" s="25" t="s">
        <v>145</v>
      </c>
      <c r="E165" s="25" t="s">
        <v>194</v>
      </c>
      <c r="F165" s="25" t="s">
        <v>113</v>
      </c>
      <c r="G165" s="26" t="s">
        <v>610</v>
      </c>
      <c r="H165" s="27" t="s">
        <v>115</v>
      </c>
      <c r="I165" s="24" t="s">
        <v>106</v>
      </c>
      <c r="J165" s="24" t="s">
        <v>107</v>
      </c>
      <c r="K165" s="28" t="s">
        <v>227</v>
      </c>
      <c r="L165" s="29">
        <v>0.02</v>
      </c>
      <c r="M165" s="29">
        <v>0.01</v>
      </c>
      <c r="N165" s="29">
        <v>0.02</v>
      </c>
      <c r="O165" s="27" t="s">
        <v>148</v>
      </c>
      <c r="P165" s="30" t="s">
        <v>494</v>
      </c>
      <c r="Q165" s="31">
        <v>1124668.3</v>
      </c>
      <c r="R165" s="31">
        <v>1124.6600000000001</v>
      </c>
      <c r="S165" s="32">
        <v>2.9343000000000001E-2</v>
      </c>
      <c r="T165" s="32">
        <v>8.7200000000000005E-4</v>
      </c>
      <c r="U165" s="32">
        <v>1.0679999999999999E-3</v>
      </c>
      <c r="V165" s="32">
        <v>3.5599999999999998E-3</v>
      </c>
      <c r="W165" s="32">
        <v>8.9899999999999995E-4</v>
      </c>
      <c r="X165" s="32" t="s">
        <v>139</v>
      </c>
      <c r="Y165" s="32">
        <v>2.9343000000000001E-2</v>
      </c>
      <c r="Z165" s="32" t="s">
        <v>139</v>
      </c>
      <c r="AA165" s="32">
        <v>0.127524</v>
      </c>
      <c r="AB165" s="32" t="s">
        <v>139</v>
      </c>
    </row>
    <row r="166" spans="1:28" ht="15.6" customHeight="1" x14ac:dyDescent="0.25">
      <c r="A166" s="24" t="s">
        <v>611</v>
      </c>
      <c r="B166" s="50">
        <v>3928</v>
      </c>
      <c r="C166" s="25" t="s">
        <v>612</v>
      </c>
      <c r="D166" s="25" t="s">
        <v>101</v>
      </c>
      <c r="E166" s="25" t="s">
        <v>194</v>
      </c>
      <c r="F166" s="25" t="s">
        <v>128</v>
      </c>
      <c r="G166" s="26" t="s">
        <v>129</v>
      </c>
      <c r="H166" s="27" t="s">
        <v>130</v>
      </c>
      <c r="I166" s="24" t="s">
        <v>106</v>
      </c>
      <c r="J166" s="24" t="s">
        <v>107</v>
      </c>
      <c r="K166" s="28" t="s">
        <v>180</v>
      </c>
      <c r="L166" s="29">
        <v>0</v>
      </c>
      <c r="M166" s="29">
        <v>0</v>
      </c>
      <c r="N166" s="29">
        <v>0.02</v>
      </c>
      <c r="O166" s="27" t="s">
        <v>109</v>
      </c>
      <c r="P166" s="30" t="s">
        <v>101</v>
      </c>
      <c r="Q166" s="31">
        <v>6200070.9100000001</v>
      </c>
      <c r="R166" s="31">
        <v>132.41</v>
      </c>
      <c r="S166" s="32">
        <v>2.3261E-2</v>
      </c>
      <c r="T166" s="32">
        <v>-3.0200000000000002E-4</v>
      </c>
      <c r="U166" s="32">
        <v>0</v>
      </c>
      <c r="V166" s="32">
        <v>1.8159999999999999E-3</v>
      </c>
      <c r="W166" s="32">
        <v>3.5620000000000001E-3</v>
      </c>
      <c r="X166" s="32">
        <v>8.7609999999999997E-3</v>
      </c>
      <c r="Y166" s="32">
        <v>2.3261E-2</v>
      </c>
      <c r="Z166" s="32">
        <v>6.3708000000000001E-2</v>
      </c>
      <c r="AA166" s="32">
        <v>0.12676200000000001</v>
      </c>
      <c r="AB166" s="32">
        <v>0.121501</v>
      </c>
    </row>
    <row r="167" spans="1:28" ht="15.6" customHeight="1" x14ac:dyDescent="0.25">
      <c r="A167" s="24" t="s">
        <v>613</v>
      </c>
      <c r="B167" s="50">
        <v>3931</v>
      </c>
      <c r="C167" s="25" t="s">
        <v>614</v>
      </c>
      <c r="D167" s="25" t="s">
        <v>137</v>
      </c>
      <c r="E167" s="25" t="s">
        <v>194</v>
      </c>
      <c r="F167" s="25" t="s">
        <v>138</v>
      </c>
      <c r="G167" s="26" t="s">
        <v>139</v>
      </c>
      <c r="H167" s="27" t="s">
        <v>577</v>
      </c>
      <c r="I167" s="24" t="s">
        <v>106</v>
      </c>
      <c r="J167" s="24" t="s">
        <v>107</v>
      </c>
      <c r="K167" s="28" t="s">
        <v>227</v>
      </c>
      <c r="L167" s="29">
        <v>0.03</v>
      </c>
      <c r="M167" s="29">
        <v>1.4999999999999999E-2</v>
      </c>
      <c r="N167" s="29">
        <v>0.02</v>
      </c>
      <c r="O167" s="27" t="s">
        <v>141</v>
      </c>
      <c r="P167" s="30" t="s">
        <v>142</v>
      </c>
      <c r="Q167" s="31">
        <v>1217418.2104400001</v>
      </c>
      <c r="R167" s="31">
        <v>1217.42</v>
      </c>
      <c r="S167" s="32">
        <v>0.106132</v>
      </c>
      <c r="T167" s="32">
        <v>6.0159999999999996E-3</v>
      </c>
      <c r="U167" s="32">
        <v>-2.3930000000000002E-3</v>
      </c>
      <c r="V167" s="32">
        <v>7.1809999999999999E-3</v>
      </c>
      <c r="W167" s="32">
        <v>3.9170000000000003E-3</v>
      </c>
      <c r="X167" s="32">
        <v>7.1729999999999997E-3</v>
      </c>
      <c r="Y167" s="32">
        <v>0.106132</v>
      </c>
      <c r="Z167" s="32" t="s">
        <v>139</v>
      </c>
      <c r="AA167" s="32">
        <v>0.221917</v>
      </c>
      <c r="AB167" s="32" t="s">
        <v>139</v>
      </c>
    </row>
    <row r="168" spans="1:28" ht="15.6" customHeight="1" x14ac:dyDescent="0.25">
      <c r="A168" s="24" t="s">
        <v>615</v>
      </c>
      <c r="B168" s="50">
        <v>3932</v>
      </c>
      <c r="C168" s="25" t="s">
        <v>616</v>
      </c>
      <c r="D168" s="25" t="s">
        <v>137</v>
      </c>
      <c r="E168" s="25" t="s">
        <v>194</v>
      </c>
      <c r="F168" s="25" t="s">
        <v>138</v>
      </c>
      <c r="G168" s="26" t="s">
        <v>139</v>
      </c>
      <c r="H168" s="27" t="s">
        <v>617</v>
      </c>
      <c r="I168" s="24" t="s">
        <v>106</v>
      </c>
      <c r="J168" s="24" t="s">
        <v>107</v>
      </c>
      <c r="K168" s="28" t="s">
        <v>108</v>
      </c>
      <c r="L168" s="29">
        <v>0.03</v>
      </c>
      <c r="M168" s="29">
        <v>1.4999999999999999E-2</v>
      </c>
      <c r="N168" s="29">
        <v>0.02</v>
      </c>
      <c r="O168" s="27" t="s">
        <v>141</v>
      </c>
      <c r="P168" s="30" t="s">
        <v>142</v>
      </c>
      <c r="Q168" s="31">
        <v>2284277.7927799998</v>
      </c>
      <c r="R168" s="31">
        <v>1236.08</v>
      </c>
      <c r="S168" s="32">
        <v>8.9719999999999994E-2</v>
      </c>
      <c r="T168" s="32">
        <v>3.369E-3</v>
      </c>
      <c r="U168" s="32">
        <v>-8.7089999999999997E-3</v>
      </c>
      <c r="V168" s="32">
        <v>7.1539999999999998E-3</v>
      </c>
      <c r="W168" s="32">
        <v>7.162E-3</v>
      </c>
      <c r="X168" s="32">
        <v>2.0735E-2</v>
      </c>
      <c r="Y168" s="32">
        <v>8.9719999999999994E-2</v>
      </c>
      <c r="Z168" s="32">
        <v>0.165904</v>
      </c>
      <c r="AA168" s="32">
        <v>0.237788</v>
      </c>
      <c r="AB168" s="32" t="s">
        <v>139</v>
      </c>
    </row>
    <row r="169" spans="1:28" ht="15.6" customHeight="1" x14ac:dyDescent="0.25">
      <c r="A169" s="24" t="s">
        <v>618</v>
      </c>
      <c r="B169" s="50">
        <v>3933</v>
      </c>
      <c r="C169" s="25" t="s">
        <v>619</v>
      </c>
      <c r="D169" s="25" t="s">
        <v>159</v>
      </c>
      <c r="E169" s="25" t="s">
        <v>194</v>
      </c>
      <c r="F169" s="25" t="s">
        <v>138</v>
      </c>
      <c r="G169" s="26" t="s">
        <v>139</v>
      </c>
      <c r="H169" s="27" t="s">
        <v>620</v>
      </c>
      <c r="I169" s="24" t="s">
        <v>106</v>
      </c>
      <c r="J169" s="24" t="s">
        <v>121</v>
      </c>
      <c r="K169" s="28" t="s">
        <v>227</v>
      </c>
      <c r="L169" s="29">
        <v>0</v>
      </c>
      <c r="M169" s="29">
        <v>0</v>
      </c>
      <c r="N169" s="29">
        <v>0.02</v>
      </c>
      <c r="O169" s="27" t="s">
        <v>161</v>
      </c>
      <c r="P169" s="30" t="s">
        <v>159</v>
      </c>
      <c r="Q169" s="31">
        <v>1112097.55</v>
      </c>
      <c r="R169" s="31">
        <v>1112.0999999999999</v>
      </c>
      <c r="S169" s="32">
        <v>6.0435999999999997E-2</v>
      </c>
      <c r="T169" s="32">
        <v>2.8800000000000001E-4</v>
      </c>
      <c r="U169" s="32">
        <v>-9.2500000000000004E-4</v>
      </c>
      <c r="V169" s="32">
        <v>2.0179999999999998E-3</v>
      </c>
      <c r="W169" s="32">
        <v>-3.0209999999999998E-3</v>
      </c>
      <c r="X169" s="32">
        <v>1.298E-2</v>
      </c>
      <c r="Y169" s="32">
        <v>6.0435999999999997E-2</v>
      </c>
      <c r="Z169" s="32">
        <v>8.7660000000000002E-2</v>
      </c>
      <c r="AA169" s="32" t="s">
        <v>139</v>
      </c>
      <c r="AB169" s="32" t="s">
        <v>139</v>
      </c>
    </row>
    <row r="170" spans="1:28" ht="15.6" customHeight="1" x14ac:dyDescent="0.25">
      <c r="A170" s="24" t="s">
        <v>621</v>
      </c>
      <c r="B170" s="50">
        <v>3935</v>
      </c>
      <c r="C170" s="25" t="s">
        <v>622</v>
      </c>
      <c r="D170" s="25" t="s">
        <v>241</v>
      </c>
      <c r="E170" s="25" t="s">
        <v>194</v>
      </c>
      <c r="F170" s="25" t="s">
        <v>138</v>
      </c>
      <c r="G170" s="26" t="s">
        <v>139</v>
      </c>
      <c r="H170" s="27" t="s">
        <v>623</v>
      </c>
      <c r="I170" s="24" t="s">
        <v>106</v>
      </c>
      <c r="J170" s="24" t="s">
        <v>121</v>
      </c>
      <c r="K170" s="28" t="s">
        <v>108</v>
      </c>
      <c r="L170" s="29">
        <v>0</v>
      </c>
      <c r="M170" s="29">
        <v>0</v>
      </c>
      <c r="N170" s="29">
        <v>0.02</v>
      </c>
      <c r="O170" s="27" t="s">
        <v>148</v>
      </c>
      <c r="P170" s="30" t="s">
        <v>241</v>
      </c>
      <c r="Q170" s="31">
        <v>886675.56</v>
      </c>
      <c r="R170" s="31">
        <v>181.95</v>
      </c>
      <c r="S170" s="32">
        <v>0.150781</v>
      </c>
      <c r="T170" s="32">
        <v>-1.4270000000000001E-3</v>
      </c>
      <c r="U170" s="32">
        <v>-5.738E-3</v>
      </c>
      <c r="V170" s="32">
        <v>1.0449999999999999E-3</v>
      </c>
      <c r="W170" s="32">
        <v>2.7560000000000002E-3</v>
      </c>
      <c r="X170" s="32">
        <v>1.1958E-2</v>
      </c>
      <c r="Y170" s="32">
        <v>0.150781</v>
      </c>
      <c r="Z170" s="32">
        <v>0.362819</v>
      </c>
      <c r="AA170" s="32">
        <v>0.42672300000000002</v>
      </c>
      <c r="AB170" s="32" t="s">
        <v>139</v>
      </c>
    </row>
    <row r="171" spans="1:28" ht="15.6" customHeight="1" x14ac:dyDescent="0.25">
      <c r="A171" s="24" t="s">
        <v>624</v>
      </c>
      <c r="B171" s="50">
        <v>3936</v>
      </c>
      <c r="C171" s="25" t="s">
        <v>625</v>
      </c>
      <c r="D171" s="25" t="s">
        <v>164</v>
      </c>
      <c r="E171" s="25" t="s">
        <v>194</v>
      </c>
      <c r="F171" s="25" t="s">
        <v>138</v>
      </c>
      <c r="G171" s="26" t="s">
        <v>139</v>
      </c>
      <c r="H171" s="27" t="s">
        <v>626</v>
      </c>
      <c r="I171" s="24" t="s">
        <v>106</v>
      </c>
      <c r="J171" s="24" t="s">
        <v>107</v>
      </c>
      <c r="K171" s="28" t="s">
        <v>180</v>
      </c>
      <c r="L171" s="29">
        <v>0.02</v>
      </c>
      <c r="M171" s="29">
        <v>0.02</v>
      </c>
      <c r="N171" s="29">
        <v>0.02</v>
      </c>
      <c r="O171" s="27" t="s">
        <v>166</v>
      </c>
      <c r="P171" s="30" t="s">
        <v>627</v>
      </c>
      <c r="Q171" s="31">
        <v>4553464.6399999997</v>
      </c>
      <c r="R171" s="31">
        <v>1596.03</v>
      </c>
      <c r="S171" s="32">
        <v>0.14111399999999999</v>
      </c>
      <c r="T171" s="32">
        <v>4.8979999999999996E-3</v>
      </c>
      <c r="U171" s="32">
        <v>-5.8370000000000002E-3</v>
      </c>
      <c r="V171" s="32">
        <v>4.9360000000000003E-3</v>
      </c>
      <c r="W171" s="32">
        <v>-1.2700000000000001E-3</v>
      </c>
      <c r="X171" s="32">
        <v>1.1745999999999999E-2</v>
      </c>
      <c r="Y171" s="32">
        <v>0.14111399999999999</v>
      </c>
      <c r="Z171" s="32">
        <v>0.20804300000000001</v>
      </c>
      <c r="AA171" s="32">
        <v>0.20230100000000001</v>
      </c>
      <c r="AB171" s="32" t="s">
        <v>139</v>
      </c>
    </row>
    <row r="172" spans="1:28" ht="15.6" customHeight="1" x14ac:dyDescent="0.25">
      <c r="A172" s="24" t="s">
        <v>628</v>
      </c>
      <c r="B172" s="50">
        <v>3937</v>
      </c>
      <c r="C172" s="25" t="s">
        <v>629</v>
      </c>
      <c r="D172" s="25" t="s">
        <v>570</v>
      </c>
      <c r="E172" s="25" t="s">
        <v>194</v>
      </c>
      <c r="F172" s="25" t="s">
        <v>113</v>
      </c>
      <c r="G172" s="26" t="s">
        <v>531</v>
      </c>
      <c r="H172" s="27" t="s">
        <v>327</v>
      </c>
      <c r="I172" s="24" t="s">
        <v>106</v>
      </c>
      <c r="J172" s="24" t="s">
        <v>121</v>
      </c>
      <c r="K172" s="28" t="s">
        <v>227</v>
      </c>
      <c r="L172" s="29">
        <v>0</v>
      </c>
      <c r="M172" s="29">
        <v>0</v>
      </c>
      <c r="N172" s="29">
        <v>0.02</v>
      </c>
      <c r="O172" s="27" t="s">
        <v>166</v>
      </c>
      <c r="P172" s="30" t="s">
        <v>570</v>
      </c>
      <c r="Q172" s="31">
        <v>1168608253.5599999</v>
      </c>
      <c r="R172" s="31">
        <v>1201.49</v>
      </c>
      <c r="S172" s="32">
        <v>7.3237999999999998E-2</v>
      </c>
      <c r="T172" s="32">
        <v>-1.1981E-2</v>
      </c>
      <c r="U172" s="32">
        <v>-1.2525E-2</v>
      </c>
      <c r="V172" s="32">
        <v>-5.6769999999999998E-3</v>
      </c>
      <c r="W172" s="32">
        <v>-1.413E-2</v>
      </c>
      <c r="X172" s="32">
        <v>-4.169E-3</v>
      </c>
      <c r="Y172" s="32">
        <v>7.3237999999999998E-2</v>
      </c>
      <c r="Z172" s="32">
        <v>0.22797999999999999</v>
      </c>
      <c r="AA172" s="32" t="s">
        <v>139</v>
      </c>
      <c r="AB172" s="32" t="s">
        <v>139</v>
      </c>
    </row>
    <row r="173" spans="1:28" ht="15.6" customHeight="1" x14ac:dyDescent="0.25">
      <c r="A173" s="24" t="s">
        <v>630</v>
      </c>
      <c r="B173" s="50">
        <v>3941</v>
      </c>
      <c r="C173" s="25" t="s">
        <v>631</v>
      </c>
      <c r="D173" s="25" t="s">
        <v>241</v>
      </c>
      <c r="E173" s="25" t="s">
        <v>194</v>
      </c>
      <c r="F173" s="25" t="s">
        <v>155</v>
      </c>
      <c r="G173" s="26" t="s">
        <v>139</v>
      </c>
      <c r="H173" s="27" t="s">
        <v>632</v>
      </c>
      <c r="I173" s="24" t="s">
        <v>106</v>
      </c>
      <c r="J173" s="24" t="s">
        <v>107</v>
      </c>
      <c r="K173" s="28" t="s">
        <v>108</v>
      </c>
      <c r="L173" s="29">
        <v>0.03</v>
      </c>
      <c r="M173" s="29">
        <v>1.4999999999999999E-2</v>
      </c>
      <c r="N173" s="29">
        <v>0.02</v>
      </c>
      <c r="O173" s="27" t="s">
        <v>166</v>
      </c>
      <c r="P173" s="30" t="s">
        <v>633</v>
      </c>
      <c r="Q173" s="31">
        <v>396492177.86000001</v>
      </c>
      <c r="R173" s="31">
        <v>1909.29</v>
      </c>
      <c r="S173" s="32">
        <v>0.28490399999999999</v>
      </c>
      <c r="T173" s="32">
        <v>6.1130000000000004E-3</v>
      </c>
      <c r="U173" s="32">
        <v>-7.0879999999999997E-3</v>
      </c>
      <c r="V173" s="32">
        <v>5.4980000000000003E-3</v>
      </c>
      <c r="W173" s="32">
        <v>7.76E-4</v>
      </c>
      <c r="X173" s="32">
        <v>5.8640000000000003E-3</v>
      </c>
      <c r="Y173" s="32">
        <v>0.28490399999999999</v>
      </c>
      <c r="Z173" s="32">
        <v>0.79621799999999998</v>
      </c>
      <c r="AA173" s="32" t="s">
        <v>139</v>
      </c>
      <c r="AB173" s="32" t="s">
        <v>139</v>
      </c>
    </row>
    <row r="174" spans="1:28" ht="15.6" customHeight="1" x14ac:dyDescent="0.25">
      <c r="A174" s="24" t="s">
        <v>634</v>
      </c>
      <c r="B174" s="50">
        <v>3943</v>
      </c>
      <c r="C174" s="25" t="s">
        <v>635</v>
      </c>
      <c r="D174" s="25" t="s">
        <v>241</v>
      </c>
      <c r="E174" s="25" t="s">
        <v>194</v>
      </c>
      <c r="F174" s="25" t="s">
        <v>113</v>
      </c>
      <c r="G174" s="26" t="s">
        <v>439</v>
      </c>
      <c r="H174" s="27" t="s">
        <v>115</v>
      </c>
      <c r="I174" s="24" t="s">
        <v>106</v>
      </c>
      <c r="J174" s="24" t="s">
        <v>121</v>
      </c>
      <c r="K174" s="28" t="s">
        <v>227</v>
      </c>
      <c r="L174" s="29">
        <v>0.03</v>
      </c>
      <c r="M174" s="29">
        <v>1.4999999999999999E-2</v>
      </c>
      <c r="N174" s="29">
        <v>0.02</v>
      </c>
      <c r="O174" s="27" t="s">
        <v>161</v>
      </c>
      <c r="P174" s="30" t="s">
        <v>241</v>
      </c>
      <c r="Q174" s="31">
        <v>1205423798.4200001</v>
      </c>
      <c r="R174" s="31">
        <v>1285.02</v>
      </c>
      <c r="S174" s="32">
        <v>7.6336000000000001E-2</v>
      </c>
      <c r="T174" s="32">
        <v>-1.3231E-2</v>
      </c>
      <c r="U174" s="32">
        <v>-1.4389000000000001E-2</v>
      </c>
      <c r="V174" s="32">
        <v>-4.3309999999999998E-3</v>
      </c>
      <c r="W174" s="32">
        <v>-1.3776E-2</v>
      </c>
      <c r="X174" s="32">
        <v>1.645E-3</v>
      </c>
      <c r="Y174" s="32">
        <v>7.6336000000000001E-2</v>
      </c>
      <c r="Z174" s="32">
        <v>0.22339999999999999</v>
      </c>
      <c r="AA174" s="32" t="s">
        <v>139</v>
      </c>
      <c r="AB174" s="32" t="s">
        <v>139</v>
      </c>
    </row>
    <row r="175" spans="1:28" ht="15.6" customHeight="1" x14ac:dyDescent="0.25">
      <c r="A175" s="24" t="s">
        <v>636</v>
      </c>
      <c r="B175" s="50">
        <v>3944</v>
      </c>
      <c r="C175" s="25" t="s">
        <v>637</v>
      </c>
      <c r="D175" s="25" t="s">
        <v>570</v>
      </c>
      <c r="E175" s="25" t="s">
        <v>194</v>
      </c>
      <c r="F175" s="25" t="s">
        <v>113</v>
      </c>
      <c r="G175" s="26" t="s">
        <v>638</v>
      </c>
      <c r="H175" s="27" t="s">
        <v>115</v>
      </c>
      <c r="I175" s="24" t="s">
        <v>106</v>
      </c>
      <c r="J175" s="24" t="s">
        <v>107</v>
      </c>
      <c r="K175" s="28" t="s">
        <v>227</v>
      </c>
      <c r="L175" s="29">
        <v>0.03</v>
      </c>
      <c r="M175" s="29">
        <v>0.03</v>
      </c>
      <c r="N175" s="29">
        <v>0.02</v>
      </c>
      <c r="O175" s="27" t="s">
        <v>166</v>
      </c>
      <c r="P175" s="30" t="s">
        <v>570</v>
      </c>
      <c r="Q175" s="31">
        <v>2288517471.75</v>
      </c>
      <c r="R175" s="31">
        <v>1238.6400000000001</v>
      </c>
      <c r="S175" s="32">
        <v>6.2043000000000001E-2</v>
      </c>
      <c r="T175" s="32">
        <v>1.423E-3</v>
      </c>
      <c r="U175" s="32">
        <v>3.9599999999999998E-4</v>
      </c>
      <c r="V175" s="32">
        <v>7.2370000000000004E-3</v>
      </c>
      <c r="W175" s="32">
        <v>-6.2100000000000002E-3</v>
      </c>
      <c r="X175" s="32">
        <v>2.2409999999999999E-3</v>
      </c>
      <c r="Y175" s="32">
        <v>6.2043000000000001E-2</v>
      </c>
      <c r="Z175" s="32">
        <v>0.16650300000000001</v>
      </c>
      <c r="AA175" s="32" t="s">
        <v>139</v>
      </c>
      <c r="AB175" s="32" t="s">
        <v>139</v>
      </c>
    </row>
    <row r="176" spans="1:28" ht="15.6" customHeight="1" x14ac:dyDescent="0.25">
      <c r="A176" s="24" t="s">
        <v>639</v>
      </c>
      <c r="B176" s="50">
        <v>3945</v>
      </c>
      <c r="C176" s="25" t="s">
        <v>640</v>
      </c>
      <c r="D176" s="25" t="s">
        <v>570</v>
      </c>
      <c r="E176" s="25" t="s">
        <v>194</v>
      </c>
      <c r="F176" s="25" t="s">
        <v>138</v>
      </c>
      <c r="G176" s="26" t="s">
        <v>139</v>
      </c>
      <c r="H176" s="27" t="s">
        <v>641</v>
      </c>
      <c r="I176" s="24" t="s">
        <v>106</v>
      </c>
      <c r="J176" s="24" t="s">
        <v>121</v>
      </c>
      <c r="K176" s="28" t="s">
        <v>227</v>
      </c>
      <c r="L176" s="29">
        <v>0.03</v>
      </c>
      <c r="M176" s="29">
        <v>0.03</v>
      </c>
      <c r="N176" s="29">
        <v>0.02</v>
      </c>
      <c r="O176" s="27" t="s">
        <v>161</v>
      </c>
      <c r="P176" s="30" t="s">
        <v>570</v>
      </c>
      <c r="Q176" s="31">
        <v>927243926.75999999</v>
      </c>
      <c r="R176" s="31">
        <v>1354.5</v>
      </c>
      <c r="S176" s="32">
        <v>0.13598299999999999</v>
      </c>
      <c r="T176" s="32">
        <v>-1.224E-3</v>
      </c>
      <c r="U176" s="32">
        <v>-9.6509999999999999E-3</v>
      </c>
      <c r="V176" s="32">
        <v>7.76E-4</v>
      </c>
      <c r="W176" s="32">
        <v>-5.2129999999999998E-3</v>
      </c>
      <c r="X176" s="32">
        <v>-2.294E-3</v>
      </c>
      <c r="Y176" s="32">
        <v>0.13598299999999999</v>
      </c>
      <c r="Z176" s="32">
        <v>0.34169500000000003</v>
      </c>
      <c r="AA176" s="32" t="s">
        <v>139</v>
      </c>
      <c r="AB176" s="32" t="s">
        <v>139</v>
      </c>
    </row>
    <row r="177" spans="1:28" ht="15.6" customHeight="1" x14ac:dyDescent="0.25">
      <c r="A177" s="24" t="s">
        <v>642</v>
      </c>
      <c r="B177" s="50">
        <v>3946</v>
      </c>
      <c r="C177" s="25" t="s">
        <v>643</v>
      </c>
      <c r="D177" s="25" t="s">
        <v>350</v>
      </c>
      <c r="E177" s="25" t="s">
        <v>194</v>
      </c>
      <c r="F177" s="25" t="s">
        <v>128</v>
      </c>
      <c r="G177" s="26" t="s">
        <v>644</v>
      </c>
      <c r="H177" s="27" t="s">
        <v>130</v>
      </c>
      <c r="I177" s="24" t="s">
        <v>106</v>
      </c>
      <c r="J177" s="24" t="s">
        <v>107</v>
      </c>
      <c r="K177" s="28" t="s">
        <v>108</v>
      </c>
      <c r="L177" s="29">
        <v>0.03</v>
      </c>
      <c r="M177" s="29">
        <v>0.03</v>
      </c>
      <c r="N177" s="29">
        <v>0.02</v>
      </c>
      <c r="O177" s="27" t="s">
        <v>148</v>
      </c>
      <c r="P177" s="30" t="s">
        <v>350</v>
      </c>
      <c r="Q177" s="31">
        <v>62155584.100000001</v>
      </c>
      <c r="R177" s="31">
        <v>145.72999999999999</v>
      </c>
      <c r="S177" s="32">
        <v>3.0040000000000001E-2</v>
      </c>
      <c r="T177" s="32">
        <v>6.8999999999999997E-5</v>
      </c>
      <c r="U177" s="32">
        <v>5.4900000000000001E-4</v>
      </c>
      <c r="V177" s="32">
        <v>2.6830000000000001E-3</v>
      </c>
      <c r="W177" s="32">
        <v>5.8669999999999998E-3</v>
      </c>
      <c r="X177" s="32">
        <v>1.2576E-2</v>
      </c>
      <c r="Y177" s="32">
        <v>3.0040000000000001E-2</v>
      </c>
      <c r="Z177" s="32">
        <v>7.0363999999999996E-2</v>
      </c>
      <c r="AA177" s="32">
        <v>0.108888</v>
      </c>
      <c r="AB177" s="32" t="s">
        <v>139</v>
      </c>
    </row>
    <row r="178" spans="1:28" ht="15.6" customHeight="1" x14ac:dyDescent="0.25">
      <c r="A178" s="24" t="s">
        <v>645</v>
      </c>
      <c r="B178" s="50">
        <v>3947</v>
      </c>
      <c r="C178" s="25" t="s">
        <v>646</v>
      </c>
      <c r="D178" s="25" t="s">
        <v>164</v>
      </c>
      <c r="E178" s="25" t="s">
        <v>194</v>
      </c>
      <c r="F178" s="25" t="s">
        <v>113</v>
      </c>
      <c r="G178" s="26" t="s">
        <v>647</v>
      </c>
      <c r="H178" s="27" t="s">
        <v>327</v>
      </c>
      <c r="I178" s="24" t="s">
        <v>106</v>
      </c>
      <c r="J178" s="24" t="s">
        <v>121</v>
      </c>
      <c r="K178" s="28" t="s">
        <v>227</v>
      </c>
      <c r="L178" s="29">
        <v>0.03</v>
      </c>
      <c r="M178" s="29">
        <v>1.4999999999999999E-2</v>
      </c>
      <c r="N178" s="29">
        <v>0.02</v>
      </c>
      <c r="O178" s="27" t="s">
        <v>161</v>
      </c>
      <c r="P178" s="30" t="s">
        <v>164</v>
      </c>
      <c r="Q178" s="31">
        <v>388102191.45999998</v>
      </c>
      <c r="R178" s="31">
        <v>854850.64</v>
      </c>
      <c r="S178" s="32">
        <v>4.2071999999999998E-2</v>
      </c>
      <c r="T178" s="32">
        <v>5.2700000000000002E-4</v>
      </c>
      <c r="U178" s="32">
        <v>1.4220000000000001E-3</v>
      </c>
      <c r="V178" s="32">
        <v>4.0829999999999998E-3</v>
      </c>
      <c r="W178" s="32">
        <v>-7.8270000000000006E-3</v>
      </c>
      <c r="X178" s="32">
        <v>3.9110000000000004E-3</v>
      </c>
      <c r="Y178" s="32">
        <v>4.2071999999999998E-2</v>
      </c>
      <c r="Z178" s="32">
        <v>0.20156499999999999</v>
      </c>
      <c r="AA178" s="32">
        <v>0.176844</v>
      </c>
      <c r="AB178" s="32" t="s">
        <v>139</v>
      </c>
    </row>
    <row r="179" spans="1:28" ht="15.6" customHeight="1" x14ac:dyDescent="0.25">
      <c r="A179" s="24" t="s">
        <v>648</v>
      </c>
      <c r="B179" s="50">
        <v>3949</v>
      </c>
      <c r="C179" s="25" t="s">
        <v>649</v>
      </c>
      <c r="D179" s="25" t="s">
        <v>145</v>
      </c>
      <c r="E179" s="25" t="s">
        <v>194</v>
      </c>
      <c r="F179" s="25" t="s">
        <v>361</v>
      </c>
      <c r="G179" s="26" t="s">
        <v>139</v>
      </c>
      <c r="H179" s="27" t="s">
        <v>188</v>
      </c>
      <c r="I179" s="24" t="s">
        <v>106</v>
      </c>
      <c r="J179" s="24" t="s">
        <v>107</v>
      </c>
      <c r="K179" s="28" t="s">
        <v>108</v>
      </c>
      <c r="L179" s="29">
        <v>0.01</v>
      </c>
      <c r="M179" s="29">
        <v>0.01</v>
      </c>
      <c r="N179" s="29">
        <v>0.02</v>
      </c>
      <c r="O179" s="27" t="s">
        <v>148</v>
      </c>
      <c r="P179" s="30" t="s">
        <v>145</v>
      </c>
      <c r="Q179" s="31">
        <v>572761714.23000002</v>
      </c>
      <c r="R179" s="31">
        <v>1046.76</v>
      </c>
      <c r="S179" s="32">
        <v>2.1597999999999999E-2</v>
      </c>
      <c r="T179" s="32">
        <v>5.7000000000000003E-5</v>
      </c>
      <c r="U179" s="32">
        <v>4.0099999999999999E-4</v>
      </c>
      <c r="V179" s="32">
        <v>1.6360000000000001E-3</v>
      </c>
      <c r="W179" s="32">
        <v>5.0889999999999998E-3</v>
      </c>
      <c r="X179" s="32">
        <v>1.0396000000000001E-2</v>
      </c>
      <c r="Y179" s="32">
        <v>2.1597999999999999E-2</v>
      </c>
      <c r="Z179" s="32" t="s">
        <v>139</v>
      </c>
      <c r="AA179" s="32" t="s">
        <v>139</v>
      </c>
      <c r="AB179" s="32" t="s">
        <v>139</v>
      </c>
    </row>
    <row r="180" spans="1:28" ht="15.6" customHeight="1" x14ac:dyDescent="0.25">
      <c r="A180" s="24" t="s">
        <v>650</v>
      </c>
      <c r="B180" s="50">
        <v>3951</v>
      </c>
      <c r="C180" s="25" t="s">
        <v>651</v>
      </c>
      <c r="D180" s="25" t="s">
        <v>261</v>
      </c>
      <c r="E180" s="25" t="s">
        <v>194</v>
      </c>
      <c r="F180" s="25" t="s">
        <v>113</v>
      </c>
      <c r="G180" s="26" t="s">
        <v>652</v>
      </c>
      <c r="H180" s="27" t="s">
        <v>653</v>
      </c>
      <c r="I180" s="24" t="s">
        <v>106</v>
      </c>
      <c r="J180" s="24" t="s">
        <v>121</v>
      </c>
      <c r="K180" s="28" t="s">
        <v>108</v>
      </c>
      <c r="L180" s="29">
        <v>0</v>
      </c>
      <c r="M180" s="29">
        <v>0</v>
      </c>
      <c r="N180" s="29">
        <v>0</v>
      </c>
      <c r="O180" s="27" t="s">
        <v>262</v>
      </c>
      <c r="P180" s="30" t="s">
        <v>261</v>
      </c>
      <c r="Q180" s="31">
        <v>774724584.60000002</v>
      </c>
      <c r="R180" s="31">
        <v>1099.27</v>
      </c>
      <c r="S180" s="32">
        <v>5.6208000000000001E-2</v>
      </c>
      <c r="T180" s="32">
        <v>-3.8509999999999998E-3</v>
      </c>
      <c r="U180" s="32">
        <v>-5.7159999999999997E-3</v>
      </c>
      <c r="V180" s="32">
        <v>1.7409999999999999E-3</v>
      </c>
      <c r="W180" s="32">
        <v>-7.4130000000000003E-3</v>
      </c>
      <c r="X180" s="32">
        <v>3.588E-3</v>
      </c>
      <c r="Y180" s="32">
        <v>5.6208000000000001E-2</v>
      </c>
      <c r="Z180" s="32" t="s">
        <v>139</v>
      </c>
      <c r="AA180" s="32" t="s">
        <v>139</v>
      </c>
      <c r="AB180" s="32" t="s">
        <v>139</v>
      </c>
    </row>
    <row r="181" spans="1:28" ht="15.6" customHeight="1" x14ac:dyDescent="0.25">
      <c r="A181" s="24" t="s">
        <v>654</v>
      </c>
      <c r="B181" s="50">
        <v>3954</v>
      </c>
      <c r="C181" s="25" t="s">
        <v>655</v>
      </c>
      <c r="D181" s="25" t="s">
        <v>504</v>
      </c>
      <c r="E181" s="25" t="s">
        <v>194</v>
      </c>
      <c r="F181" s="25" t="s">
        <v>113</v>
      </c>
      <c r="G181" s="26" t="s">
        <v>439</v>
      </c>
      <c r="H181" s="27" t="s">
        <v>115</v>
      </c>
      <c r="I181" s="24" t="s">
        <v>106</v>
      </c>
      <c r="J181" s="24" t="s">
        <v>121</v>
      </c>
      <c r="K181" s="28" t="s">
        <v>108</v>
      </c>
      <c r="L181" s="29">
        <v>0</v>
      </c>
      <c r="M181" s="29">
        <v>0</v>
      </c>
      <c r="N181" s="29">
        <v>0.02</v>
      </c>
      <c r="O181" s="27" t="s">
        <v>161</v>
      </c>
      <c r="P181" s="30" t="s">
        <v>504</v>
      </c>
      <c r="Q181" s="31">
        <v>2321744108.9099998</v>
      </c>
      <c r="R181" s="31">
        <v>1207.9100000000001</v>
      </c>
      <c r="S181" s="32">
        <v>5.2222999999999999E-2</v>
      </c>
      <c r="T181" s="32">
        <v>-7.6099999999999996E-4</v>
      </c>
      <c r="U181" s="32">
        <v>-3.3100000000000002E-4</v>
      </c>
      <c r="V181" s="32">
        <v>3.039E-3</v>
      </c>
      <c r="W181" s="32">
        <v>-3.8270000000000001E-3</v>
      </c>
      <c r="X181" s="32">
        <v>4.5240000000000002E-3</v>
      </c>
      <c r="Y181" s="32">
        <v>5.2222999999999999E-2</v>
      </c>
      <c r="Z181" s="32">
        <v>0.14013999999999999</v>
      </c>
      <c r="AA181" s="32">
        <v>0.192326</v>
      </c>
      <c r="AB181" s="32" t="s">
        <v>139</v>
      </c>
    </row>
    <row r="182" spans="1:28" ht="15.6" customHeight="1" x14ac:dyDescent="0.25">
      <c r="A182" s="24" t="s">
        <v>656</v>
      </c>
      <c r="B182" s="50">
        <v>3957</v>
      </c>
      <c r="C182" s="25" t="s">
        <v>657</v>
      </c>
      <c r="D182" s="25" t="s">
        <v>570</v>
      </c>
      <c r="E182" s="25" t="s">
        <v>194</v>
      </c>
      <c r="F182" s="25" t="s">
        <v>113</v>
      </c>
      <c r="G182" s="26" t="s">
        <v>638</v>
      </c>
      <c r="H182" s="27" t="s">
        <v>658</v>
      </c>
      <c r="I182" s="24" t="s">
        <v>106</v>
      </c>
      <c r="J182" s="24" t="s">
        <v>107</v>
      </c>
      <c r="K182" s="28" t="s">
        <v>227</v>
      </c>
      <c r="L182" s="29">
        <v>0.03</v>
      </c>
      <c r="M182" s="29">
        <v>0.03</v>
      </c>
      <c r="N182" s="29">
        <v>0.02</v>
      </c>
      <c r="O182" s="27" t="s">
        <v>659</v>
      </c>
      <c r="P182" s="30" t="s">
        <v>570</v>
      </c>
      <c r="Q182" s="31">
        <v>1916859026.1800001</v>
      </c>
      <c r="R182" s="31">
        <v>1115.82</v>
      </c>
      <c r="S182" s="32">
        <v>8.2311999999999996E-2</v>
      </c>
      <c r="T182" s="32">
        <v>1.7240000000000001E-3</v>
      </c>
      <c r="U182" s="32">
        <v>7.5299999999999998E-4</v>
      </c>
      <c r="V182" s="32">
        <v>6.8120000000000003E-3</v>
      </c>
      <c r="W182" s="32">
        <v>-8.5999999999999998E-4</v>
      </c>
      <c r="X182" s="32">
        <v>8.4589999999999995E-3</v>
      </c>
      <c r="Y182" s="32">
        <v>8.2311999999999996E-2</v>
      </c>
      <c r="Z182" s="32" t="s">
        <v>139</v>
      </c>
      <c r="AA182" s="32" t="s">
        <v>139</v>
      </c>
      <c r="AB182" s="32" t="s">
        <v>139</v>
      </c>
    </row>
    <row r="183" spans="1:28" ht="15.6" customHeight="1" x14ac:dyDescent="0.25">
      <c r="A183" s="24" t="s">
        <v>660</v>
      </c>
      <c r="B183" s="50">
        <v>3960</v>
      </c>
      <c r="C183" s="25" t="s">
        <v>661</v>
      </c>
      <c r="D183" s="25" t="s">
        <v>241</v>
      </c>
      <c r="E183" s="25" t="s">
        <v>194</v>
      </c>
      <c r="F183" s="25" t="s">
        <v>138</v>
      </c>
      <c r="G183" s="26" t="s">
        <v>139</v>
      </c>
      <c r="H183" s="27" t="s">
        <v>662</v>
      </c>
      <c r="I183" s="24" t="s">
        <v>106</v>
      </c>
      <c r="J183" s="24" t="s">
        <v>107</v>
      </c>
      <c r="K183" s="28" t="s">
        <v>227</v>
      </c>
      <c r="L183" s="29">
        <v>0.03</v>
      </c>
      <c r="M183" s="29">
        <v>1.4999999999999999E-2</v>
      </c>
      <c r="N183" s="29">
        <v>0.02</v>
      </c>
      <c r="O183" s="27" t="s">
        <v>663</v>
      </c>
      <c r="P183" s="30" t="s">
        <v>241</v>
      </c>
      <c r="Q183" s="31">
        <v>991358887.75</v>
      </c>
      <c r="R183" s="31">
        <v>1211.8800000000001</v>
      </c>
      <c r="S183" s="32">
        <v>0.16090499999999999</v>
      </c>
      <c r="T183" s="32">
        <v>2.7720000000000002E-3</v>
      </c>
      <c r="U183" s="32">
        <v>-4.2890000000000003E-3</v>
      </c>
      <c r="V183" s="32">
        <v>6.6699999999999997E-3</v>
      </c>
      <c r="W183" s="32">
        <v>-2.4699999999999999E-4</v>
      </c>
      <c r="X183" s="32">
        <v>9.4039999999999992E-3</v>
      </c>
      <c r="Y183" s="32">
        <v>0.16090499999999999</v>
      </c>
      <c r="Z183" s="32" t="s">
        <v>139</v>
      </c>
      <c r="AA183" s="32" t="s">
        <v>139</v>
      </c>
      <c r="AB183" s="32" t="s">
        <v>139</v>
      </c>
    </row>
    <row r="184" spans="1:28" ht="15.6" customHeight="1" x14ac:dyDescent="0.25">
      <c r="A184" s="24" t="s">
        <v>664</v>
      </c>
      <c r="B184" s="50">
        <v>3962</v>
      </c>
      <c r="C184" s="25" t="s">
        <v>665</v>
      </c>
      <c r="D184" s="25" t="s">
        <v>241</v>
      </c>
      <c r="E184" s="25" t="s">
        <v>194</v>
      </c>
      <c r="F184" s="25" t="s">
        <v>113</v>
      </c>
      <c r="G184" s="26" t="s">
        <v>666</v>
      </c>
      <c r="H184" s="27" t="s">
        <v>667</v>
      </c>
      <c r="I184" s="24" t="s">
        <v>106</v>
      </c>
      <c r="J184" s="24" t="s">
        <v>121</v>
      </c>
      <c r="K184" s="28" t="s">
        <v>227</v>
      </c>
      <c r="L184" s="29">
        <v>0</v>
      </c>
      <c r="M184" s="29">
        <v>0</v>
      </c>
      <c r="N184" s="29">
        <v>0.02</v>
      </c>
      <c r="O184" s="27" t="s">
        <v>173</v>
      </c>
      <c r="P184" s="30" t="s">
        <v>241</v>
      </c>
      <c r="Q184" s="31">
        <v>772318258.72000003</v>
      </c>
      <c r="R184" s="31">
        <v>1057.8800000000001</v>
      </c>
      <c r="S184" s="32" t="s">
        <v>139</v>
      </c>
      <c r="T184" s="32">
        <v>-1.689E-3</v>
      </c>
      <c r="U184" s="32">
        <v>-1.284E-3</v>
      </c>
      <c r="V184" s="32">
        <v>2.5969999999999999E-3</v>
      </c>
      <c r="W184" s="32">
        <v>1.4289999999999999E-3</v>
      </c>
      <c r="X184" s="32">
        <v>9.8130000000000005E-3</v>
      </c>
      <c r="Y184" s="32" t="s">
        <v>139</v>
      </c>
      <c r="Z184" s="32" t="s">
        <v>139</v>
      </c>
      <c r="AA184" s="32" t="s">
        <v>139</v>
      </c>
      <c r="AB184" s="32" t="s">
        <v>139</v>
      </c>
    </row>
    <row r="185" spans="1:28" ht="15.6" customHeight="1" x14ac:dyDescent="0.25">
      <c r="A185" s="24" t="s">
        <v>668</v>
      </c>
      <c r="B185" s="50">
        <v>3963</v>
      </c>
      <c r="C185" s="25" t="s">
        <v>669</v>
      </c>
      <c r="D185" s="25" t="s">
        <v>316</v>
      </c>
      <c r="E185" s="25" t="s">
        <v>194</v>
      </c>
      <c r="F185" s="25" t="s">
        <v>113</v>
      </c>
      <c r="G185" s="26" t="s">
        <v>670</v>
      </c>
      <c r="H185" s="27" t="s">
        <v>115</v>
      </c>
      <c r="I185" s="24" t="s">
        <v>106</v>
      </c>
      <c r="J185" s="24" t="s">
        <v>107</v>
      </c>
      <c r="K185" s="28" t="s">
        <v>108</v>
      </c>
      <c r="L185" s="29">
        <v>0.03</v>
      </c>
      <c r="M185" s="29">
        <v>0.03</v>
      </c>
      <c r="N185" s="29">
        <v>0.02</v>
      </c>
      <c r="O185" s="27" t="s">
        <v>161</v>
      </c>
      <c r="P185" s="30" t="s">
        <v>316</v>
      </c>
      <c r="Q185" s="31">
        <v>737968651.16999996</v>
      </c>
      <c r="R185" s="31">
        <v>1038.1199999999999</v>
      </c>
      <c r="S185" s="32" t="s">
        <v>139</v>
      </c>
      <c r="T185" s="32">
        <v>-1.64E-4</v>
      </c>
      <c r="U185" s="32">
        <v>-3.264E-3</v>
      </c>
      <c r="V185" s="32">
        <v>2.7430000000000002E-3</v>
      </c>
      <c r="W185" s="32">
        <v>-7.3819999999999997E-3</v>
      </c>
      <c r="X185" s="32">
        <v>6.4180000000000001E-3</v>
      </c>
      <c r="Y185" s="32" t="s">
        <v>139</v>
      </c>
      <c r="Z185" s="32" t="s">
        <v>139</v>
      </c>
      <c r="AA185" s="32" t="s">
        <v>139</v>
      </c>
      <c r="AB185" s="32" t="s">
        <v>139</v>
      </c>
    </row>
    <row r="186" spans="1:28" ht="15.6" customHeight="1" x14ac:dyDescent="0.25">
      <c r="A186" s="24" t="s">
        <v>671</v>
      </c>
      <c r="B186" s="50">
        <v>3965</v>
      </c>
      <c r="C186" s="25" t="s">
        <v>672</v>
      </c>
      <c r="D186" s="25" t="s">
        <v>504</v>
      </c>
      <c r="E186" s="25" t="s">
        <v>194</v>
      </c>
      <c r="F186" s="25" t="s">
        <v>113</v>
      </c>
      <c r="G186" s="26" t="s">
        <v>439</v>
      </c>
      <c r="H186" s="27" t="s">
        <v>115</v>
      </c>
      <c r="I186" s="24" t="s">
        <v>106</v>
      </c>
      <c r="J186" s="24" t="s">
        <v>121</v>
      </c>
      <c r="K186" s="28" t="s">
        <v>108</v>
      </c>
      <c r="L186" s="29">
        <v>0</v>
      </c>
      <c r="M186" s="29">
        <v>0</v>
      </c>
      <c r="N186" s="29">
        <v>0.02</v>
      </c>
      <c r="O186" s="27" t="s">
        <v>161</v>
      </c>
      <c r="P186" s="30" t="s">
        <v>673</v>
      </c>
      <c r="Q186" s="31">
        <v>1121846.8400000001</v>
      </c>
      <c r="R186" s="31">
        <v>1121.8399999999999</v>
      </c>
      <c r="S186" s="32">
        <v>4.5526999999999998E-2</v>
      </c>
      <c r="T186" s="32">
        <v>-3.7399999999999998E-4</v>
      </c>
      <c r="U186" s="32">
        <v>-6.4999999999999997E-4</v>
      </c>
      <c r="V186" s="32">
        <v>8.1960000000000002E-3</v>
      </c>
      <c r="W186" s="32">
        <v>-4.7369999999999999E-3</v>
      </c>
      <c r="X186" s="32">
        <v>4.73E-4</v>
      </c>
      <c r="Y186" s="32">
        <v>4.5526999999999998E-2</v>
      </c>
      <c r="Z186" s="32">
        <v>0.125114</v>
      </c>
      <c r="AA186" s="32">
        <v>0.14047499999999999</v>
      </c>
      <c r="AB186" s="32" t="s">
        <v>139</v>
      </c>
    </row>
    <row r="187" spans="1:28" ht="15.6" customHeight="1" x14ac:dyDescent="0.25">
      <c r="A187" s="24" t="s">
        <v>674</v>
      </c>
      <c r="B187" s="50">
        <v>3966</v>
      </c>
      <c r="C187" s="25" t="s">
        <v>675</v>
      </c>
      <c r="D187" s="25" t="s">
        <v>241</v>
      </c>
      <c r="E187" s="25" t="s">
        <v>194</v>
      </c>
      <c r="F187" s="25" t="s">
        <v>113</v>
      </c>
      <c r="G187" s="26" t="s">
        <v>676</v>
      </c>
      <c r="H187" s="27" t="s">
        <v>120</v>
      </c>
      <c r="I187" s="24" t="s">
        <v>106</v>
      </c>
      <c r="J187" s="24" t="s">
        <v>121</v>
      </c>
      <c r="K187" s="28" t="s">
        <v>227</v>
      </c>
      <c r="L187" s="29">
        <v>0</v>
      </c>
      <c r="M187" s="29">
        <v>0</v>
      </c>
      <c r="N187" s="29">
        <v>0.02</v>
      </c>
      <c r="O187" s="27" t="s">
        <v>262</v>
      </c>
      <c r="P187" s="30" t="s">
        <v>241</v>
      </c>
      <c r="Q187" s="31">
        <v>27302519.440000001</v>
      </c>
      <c r="R187" s="31">
        <v>1338.03</v>
      </c>
      <c r="S187" s="32">
        <v>5.2970000000000003E-2</v>
      </c>
      <c r="T187" s="32">
        <v>-6.4199999999999999E-4</v>
      </c>
      <c r="U187" s="32">
        <v>-3.21E-4</v>
      </c>
      <c r="V187" s="32">
        <v>4.9040000000000004E-3</v>
      </c>
      <c r="W187" s="32">
        <v>-3.7160000000000001E-3</v>
      </c>
      <c r="X187" s="32">
        <v>1.902E-3</v>
      </c>
      <c r="Y187" s="32">
        <v>5.2970000000000003E-2</v>
      </c>
      <c r="Z187" s="32">
        <v>0.185776</v>
      </c>
      <c r="AA187" s="32">
        <v>0.266426</v>
      </c>
      <c r="AB187" s="32" t="s">
        <v>139</v>
      </c>
    </row>
    <row r="188" spans="1:28" ht="15.6" customHeight="1" x14ac:dyDescent="0.25">
      <c r="A188" s="24" t="s">
        <v>677</v>
      </c>
      <c r="B188" s="50">
        <v>3967</v>
      </c>
      <c r="C188" s="25" t="s">
        <v>678</v>
      </c>
      <c r="D188" s="25" t="s">
        <v>679</v>
      </c>
      <c r="E188" s="25" t="s">
        <v>194</v>
      </c>
      <c r="F188" s="25" t="s">
        <v>138</v>
      </c>
      <c r="G188" s="26" t="s">
        <v>139</v>
      </c>
      <c r="H188" s="27" t="s">
        <v>680</v>
      </c>
      <c r="I188" s="24" t="s">
        <v>106</v>
      </c>
      <c r="J188" s="24" t="s">
        <v>107</v>
      </c>
      <c r="K188" s="28" t="s">
        <v>108</v>
      </c>
      <c r="L188" s="29">
        <v>0.03</v>
      </c>
      <c r="M188" s="29">
        <v>1.4999999999999999E-2</v>
      </c>
      <c r="N188" s="29">
        <v>0.02</v>
      </c>
      <c r="O188" s="27" t="s">
        <v>659</v>
      </c>
      <c r="P188" s="30" t="s">
        <v>679</v>
      </c>
      <c r="Q188" s="31">
        <v>260682416.88</v>
      </c>
      <c r="R188" s="31">
        <v>1015.43</v>
      </c>
      <c r="S188" s="32" t="s">
        <v>139</v>
      </c>
      <c r="T188" s="32">
        <v>6.5420000000000001E-3</v>
      </c>
      <c r="U188" s="32">
        <v>4.73E-4</v>
      </c>
      <c r="V188" s="32">
        <v>1.1556E-2</v>
      </c>
      <c r="W188" s="32">
        <v>-5.4260000000000003E-3</v>
      </c>
      <c r="X188" s="32">
        <v>1.08E-4</v>
      </c>
      <c r="Y188" s="32" t="s">
        <v>139</v>
      </c>
      <c r="Z188" s="32" t="s">
        <v>139</v>
      </c>
      <c r="AA188" s="32" t="s">
        <v>139</v>
      </c>
      <c r="AB188" s="32" t="s">
        <v>139</v>
      </c>
    </row>
    <row r="189" spans="1:28" ht="15.6" customHeight="1" x14ac:dyDescent="0.25">
      <c r="A189" s="24" t="s">
        <v>681</v>
      </c>
      <c r="B189" s="50">
        <v>3968</v>
      </c>
      <c r="C189" s="25" t="s">
        <v>682</v>
      </c>
      <c r="D189" s="25" t="s">
        <v>679</v>
      </c>
      <c r="E189" s="25" t="s">
        <v>194</v>
      </c>
      <c r="F189" s="25" t="s">
        <v>103</v>
      </c>
      <c r="G189" s="26" t="s">
        <v>392</v>
      </c>
      <c r="H189" s="27" t="s">
        <v>188</v>
      </c>
      <c r="I189" s="24" t="s">
        <v>106</v>
      </c>
      <c r="J189" s="24" t="s">
        <v>107</v>
      </c>
      <c r="K189" s="28" t="s">
        <v>108</v>
      </c>
      <c r="L189" s="29">
        <v>0.03</v>
      </c>
      <c r="M189" s="29">
        <v>1.4999999999999999E-2</v>
      </c>
      <c r="N189" s="29">
        <v>0.02</v>
      </c>
      <c r="O189" s="27" t="s">
        <v>659</v>
      </c>
      <c r="P189" s="30" t="s">
        <v>679</v>
      </c>
      <c r="Q189" s="31">
        <v>569635944.61000001</v>
      </c>
      <c r="R189" s="31">
        <v>1013.85</v>
      </c>
      <c r="S189" s="32" t="s">
        <v>139</v>
      </c>
      <c r="T189" s="32">
        <v>2.9599999999999998E-4</v>
      </c>
      <c r="U189" s="32">
        <v>7.9000000000000001E-4</v>
      </c>
      <c r="V189" s="32">
        <v>2.65E-3</v>
      </c>
      <c r="W189" s="32">
        <v>6.2129999999999998E-3</v>
      </c>
      <c r="X189" s="32">
        <v>1.2625000000000001E-2</v>
      </c>
      <c r="Y189" s="32" t="s">
        <v>139</v>
      </c>
      <c r="Z189" s="32" t="s">
        <v>139</v>
      </c>
      <c r="AA189" s="32" t="s">
        <v>139</v>
      </c>
      <c r="AB189" s="32" t="s">
        <v>139</v>
      </c>
    </row>
    <row r="190" spans="1:28" ht="15.6" customHeight="1" x14ac:dyDescent="0.25">
      <c r="A190" s="24" t="s">
        <v>683</v>
      </c>
      <c r="B190" s="50">
        <v>3969</v>
      </c>
      <c r="C190" s="25" t="s">
        <v>684</v>
      </c>
      <c r="D190" s="25" t="s">
        <v>679</v>
      </c>
      <c r="E190" s="25" t="s">
        <v>194</v>
      </c>
      <c r="F190" s="25" t="s">
        <v>113</v>
      </c>
      <c r="G190" s="26" t="s">
        <v>685</v>
      </c>
      <c r="H190" s="27" t="s">
        <v>115</v>
      </c>
      <c r="I190" s="24" t="s">
        <v>106</v>
      </c>
      <c r="J190" s="24" t="s">
        <v>107</v>
      </c>
      <c r="K190" s="28" t="s">
        <v>108</v>
      </c>
      <c r="L190" s="29">
        <v>0.03</v>
      </c>
      <c r="M190" s="29">
        <v>1.4999999999999999E-2</v>
      </c>
      <c r="N190" s="29">
        <v>0.02</v>
      </c>
      <c r="O190" s="27" t="s">
        <v>659</v>
      </c>
      <c r="P190" s="30" t="s">
        <v>679</v>
      </c>
      <c r="Q190" s="31">
        <v>999561179.14999998</v>
      </c>
      <c r="R190" s="31">
        <v>1017.86</v>
      </c>
      <c r="S190" s="32" t="s">
        <v>139</v>
      </c>
      <c r="T190" s="32">
        <v>1.289E-3</v>
      </c>
      <c r="U190" s="32">
        <v>2.7880000000000001E-3</v>
      </c>
      <c r="V190" s="32">
        <v>9.4509999999999993E-3</v>
      </c>
      <c r="W190" s="32">
        <v>-3.1399999999999999E-4</v>
      </c>
      <c r="X190" s="32">
        <v>1.7035999999999999E-2</v>
      </c>
      <c r="Y190" s="32" t="s">
        <v>139</v>
      </c>
      <c r="Z190" s="32" t="s">
        <v>139</v>
      </c>
      <c r="AA190" s="32" t="s">
        <v>139</v>
      </c>
      <c r="AB190" s="32" t="s">
        <v>139</v>
      </c>
    </row>
    <row r="191" spans="1:28" ht="15.6" customHeight="1" x14ac:dyDescent="0.25">
      <c r="A191" s="24" t="s">
        <v>686</v>
      </c>
      <c r="B191" s="50">
        <v>3970</v>
      </c>
      <c r="C191" s="25" t="s">
        <v>687</v>
      </c>
      <c r="D191" s="25" t="s">
        <v>679</v>
      </c>
      <c r="E191" s="25" t="s">
        <v>194</v>
      </c>
      <c r="F191" s="25" t="s">
        <v>113</v>
      </c>
      <c r="G191" s="26" t="s">
        <v>685</v>
      </c>
      <c r="H191" s="27" t="s">
        <v>115</v>
      </c>
      <c r="I191" s="24" t="s">
        <v>106</v>
      </c>
      <c r="J191" s="24" t="s">
        <v>107</v>
      </c>
      <c r="K191" s="28" t="s">
        <v>108</v>
      </c>
      <c r="L191" s="29">
        <v>0.03</v>
      </c>
      <c r="M191" s="29">
        <v>1.4999999999999999E-2</v>
      </c>
      <c r="N191" s="29">
        <v>0.02</v>
      </c>
      <c r="O191" s="27" t="s">
        <v>148</v>
      </c>
      <c r="P191" s="30" t="s">
        <v>679</v>
      </c>
      <c r="Q191" s="31">
        <v>1016705.96</v>
      </c>
      <c r="R191" s="31">
        <v>1016.7</v>
      </c>
      <c r="S191" s="32" t="s">
        <v>139</v>
      </c>
      <c r="T191" s="32">
        <v>1.1919999999999999E-3</v>
      </c>
      <c r="U191" s="32">
        <v>5.3689999999999996E-3</v>
      </c>
      <c r="V191" s="32">
        <v>1.5207999999999999E-2</v>
      </c>
      <c r="W191" s="32">
        <v>5.2100000000000002E-3</v>
      </c>
      <c r="X191" s="32">
        <v>1.6365000000000001E-2</v>
      </c>
      <c r="Y191" s="32" t="s">
        <v>139</v>
      </c>
      <c r="Z191" s="32" t="s">
        <v>139</v>
      </c>
      <c r="AA191" s="32" t="s">
        <v>139</v>
      </c>
      <c r="AB191" s="32" t="s">
        <v>139</v>
      </c>
    </row>
    <row r="192" spans="1:28" ht="15.6" customHeight="1" x14ac:dyDescent="0.25">
      <c r="A192" s="24" t="s">
        <v>688</v>
      </c>
      <c r="B192" s="50">
        <v>3971</v>
      </c>
      <c r="C192" s="25" t="s">
        <v>689</v>
      </c>
      <c r="D192" s="25" t="s">
        <v>679</v>
      </c>
      <c r="E192" s="25" t="s">
        <v>194</v>
      </c>
      <c r="F192" s="25" t="s">
        <v>128</v>
      </c>
      <c r="G192" s="26" t="s">
        <v>690</v>
      </c>
      <c r="H192" s="27" t="s">
        <v>130</v>
      </c>
      <c r="I192" s="24" t="s">
        <v>106</v>
      </c>
      <c r="J192" s="24" t="s">
        <v>107</v>
      </c>
      <c r="K192" s="28" t="s">
        <v>108</v>
      </c>
      <c r="L192" s="29">
        <v>0.03</v>
      </c>
      <c r="M192" s="29">
        <v>1.4999999999999999E-2</v>
      </c>
      <c r="N192" s="29">
        <v>0.02</v>
      </c>
      <c r="O192" s="27" t="s">
        <v>148</v>
      </c>
      <c r="P192" s="30" t="s">
        <v>679</v>
      </c>
      <c r="Q192" s="31">
        <v>875979666.61000001</v>
      </c>
      <c r="R192" s="31">
        <v>1014.05</v>
      </c>
      <c r="S192" s="32" t="s">
        <v>139</v>
      </c>
      <c r="T192" s="32">
        <v>8.8999999999999995E-5</v>
      </c>
      <c r="U192" s="32">
        <v>5.4299999999999997E-4</v>
      </c>
      <c r="V192" s="32">
        <v>2.6900000000000001E-3</v>
      </c>
      <c r="W192" s="32">
        <v>5.7029999999999997E-3</v>
      </c>
      <c r="X192" s="32">
        <v>1.2703000000000001E-2</v>
      </c>
      <c r="Y192" s="32" t="s">
        <v>139</v>
      </c>
      <c r="Z192" s="32" t="s">
        <v>139</v>
      </c>
      <c r="AA192" s="32" t="s">
        <v>139</v>
      </c>
      <c r="AB192" s="32" t="s">
        <v>139</v>
      </c>
    </row>
    <row r="193" spans="1:28" ht="15.6" customHeight="1" x14ac:dyDescent="0.25">
      <c r="A193" s="24" t="s">
        <v>691</v>
      </c>
      <c r="B193" s="50">
        <v>3972</v>
      </c>
      <c r="C193" s="25" t="s">
        <v>8</v>
      </c>
      <c r="D193" s="25" t="s">
        <v>679</v>
      </c>
      <c r="E193" s="25" t="s">
        <v>194</v>
      </c>
      <c r="F193" s="25" t="s">
        <v>155</v>
      </c>
      <c r="G193" s="26" t="s">
        <v>139</v>
      </c>
      <c r="H193" s="27" t="s">
        <v>156</v>
      </c>
      <c r="I193" s="24" t="s">
        <v>106</v>
      </c>
      <c r="J193" s="24" t="s">
        <v>107</v>
      </c>
      <c r="K193" s="28" t="s">
        <v>108</v>
      </c>
      <c r="L193" s="29">
        <v>0.03</v>
      </c>
      <c r="M193" s="29">
        <v>1.4999999999999999E-2</v>
      </c>
      <c r="N193" s="29">
        <v>0.02</v>
      </c>
      <c r="O193" s="27" t="s">
        <v>148</v>
      </c>
      <c r="P193" s="30" t="s">
        <v>679</v>
      </c>
      <c r="Q193" s="31">
        <v>88676088.980000004</v>
      </c>
      <c r="R193" s="31">
        <v>991.78</v>
      </c>
      <c r="S193" s="32" t="s">
        <v>139</v>
      </c>
      <c r="T193" s="32">
        <v>1.0093E-2</v>
      </c>
      <c r="U193" s="32">
        <v>-2.9659999999999999E-3</v>
      </c>
      <c r="V193" s="32">
        <v>8.4600000000000005E-3</v>
      </c>
      <c r="W193" s="32">
        <v>-3.0360000000000001E-3</v>
      </c>
      <c r="X193" s="32">
        <v>-3.8070000000000001E-3</v>
      </c>
      <c r="Y193" s="32" t="s">
        <v>139</v>
      </c>
      <c r="Z193" s="32" t="s">
        <v>139</v>
      </c>
      <c r="AA193" s="32" t="s">
        <v>139</v>
      </c>
      <c r="AB193" s="32" t="s">
        <v>139</v>
      </c>
    </row>
    <row r="194" spans="1:28" ht="15.6" customHeight="1" x14ac:dyDescent="0.25">
      <c r="A194" s="24" t="s">
        <v>692</v>
      </c>
      <c r="B194" s="50">
        <v>3973</v>
      </c>
      <c r="C194" s="25" t="s">
        <v>693</v>
      </c>
      <c r="D194" s="25" t="s">
        <v>504</v>
      </c>
      <c r="E194" s="25" t="s">
        <v>194</v>
      </c>
      <c r="F194" s="25" t="s">
        <v>138</v>
      </c>
      <c r="G194" s="26" t="s">
        <v>139</v>
      </c>
      <c r="H194" s="27" t="s">
        <v>694</v>
      </c>
      <c r="I194" s="24" t="s">
        <v>106</v>
      </c>
      <c r="J194" s="24" t="s">
        <v>121</v>
      </c>
      <c r="K194" s="28" t="s">
        <v>227</v>
      </c>
      <c r="L194" s="29">
        <v>0.02</v>
      </c>
      <c r="M194" s="29">
        <v>0.02</v>
      </c>
      <c r="N194" s="29">
        <v>0.02</v>
      </c>
      <c r="O194" s="27" t="s">
        <v>116</v>
      </c>
      <c r="P194" s="30" t="s">
        <v>504</v>
      </c>
      <c r="Q194" s="31">
        <v>255308849.78</v>
      </c>
      <c r="R194" s="31">
        <v>1455.14</v>
      </c>
      <c r="S194" s="32">
        <v>0.18067900000000001</v>
      </c>
      <c r="T194" s="32">
        <v>-1.9070000000000001E-3</v>
      </c>
      <c r="U194" s="32">
        <v>-7.3400000000000002E-3</v>
      </c>
      <c r="V194" s="32">
        <v>-1.9E-3</v>
      </c>
      <c r="W194" s="32">
        <v>-9.9399999999999992E-3</v>
      </c>
      <c r="X194" s="32">
        <v>3.1229999999999999E-3</v>
      </c>
      <c r="Y194" s="32">
        <v>0.18067900000000001</v>
      </c>
      <c r="Z194" s="32">
        <v>0.48921300000000001</v>
      </c>
      <c r="AA194" s="32">
        <v>0.482734</v>
      </c>
      <c r="AB194" s="32" t="s">
        <v>139</v>
      </c>
    </row>
    <row r="195" spans="1:28" ht="15.6" customHeight="1" x14ac:dyDescent="0.25">
      <c r="A195" s="24" t="s">
        <v>695</v>
      </c>
      <c r="B195" s="50">
        <v>3974</v>
      </c>
      <c r="C195" s="25" t="s">
        <v>696</v>
      </c>
      <c r="D195" s="25" t="s">
        <v>101</v>
      </c>
      <c r="E195" s="25" t="s">
        <v>194</v>
      </c>
      <c r="F195" s="25" t="s">
        <v>128</v>
      </c>
      <c r="G195" s="26" t="s">
        <v>129</v>
      </c>
      <c r="H195" s="27" t="s">
        <v>130</v>
      </c>
      <c r="I195" s="24" t="s">
        <v>106</v>
      </c>
      <c r="J195" s="24" t="s">
        <v>121</v>
      </c>
      <c r="K195" s="28" t="s">
        <v>227</v>
      </c>
      <c r="L195" s="29">
        <v>0</v>
      </c>
      <c r="M195" s="29">
        <v>0.05</v>
      </c>
      <c r="N195" s="29">
        <v>0.02</v>
      </c>
      <c r="O195" s="27" t="s">
        <v>262</v>
      </c>
      <c r="P195" s="30" t="s">
        <v>697</v>
      </c>
      <c r="Q195" s="31">
        <v>999775.5</v>
      </c>
      <c r="R195" s="31">
        <v>999.78</v>
      </c>
      <c r="S195" s="32" t="s">
        <v>139</v>
      </c>
      <c r="T195" s="32">
        <v>-2.9999999999999997E-4</v>
      </c>
      <c r="U195" s="32">
        <v>-2.5999999999999998E-4</v>
      </c>
      <c r="V195" s="32">
        <v>5.1999999999999995E-4</v>
      </c>
      <c r="W195" s="32">
        <v>-2.2000000000000001E-4</v>
      </c>
      <c r="X195" s="32" t="s">
        <v>139</v>
      </c>
      <c r="Y195" s="32" t="s">
        <v>139</v>
      </c>
      <c r="Z195" s="32" t="s">
        <v>139</v>
      </c>
      <c r="AA195" s="32" t="s">
        <v>139</v>
      </c>
      <c r="AB195" s="32" t="s">
        <v>139</v>
      </c>
    </row>
    <row r="196" spans="1:28" ht="15.6" customHeight="1" x14ac:dyDescent="0.25">
      <c r="A196" s="24" t="s">
        <v>698</v>
      </c>
      <c r="B196" s="50">
        <v>3975</v>
      </c>
      <c r="C196" s="25" t="s">
        <v>699</v>
      </c>
      <c r="D196" s="25" t="s">
        <v>570</v>
      </c>
      <c r="E196" s="25" t="s">
        <v>194</v>
      </c>
      <c r="F196" s="25" t="s">
        <v>138</v>
      </c>
      <c r="G196" s="26" t="s">
        <v>139</v>
      </c>
      <c r="H196" s="27" t="s">
        <v>195</v>
      </c>
      <c r="I196" s="24" t="s">
        <v>106</v>
      </c>
      <c r="J196" s="24" t="s">
        <v>107</v>
      </c>
      <c r="K196" s="28" t="s">
        <v>227</v>
      </c>
      <c r="L196" s="29">
        <v>0.03</v>
      </c>
      <c r="M196" s="29">
        <v>0.03</v>
      </c>
      <c r="N196" s="29">
        <v>0.02</v>
      </c>
      <c r="O196" s="27" t="s">
        <v>161</v>
      </c>
      <c r="P196" s="30" t="s">
        <v>570</v>
      </c>
      <c r="Q196" s="31">
        <v>509350947.68000001</v>
      </c>
      <c r="R196" s="31">
        <v>948.96</v>
      </c>
      <c r="S196" s="32" t="s">
        <v>139</v>
      </c>
      <c r="T196" s="32">
        <v>6.0219999999999996E-3</v>
      </c>
      <c r="U196" s="32">
        <v>-7.1869999999999998E-3</v>
      </c>
      <c r="V196" s="32">
        <v>2.0799999999999998E-3</v>
      </c>
      <c r="W196" s="32">
        <v>-5.1159999999999999E-3</v>
      </c>
      <c r="X196" s="32" t="s">
        <v>139</v>
      </c>
      <c r="Y196" s="32" t="s">
        <v>139</v>
      </c>
      <c r="Z196" s="32" t="s">
        <v>139</v>
      </c>
      <c r="AA196" s="32" t="s">
        <v>139</v>
      </c>
      <c r="AB196" s="32" t="s">
        <v>139</v>
      </c>
    </row>
    <row r="197" spans="1:28" ht="15.6" customHeight="1" x14ac:dyDescent="0.25">
      <c r="A197" s="24" t="s">
        <v>700</v>
      </c>
      <c r="B197" s="50">
        <v>3977</v>
      </c>
      <c r="C197" s="25" t="s">
        <v>701</v>
      </c>
      <c r="D197" s="25" t="s">
        <v>164</v>
      </c>
      <c r="E197" s="25" t="s">
        <v>194</v>
      </c>
      <c r="F197" s="25" t="s">
        <v>113</v>
      </c>
      <c r="G197" s="26" t="s">
        <v>702</v>
      </c>
      <c r="H197" s="27" t="s">
        <v>120</v>
      </c>
      <c r="I197" s="24" t="s">
        <v>106</v>
      </c>
      <c r="J197" s="24" t="s">
        <v>121</v>
      </c>
      <c r="K197" s="28" t="s">
        <v>227</v>
      </c>
      <c r="L197" s="29">
        <v>0</v>
      </c>
      <c r="M197" s="29">
        <v>0</v>
      </c>
      <c r="N197" s="29">
        <v>0.02</v>
      </c>
      <c r="O197" s="27" t="s">
        <v>166</v>
      </c>
      <c r="P197" s="30" t="s">
        <v>164</v>
      </c>
      <c r="Q197" s="31">
        <v>1003013.77</v>
      </c>
      <c r="R197" s="31">
        <v>10030.14</v>
      </c>
      <c r="S197" s="32" t="s">
        <v>139</v>
      </c>
      <c r="T197" s="32">
        <v>-1.2899999999999999E-4</v>
      </c>
      <c r="U197" s="32">
        <v>1.45E-4</v>
      </c>
      <c r="V197" s="32">
        <v>2.1519999999999998E-3</v>
      </c>
      <c r="W197" s="32">
        <v>2.4260000000000002E-3</v>
      </c>
      <c r="X197" s="32" t="s">
        <v>139</v>
      </c>
      <c r="Y197" s="32" t="s">
        <v>139</v>
      </c>
      <c r="Z197" s="32" t="s">
        <v>139</v>
      </c>
      <c r="AA197" s="32" t="s">
        <v>139</v>
      </c>
      <c r="AB197" s="32" t="s">
        <v>139</v>
      </c>
    </row>
    <row r="198" spans="1:28" ht="15.6" customHeight="1" x14ac:dyDescent="0.25">
      <c r="A198" s="24" t="s">
        <v>703</v>
      </c>
      <c r="B198" s="50">
        <v>3978</v>
      </c>
      <c r="C198" s="25" t="s">
        <v>704</v>
      </c>
      <c r="D198" s="25" t="s">
        <v>316</v>
      </c>
      <c r="E198" s="25" t="s">
        <v>194</v>
      </c>
      <c r="F198" s="25" t="s">
        <v>103</v>
      </c>
      <c r="G198" s="26" t="s">
        <v>392</v>
      </c>
      <c r="H198" s="27" t="s">
        <v>705</v>
      </c>
      <c r="I198" s="24" t="s">
        <v>106</v>
      </c>
      <c r="J198" s="24" t="s">
        <v>107</v>
      </c>
      <c r="K198" s="28" t="s">
        <v>108</v>
      </c>
      <c r="L198" s="29">
        <v>0.03</v>
      </c>
      <c r="M198" s="29">
        <v>0.03</v>
      </c>
      <c r="N198" s="29">
        <v>0.02</v>
      </c>
      <c r="O198" s="27" t="s">
        <v>166</v>
      </c>
      <c r="P198" s="30" t="s">
        <v>316</v>
      </c>
      <c r="Q198" s="31">
        <v>21110679.100000001</v>
      </c>
      <c r="R198" s="31">
        <v>1003.93</v>
      </c>
      <c r="S198" s="32" t="s">
        <v>139</v>
      </c>
      <c r="T198" s="32">
        <v>3.59E-4</v>
      </c>
      <c r="U198" s="32">
        <v>7.6800000000000002E-4</v>
      </c>
      <c r="V198" s="32">
        <v>1.856E-3</v>
      </c>
      <c r="W198" s="32">
        <v>4.5329999999999997E-3</v>
      </c>
      <c r="X198" s="32" t="s">
        <v>139</v>
      </c>
      <c r="Y198" s="32" t="s">
        <v>139</v>
      </c>
      <c r="Z198" s="32" t="s">
        <v>139</v>
      </c>
      <c r="AA198" s="32" t="s">
        <v>139</v>
      </c>
      <c r="AB198" s="32" t="s">
        <v>139</v>
      </c>
    </row>
    <row r="199" spans="1:28" ht="15.6" customHeight="1" x14ac:dyDescent="0.25">
      <c r="A199" s="24" t="s">
        <v>706</v>
      </c>
      <c r="B199" s="50">
        <v>3980</v>
      </c>
      <c r="C199" s="25" t="s">
        <v>707</v>
      </c>
      <c r="D199" s="25" t="s">
        <v>137</v>
      </c>
      <c r="E199" s="25" t="s">
        <v>194</v>
      </c>
      <c r="F199" s="25" t="s">
        <v>113</v>
      </c>
      <c r="G199" s="26" t="s">
        <v>638</v>
      </c>
      <c r="H199" s="27" t="s">
        <v>115</v>
      </c>
      <c r="I199" s="24" t="s">
        <v>106</v>
      </c>
      <c r="J199" s="24" t="s">
        <v>107</v>
      </c>
      <c r="K199" s="28" t="s">
        <v>108</v>
      </c>
      <c r="L199" s="29">
        <v>0.03</v>
      </c>
      <c r="M199" s="29">
        <v>1.4999999999999999E-2</v>
      </c>
      <c r="N199" s="29">
        <v>0.02</v>
      </c>
      <c r="O199" s="27" t="s">
        <v>141</v>
      </c>
      <c r="P199" s="30" t="s">
        <v>137</v>
      </c>
      <c r="Q199" s="31">
        <v>1335567.2662549999</v>
      </c>
      <c r="R199" s="31">
        <v>128.41999999999999</v>
      </c>
      <c r="S199" s="32">
        <v>3.4327999999999997E-2</v>
      </c>
      <c r="T199" s="32">
        <v>7.7999999999999999E-5</v>
      </c>
      <c r="U199" s="32">
        <v>-1.56E-4</v>
      </c>
      <c r="V199" s="32">
        <v>9.75E-3</v>
      </c>
      <c r="W199" s="32">
        <v>-6.5750000000000001E-3</v>
      </c>
      <c r="X199" s="32" t="s">
        <v>139</v>
      </c>
      <c r="Y199" s="32">
        <v>3.4327999999999997E-2</v>
      </c>
      <c r="Z199" s="32" t="s">
        <v>139</v>
      </c>
      <c r="AA199" s="32">
        <v>0.12845699999999999</v>
      </c>
      <c r="AB199" s="32" t="s">
        <v>139</v>
      </c>
    </row>
    <row r="200" spans="1:28" ht="15.6" customHeight="1" x14ac:dyDescent="0.25">
      <c r="A200" s="24" t="s">
        <v>708</v>
      </c>
      <c r="B200" s="50">
        <v>3982</v>
      </c>
      <c r="C200" s="25" t="s">
        <v>709</v>
      </c>
      <c r="D200" s="25" t="s">
        <v>101</v>
      </c>
      <c r="E200" s="25" t="s">
        <v>194</v>
      </c>
      <c r="F200" s="25" t="s">
        <v>155</v>
      </c>
      <c r="G200" s="26" t="s">
        <v>139</v>
      </c>
      <c r="H200" s="27" t="s">
        <v>588</v>
      </c>
      <c r="I200" s="24" t="s">
        <v>106</v>
      </c>
      <c r="J200" s="24" t="s">
        <v>121</v>
      </c>
      <c r="K200" s="28" t="s">
        <v>227</v>
      </c>
      <c r="L200" s="29">
        <v>0</v>
      </c>
      <c r="M200" s="29">
        <v>0</v>
      </c>
      <c r="N200" s="29">
        <v>0.02</v>
      </c>
      <c r="O200" s="27" t="s">
        <v>262</v>
      </c>
      <c r="P200" s="30" t="s">
        <v>101</v>
      </c>
      <c r="Q200" s="31">
        <v>655699.32999999996</v>
      </c>
      <c r="R200" s="31">
        <v>163924.82999999999</v>
      </c>
      <c r="S200" s="32">
        <v>3.2473000000000002E-2</v>
      </c>
      <c r="T200" s="32">
        <v>5.2579999999999997E-3</v>
      </c>
      <c r="U200" s="32">
        <v>-9.1690000000000001E-3</v>
      </c>
      <c r="V200" s="32">
        <v>5.2420000000000001E-3</v>
      </c>
      <c r="W200" s="32" t="s">
        <v>139</v>
      </c>
      <c r="X200" s="32" t="s">
        <v>139</v>
      </c>
      <c r="Y200" s="32">
        <v>3.2473000000000002E-2</v>
      </c>
      <c r="Z200" s="32" t="s">
        <v>139</v>
      </c>
      <c r="AA200" s="32">
        <v>0.133824</v>
      </c>
      <c r="AB200" s="32" t="s">
        <v>139</v>
      </c>
    </row>
    <row r="201" spans="1:28" ht="15.6" customHeight="1" x14ac:dyDescent="0.25">
      <c r="A201" s="24" t="s">
        <v>710</v>
      </c>
      <c r="B201" s="50">
        <v>3983</v>
      </c>
      <c r="C201" s="25" t="s">
        <v>711</v>
      </c>
      <c r="D201" s="25" t="s">
        <v>712</v>
      </c>
      <c r="E201" s="25" t="s">
        <v>194</v>
      </c>
      <c r="F201" s="25" t="s">
        <v>113</v>
      </c>
      <c r="G201" s="26" t="s">
        <v>670</v>
      </c>
      <c r="H201" s="27" t="s">
        <v>115</v>
      </c>
      <c r="I201" s="24" t="s">
        <v>106</v>
      </c>
      <c r="J201" s="24" t="s">
        <v>107</v>
      </c>
      <c r="K201" s="28" t="s">
        <v>108</v>
      </c>
      <c r="L201" s="29">
        <v>0.03</v>
      </c>
      <c r="M201" s="29">
        <v>1.4999999999999999E-2</v>
      </c>
      <c r="N201" s="29">
        <v>0.02</v>
      </c>
      <c r="O201" s="27" t="s">
        <v>131</v>
      </c>
      <c r="P201" s="30" t="s">
        <v>712</v>
      </c>
      <c r="Q201" s="31">
        <v>309217818.07999998</v>
      </c>
      <c r="R201" s="31">
        <v>1006.19</v>
      </c>
      <c r="S201" s="32" t="s">
        <v>139</v>
      </c>
      <c r="T201" s="32">
        <v>0</v>
      </c>
      <c r="U201" s="32">
        <v>1.8900000000000001E-4</v>
      </c>
      <c r="V201" s="32">
        <v>7.5700000000000003E-3</v>
      </c>
      <c r="W201" s="32" t="s">
        <v>139</v>
      </c>
      <c r="X201" s="32" t="s">
        <v>139</v>
      </c>
      <c r="Y201" s="32" t="s">
        <v>139</v>
      </c>
      <c r="Z201" s="32" t="s">
        <v>139</v>
      </c>
      <c r="AA201" s="32" t="s">
        <v>139</v>
      </c>
      <c r="AB201" s="32" t="s">
        <v>139</v>
      </c>
    </row>
    <row r="202" spans="1:28" ht="15.6" customHeight="1" x14ac:dyDescent="0.25">
      <c r="A202" s="24" t="s">
        <v>713</v>
      </c>
      <c r="B202" s="50">
        <v>3984</v>
      </c>
      <c r="C202" s="25" t="s">
        <v>10</v>
      </c>
      <c r="D202" s="25" t="s">
        <v>712</v>
      </c>
      <c r="E202" s="25" t="s">
        <v>194</v>
      </c>
      <c r="F202" s="25" t="s">
        <v>155</v>
      </c>
      <c r="G202" s="26" t="s">
        <v>139</v>
      </c>
      <c r="H202" s="27" t="s">
        <v>156</v>
      </c>
      <c r="I202" s="24" t="s">
        <v>106</v>
      </c>
      <c r="J202" s="24" t="s">
        <v>107</v>
      </c>
      <c r="K202" s="28" t="s">
        <v>108</v>
      </c>
      <c r="L202" s="29">
        <v>0.03</v>
      </c>
      <c r="M202" s="29">
        <v>1.4999999999999999E-2</v>
      </c>
      <c r="N202" s="29">
        <v>0.02</v>
      </c>
      <c r="O202" s="27" t="s">
        <v>166</v>
      </c>
      <c r="P202" s="30" t="s">
        <v>712</v>
      </c>
      <c r="Q202" s="31">
        <v>500661894.35000002</v>
      </c>
      <c r="R202" s="31">
        <v>951.74</v>
      </c>
      <c r="S202" s="32" t="s">
        <v>139</v>
      </c>
      <c r="T202" s="32">
        <v>0</v>
      </c>
      <c r="U202" s="32">
        <v>-7.156E-3</v>
      </c>
      <c r="V202" s="32">
        <v>1.7545000000000002E-2</v>
      </c>
      <c r="W202" s="32" t="s">
        <v>139</v>
      </c>
      <c r="X202" s="32" t="s">
        <v>139</v>
      </c>
      <c r="Y202" s="32" t="s">
        <v>139</v>
      </c>
      <c r="Z202" s="32" t="s">
        <v>139</v>
      </c>
      <c r="AA202" s="32" t="s">
        <v>139</v>
      </c>
      <c r="AB202" s="32" t="s">
        <v>139</v>
      </c>
    </row>
    <row r="203" spans="1:28" ht="15.6" customHeight="1" x14ac:dyDescent="0.25">
      <c r="A203" s="24" t="s">
        <v>714</v>
      </c>
      <c r="B203" s="50">
        <v>3985</v>
      </c>
      <c r="C203" s="25" t="s">
        <v>715</v>
      </c>
      <c r="D203" s="25" t="s">
        <v>712</v>
      </c>
      <c r="E203" s="25" t="s">
        <v>194</v>
      </c>
      <c r="F203" s="25" t="s">
        <v>128</v>
      </c>
      <c r="G203" s="26" t="s">
        <v>690</v>
      </c>
      <c r="H203" s="27" t="s">
        <v>130</v>
      </c>
      <c r="I203" s="24" t="s">
        <v>106</v>
      </c>
      <c r="J203" s="24" t="s">
        <v>107</v>
      </c>
      <c r="K203" s="28" t="s">
        <v>108</v>
      </c>
      <c r="L203" s="29">
        <v>0.03</v>
      </c>
      <c r="M203" s="29">
        <v>1.4999999999999999E-2</v>
      </c>
      <c r="N203" s="29">
        <v>0.02</v>
      </c>
      <c r="O203" s="27" t="s">
        <v>131</v>
      </c>
      <c r="P203" s="30" t="s">
        <v>712</v>
      </c>
      <c r="Q203" s="31">
        <v>726619984.44000006</v>
      </c>
      <c r="R203" s="31">
        <v>1002.74</v>
      </c>
      <c r="S203" s="32" t="s">
        <v>139</v>
      </c>
      <c r="T203" s="32">
        <v>0</v>
      </c>
      <c r="U203" s="32">
        <v>9.0000000000000006E-5</v>
      </c>
      <c r="V203" s="32">
        <v>1.9989999999999999E-3</v>
      </c>
      <c r="W203" s="32" t="s">
        <v>139</v>
      </c>
      <c r="X203" s="32" t="s">
        <v>139</v>
      </c>
      <c r="Y203" s="32" t="s">
        <v>139</v>
      </c>
      <c r="Z203" s="32" t="s">
        <v>139</v>
      </c>
      <c r="AA203" s="32" t="s">
        <v>139</v>
      </c>
      <c r="AB203" s="32" t="s">
        <v>139</v>
      </c>
    </row>
    <row r="204" spans="1:28" ht="15.6" customHeight="1" x14ac:dyDescent="0.25">
      <c r="A204" s="24" t="s">
        <v>716</v>
      </c>
      <c r="B204" s="50">
        <v>3986</v>
      </c>
      <c r="C204" s="25" t="s">
        <v>717</v>
      </c>
      <c r="D204" s="25" t="s">
        <v>718</v>
      </c>
      <c r="E204" s="25" t="s">
        <v>194</v>
      </c>
      <c r="F204" s="25" t="s">
        <v>128</v>
      </c>
      <c r="G204" s="26" t="s">
        <v>719</v>
      </c>
      <c r="H204" s="27" t="s">
        <v>130</v>
      </c>
      <c r="I204" s="24" t="s">
        <v>106</v>
      </c>
      <c r="J204" s="24" t="s">
        <v>107</v>
      </c>
      <c r="K204" s="28" t="s">
        <v>108</v>
      </c>
      <c r="L204" s="29">
        <v>1.4999999999999999E-2</v>
      </c>
      <c r="M204" s="29">
        <v>0.02</v>
      </c>
      <c r="N204" s="29">
        <v>0.03</v>
      </c>
      <c r="O204" s="27" t="s">
        <v>659</v>
      </c>
      <c r="P204" s="30" t="s">
        <v>718</v>
      </c>
      <c r="Q204" s="31">
        <v>41091332.689999998</v>
      </c>
      <c r="R204" s="31">
        <v>1002.12</v>
      </c>
      <c r="S204" s="32" t="s">
        <v>139</v>
      </c>
      <c r="T204" s="32">
        <v>5.0000000000000002E-5</v>
      </c>
      <c r="U204" s="32">
        <v>2.0300000000000001E-3</v>
      </c>
      <c r="V204" s="32" t="s">
        <v>139</v>
      </c>
      <c r="W204" s="32" t="s">
        <v>139</v>
      </c>
      <c r="X204" s="32" t="s">
        <v>139</v>
      </c>
      <c r="Y204" s="32" t="s">
        <v>139</v>
      </c>
      <c r="Z204" s="32" t="s">
        <v>139</v>
      </c>
      <c r="AA204" s="32" t="s">
        <v>139</v>
      </c>
      <c r="AB204" s="32" t="s">
        <v>139</v>
      </c>
    </row>
    <row r="205" spans="1:28" ht="15.6" customHeight="1" x14ac:dyDescent="0.25">
      <c r="A205" s="24" t="s">
        <v>749</v>
      </c>
      <c r="B205" s="50">
        <v>4001</v>
      </c>
      <c r="C205" s="25" t="s">
        <v>750</v>
      </c>
      <c r="D205" s="25" t="s">
        <v>159</v>
      </c>
      <c r="E205" s="25" t="s">
        <v>194</v>
      </c>
      <c r="F205" s="25" t="s">
        <v>113</v>
      </c>
      <c r="G205" s="26" t="s">
        <v>465</v>
      </c>
      <c r="H205" s="27" t="s">
        <v>120</v>
      </c>
      <c r="I205" s="24" t="s">
        <v>106</v>
      </c>
      <c r="J205" s="24" t="s">
        <v>107</v>
      </c>
      <c r="K205" s="28" t="s">
        <v>108</v>
      </c>
      <c r="L205" s="29">
        <v>0</v>
      </c>
      <c r="M205" s="29">
        <v>0</v>
      </c>
      <c r="N205" s="29">
        <v>0.02</v>
      </c>
      <c r="O205" s="27" t="s">
        <v>161</v>
      </c>
      <c r="P205" s="30" t="s">
        <v>159</v>
      </c>
      <c r="Q205" s="31">
        <v>6003875553.9799995</v>
      </c>
      <c r="R205" s="31">
        <v>2853.21</v>
      </c>
      <c r="S205" s="32">
        <v>5.8099999999999999E-2</v>
      </c>
      <c r="T205" s="32">
        <v>1.8E-5</v>
      </c>
      <c r="U205" s="32">
        <v>-1.6799999999999999E-4</v>
      </c>
      <c r="V205" s="32">
        <v>7.4609999999999998E-3</v>
      </c>
      <c r="W205" s="32">
        <v>8.4500000000000005E-4</v>
      </c>
      <c r="X205" s="32">
        <v>1.1235E-2</v>
      </c>
      <c r="Y205" s="32">
        <v>5.8099999999999999E-2</v>
      </c>
      <c r="Z205" s="32">
        <v>0.139179</v>
      </c>
      <c r="AA205" s="32">
        <v>0.15087800000000001</v>
      </c>
      <c r="AB205" s="32">
        <v>0.16089400000000001</v>
      </c>
    </row>
    <row r="206" spans="1:28" ht="15.6" customHeight="1" x14ac:dyDescent="0.25">
      <c r="A206" s="24" t="s">
        <v>751</v>
      </c>
      <c r="B206" s="50">
        <v>4002</v>
      </c>
      <c r="C206" s="25" t="s">
        <v>752</v>
      </c>
      <c r="D206" s="25" t="s">
        <v>159</v>
      </c>
      <c r="E206" s="25" t="s">
        <v>194</v>
      </c>
      <c r="F206" s="25" t="s">
        <v>128</v>
      </c>
      <c r="G206" s="26" t="s">
        <v>289</v>
      </c>
      <c r="H206" s="27" t="s">
        <v>258</v>
      </c>
      <c r="I206" s="24" t="s">
        <v>106</v>
      </c>
      <c r="J206" s="24" t="s">
        <v>107</v>
      </c>
      <c r="K206" s="28" t="s">
        <v>108</v>
      </c>
      <c r="L206" s="29">
        <v>0</v>
      </c>
      <c r="M206" s="29">
        <v>0</v>
      </c>
      <c r="N206" s="29">
        <v>0.02</v>
      </c>
      <c r="O206" s="27" t="s">
        <v>161</v>
      </c>
      <c r="P206" s="30" t="s">
        <v>159</v>
      </c>
      <c r="Q206" s="31">
        <v>5954194623.1199999</v>
      </c>
      <c r="R206" s="31">
        <v>2121.5</v>
      </c>
      <c r="S206" s="32">
        <v>3.1165999999999999E-2</v>
      </c>
      <c r="T206" s="32">
        <v>1.5100000000000001E-4</v>
      </c>
      <c r="U206" s="32">
        <v>5.9900000000000003E-4</v>
      </c>
      <c r="V206" s="32">
        <v>2.9260000000000002E-3</v>
      </c>
      <c r="W206" s="32">
        <v>6.0749999999999997E-3</v>
      </c>
      <c r="X206" s="32">
        <v>1.277E-2</v>
      </c>
      <c r="Y206" s="32">
        <v>3.1165999999999999E-2</v>
      </c>
      <c r="Z206" s="32">
        <v>7.2494000000000003E-2</v>
      </c>
      <c r="AA206" s="32">
        <v>0.11372400000000001</v>
      </c>
      <c r="AB206" s="32">
        <v>0.152757</v>
      </c>
    </row>
    <row r="207" spans="1:28" ht="15.6" customHeight="1" x14ac:dyDescent="0.25">
      <c r="A207" s="24" t="s">
        <v>753</v>
      </c>
      <c r="B207" s="50">
        <v>4004</v>
      </c>
      <c r="C207" s="25" t="s">
        <v>754</v>
      </c>
      <c r="D207" s="25" t="s">
        <v>159</v>
      </c>
      <c r="E207" s="25" t="s">
        <v>194</v>
      </c>
      <c r="F207" s="25" t="s">
        <v>155</v>
      </c>
      <c r="G207" s="26" t="s">
        <v>139</v>
      </c>
      <c r="H207" s="27" t="s">
        <v>156</v>
      </c>
      <c r="I207" s="24" t="s">
        <v>106</v>
      </c>
      <c r="J207" s="24" t="s">
        <v>107</v>
      </c>
      <c r="K207" s="28" t="s">
        <v>108</v>
      </c>
      <c r="L207" s="29">
        <v>0.01</v>
      </c>
      <c r="M207" s="29">
        <v>5.0000000000000001E-3</v>
      </c>
      <c r="N207" s="29">
        <v>0.02</v>
      </c>
      <c r="O207" s="27" t="s">
        <v>161</v>
      </c>
      <c r="P207" s="30" t="s">
        <v>159</v>
      </c>
      <c r="Q207" s="31">
        <v>3024965.15</v>
      </c>
      <c r="R207" s="31">
        <v>5401.97</v>
      </c>
      <c r="S207" s="32">
        <v>0.288493</v>
      </c>
      <c r="T207" s="32">
        <v>9.5329999999999998E-3</v>
      </c>
      <c r="U207" s="32">
        <v>-7.4539999999999997E-3</v>
      </c>
      <c r="V207" s="32">
        <v>1.0723E-2</v>
      </c>
      <c r="W207" s="32">
        <v>-5.1859999999999996E-3</v>
      </c>
      <c r="X207" s="32">
        <v>1.8749999999999999E-3</v>
      </c>
      <c r="Y207" s="32">
        <v>0.288493</v>
      </c>
      <c r="Z207" s="32">
        <v>0.58449499999999999</v>
      </c>
      <c r="AA207" s="32">
        <v>0.77922899999999995</v>
      </c>
      <c r="AB207" s="32">
        <v>0.75132200000000005</v>
      </c>
    </row>
    <row r="208" spans="1:28" ht="15.6" customHeight="1" x14ac:dyDescent="0.25">
      <c r="A208" s="24" t="s">
        <v>755</v>
      </c>
      <c r="B208" s="50">
        <v>4006</v>
      </c>
      <c r="C208" s="25" t="s">
        <v>756</v>
      </c>
      <c r="D208" s="25" t="s">
        <v>159</v>
      </c>
      <c r="E208" s="25" t="s">
        <v>194</v>
      </c>
      <c r="F208" s="25" t="s">
        <v>138</v>
      </c>
      <c r="G208" s="26" t="s">
        <v>139</v>
      </c>
      <c r="H208" s="27" t="s">
        <v>757</v>
      </c>
      <c r="I208" s="24" t="s">
        <v>106</v>
      </c>
      <c r="J208" s="24" t="s">
        <v>107</v>
      </c>
      <c r="K208" s="28" t="s">
        <v>227</v>
      </c>
      <c r="L208" s="29">
        <v>3.0000000000000001E-3</v>
      </c>
      <c r="M208" s="29">
        <v>3.0000000000000001E-3</v>
      </c>
      <c r="N208" s="29">
        <v>0.02</v>
      </c>
      <c r="O208" s="27" t="s">
        <v>161</v>
      </c>
      <c r="P208" s="30" t="s">
        <v>159</v>
      </c>
      <c r="Q208" s="31">
        <v>1089980579.5999999</v>
      </c>
      <c r="R208" s="31">
        <v>603.17999999999995</v>
      </c>
      <c r="S208" s="32">
        <v>0.205155</v>
      </c>
      <c r="T208" s="32">
        <v>4.496E-3</v>
      </c>
      <c r="U208" s="32">
        <v>-4.4889999999999999E-3</v>
      </c>
      <c r="V208" s="32">
        <v>9.0840000000000001E-3</v>
      </c>
      <c r="W208" s="32">
        <v>-3.5850000000000001E-3</v>
      </c>
      <c r="X208" s="32">
        <v>6.6930000000000002E-3</v>
      </c>
      <c r="Y208" s="32">
        <v>0.205155</v>
      </c>
      <c r="Z208" s="32">
        <v>0.42333300000000001</v>
      </c>
      <c r="AA208" s="32">
        <v>0.45341100000000001</v>
      </c>
      <c r="AB208" s="32">
        <v>0.44810699999999998</v>
      </c>
    </row>
    <row r="209" spans="1:28" ht="15.6" customHeight="1" x14ac:dyDescent="0.25">
      <c r="A209" s="24" t="s">
        <v>758</v>
      </c>
      <c r="B209" s="50">
        <v>4010</v>
      </c>
      <c r="C209" s="25" t="s">
        <v>759</v>
      </c>
      <c r="D209" s="25" t="s">
        <v>159</v>
      </c>
      <c r="E209" s="25" t="s">
        <v>194</v>
      </c>
      <c r="F209" s="25" t="s">
        <v>128</v>
      </c>
      <c r="G209" s="26" t="s">
        <v>289</v>
      </c>
      <c r="H209" s="27" t="s">
        <v>373</v>
      </c>
      <c r="I209" s="24" t="s">
        <v>106</v>
      </c>
      <c r="J209" s="24" t="s">
        <v>107</v>
      </c>
      <c r="K209" s="28" t="s">
        <v>108</v>
      </c>
      <c r="L209" s="29">
        <v>0</v>
      </c>
      <c r="M209" s="29">
        <v>0</v>
      </c>
      <c r="N209" s="29">
        <v>2.5000000000000001E-3</v>
      </c>
      <c r="O209" s="27" t="s">
        <v>161</v>
      </c>
      <c r="P209" s="30" t="s">
        <v>159</v>
      </c>
      <c r="Q209" s="31">
        <v>5494709580.0100002</v>
      </c>
      <c r="R209" s="31">
        <v>3213.82</v>
      </c>
      <c r="S209" s="32">
        <v>2.9744E-2</v>
      </c>
      <c r="T209" s="32">
        <v>1.7100000000000001E-4</v>
      </c>
      <c r="U209" s="32">
        <v>6.1600000000000001E-4</v>
      </c>
      <c r="V209" s="32">
        <v>2.7460000000000002E-3</v>
      </c>
      <c r="W209" s="32">
        <v>5.4559999999999999E-3</v>
      </c>
      <c r="X209" s="32">
        <v>1.1901999999999999E-2</v>
      </c>
      <c r="Y209" s="32">
        <v>2.9744E-2</v>
      </c>
      <c r="Z209" s="32">
        <v>6.9815000000000002E-2</v>
      </c>
      <c r="AA209" s="32">
        <v>0.107706</v>
      </c>
      <c r="AB209" s="32">
        <v>0.143098</v>
      </c>
    </row>
    <row r="210" spans="1:28" ht="15.6" customHeight="1" x14ac:dyDescent="0.25">
      <c r="A210" s="24" t="s">
        <v>760</v>
      </c>
      <c r="B210" s="50">
        <v>4012</v>
      </c>
      <c r="C210" s="25" t="s">
        <v>761</v>
      </c>
      <c r="D210" s="25" t="s">
        <v>159</v>
      </c>
      <c r="E210" s="25" t="s">
        <v>194</v>
      </c>
      <c r="F210" s="25" t="s">
        <v>103</v>
      </c>
      <c r="G210" s="26" t="s">
        <v>244</v>
      </c>
      <c r="H210" s="27" t="s">
        <v>130</v>
      </c>
      <c r="I210" s="24" t="s">
        <v>106</v>
      </c>
      <c r="J210" s="24" t="s">
        <v>107</v>
      </c>
      <c r="K210" s="28" t="s">
        <v>108</v>
      </c>
      <c r="L210" s="29">
        <v>0</v>
      </c>
      <c r="M210" s="29">
        <v>0</v>
      </c>
      <c r="N210" s="29">
        <v>2.5000000000000001E-3</v>
      </c>
      <c r="O210" s="27" t="s">
        <v>161</v>
      </c>
      <c r="P210" s="30" t="s">
        <v>159</v>
      </c>
      <c r="Q210" s="31">
        <v>197601754.06</v>
      </c>
      <c r="R210" s="31">
        <v>591195.43999999994</v>
      </c>
      <c r="S210" s="32">
        <v>2.2993E-2</v>
      </c>
      <c r="T210" s="32">
        <v>8.8999999999999995E-5</v>
      </c>
      <c r="U210" s="32">
        <v>4.8700000000000002E-4</v>
      </c>
      <c r="V210" s="32">
        <v>1.7979999999999999E-3</v>
      </c>
      <c r="W210" s="32">
        <v>5.2529999999999999E-3</v>
      </c>
      <c r="X210" s="32">
        <v>1.0621E-2</v>
      </c>
      <c r="Y210" s="32">
        <v>2.2993E-2</v>
      </c>
      <c r="Z210" s="32">
        <v>5.2394000000000003E-2</v>
      </c>
      <c r="AA210" s="32">
        <v>8.2264000000000004E-2</v>
      </c>
      <c r="AB210" s="32">
        <v>0.110013</v>
      </c>
    </row>
    <row r="211" spans="1:28" ht="15.6" customHeight="1" x14ac:dyDescent="0.25">
      <c r="A211" s="24" t="s">
        <v>762</v>
      </c>
      <c r="B211" s="50">
        <v>4014</v>
      </c>
      <c r="C211" s="25" t="s">
        <v>763</v>
      </c>
      <c r="D211" s="25" t="s">
        <v>159</v>
      </c>
      <c r="E211" s="25" t="s">
        <v>194</v>
      </c>
      <c r="F211" s="25" t="s">
        <v>103</v>
      </c>
      <c r="G211" s="26" t="s">
        <v>244</v>
      </c>
      <c r="H211" s="27" t="s">
        <v>130</v>
      </c>
      <c r="I211" s="24" t="s">
        <v>106</v>
      </c>
      <c r="J211" s="24" t="s">
        <v>107</v>
      </c>
      <c r="K211" s="28" t="s">
        <v>108</v>
      </c>
      <c r="L211" s="29">
        <v>0</v>
      </c>
      <c r="M211" s="29">
        <v>0</v>
      </c>
      <c r="N211" s="29">
        <v>3.0000000000000001E-3</v>
      </c>
      <c r="O211" s="27" t="s">
        <v>161</v>
      </c>
      <c r="P211" s="30" t="s">
        <v>159</v>
      </c>
      <c r="Q211" s="31">
        <v>3290447774.5</v>
      </c>
      <c r="R211" s="31">
        <v>209.81</v>
      </c>
      <c r="S211" s="32">
        <v>2.5264000000000002E-2</v>
      </c>
      <c r="T211" s="32">
        <v>3.3399999999999999E-4</v>
      </c>
      <c r="U211" s="32">
        <v>7.6300000000000001E-4</v>
      </c>
      <c r="V211" s="32">
        <v>2.3890000000000001E-3</v>
      </c>
      <c r="W211" s="32">
        <v>5.7039999999999999E-3</v>
      </c>
      <c r="X211" s="32">
        <v>1.1474E-2</v>
      </c>
      <c r="Y211" s="32">
        <v>2.5264000000000002E-2</v>
      </c>
      <c r="Z211" s="32">
        <v>5.8631000000000003E-2</v>
      </c>
      <c r="AA211" s="32">
        <v>9.1794000000000001E-2</v>
      </c>
      <c r="AB211" s="32">
        <v>0.122339</v>
      </c>
    </row>
    <row r="212" spans="1:28" ht="15.6" customHeight="1" x14ac:dyDescent="0.25">
      <c r="A212" s="24" t="s">
        <v>764</v>
      </c>
      <c r="B212" s="50">
        <v>4018</v>
      </c>
      <c r="C212" s="25" t="s">
        <v>765</v>
      </c>
      <c r="D212" s="25" t="s">
        <v>164</v>
      </c>
      <c r="E212" s="25" t="s">
        <v>102</v>
      </c>
      <c r="F212" s="25" t="s">
        <v>128</v>
      </c>
      <c r="G212" s="26" t="s">
        <v>129</v>
      </c>
      <c r="H212" s="27" t="s">
        <v>130</v>
      </c>
      <c r="I212" s="24" t="s">
        <v>106</v>
      </c>
      <c r="J212" s="24" t="s">
        <v>107</v>
      </c>
      <c r="K212" s="28" t="s">
        <v>108</v>
      </c>
      <c r="L212" s="29">
        <v>0.03</v>
      </c>
      <c r="M212" s="29">
        <v>1.4999999999999999E-2</v>
      </c>
      <c r="N212" s="29">
        <v>0.02</v>
      </c>
      <c r="O212" s="27" t="s">
        <v>166</v>
      </c>
      <c r="P212" s="30" t="s">
        <v>164</v>
      </c>
      <c r="Q212" s="31">
        <v>1768813233.6099999</v>
      </c>
      <c r="R212" s="31">
        <v>207.6</v>
      </c>
      <c r="S212" s="32">
        <v>2.8894E-2</v>
      </c>
      <c r="T212" s="32">
        <v>0</v>
      </c>
      <c r="U212" s="32">
        <v>3.86E-4</v>
      </c>
      <c r="V212" s="32">
        <v>2.366E-3</v>
      </c>
      <c r="W212" s="32">
        <v>4.986E-3</v>
      </c>
      <c r="X212" s="32">
        <v>1.1991999999999999E-2</v>
      </c>
      <c r="Y212" s="32">
        <v>2.8894E-2</v>
      </c>
      <c r="Z212" s="32">
        <v>6.4560999999999993E-2</v>
      </c>
      <c r="AA212" s="32">
        <v>9.7252000000000005E-2</v>
      </c>
      <c r="AB212" s="32">
        <v>0.123255</v>
      </c>
    </row>
    <row r="213" spans="1:28" ht="15.6" customHeight="1" x14ac:dyDescent="0.25">
      <c r="A213" s="24" t="s">
        <v>766</v>
      </c>
      <c r="B213" s="50">
        <v>4021</v>
      </c>
      <c r="C213" s="25" t="s">
        <v>767</v>
      </c>
      <c r="D213" s="25" t="s">
        <v>164</v>
      </c>
      <c r="E213" s="25" t="s">
        <v>194</v>
      </c>
      <c r="F213" s="25" t="s">
        <v>113</v>
      </c>
      <c r="G213" s="26" t="s">
        <v>493</v>
      </c>
      <c r="H213" s="27" t="s">
        <v>327</v>
      </c>
      <c r="I213" s="24" t="s">
        <v>106</v>
      </c>
      <c r="J213" s="24" t="s">
        <v>107</v>
      </c>
      <c r="K213" s="28" t="s">
        <v>108</v>
      </c>
      <c r="L213" s="29">
        <v>0.03</v>
      </c>
      <c r="M213" s="29">
        <v>0.01</v>
      </c>
      <c r="N213" s="29">
        <v>0.02</v>
      </c>
      <c r="O213" s="27" t="s">
        <v>166</v>
      </c>
      <c r="P213" s="30" t="s">
        <v>164</v>
      </c>
      <c r="Q213" s="31">
        <v>2709250189.2399998</v>
      </c>
      <c r="R213" s="31">
        <v>425.46</v>
      </c>
      <c r="S213" s="32">
        <v>5.0881999999999997E-2</v>
      </c>
      <c r="T213" s="32">
        <v>-1.18E-4</v>
      </c>
      <c r="U213" s="32">
        <v>-4.2299999999999998E-4</v>
      </c>
      <c r="V213" s="32">
        <v>5.6020000000000002E-3</v>
      </c>
      <c r="W213" s="32">
        <v>7.1000000000000005E-5</v>
      </c>
      <c r="X213" s="32">
        <v>1.2446E-2</v>
      </c>
      <c r="Y213" s="32">
        <v>5.0881999999999997E-2</v>
      </c>
      <c r="Z213" s="32" t="s">
        <v>139</v>
      </c>
      <c r="AA213" s="32">
        <v>0.16309499999999999</v>
      </c>
      <c r="AB213" s="32" t="s">
        <v>139</v>
      </c>
    </row>
    <row r="214" spans="1:28" ht="15.6" customHeight="1" x14ac:dyDescent="0.25">
      <c r="A214" s="24" t="s">
        <v>768</v>
      </c>
      <c r="B214" s="50">
        <v>4024</v>
      </c>
      <c r="C214" s="25" t="s">
        <v>769</v>
      </c>
      <c r="D214" s="25" t="s">
        <v>164</v>
      </c>
      <c r="E214" s="25" t="s">
        <v>194</v>
      </c>
      <c r="F214" s="25" t="s">
        <v>128</v>
      </c>
      <c r="G214" s="26" t="s">
        <v>250</v>
      </c>
      <c r="H214" s="27" t="s">
        <v>130</v>
      </c>
      <c r="I214" s="24" t="s">
        <v>106</v>
      </c>
      <c r="J214" s="24" t="s">
        <v>107</v>
      </c>
      <c r="K214" s="28" t="s">
        <v>108</v>
      </c>
      <c r="L214" s="29">
        <v>0.01</v>
      </c>
      <c r="M214" s="29">
        <v>0</v>
      </c>
      <c r="N214" s="29">
        <v>0.02</v>
      </c>
      <c r="O214" s="27" t="s">
        <v>166</v>
      </c>
      <c r="P214" s="30" t="s">
        <v>164</v>
      </c>
      <c r="Q214" s="31">
        <v>4109907839.3600001</v>
      </c>
      <c r="R214" s="31">
        <v>309.77999999999997</v>
      </c>
      <c r="S214" s="32">
        <v>2.8452000000000002E-2</v>
      </c>
      <c r="T214" s="32">
        <v>9.7E-5</v>
      </c>
      <c r="U214" s="32">
        <v>3.7590000000000002E-3</v>
      </c>
      <c r="V214" s="32">
        <v>5.3220000000000003E-3</v>
      </c>
      <c r="W214" s="32">
        <v>8.1359999999999991E-3</v>
      </c>
      <c r="X214" s="32">
        <v>1.3579000000000001E-2</v>
      </c>
      <c r="Y214" s="32">
        <v>2.8452000000000002E-2</v>
      </c>
      <c r="Z214" s="32">
        <v>6.3256999999999994E-2</v>
      </c>
      <c r="AA214" s="32">
        <v>0.102381</v>
      </c>
      <c r="AB214" s="32" t="s">
        <v>139</v>
      </c>
    </row>
    <row r="215" spans="1:28" ht="15.6" customHeight="1" x14ac:dyDescent="0.25">
      <c r="A215" s="24" t="s">
        <v>770</v>
      </c>
      <c r="B215" s="50">
        <v>4027</v>
      </c>
      <c r="C215" s="25" t="s">
        <v>771</v>
      </c>
      <c r="D215" s="25" t="s">
        <v>164</v>
      </c>
      <c r="E215" s="25" t="s">
        <v>194</v>
      </c>
      <c r="F215" s="25" t="s">
        <v>103</v>
      </c>
      <c r="G215" s="26" t="s">
        <v>772</v>
      </c>
      <c r="H215" s="27" t="s">
        <v>169</v>
      </c>
      <c r="I215" s="24" t="s">
        <v>106</v>
      </c>
      <c r="J215" s="24" t="s">
        <v>107</v>
      </c>
      <c r="K215" s="28" t="s">
        <v>108</v>
      </c>
      <c r="L215" s="29">
        <v>0</v>
      </c>
      <c r="M215" s="29">
        <v>0</v>
      </c>
      <c r="N215" s="29">
        <v>6.5000000000000006E-3</v>
      </c>
      <c r="O215" s="27" t="s">
        <v>166</v>
      </c>
      <c r="P215" s="30" t="s">
        <v>164</v>
      </c>
      <c r="Q215" s="31">
        <v>19205787712.540001</v>
      </c>
      <c r="R215" s="31">
        <v>210435.62</v>
      </c>
      <c r="S215" s="32">
        <v>2.5724E-2</v>
      </c>
      <c r="T215" s="32">
        <v>2.7700000000000001E-4</v>
      </c>
      <c r="U215" s="32">
        <v>6.4099999999999997E-4</v>
      </c>
      <c r="V215" s="32">
        <v>1.9759999999999999E-3</v>
      </c>
      <c r="W215" s="32">
        <v>5.6309999999999997E-3</v>
      </c>
      <c r="X215" s="32">
        <v>1.1665E-2</v>
      </c>
      <c r="Y215" s="32">
        <v>2.5724E-2</v>
      </c>
      <c r="Z215" s="32">
        <v>5.9270999999999997E-2</v>
      </c>
      <c r="AA215" s="32">
        <v>9.3719999999999998E-2</v>
      </c>
      <c r="AB215" s="32">
        <v>0.12693699999999999</v>
      </c>
    </row>
    <row r="216" spans="1:28" ht="15.6" customHeight="1" x14ac:dyDescent="0.25">
      <c r="A216" s="24" t="s">
        <v>773</v>
      </c>
      <c r="B216" s="50">
        <v>4031</v>
      </c>
      <c r="C216" s="25" t="s">
        <v>774</v>
      </c>
      <c r="D216" s="25" t="s">
        <v>164</v>
      </c>
      <c r="E216" s="25" t="s">
        <v>194</v>
      </c>
      <c r="F216" s="25" t="s">
        <v>128</v>
      </c>
      <c r="G216" s="26" t="s">
        <v>129</v>
      </c>
      <c r="H216" s="27" t="s">
        <v>130</v>
      </c>
      <c r="I216" s="24" t="s">
        <v>106</v>
      </c>
      <c r="J216" s="24" t="s">
        <v>107</v>
      </c>
      <c r="K216" s="28" t="s">
        <v>108</v>
      </c>
      <c r="L216" s="29">
        <v>1E-3</v>
      </c>
      <c r="M216" s="29">
        <v>0</v>
      </c>
      <c r="N216" s="29">
        <v>6.9999999999999993E-3</v>
      </c>
      <c r="O216" s="27" t="s">
        <v>166</v>
      </c>
      <c r="P216" s="30" t="s">
        <v>164</v>
      </c>
      <c r="Q216" s="31">
        <v>1992342532.99</v>
      </c>
      <c r="R216" s="31">
        <v>677169.09</v>
      </c>
      <c r="S216" s="32">
        <v>2.7442999999999999E-2</v>
      </c>
      <c r="T216" s="32">
        <v>9.0000000000000002E-6</v>
      </c>
      <c r="U216" s="32">
        <v>2.7999999999999998E-4</v>
      </c>
      <c r="V216" s="32">
        <v>1.9580000000000001E-3</v>
      </c>
      <c r="W216" s="32">
        <v>5.0980000000000001E-3</v>
      </c>
      <c r="X216" s="32">
        <v>1.2418999999999999E-2</v>
      </c>
      <c r="Y216" s="32">
        <v>2.7442999999999999E-2</v>
      </c>
      <c r="Z216" s="32">
        <v>6.4418000000000003E-2</v>
      </c>
      <c r="AA216" s="32">
        <v>0.10266</v>
      </c>
      <c r="AB216" s="32">
        <v>0.13666700000000001</v>
      </c>
    </row>
    <row r="217" spans="1:28" ht="15.6" customHeight="1" x14ac:dyDescent="0.25">
      <c r="A217" s="24" t="s">
        <v>775</v>
      </c>
      <c r="B217" s="50">
        <v>4033</v>
      </c>
      <c r="C217" s="25" t="s">
        <v>776</v>
      </c>
      <c r="D217" s="25" t="s">
        <v>164</v>
      </c>
      <c r="E217" s="25" t="s">
        <v>194</v>
      </c>
      <c r="F217" s="25" t="s">
        <v>103</v>
      </c>
      <c r="G217" s="26" t="s">
        <v>104</v>
      </c>
      <c r="H217" s="27" t="s">
        <v>169</v>
      </c>
      <c r="I217" s="24" t="s">
        <v>106</v>
      </c>
      <c r="J217" s="24" t="s">
        <v>107</v>
      </c>
      <c r="K217" s="28" t="s">
        <v>108</v>
      </c>
      <c r="L217" s="29">
        <v>0</v>
      </c>
      <c r="M217" s="29">
        <v>0</v>
      </c>
      <c r="N217" s="29">
        <v>0.02</v>
      </c>
      <c r="O217" s="27" t="s">
        <v>166</v>
      </c>
      <c r="P217" s="30" t="s">
        <v>164</v>
      </c>
      <c r="Q217" s="31">
        <v>460307093.37</v>
      </c>
      <c r="R217" s="31">
        <v>237.42</v>
      </c>
      <c r="S217" s="32">
        <v>1.8707999999999999E-2</v>
      </c>
      <c r="T217" s="32">
        <v>4.1999999999999998E-5</v>
      </c>
      <c r="U217" s="32">
        <v>3.3700000000000001E-4</v>
      </c>
      <c r="V217" s="32">
        <v>1.4339999999999999E-3</v>
      </c>
      <c r="W217" s="32">
        <v>4.3150000000000003E-3</v>
      </c>
      <c r="X217" s="32">
        <v>8.5810000000000001E-3</v>
      </c>
      <c r="Y217" s="32">
        <v>1.8707999999999999E-2</v>
      </c>
      <c r="Z217" s="32">
        <v>4.3099999999999999E-2</v>
      </c>
      <c r="AA217" s="32">
        <v>6.8544999999999995E-2</v>
      </c>
      <c r="AB217" s="32">
        <v>9.1034000000000004E-2</v>
      </c>
    </row>
    <row r="218" spans="1:28" ht="15.6" customHeight="1" x14ac:dyDescent="0.25">
      <c r="A218" s="24" t="s">
        <v>777</v>
      </c>
      <c r="B218" s="50">
        <v>4034</v>
      </c>
      <c r="C218" s="25" t="s">
        <v>778</v>
      </c>
      <c r="D218" s="25" t="s">
        <v>164</v>
      </c>
      <c r="E218" s="25" t="s">
        <v>194</v>
      </c>
      <c r="F218" s="25" t="s">
        <v>155</v>
      </c>
      <c r="G218" s="26" t="s">
        <v>139</v>
      </c>
      <c r="H218" s="27" t="s">
        <v>156</v>
      </c>
      <c r="I218" s="24" t="s">
        <v>106</v>
      </c>
      <c r="J218" s="24" t="s">
        <v>107</v>
      </c>
      <c r="K218" s="28" t="s">
        <v>108</v>
      </c>
      <c r="L218" s="29">
        <v>0.03</v>
      </c>
      <c r="M218" s="29">
        <v>1.4999999999999999E-2</v>
      </c>
      <c r="N218" s="29">
        <v>0.02</v>
      </c>
      <c r="O218" s="27" t="s">
        <v>166</v>
      </c>
      <c r="P218" s="30" t="s">
        <v>164</v>
      </c>
      <c r="Q218" s="31">
        <v>2284915020.79</v>
      </c>
      <c r="R218" s="31">
        <v>1988.28</v>
      </c>
      <c r="S218" s="32">
        <v>0.27575699999999997</v>
      </c>
      <c r="T218" s="32">
        <v>9.9150000000000002E-3</v>
      </c>
      <c r="U218" s="32">
        <v>-5.5170000000000002E-3</v>
      </c>
      <c r="V218" s="32">
        <v>6.4790000000000004E-3</v>
      </c>
      <c r="W218" s="32">
        <v>9.4600000000000001E-4</v>
      </c>
      <c r="X218" s="32">
        <v>1.5370999999999999E-2</v>
      </c>
      <c r="Y218" s="32">
        <v>0.27575699999999997</v>
      </c>
      <c r="Z218" s="32">
        <v>0.53942900000000005</v>
      </c>
      <c r="AA218" s="32">
        <v>0.71304500000000004</v>
      </c>
      <c r="AB218" s="32">
        <v>0.71542499999999998</v>
      </c>
    </row>
    <row r="219" spans="1:28" ht="15.6" customHeight="1" x14ac:dyDescent="0.25">
      <c r="A219" s="24" t="s">
        <v>779</v>
      </c>
      <c r="B219" s="50">
        <v>4038</v>
      </c>
      <c r="C219" s="25" t="s">
        <v>780</v>
      </c>
      <c r="D219" s="25" t="s">
        <v>164</v>
      </c>
      <c r="E219" s="25" t="s">
        <v>102</v>
      </c>
      <c r="F219" s="25" t="s">
        <v>113</v>
      </c>
      <c r="G219" s="26" t="s">
        <v>781</v>
      </c>
      <c r="H219" s="27" t="s">
        <v>120</v>
      </c>
      <c r="I219" s="24" t="s">
        <v>106</v>
      </c>
      <c r="J219" s="24" t="s">
        <v>107</v>
      </c>
      <c r="K219" s="28" t="s">
        <v>227</v>
      </c>
      <c r="L219" s="29">
        <v>0</v>
      </c>
      <c r="M219" s="29">
        <v>0</v>
      </c>
      <c r="N219" s="29">
        <v>1.2500000000000001E-2</v>
      </c>
      <c r="O219" s="27" t="s">
        <v>166</v>
      </c>
      <c r="P219" s="30" t="s">
        <v>164</v>
      </c>
      <c r="Q219" s="31">
        <v>669902297.36000001</v>
      </c>
      <c r="R219" s="31">
        <v>177.24</v>
      </c>
      <c r="S219" s="32">
        <v>3.7643999999999997E-2</v>
      </c>
      <c r="T219" s="32">
        <v>-6.2E-4</v>
      </c>
      <c r="U219" s="32">
        <v>-9.0200000000000002E-4</v>
      </c>
      <c r="V219" s="32">
        <v>2.3189999999999999E-3</v>
      </c>
      <c r="W219" s="32">
        <v>2.2599999999999999E-4</v>
      </c>
      <c r="X219" s="32">
        <v>1.0145E-2</v>
      </c>
      <c r="Y219" s="32">
        <v>3.7643999999999997E-2</v>
      </c>
      <c r="Z219" s="32">
        <v>9.5156000000000004E-2</v>
      </c>
      <c r="AA219" s="32">
        <v>5.5565000000000003E-2</v>
      </c>
      <c r="AB219" s="32">
        <v>5.3307E-2</v>
      </c>
    </row>
    <row r="220" spans="1:28" ht="15.6" customHeight="1" x14ac:dyDescent="0.25">
      <c r="A220" s="24" t="s">
        <v>782</v>
      </c>
      <c r="B220" s="50">
        <v>4039</v>
      </c>
      <c r="C220" s="25" t="s">
        <v>783</v>
      </c>
      <c r="D220" s="25" t="s">
        <v>164</v>
      </c>
      <c r="E220" s="25" t="s">
        <v>102</v>
      </c>
      <c r="F220" s="25" t="s">
        <v>128</v>
      </c>
      <c r="G220" s="26" t="s">
        <v>129</v>
      </c>
      <c r="H220" s="27" t="s">
        <v>130</v>
      </c>
      <c r="I220" s="24" t="s">
        <v>106</v>
      </c>
      <c r="J220" s="24" t="s">
        <v>107</v>
      </c>
      <c r="K220" s="28" t="s">
        <v>108</v>
      </c>
      <c r="L220" s="29">
        <v>0</v>
      </c>
      <c r="M220" s="29">
        <v>0.01</v>
      </c>
      <c r="N220" s="29">
        <v>0.01</v>
      </c>
      <c r="O220" s="27" t="s">
        <v>166</v>
      </c>
      <c r="P220" s="30" t="s">
        <v>164</v>
      </c>
      <c r="Q220" s="31">
        <v>9473945020.7600002</v>
      </c>
      <c r="R220" s="31">
        <v>2354.3200000000002</v>
      </c>
      <c r="S220" s="32">
        <v>3.1067999999999998E-2</v>
      </c>
      <c r="T220" s="32">
        <v>3.8000000000000002E-5</v>
      </c>
      <c r="U220" s="32">
        <v>4.0400000000000001E-4</v>
      </c>
      <c r="V220" s="32">
        <v>2.764E-3</v>
      </c>
      <c r="W220" s="32">
        <v>5.9259999999999998E-3</v>
      </c>
      <c r="X220" s="32">
        <v>1.3599999999999999E-2</v>
      </c>
      <c r="Y220" s="32">
        <v>3.1067999999999998E-2</v>
      </c>
      <c r="Z220" s="32">
        <v>7.1895000000000001E-2</v>
      </c>
      <c r="AA220" s="32">
        <v>0.10753</v>
      </c>
      <c r="AB220" s="32">
        <v>0.14377899999999999</v>
      </c>
    </row>
    <row r="221" spans="1:28" ht="15.6" customHeight="1" x14ac:dyDescent="0.25">
      <c r="A221" s="24" t="s">
        <v>784</v>
      </c>
      <c r="B221" s="50">
        <v>4041</v>
      </c>
      <c r="C221" s="25" t="s">
        <v>785</v>
      </c>
      <c r="D221" s="25" t="s">
        <v>159</v>
      </c>
      <c r="E221" s="25" t="s">
        <v>194</v>
      </c>
      <c r="F221" s="25" t="s">
        <v>113</v>
      </c>
      <c r="G221" s="26" t="s">
        <v>151</v>
      </c>
      <c r="H221" s="27" t="s">
        <v>786</v>
      </c>
      <c r="I221" s="24" t="s">
        <v>106</v>
      </c>
      <c r="J221" s="24" t="s">
        <v>107</v>
      </c>
      <c r="K221" s="28" t="s">
        <v>108</v>
      </c>
      <c r="L221" s="29">
        <v>0</v>
      </c>
      <c r="M221" s="29">
        <v>0</v>
      </c>
      <c r="N221" s="29">
        <v>0.02</v>
      </c>
      <c r="O221" s="27" t="s">
        <v>161</v>
      </c>
      <c r="P221" s="30" t="s">
        <v>159</v>
      </c>
      <c r="Q221" s="31">
        <v>1720519946.1700001</v>
      </c>
      <c r="R221" s="31">
        <v>230.99</v>
      </c>
      <c r="S221" s="32">
        <v>6.5157000000000007E-2</v>
      </c>
      <c r="T221" s="32">
        <v>7.3700000000000002E-4</v>
      </c>
      <c r="U221" s="32">
        <v>1.2570000000000001E-3</v>
      </c>
      <c r="V221" s="32">
        <v>9.7920000000000004E-3</v>
      </c>
      <c r="W221" s="32">
        <v>2.343E-3</v>
      </c>
      <c r="X221" s="32">
        <v>1.4493000000000001E-2</v>
      </c>
      <c r="Y221" s="32">
        <v>6.5157000000000007E-2</v>
      </c>
      <c r="Z221" s="32">
        <v>0.15987899999999999</v>
      </c>
      <c r="AA221" s="32">
        <v>0.18377499999999999</v>
      </c>
      <c r="AB221" s="32" t="s">
        <v>139</v>
      </c>
    </row>
    <row r="222" spans="1:28" ht="15.6" customHeight="1" x14ac:dyDescent="0.25">
      <c r="A222" s="24" t="s">
        <v>787</v>
      </c>
      <c r="B222" s="50">
        <v>4042</v>
      </c>
      <c r="C222" s="25" t="s">
        <v>788</v>
      </c>
      <c r="D222" s="25" t="s">
        <v>159</v>
      </c>
      <c r="E222" s="25" t="s">
        <v>194</v>
      </c>
      <c r="F222" s="25" t="s">
        <v>113</v>
      </c>
      <c r="G222" s="26" t="s">
        <v>638</v>
      </c>
      <c r="H222" s="27" t="s">
        <v>789</v>
      </c>
      <c r="I222" s="24" t="s">
        <v>106</v>
      </c>
      <c r="J222" s="24" t="s">
        <v>107</v>
      </c>
      <c r="K222" s="28" t="s">
        <v>108</v>
      </c>
      <c r="L222" s="29">
        <v>0</v>
      </c>
      <c r="M222" s="29">
        <v>0</v>
      </c>
      <c r="N222" s="29">
        <v>0.02</v>
      </c>
      <c r="O222" s="27" t="s">
        <v>161</v>
      </c>
      <c r="P222" s="30" t="s">
        <v>159</v>
      </c>
      <c r="Q222" s="31">
        <v>4361463.95</v>
      </c>
      <c r="R222" s="31">
        <v>230.71</v>
      </c>
      <c r="S222" s="32">
        <v>4.5261000000000003E-2</v>
      </c>
      <c r="T222" s="32">
        <v>1.73E-4</v>
      </c>
      <c r="U222" s="32">
        <v>5.1999999999999995E-4</v>
      </c>
      <c r="V222" s="32">
        <v>5.4039999999999999E-3</v>
      </c>
      <c r="W222" s="32">
        <v>-4.3160000000000004E-3</v>
      </c>
      <c r="X222" s="32">
        <v>5.4039999999999999E-3</v>
      </c>
      <c r="Y222" s="32">
        <v>4.5261000000000003E-2</v>
      </c>
      <c r="Z222" s="32">
        <v>0.120876</v>
      </c>
      <c r="AA222" s="32">
        <v>0.13215199999999999</v>
      </c>
      <c r="AB222" s="32" t="s">
        <v>139</v>
      </c>
    </row>
    <row r="223" spans="1:28" ht="15.6" customHeight="1" x14ac:dyDescent="0.25">
      <c r="A223" s="24" t="s">
        <v>790</v>
      </c>
      <c r="B223" s="50">
        <v>4043</v>
      </c>
      <c r="C223" s="25" t="s">
        <v>791</v>
      </c>
      <c r="D223" s="25" t="s">
        <v>159</v>
      </c>
      <c r="E223" s="25" t="s">
        <v>194</v>
      </c>
      <c r="F223" s="25" t="s">
        <v>113</v>
      </c>
      <c r="G223" s="26" t="s">
        <v>465</v>
      </c>
      <c r="H223" s="27" t="s">
        <v>120</v>
      </c>
      <c r="I223" s="24" t="s">
        <v>106</v>
      </c>
      <c r="J223" s="24" t="s">
        <v>107</v>
      </c>
      <c r="K223" s="28" t="s">
        <v>227</v>
      </c>
      <c r="L223" s="29">
        <v>0</v>
      </c>
      <c r="M223" s="29">
        <v>0</v>
      </c>
      <c r="N223" s="29">
        <v>8.0000000000000002E-3</v>
      </c>
      <c r="O223" s="27" t="s">
        <v>161</v>
      </c>
      <c r="P223" s="30" t="s">
        <v>159</v>
      </c>
      <c r="Q223" s="31">
        <v>231402810.41</v>
      </c>
      <c r="R223" s="31">
        <v>209.1</v>
      </c>
      <c r="S223" s="32">
        <v>4.8015000000000002E-2</v>
      </c>
      <c r="T223" s="32">
        <v>-2.3900000000000001E-4</v>
      </c>
      <c r="U223" s="32">
        <v>4.8000000000000001E-5</v>
      </c>
      <c r="V223" s="32">
        <v>3.8409999999999998E-3</v>
      </c>
      <c r="W223" s="32">
        <v>4.7800000000000002E-4</v>
      </c>
      <c r="X223" s="32">
        <v>8.1969999999999994E-3</v>
      </c>
      <c r="Y223" s="32">
        <v>4.8015000000000002E-2</v>
      </c>
      <c r="Z223" s="32">
        <v>0.117524</v>
      </c>
      <c r="AA223" s="32">
        <v>0.14280999999999999</v>
      </c>
      <c r="AB223" s="32">
        <v>0.19288</v>
      </c>
    </row>
    <row r="224" spans="1:28" ht="15.6" customHeight="1" x14ac:dyDescent="0.25">
      <c r="A224" s="24" t="s">
        <v>792</v>
      </c>
      <c r="B224" s="50">
        <v>4044</v>
      </c>
      <c r="C224" s="25" t="s">
        <v>793</v>
      </c>
      <c r="D224" s="25" t="s">
        <v>112</v>
      </c>
      <c r="E224" s="25" t="s">
        <v>194</v>
      </c>
      <c r="F224" s="25" t="s">
        <v>103</v>
      </c>
      <c r="G224" s="26" t="s">
        <v>104</v>
      </c>
      <c r="H224" s="27" t="s">
        <v>794</v>
      </c>
      <c r="I224" s="24" t="s">
        <v>106</v>
      </c>
      <c r="J224" s="24" t="s">
        <v>107</v>
      </c>
      <c r="K224" s="28" t="s">
        <v>108</v>
      </c>
      <c r="L224" s="29">
        <v>0</v>
      </c>
      <c r="M224" s="29">
        <v>0</v>
      </c>
      <c r="N224" s="29">
        <v>6.0000000000000001E-3</v>
      </c>
      <c r="O224" s="27" t="s">
        <v>116</v>
      </c>
      <c r="P224" s="30" t="s">
        <v>112</v>
      </c>
      <c r="Q224" s="31">
        <v>359440944.81</v>
      </c>
      <c r="R224" s="31">
        <v>2281.0700000000002</v>
      </c>
      <c r="S224" s="32">
        <v>3.7043E-2</v>
      </c>
      <c r="T224" s="32">
        <v>3.2000000000000003E-4</v>
      </c>
      <c r="U224" s="32">
        <v>7.3300000000000004E-4</v>
      </c>
      <c r="V224" s="32">
        <v>2.1259999999999999E-3</v>
      </c>
      <c r="W224" s="32">
        <v>7.927E-3</v>
      </c>
      <c r="X224" s="32">
        <v>1.4422000000000001E-2</v>
      </c>
      <c r="Y224" s="32">
        <v>3.7043E-2</v>
      </c>
      <c r="Z224" s="32">
        <v>8.0722000000000002E-2</v>
      </c>
      <c r="AA224" s="32">
        <v>0.11294</v>
      </c>
      <c r="AB224" s="32">
        <v>0.134494</v>
      </c>
    </row>
    <row r="225" spans="1:28" ht="15.6" customHeight="1" x14ac:dyDescent="0.25">
      <c r="A225" s="24" t="s">
        <v>795</v>
      </c>
      <c r="B225" s="50">
        <v>4050</v>
      </c>
      <c r="C225" s="25" t="s">
        <v>796</v>
      </c>
      <c r="D225" s="25" t="s">
        <v>112</v>
      </c>
      <c r="E225" s="25" t="s">
        <v>194</v>
      </c>
      <c r="F225" s="25" t="s">
        <v>113</v>
      </c>
      <c r="G225" s="26" t="s">
        <v>638</v>
      </c>
      <c r="H225" s="27" t="s">
        <v>327</v>
      </c>
      <c r="I225" s="24" t="s">
        <v>106</v>
      </c>
      <c r="J225" s="24" t="s">
        <v>107</v>
      </c>
      <c r="K225" s="28" t="s">
        <v>108</v>
      </c>
      <c r="L225" s="29">
        <v>0.03</v>
      </c>
      <c r="M225" s="29">
        <v>1.4999999999999999E-2</v>
      </c>
      <c r="N225" s="29">
        <v>0.01</v>
      </c>
      <c r="O225" s="27" t="s">
        <v>548</v>
      </c>
      <c r="P225" s="30" t="s">
        <v>797</v>
      </c>
      <c r="Q225" s="31">
        <v>1231551654.9300001</v>
      </c>
      <c r="R225" s="31">
        <v>2683.07</v>
      </c>
      <c r="S225" s="32">
        <v>6.3154000000000002E-2</v>
      </c>
      <c r="T225" s="32">
        <v>-1.83E-4</v>
      </c>
      <c r="U225" s="32">
        <v>-1.823E-3</v>
      </c>
      <c r="V225" s="32">
        <v>1.0466E-2</v>
      </c>
      <c r="W225" s="32">
        <v>-3.9909999999999998E-3</v>
      </c>
      <c r="X225" s="32">
        <v>7.7520000000000002E-3</v>
      </c>
      <c r="Y225" s="32">
        <v>6.3154000000000002E-2</v>
      </c>
      <c r="Z225" s="32">
        <v>0.16320899999999999</v>
      </c>
      <c r="AA225" s="32">
        <v>0.16997100000000001</v>
      </c>
      <c r="AB225" s="32">
        <v>0.17980699999999999</v>
      </c>
    </row>
    <row r="226" spans="1:28" ht="15.6" customHeight="1" x14ac:dyDescent="0.25">
      <c r="A226" s="24" t="s">
        <v>798</v>
      </c>
      <c r="B226" s="50">
        <v>4055</v>
      </c>
      <c r="C226" s="25" t="s">
        <v>799</v>
      </c>
      <c r="D226" s="25" t="s">
        <v>159</v>
      </c>
      <c r="E226" s="25" t="s">
        <v>194</v>
      </c>
      <c r="F226" s="25" t="s">
        <v>113</v>
      </c>
      <c r="G226" s="26" t="s">
        <v>191</v>
      </c>
      <c r="H226" s="27" t="s">
        <v>309</v>
      </c>
      <c r="I226" s="24" t="s">
        <v>106</v>
      </c>
      <c r="J226" s="24" t="s">
        <v>107</v>
      </c>
      <c r="K226" s="28" t="s">
        <v>227</v>
      </c>
      <c r="L226" s="29">
        <v>0</v>
      </c>
      <c r="M226" s="29">
        <v>0</v>
      </c>
      <c r="N226" s="29">
        <v>0.02</v>
      </c>
      <c r="O226" s="27" t="s">
        <v>161</v>
      </c>
      <c r="P226" s="30" t="s">
        <v>159</v>
      </c>
      <c r="Q226" s="31">
        <v>1799771.16</v>
      </c>
      <c r="R226" s="31">
        <v>0.67</v>
      </c>
      <c r="S226" s="32">
        <v>4.6875E-2</v>
      </c>
      <c r="T226" s="32">
        <v>0</v>
      </c>
      <c r="U226" s="32">
        <v>0</v>
      </c>
      <c r="V226" s="32">
        <v>0</v>
      </c>
      <c r="W226" s="32">
        <v>0</v>
      </c>
      <c r="X226" s="32">
        <v>0</v>
      </c>
      <c r="Y226" s="32">
        <v>4.6875E-2</v>
      </c>
      <c r="Z226" s="32" t="s">
        <v>139</v>
      </c>
      <c r="AA226" s="32">
        <v>9.8361000000000004E-2</v>
      </c>
      <c r="AB226" s="32" t="s">
        <v>139</v>
      </c>
    </row>
    <row r="227" spans="1:28" ht="15.6" customHeight="1" x14ac:dyDescent="0.25">
      <c r="A227" s="24" t="s">
        <v>800</v>
      </c>
      <c r="B227" s="50">
        <v>4059</v>
      </c>
      <c r="C227" s="25" t="s">
        <v>801</v>
      </c>
      <c r="D227" s="25" t="s">
        <v>112</v>
      </c>
      <c r="E227" s="25" t="s">
        <v>194</v>
      </c>
      <c r="F227" s="25" t="s">
        <v>128</v>
      </c>
      <c r="G227" s="26" t="s">
        <v>129</v>
      </c>
      <c r="H227" s="27" t="s">
        <v>258</v>
      </c>
      <c r="I227" s="24" t="s">
        <v>106</v>
      </c>
      <c r="J227" s="24" t="s">
        <v>121</v>
      </c>
      <c r="K227" s="28" t="s">
        <v>108</v>
      </c>
      <c r="L227" s="29">
        <v>0.03</v>
      </c>
      <c r="M227" s="29">
        <v>1.4999999999999999E-2</v>
      </c>
      <c r="N227" s="29">
        <v>0.02</v>
      </c>
      <c r="O227" s="27" t="s">
        <v>116</v>
      </c>
      <c r="P227" s="30" t="s">
        <v>112</v>
      </c>
      <c r="Q227" s="31">
        <v>96078552.109999999</v>
      </c>
      <c r="R227" s="31">
        <v>1180.18</v>
      </c>
      <c r="S227" s="32">
        <v>3.041E-2</v>
      </c>
      <c r="T227" s="32">
        <v>-1.5200000000000001E-4</v>
      </c>
      <c r="U227" s="32">
        <v>2.63E-4</v>
      </c>
      <c r="V227" s="32">
        <v>2.5569999999999998E-3</v>
      </c>
      <c r="W227" s="32">
        <v>5.7099999999999998E-3</v>
      </c>
      <c r="X227" s="32">
        <v>1.2248E-2</v>
      </c>
      <c r="Y227" s="32">
        <v>3.041E-2</v>
      </c>
      <c r="Z227" s="32">
        <v>7.8194E-2</v>
      </c>
      <c r="AA227" s="32">
        <v>0.10621800000000001</v>
      </c>
      <c r="AB227" s="32">
        <v>0.13886200000000001</v>
      </c>
    </row>
    <row r="228" spans="1:28" ht="15.6" customHeight="1" x14ac:dyDescent="0.25">
      <c r="A228" s="24" t="s">
        <v>802</v>
      </c>
      <c r="B228" s="50">
        <v>4061</v>
      </c>
      <c r="C228" s="25" t="s">
        <v>803</v>
      </c>
      <c r="D228" s="25" t="s">
        <v>112</v>
      </c>
      <c r="E228" s="25" t="s">
        <v>194</v>
      </c>
      <c r="F228" s="25" t="s">
        <v>155</v>
      </c>
      <c r="G228" s="26" t="s">
        <v>139</v>
      </c>
      <c r="H228" s="27" t="s">
        <v>588</v>
      </c>
      <c r="I228" s="24" t="s">
        <v>106</v>
      </c>
      <c r="J228" s="24" t="s">
        <v>121</v>
      </c>
      <c r="K228" s="28" t="s">
        <v>108</v>
      </c>
      <c r="L228" s="29">
        <v>0.03</v>
      </c>
      <c r="M228" s="29">
        <v>1.4999999999999999E-2</v>
      </c>
      <c r="N228" s="29">
        <v>0.02</v>
      </c>
      <c r="O228" s="27" t="s">
        <v>116</v>
      </c>
      <c r="P228" s="30" t="s">
        <v>112</v>
      </c>
      <c r="Q228" s="31">
        <v>979496730.63999999</v>
      </c>
      <c r="R228" s="31">
        <v>9058.25</v>
      </c>
      <c r="S228" s="32">
        <v>0.249533</v>
      </c>
      <c r="T228" s="32">
        <v>8.5579999999999996E-3</v>
      </c>
      <c r="U228" s="32">
        <v>-6.8929999999999998E-3</v>
      </c>
      <c r="V228" s="32">
        <v>3.5170000000000002E-3</v>
      </c>
      <c r="W228" s="32">
        <v>-4.5259999999999996E-3</v>
      </c>
      <c r="X228" s="32">
        <v>1.0864E-2</v>
      </c>
      <c r="Y228" s="32">
        <v>0.249533</v>
      </c>
      <c r="Z228" s="32">
        <v>0.571824</v>
      </c>
      <c r="AA228" s="32">
        <v>0.77842500000000003</v>
      </c>
      <c r="AB228" s="32" t="s">
        <v>139</v>
      </c>
    </row>
    <row r="229" spans="1:28" ht="15.6" customHeight="1" x14ac:dyDescent="0.25">
      <c r="A229" s="24" t="s">
        <v>804</v>
      </c>
      <c r="B229" s="50">
        <v>4063</v>
      </c>
      <c r="C229" s="25" t="s">
        <v>805</v>
      </c>
      <c r="D229" s="25" t="s">
        <v>112</v>
      </c>
      <c r="E229" s="25" t="s">
        <v>194</v>
      </c>
      <c r="F229" s="25" t="s">
        <v>103</v>
      </c>
      <c r="G229" s="26" t="s">
        <v>356</v>
      </c>
      <c r="H229" s="27" t="s">
        <v>806</v>
      </c>
      <c r="I229" s="24" t="s">
        <v>106</v>
      </c>
      <c r="J229" s="24" t="s">
        <v>107</v>
      </c>
      <c r="K229" s="28" t="s">
        <v>108</v>
      </c>
      <c r="L229" s="29">
        <v>0.03</v>
      </c>
      <c r="M229" s="29">
        <v>1.4999999999999999E-2</v>
      </c>
      <c r="N229" s="29">
        <v>0.02</v>
      </c>
      <c r="O229" s="27" t="s">
        <v>116</v>
      </c>
      <c r="P229" s="30" t="s">
        <v>112</v>
      </c>
      <c r="Q229" s="31">
        <v>4525279524.2399998</v>
      </c>
      <c r="R229" s="31">
        <v>1648.94</v>
      </c>
      <c r="S229" s="32">
        <v>2.5364999999999999E-2</v>
      </c>
      <c r="T229" s="32">
        <v>2.24E-4</v>
      </c>
      <c r="U229" s="32">
        <v>6.6100000000000002E-4</v>
      </c>
      <c r="V229" s="32">
        <v>2.2000000000000001E-3</v>
      </c>
      <c r="W229" s="32">
        <v>5.9849999999999999E-3</v>
      </c>
      <c r="X229" s="32">
        <v>1.1849E-2</v>
      </c>
      <c r="Y229" s="32">
        <v>2.5364999999999999E-2</v>
      </c>
      <c r="Z229" s="32">
        <v>5.7908000000000001E-2</v>
      </c>
      <c r="AA229" s="32">
        <v>9.1954999999999995E-2</v>
      </c>
      <c r="AB229" s="32">
        <v>0.124236</v>
      </c>
    </row>
    <row r="230" spans="1:28" ht="15.6" customHeight="1" x14ac:dyDescent="0.25">
      <c r="A230" s="24" t="s">
        <v>807</v>
      </c>
      <c r="B230" s="50">
        <v>4067</v>
      </c>
      <c r="C230" s="25" t="s">
        <v>808</v>
      </c>
      <c r="D230" s="25" t="s">
        <v>112</v>
      </c>
      <c r="E230" s="25" t="s">
        <v>194</v>
      </c>
      <c r="F230" s="25" t="s">
        <v>128</v>
      </c>
      <c r="G230" s="26" t="s">
        <v>129</v>
      </c>
      <c r="H230" s="27" t="s">
        <v>373</v>
      </c>
      <c r="I230" s="24" t="s">
        <v>106</v>
      </c>
      <c r="J230" s="24" t="s">
        <v>107</v>
      </c>
      <c r="K230" s="28" t="s">
        <v>108</v>
      </c>
      <c r="L230" s="29">
        <v>0.03</v>
      </c>
      <c r="M230" s="29">
        <v>1.4999999999999999E-2</v>
      </c>
      <c r="N230" s="29">
        <v>0.02</v>
      </c>
      <c r="O230" s="27" t="s">
        <v>116</v>
      </c>
      <c r="P230" s="30" t="s">
        <v>112</v>
      </c>
      <c r="Q230" s="31">
        <v>626193.06999999995</v>
      </c>
      <c r="R230" s="31">
        <v>1744.27</v>
      </c>
      <c r="S230" s="32">
        <v>2.3224000000000002E-2</v>
      </c>
      <c r="T230" s="32">
        <v>8.2600000000000002E-4</v>
      </c>
      <c r="U230" s="32">
        <v>1.263E-3</v>
      </c>
      <c r="V230" s="32">
        <v>2.604E-3</v>
      </c>
      <c r="W230" s="32">
        <v>5.6039999999999996E-3</v>
      </c>
      <c r="X230" s="32">
        <v>1.0802000000000001E-2</v>
      </c>
      <c r="Y230" s="32">
        <v>2.3224000000000002E-2</v>
      </c>
      <c r="Z230" s="32">
        <v>5.3093000000000001E-2</v>
      </c>
      <c r="AA230" s="32">
        <v>9.1744999999999993E-2</v>
      </c>
      <c r="AB230" s="32">
        <v>0.12598200000000001</v>
      </c>
    </row>
    <row r="231" spans="1:28" ht="15.6" customHeight="1" x14ac:dyDescent="0.25">
      <c r="A231" s="24" t="s">
        <v>809</v>
      </c>
      <c r="B231" s="50">
        <v>4076</v>
      </c>
      <c r="C231" s="25" t="s">
        <v>810</v>
      </c>
      <c r="D231" s="25" t="s">
        <v>112</v>
      </c>
      <c r="E231" s="25" t="s">
        <v>194</v>
      </c>
      <c r="F231" s="25" t="s">
        <v>128</v>
      </c>
      <c r="G231" s="26" t="s">
        <v>250</v>
      </c>
      <c r="H231" s="27" t="s">
        <v>512</v>
      </c>
      <c r="I231" s="24" t="s">
        <v>106</v>
      </c>
      <c r="J231" s="24" t="s">
        <v>107</v>
      </c>
      <c r="K231" s="28" t="s">
        <v>108</v>
      </c>
      <c r="L231" s="29">
        <v>0.03</v>
      </c>
      <c r="M231" s="29">
        <v>1.4999999999999999E-2</v>
      </c>
      <c r="N231" s="29">
        <v>0.02</v>
      </c>
      <c r="O231" s="27" t="s">
        <v>116</v>
      </c>
      <c r="P231" s="30" t="s">
        <v>112</v>
      </c>
      <c r="Q231" s="31">
        <v>2427621380.54</v>
      </c>
      <c r="R231" s="31">
        <v>1652.62</v>
      </c>
      <c r="S231" s="32">
        <v>3.3087999999999999E-2</v>
      </c>
      <c r="T231" s="32">
        <v>1.94E-4</v>
      </c>
      <c r="U231" s="32">
        <v>7.45E-4</v>
      </c>
      <c r="V231" s="32">
        <v>3.1020000000000002E-3</v>
      </c>
      <c r="W231" s="32">
        <v>7.0010000000000003E-3</v>
      </c>
      <c r="X231" s="32">
        <v>1.4487E-2</v>
      </c>
      <c r="Y231" s="32">
        <v>3.3087999999999999E-2</v>
      </c>
      <c r="Z231" s="32">
        <v>7.4524999999999994E-2</v>
      </c>
      <c r="AA231" s="32">
        <v>0.1134</v>
      </c>
      <c r="AB231" s="32">
        <v>0.14750099999999999</v>
      </c>
    </row>
    <row r="232" spans="1:28" ht="15.6" customHeight="1" x14ac:dyDescent="0.25">
      <c r="A232" s="24" t="s">
        <v>811</v>
      </c>
      <c r="B232" s="50">
        <v>4077</v>
      </c>
      <c r="C232" s="25" t="s">
        <v>812</v>
      </c>
      <c r="D232" s="25" t="s">
        <v>112</v>
      </c>
      <c r="E232" s="25" t="s">
        <v>194</v>
      </c>
      <c r="F232" s="25" t="s">
        <v>103</v>
      </c>
      <c r="G232" s="26" t="s">
        <v>104</v>
      </c>
      <c r="H232" s="27" t="s">
        <v>813</v>
      </c>
      <c r="I232" s="24" t="s">
        <v>106</v>
      </c>
      <c r="J232" s="24" t="s">
        <v>121</v>
      </c>
      <c r="K232" s="28" t="s">
        <v>108</v>
      </c>
      <c r="L232" s="29">
        <v>0.03</v>
      </c>
      <c r="M232" s="29">
        <v>1.4999999999999999E-2</v>
      </c>
      <c r="N232" s="29">
        <v>0.02</v>
      </c>
      <c r="O232" s="27" t="s">
        <v>116</v>
      </c>
      <c r="P232" s="30" t="s">
        <v>112</v>
      </c>
      <c r="Q232" s="31">
        <v>1348512770.24</v>
      </c>
      <c r="R232" s="31">
        <v>3384.05</v>
      </c>
      <c r="S232" s="32">
        <v>2.3886999999999999E-2</v>
      </c>
      <c r="T232" s="32">
        <v>2.2499999999999999E-4</v>
      </c>
      <c r="U232" s="32">
        <v>6.6799999999999997E-4</v>
      </c>
      <c r="V232" s="32">
        <v>2.1020000000000001E-3</v>
      </c>
      <c r="W232" s="32">
        <v>5.3920000000000001E-3</v>
      </c>
      <c r="X232" s="32">
        <v>1.0937000000000001E-2</v>
      </c>
      <c r="Y232" s="32">
        <v>2.3886999999999999E-2</v>
      </c>
      <c r="Z232" s="32">
        <v>5.4021E-2</v>
      </c>
      <c r="AA232" s="32">
        <v>8.5406999999999997E-2</v>
      </c>
      <c r="AB232" s="32">
        <v>0.114435</v>
      </c>
    </row>
    <row r="233" spans="1:28" ht="15.6" customHeight="1" x14ac:dyDescent="0.25">
      <c r="A233" s="24" t="s">
        <v>814</v>
      </c>
      <c r="B233" s="50">
        <v>4079</v>
      </c>
      <c r="C233" s="25" t="s">
        <v>815</v>
      </c>
      <c r="D233" s="25" t="s">
        <v>112</v>
      </c>
      <c r="E233" s="25" t="s">
        <v>194</v>
      </c>
      <c r="F233" s="25" t="s">
        <v>138</v>
      </c>
      <c r="G233" s="26" t="s">
        <v>139</v>
      </c>
      <c r="H233" s="27" t="s">
        <v>816</v>
      </c>
      <c r="I233" s="24" t="s">
        <v>106</v>
      </c>
      <c r="J233" s="24" t="s">
        <v>107</v>
      </c>
      <c r="K233" s="28" t="s">
        <v>108</v>
      </c>
      <c r="L233" s="29">
        <v>0</v>
      </c>
      <c r="M233" s="29">
        <v>0</v>
      </c>
      <c r="N233" s="29">
        <v>0.02</v>
      </c>
      <c r="O233" s="27" t="s">
        <v>116</v>
      </c>
      <c r="P233" s="30" t="s">
        <v>112</v>
      </c>
      <c r="Q233" s="31">
        <v>1434207.41</v>
      </c>
      <c r="R233" s="31">
        <v>1938.11</v>
      </c>
      <c r="S233" s="32">
        <v>6.4175999999999997E-2</v>
      </c>
      <c r="T233" s="32">
        <v>-3.0899999999999998E-4</v>
      </c>
      <c r="U233" s="32">
        <v>-3.3839999999999999E-3</v>
      </c>
      <c r="V233" s="32">
        <v>4.8009999999999997E-3</v>
      </c>
      <c r="W233" s="32">
        <v>5.176E-3</v>
      </c>
      <c r="X233" s="32">
        <v>2.0853E-2</v>
      </c>
      <c r="Y233" s="32">
        <v>6.4175999999999997E-2</v>
      </c>
      <c r="Z233" s="32">
        <v>0.110779</v>
      </c>
      <c r="AA233" s="32">
        <v>0.19600999999999999</v>
      </c>
      <c r="AB233" s="32" t="s">
        <v>139</v>
      </c>
    </row>
    <row r="234" spans="1:28" ht="15.6" customHeight="1" x14ac:dyDescent="0.25">
      <c r="A234" s="24" t="s">
        <v>817</v>
      </c>
      <c r="B234" s="50">
        <v>4102</v>
      </c>
      <c r="C234" s="25" t="s">
        <v>818</v>
      </c>
      <c r="D234" s="25" t="s">
        <v>504</v>
      </c>
      <c r="E234" s="25" t="s">
        <v>194</v>
      </c>
      <c r="F234" s="25" t="s">
        <v>103</v>
      </c>
      <c r="G234" s="26" t="s">
        <v>146</v>
      </c>
      <c r="H234" s="27" t="s">
        <v>509</v>
      </c>
      <c r="I234" s="24" t="s">
        <v>106</v>
      </c>
      <c r="J234" s="24" t="s">
        <v>107</v>
      </c>
      <c r="K234" s="28" t="s">
        <v>108</v>
      </c>
      <c r="L234" s="29">
        <v>0</v>
      </c>
      <c r="M234" s="29">
        <v>0</v>
      </c>
      <c r="N234" s="29">
        <v>8.0000000000000002E-3</v>
      </c>
      <c r="O234" s="27" t="s">
        <v>173</v>
      </c>
      <c r="P234" s="30" t="s">
        <v>504</v>
      </c>
      <c r="Q234" s="31">
        <v>2110822156.0799999</v>
      </c>
      <c r="R234" s="31">
        <v>151.97999999999999</v>
      </c>
      <c r="S234" s="32">
        <v>2.7030999999999999E-2</v>
      </c>
      <c r="T234" s="32">
        <v>2.63E-4</v>
      </c>
      <c r="U234" s="32">
        <v>7.2400000000000003E-4</v>
      </c>
      <c r="V234" s="32">
        <v>2.5070000000000001E-3</v>
      </c>
      <c r="W234" s="32">
        <v>6.1570000000000001E-3</v>
      </c>
      <c r="X234" s="32">
        <v>1.2120000000000001E-2</v>
      </c>
      <c r="Y234" s="32">
        <v>2.7030999999999999E-2</v>
      </c>
      <c r="Z234" s="32">
        <v>6.0867999999999998E-2</v>
      </c>
      <c r="AA234" s="32">
        <v>9.6615999999999994E-2</v>
      </c>
      <c r="AB234" s="32">
        <v>0.13215099999999999</v>
      </c>
    </row>
    <row r="235" spans="1:28" ht="15.6" customHeight="1" x14ac:dyDescent="0.25">
      <c r="A235" s="24" t="s">
        <v>819</v>
      </c>
      <c r="B235" s="50">
        <v>4109</v>
      </c>
      <c r="C235" s="25" t="s">
        <v>820</v>
      </c>
      <c r="D235" s="25" t="s">
        <v>821</v>
      </c>
      <c r="E235" s="25" t="s">
        <v>194</v>
      </c>
      <c r="F235" s="25" t="s">
        <v>103</v>
      </c>
      <c r="G235" s="26" t="s">
        <v>822</v>
      </c>
      <c r="H235" s="27" t="s">
        <v>188</v>
      </c>
      <c r="I235" s="24" t="s">
        <v>106</v>
      </c>
      <c r="J235" s="24" t="s">
        <v>107</v>
      </c>
      <c r="K235" s="28" t="s">
        <v>108</v>
      </c>
      <c r="L235" s="29">
        <v>0</v>
      </c>
      <c r="M235" s="29">
        <v>0</v>
      </c>
      <c r="N235" s="29">
        <v>0.01</v>
      </c>
      <c r="O235" s="27" t="s">
        <v>148</v>
      </c>
      <c r="P235" s="30" t="s">
        <v>821</v>
      </c>
      <c r="Q235" s="31">
        <v>698804358.78999996</v>
      </c>
      <c r="R235" s="31">
        <v>99.06</v>
      </c>
      <c r="S235" s="32">
        <v>5.3494E-2</v>
      </c>
      <c r="T235" s="32">
        <v>3.0299999999999999E-4</v>
      </c>
      <c r="U235" s="32">
        <v>7.0699999999999995E-4</v>
      </c>
      <c r="V235" s="32">
        <v>2.7330000000000002E-3</v>
      </c>
      <c r="W235" s="32">
        <v>5.8900000000000003E-3</v>
      </c>
      <c r="X235" s="32">
        <v>1.1023E-2</v>
      </c>
      <c r="Y235" s="32">
        <v>5.3494E-2</v>
      </c>
      <c r="Z235" s="32">
        <v>0.133799</v>
      </c>
      <c r="AA235" s="32">
        <v>0.21829999999999999</v>
      </c>
      <c r="AB235" s="32">
        <v>0.33180999999999999</v>
      </c>
    </row>
    <row r="236" spans="1:28" ht="15.6" customHeight="1" x14ac:dyDescent="0.25">
      <c r="A236" s="24" t="s">
        <v>823</v>
      </c>
      <c r="B236" s="50">
        <v>4111</v>
      </c>
      <c r="C236" s="25" t="s">
        <v>824</v>
      </c>
      <c r="D236" s="25" t="s">
        <v>112</v>
      </c>
      <c r="E236" s="25" t="s">
        <v>194</v>
      </c>
      <c r="F236" s="25" t="s">
        <v>155</v>
      </c>
      <c r="G236" s="26" t="s">
        <v>139</v>
      </c>
      <c r="H236" s="27" t="s">
        <v>156</v>
      </c>
      <c r="I236" s="24" t="s">
        <v>106</v>
      </c>
      <c r="J236" s="24" t="s">
        <v>121</v>
      </c>
      <c r="K236" s="28" t="s">
        <v>108</v>
      </c>
      <c r="L236" s="29">
        <v>0.03</v>
      </c>
      <c r="M236" s="29">
        <v>1.4999999999999999E-2</v>
      </c>
      <c r="N236" s="29">
        <v>0.02</v>
      </c>
      <c r="O236" s="27" t="s">
        <v>116</v>
      </c>
      <c r="P236" s="30" t="s">
        <v>112</v>
      </c>
      <c r="Q236" s="31">
        <v>1328858962.9100001</v>
      </c>
      <c r="R236" s="31">
        <v>3018.42</v>
      </c>
      <c r="S236" s="32">
        <v>0.28428100000000001</v>
      </c>
      <c r="T236" s="32">
        <v>1.06E-2</v>
      </c>
      <c r="U236" s="32">
        <v>-4.3870000000000003E-3</v>
      </c>
      <c r="V236" s="32">
        <v>9.3670000000000003E-3</v>
      </c>
      <c r="W236" s="32">
        <v>1.9189999999999999E-3</v>
      </c>
      <c r="X236" s="32">
        <v>1.5862000000000001E-2</v>
      </c>
      <c r="Y236" s="32">
        <v>0.28428100000000001</v>
      </c>
      <c r="Z236" s="32">
        <v>0.623278</v>
      </c>
      <c r="AA236" s="32">
        <v>0.83814599999999995</v>
      </c>
      <c r="AB236" s="32">
        <v>0.88995000000000002</v>
      </c>
    </row>
    <row r="237" spans="1:28" ht="15.6" customHeight="1" x14ac:dyDescent="0.25">
      <c r="A237" s="24" t="s">
        <v>825</v>
      </c>
      <c r="B237" s="50">
        <v>4112</v>
      </c>
      <c r="C237" s="25" t="s">
        <v>826</v>
      </c>
      <c r="D237" s="25" t="s">
        <v>322</v>
      </c>
      <c r="E237" s="25" t="s">
        <v>194</v>
      </c>
      <c r="F237" s="25" t="s">
        <v>128</v>
      </c>
      <c r="G237" s="26" t="s">
        <v>289</v>
      </c>
      <c r="H237" s="27" t="s">
        <v>130</v>
      </c>
      <c r="I237" s="24" t="s">
        <v>106</v>
      </c>
      <c r="J237" s="24" t="s">
        <v>107</v>
      </c>
      <c r="K237" s="28" t="s">
        <v>108</v>
      </c>
      <c r="L237" s="29">
        <v>0.03</v>
      </c>
      <c r="M237" s="29">
        <v>1.4999999999999999E-2</v>
      </c>
      <c r="N237" s="29">
        <v>0.02</v>
      </c>
      <c r="O237" s="27" t="s">
        <v>166</v>
      </c>
      <c r="P237" s="30" t="s">
        <v>322</v>
      </c>
      <c r="Q237" s="31">
        <v>246696984.13999999</v>
      </c>
      <c r="R237" s="31">
        <v>147.94</v>
      </c>
      <c r="S237" s="32">
        <v>1.8450000000000001E-2</v>
      </c>
      <c r="T237" s="32">
        <v>1.35E-4</v>
      </c>
      <c r="U237" s="32">
        <v>4.06E-4</v>
      </c>
      <c r="V237" s="32">
        <v>8.1089999999999999E-3</v>
      </c>
      <c r="W237" s="32">
        <v>8.5900000000000004E-3</v>
      </c>
      <c r="X237" s="32">
        <v>1.0795000000000001E-2</v>
      </c>
      <c r="Y237" s="32">
        <v>1.8450000000000001E-2</v>
      </c>
      <c r="Z237" s="32">
        <v>4.7510999999999998E-2</v>
      </c>
      <c r="AA237" s="32">
        <v>8.1986000000000003E-2</v>
      </c>
      <c r="AB237" s="32">
        <v>0.111662</v>
      </c>
    </row>
    <row r="238" spans="1:28" ht="15.6" customHeight="1" x14ac:dyDescent="0.25">
      <c r="A238" s="24" t="s">
        <v>827</v>
      </c>
      <c r="B238" s="50">
        <v>4115</v>
      </c>
      <c r="C238" s="25" t="s">
        <v>828</v>
      </c>
      <c r="D238" s="25" t="s">
        <v>112</v>
      </c>
      <c r="E238" s="25" t="s">
        <v>194</v>
      </c>
      <c r="F238" s="25" t="s">
        <v>128</v>
      </c>
      <c r="G238" s="26" t="s">
        <v>289</v>
      </c>
      <c r="H238" s="27" t="s">
        <v>258</v>
      </c>
      <c r="I238" s="24" t="s">
        <v>106</v>
      </c>
      <c r="J238" s="24" t="s">
        <v>121</v>
      </c>
      <c r="K238" s="28" t="s">
        <v>108</v>
      </c>
      <c r="L238" s="29">
        <v>0.03</v>
      </c>
      <c r="M238" s="29">
        <v>1.4999999999999999E-2</v>
      </c>
      <c r="N238" s="29">
        <v>0.02</v>
      </c>
      <c r="O238" s="27" t="s">
        <v>116</v>
      </c>
      <c r="P238" s="30" t="s">
        <v>112</v>
      </c>
      <c r="Q238" s="31">
        <v>96100384.209999993</v>
      </c>
      <c r="R238" s="31">
        <v>1680.31</v>
      </c>
      <c r="S238" s="32">
        <v>3.0435E-2</v>
      </c>
      <c r="T238" s="32">
        <v>8.8999999999999995E-5</v>
      </c>
      <c r="U238" s="32">
        <v>5.2400000000000005E-4</v>
      </c>
      <c r="V238" s="32">
        <v>2.8289999999999999E-3</v>
      </c>
      <c r="W238" s="32">
        <v>6.0229999999999997E-3</v>
      </c>
      <c r="X238" s="32">
        <v>1.2638E-2</v>
      </c>
      <c r="Y238" s="32">
        <v>3.0435E-2</v>
      </c>
      <c r="Z238" s="32">
        <v>7.0248000000000005E-2</v>
      </c>
      <c r="AA238" s="32">
        <v>0.108435</v>
      </c>
      <c r="AB238" s="32">
        <v>0.13497600000000001</v>
      </c>
    </row>
    <row r="239" spans="1:28" ht="15.6" customHeight="1" x14ac:dyDescent="0.25">
      <c r="A239" s="24" t="s">
        <v>829</v>
      </c>
      <c r="B239" s="50">
        <v>4116</v>
      </c>
      <c r="C239" s="25" t="s">
        <v>830</v>
      </c>
      <c r="D239" s="25" t="s">
        <v>112</v>
      </c>
      <c r="E239" s="25" t="s">
        <v>194</v>
      </c>
      <c r="F239" s="25" t="s">
        <v>103</v>
      </c>
      <c r="G239" s="26" t="s">
        <v>336</v>
      </c>
      <c r="H239" s="27" t="s">
        <v>831</v>
      </c>
      <c r="I239" s="24" t="s">
        <v>106</v>
      </c>
      <c r="J239" s="24" t="s">
        <v>107</v>
      </c>
      <c r="K239" s="28" t="s">
        <v>108</v>
      </c>
      <c r="L239" s="29">
        <v>0.03</v>
      </c>
      <c r="M239" s="29">
        <v>1.4999999999999999E-2</v>
      </c>
      <c r="N239" s="29">
        <v>0.02</v>
      </c>
      <c r="O239" s="27" t="s">
        <v>116</v>
      </c>
      <c r="P239" s="30" t="s">
        <v>832</v>
      </c>
      <c r="Q239" s="31">
        <v>645949.15</v>
      </c>
      <c r="R239" s="31">
        <v>742.06</v>
      </c>
      <c r="S239" s="32">
        <v>1.7774999999999999E-2</v>
      </c>
      <c r="T239" s="32">
        <v>2.6999999999999999E-5</v>
      </c>
      <c r="U239" s="32">
        <v>3.5E-4</v>
      </c>
      <c r="V239" s="32">
        <v>1.403E-3</v>
      </c>
      <c r="W239" s="32">
        <v>4.0179999999999999E-3</v>
      </c>
      <c r="X239" s="32">
        <v>7.9869999999999993E-3</v>
      </c>
      <c r="Y239" s="32">
        <v>1.7774999999999999E-2</v>
      </c>
      <c r="Z239" s="32">
        <v>4.2014000000000003E-2</v>
      </c>
      <c r="AA239" s="32">
        <v>0.2016</v>
      </c>
      <c r="AB239" s="32">
        <v>0.23089899999999999</v>
      </c>
    </row>
    <row r="240" spans="1:28" ht="15.6" customHeight="1" x14ac:dyDescent="0.25">
      <c r="A240" s="24" t="s">
        <v>833</v>
      </c>
      <c r="B240" s="50">
        <v>4119</v>
      </c>
      <c r="C240" s="25" t="s">
        <v>834</v>
      </c>
      <c r="D240" s="25" t="s">
        <v>112</v>
      </c>
      <c r="E240" s="25" t="s">
        <v>194</v>
      </c>
      <c r="F240" s="25" t="s">
        <v>103</v>
      </c>
      <c r="G240" s="26" t="s">
        <v>336</v>
      </c>
      <c r="H240" s="27" t="s">
        <v>806</v>
      </c>
      <c r="I240" s="24" t="s">
        <v>106</v>
      </c>
      <c r="J240" s="24" t="s">
        <v>107</v>
      </c>
      <c r="K240" s="28" t="s">
        <v>108</v>
      </c>
      <c r="L240" s="29">
        <v>0.03</v>
      </c>
      <c r="M240" s="29">
        <v>1.4999999999999999E-2</v>
      </c>
      <c r="N240" s="29">
        <v>0.02</v>
      </c>
      <c r="O240" s="27" t="s">
        <v>116</v>
      </c>
      <c r="P240" s="30" t="s">
        <v>112</v>
      </c>
      <c r="Q240" s="31">
        <v>541249.57999999996</v>
      </c>
      <c r="R240" s="31">
        <v>1333.04</v>
      </c>
      <c r="S240" s="32">
        <v>1.8863000000000001E-2</v>
      </c>
      <c r="T240" s="32">
        <v>3.8000000000000002E-5</v>
      </c>
      <c r="U240" s="32">
        <v>3.68E-4</v>
      </c>
      <c r="V240" s="32">
        <v>1.472E-3</v>
      </c>
      <c r="W240" s="32">
        <v>4.241E-3</v>
      </c>
      <c r="X240" s="32">
        <v>8.2819999999999994E-3</v>
      </c>
      <c r="Y240" s="32">
        <v>1.8863000000000001E-2</v>
      </c>
      <c r="Z240" s="32">
        <v>4.4588000000000003E-2</v>
      </c>
      <c r="AA240" s="32">
        <v>7.0336999999999997E-2</v>
      </c>
      <c r="AB240" s="32">
        <v>9.3022999999999995E-2</v>
      </c>
    </row>
    <row r="241" spans="1:28" ht="15.6" customHeight="1" x14ac:dyDescent="0.25">
      <c r="A241" s="24" t="s">
        <v>835</v>
      </c>
      <c r="B241" s="50">
        <v>4123</v>
      </c>
      <c r="C241" s="25" t="s">
        <v>836</v>
      </c>
      <c r="D241" s="25" t="s">
        <v>821</v>
      </c>
      <c r="E241" s="25" t="s">
        <v>194</v>
      </c>
      <c r="F241" s="25" t="s">
        <v>128</v>
      </c>
      <c r="G241" s="26" t="s">
        <v>289</v>
      </c>
      <c r="H241" s="27" t="s">
        <v>130</v>
      </c>
      <c r="I241" s="24" t="s">
        <v>106</v>
      </c>
      <c r="J241" s="24" t="s">
        <v>107</v>
      </c>
      <c r="K241" s="28" t="s">
        <v>108</v>
      </c>
      <c r="L241" s="29">
        <v>0.03</v>
      </c>
      <c r="M241" s="29">
        <v>0.02</v>
      </c>
      <c r="N241" s="29">
        <v>0.02</v>
      </c>
      <c r="O241" s="27" t="s">
        <v>148</v>
      </c>
      <c r="P241" s="30" t="s">
        <v>821</v>
      </c>
      <c r="Q241" s="31">
        <v>1217087.58</v>
      </c>
      <c r="R241" s="31">
        <v>121.71</v>
      </c>
      <c r="S241" s="32">
        <v>2.1571E-2</v>
      </c>
      <c r="T241" s="32">
        <v>8.2200000000000003E-4</v>
      </c>
      <c r="U241" s="32">
        <v>1.2340000000000001E-3</v>
      </c>
      <c r="V241" s="32">
        <v>2.5539999999999998E-3</v>
      </c>
      <c r="W241" s="32">
        <v>4.7879999999999997E-3</v>
      </c>
      <c r="X241" s="32">
        <v>9.1199999999999996E-3</v>
      </c>
      <c r="Y241" s="32">
        <v>2.1571E-2</v>
      </c>
      <c r="Z241" s="32">
        <v>4.9043000000000003E-2</v>
      </c>
      <c r="AA241" s="32">
        <v>7.8798000000000007E-2</v>
      </c>
      <c r="AB241" s="32">
        <v>9.3335000000000001E-2</v>
      </c>
    </row>
    <row r="242" spans="1:28" ht="15.6" customHeight="1" x14ac:dyDescent="0.25">
      <c r="A242" s="24" t="s">
        <v>837</v>
      </c>
      <c r="B242" s="50">
        <v>4126</v>
      </c>
      <c r="C242" s="25" t="s">
        <v>838</v>
      </c>
      <c r="D242" s="25" t="s">
        <v>504</v>
      </c>
      <c r="E242" s="25" t="s">
        <v>194</v>
      </c>
      <c r="F242" s="25" t="s">
        <v>113</v>
      </c>
      <c r="G242" s="26" t="s">
        <v>209</v>
      </c>
      <c r="H242" s="27" t="s">
        <v>839</v>
      </c>
      <c r="I242" s="24" t="s">
        <v>106</v>
      </c>
      <c r="J242" s="24" t="s">
        <v>107</v>
      </c>
      <c r="K242" s="28" t="s">
        <v>108</v>
      </c>
      <c r="L242" s="29">
        <v>0.02</v>
      </c>
      <c r="M242" s="29">
        <v>0.02</v>
      </c>
      <c r="N242" s="29">
        <v>0.02</v>
      </c>
      <c r="O242" s="27" t="s">
        <v>161</v>
      </c>
      <c r="P242" s="30" t="s">
        <v>504</v>
      </c>
      <c r="Q242" s="31">
        <v>2709736257.8800001</v>
      </c>
      <c r="R242" s="31">
        <v>1458.47</v>
      </c>
      <c r="S242" s="32">
        <v>5.2113E-2</v>
      </c>
      <c r="T242" s="32">
        <v>1.4E-5</v>
      </c>
      <c r="U242" s="32">
        <v>-8.6300000000000005E-4</v>
      </c>
      <c r="V242" s="32">
        <v>4.2969999999999996E-3</v>
      </c>
      <c r="W242" s="32">
        <v>-4.3829999999999997E-3</v>
      </c>
      <c r="X242" s="32">
        <v>5.2589999999999998E-3</v>
      </c>
      <c r="Y242" s="32">
        <v>5.2113E-2</v>
      </c>
      <c r="Z242" s="32">
        <v>0.13855799999999999</v>
      </c>
      <c r="AA242" s="32">
        <v>0.236348</v>
      </c>
      <c r="AB242" s="32">
        <v>0.19816800000000001</v>
      </c>
    </row>
    <row r="243" spans="1:28" ht="15.6" customHeight="1" x14ac:dyDescent="0.25">
      <c r="A243" s="24" t="s">
        <v>840</v>
      </c>
      <c r="B243" s="50">
        <v>4127</v>
      </c>
      <c r="C243" s="25" t="s">
        <v>841</v>
      </c>
      <c r="D243" s="25" t="s">
        <v>164</v>
      </c>
      <c r="E243" s="25" t="s">
        <v>194</v>
      </c>
      <c r="F243" s="25" t="s">
        <v>103</v>
      </c>
      <c r="G243" s="26" t="s">
        <v>842</v>
      </c>
      <c r="H243" s="27" t="s">
        <v>169</v>
      </c>
      <c r="I243" s="24" t="s">
        <v>106</v>
      </c>
      <c r="J243" s="24" t="s">
        <v>121</v>
      </c>
      <c r="K243" s="28" t="s">
        <v>108</v>
      </c>
      <c r="L243" s="29">
        <v>0.03</v>
      </c>
      <c r="M243" s="29">
        <v>1.4999999999999999E-2</v>
      </c>
      <c r="N243" s="29">
        <v>0.02</v>
      </c>
      <c r="O243" s="27" t="s">
        <v>166</v>
      </c>
      <c r="P243" s="30" t="s">
        <v>164</v>
      </c>
      <c r="Q243" s="31">
        <v>894542940.80999994</v>
      </c>
      <c r="R243" s="31">
        <v>179.62</v>
      </c>
      <c r="S243" s="32">
        <v>2.4176E-2</v>
      </c>
      <c r="T243" s="32">
        <v>1.11E-4</v>
      </c>
      <c r="U243" s="32">
        <v>5.5699999999999999E-4</v>
      </c>
      <c r="V243" s="32">
        <v>1.952E-3</v>
      </c>
      <c r="W243" s="32">
        <v>5.3169999999999997E-3</v>
      </c>
      <c r="X243" s="32">
        <v>1.0748000000000001E-2</v>
      </c>
      <c r="Y243" s="32">
        <v>2.4176E-2</v>
      </c>
      <c r="Z243" s="32">
        <v>5.4850999999999997E-2</v>
      </c>
      <c r="AA243" s="32">
        <v>8.4858000000000003E-2</v>
      </c>
      <c r="AB243" s="32">
        <v>0.11206000000000001</v>
      </c>
    </row>
    <row r="244" spans="1:28" ht="15.6" customHeight="1" x14ac:dyDescent="0.25">
      <c r="A244" s="24" t="s">
        <v>843</v>
      </c>
      <c r="B244" s="50">
        <v>4129</v>
      </c>
      <c r="C244" s="25" t="s">
        <v>844</v>
      </c>
      <c r="D244" s="25" t="s">
        <v>112</v>
      </c>
      <c r="E244" s="25" t="s">
        <v>194</v>
      </c>
      <c r="F244" s="25" t="s">
        <v>103</v>
      </c>
      <c r="G244" s="26" t="s">
        <v>401</v>
      </c>
      <c r="H244" s="27" t="s">
        <v>831</v>
      </c>
      <c r="I244" s="24" t="s">
        <v>106</v>
      </c>
      <c r="J244" s="24" t="s">
        <v>107</v>
      </c>
      <c r="K244" s="28" t="s">
        <v>108</v>
      </c>
      <c r="L244" s="29">
        <v>0.03</v>
      </c>
      <c r="M244" s="29">
        <v>1.4999999999999999E-2</v>
      </c>
      <c r="N244" s="29">
        <v>0.02</v>
      </c>
      <c r="O244" s="27" t="s">
        <v>116</v>
      </c>
      <c r="P244" s="30" t="s">
        <v>112</v>
      </c>
      <c r="Q244" s="31">
        <v>33692413.170000002</v>
      </c>
      <c r="R244" s="31">
        <v>3025.26</v>
      </c>
      <c r="S244" s="32">
        <v>2.3831999999999999E-2</v>
      </c>
      <c r="T244" s="32">
        <v>5.0000000000000002E-5</v>
      </c>
      <c r="U244" s="32">
        <v>4.37E-4</v>
      </c>
      <c r="V244" s="32">
        <v>1.745E-3</v>
      </c>
      <c r="W244" s="32">
        <v>5.2230000000000002E-3</v>
      </c>
      <c r="X244" s="32">
        <v>1.0593E-2</v>
      </c>
      <c r="Y244" s="32">
        <v>2.3831999999999999E-2</v>
      </c>
      <c r="Z244" s="32">
        <v>5.441E-2</v>
      </c>
      <c r="AA244" s="32">
        <v>8.5264000000000006E-2</v>
      </c>
      <c r="AB244" s="32">
        <v>0.110766</v>
      </c>
    </row>
    <row r="245" spans="1:28" ht="15.6" customHeight="1" x14ac:dyDescent="0.25">
      <c r="A245" s="24" t="s">
        <v>845</v>
      </c>
      <c r="B245" s="50">
        <v>4130</v>
      </c>
      <c r="C245" s="25" t="s">
        <v>846</v>
      </c>
      <c r="D245" s="25" t="s">
        <v>164</v>
      </c>
      <c r="E245" s="25" t="s">
        <v>194</v>
      </c>
      <c r="F245" s="25" t="s">
        <v>103</v>
      </c>
      <c r="G245" s="26" t="s">
        <v>244</v>
      </c>
      <c r="H245" s="27" t="s">
        <v>169</v>
      </c>
      <c r="I245" s="24" t="s">
        <v>106</v>
      </c>
      <c r="J245" s="24" t="s">
        <v>107</v>
      </c>
      <c r="K245" s="28" t="s">
        <v>108</v>
      </c>
      <c r="L245" s="29">
        <v>0</v>
      </c>
      <c r="M245" s="29">
        <v>0</v>
      </c>
      <c r="N245" s="29">
        <v>6.5000000000000006E-3</v>
      </c>
      <c r="O245" s="27" t="s">
        <v>173</v>
      </c>
      <c r="P245" s="30" t="s">
        <v>164</v>
      </c>
      <c r="Q245" s="31">
        <v>2026382193.5</v>
      </c>
      <c r="R245" s="31">
        <v>1263.8</v>
      </c>
      <c r="S245" s="32">
        <v>2.5836999999999999E-2</v>
      </c>
      <c r="T245" s="32">
        <v>2.0599999999999999E-4</v>
      </c>
      <c r="U245" s="32">
        <v>6.7299999999999999E-4</v>
      </c>
      <c r="V245" s="32">
        <v>2.2130000000000001E-3</v>
      </c>
      <c r="W245" s="32">
        <v>5.8019999999999999E-3</v>
      </c>
      <c r="X245" s="32">
        <v>1.1913999999999999E-2</v>
      </c>
      <c r="Y245" s="32">
        <v>2.5836999999999999E-2</v>
      </c>
      <c r="Z245" s="32">
        <v>6.0876E-2</v>
      </c>
      <c r="AA245" s="32">
        <v>9.6829999999999999E-2</v>
      </c>
      <c r="AB245" s="32">
        <v>0.130604</v>
      </c>
    </row>
    <row r="246" spans="1:28" ht="15.6" customHeight="1" x14ac:dyDescent="0.25">
      <c r="A246" s="24" t="s">
        <v>847</v>
      </c>
      <c r="B246" s="50">
        <v>4131</v>
      </c>
      <c r="C246" s="25" t="s">
        <v>848</v>
      </c>
      <c r="D246" s="25" t="s">
        <v>261</v>
      </c>
      <c r="E246" s="25" t="s">
        <v>194</v>
      </c>
      <c r="F246" s="25" t="s">
        <v>103</v>
      </c>
      <c r="G246" s="26" t="s">
        <v>244</v>
      </c>
      <c r="H246" s="27" t="s">
        <v>849</v>
      </c>
      <c r="I246" s="24" t="s">
        <v>106</v>
      </c>
      <c r="J246" s="24" t="s">
        <v>107</v>
      </c>
      <c r="K246" s="28" t="s">
        <v>108</v>
      </c>
      <c r="L246" s="29">
        <v>0</v>
      </c>
      <c r="M246" s="29">
        <v>0</v>
      </c>
      <c r="N246" s="29">
        <v>0.01</v>
      </c>
      <c r="O246" s="27" t="s">
        <v>548</v>
      </c>
      <c r="P246" s="30" t="s">
        <v>261</v>
      </c>
      <c r="Q246" s="31">
        <v>889383031.47000003</v>
      </c>
      <c r="R246" s="31">
        <v>140.36000000000001</v>
      </c>
      <c r="S246" s="32">
        <v>2.6549E-2</v>
      </c>
      <c r="T246" s="32">
        <v>4.28E-4</v>
      </c>
      <c r="U246" s="32">
        <v>8.5599999999999999E-4</v>
      </c>
      <c r="V246" s="32">
        <v>2.5000000000000001E-3</v>
      </c>
      <c r="W246" s="32">
        <v>6.2370000000000004E-3</v>
      </c>
      <c r="X246" s="32">
        <v>1.2114E-2</v>
      </c>
      <c r="Y246" s="32">
        <v>2.6549E-2</v>
      </c>
      <c r="Z246" s="32">
        <v>6.0040999999999997E-2</v>
      </c>
      <c r="AA246" s="32">
        <v>9.3657000000000004E-2</v>
      </c>
      <c r="AB246" s="32">
        <v>0.127027</v>
      </c>
    </row>
    <row r="247" spans="1:28" ht="15.6" customHeight="1" x14ac:dyDescent="0.25">
      <c r="A247" s="24" t="s">
        <v>850</v>
      </c>
      <c r="B247" s="50">
        <v>4132</v>
      </c>
      <c r="C247" s="25" t="s">
        <v>851</v>
      </c>
      <c r="D247" s="25" t="s">
        <v>261</v>
      </c>
      <c r="E247" s="25" t="s">
        <v>194</v>
      </c>
      <c r="F247" s="25" t="s">
        <v>113</v>
      </c>
      <c r="G247" s="26" t="s">
        <v>852</v>
      </c>
      <c r="H247" s="27" t="s">
        <v>115</v>
      </c>
      <c r="I247" s="24" t="s">
        <v>106</v>
      </c>
      <c r="J247" s="24" t="s">
        <v>107</v>
      </c>
      <c r="K247" s="28" t="s">
        <v>108</v>
      </c>
      <c r="L247" s="29">
        <v>0.01</v>
      </c>
      <c r="M247" s="29">
        <v>5.0000000000000001E-3</v>
      </c>
      <c r="N247" s="29">
        <v>0.01</v>
      </c>
      <c r="O247" s="27" t="s">
        <v>116</v>
      </c>
      <c r="P247" s="30" t="s">
        <v>261</v>
      </c>
      <c r="Q247" s="31">
        <v>1366369135.3099999</v>
      </c>
      <c r="R247" s="31">
        <v>141.37</v>
      </c>
      <c r="S247" s="32">
        <v>5.6892999999999999E-2</v>
      </c>
      <c r="T247" s="32">
        <v>-4.2400000000000001E-4</v>
      </c>
      <c r="U247" s="32">
        <v>-1.9059999999999999E-3</v>
      </c>
      <c r="V247" s="32">
        <v>4.8329999999999996E-3</v>
      </c>
      <c r="W247" s="32">
        <v>-2.6099999999999999E-3</v>
      </c>
      <c r="X247" s="32">
        <v>8.0579999999999992E-3</v>
      </c>
      <c r="Y247" s="32">
        <v>5.6892999999999999E-2</v>
      </c>
      <c r="Z247" s="32">
        <v>0.14210700000000001</v>
      </c>
      <c r="AA247" s="32">
        <v>9.8958000000000004E-2</v>
      </c>
      <c r="AB247" s="32">
        <v>5.5079000000000003E-2</v>
      </c>
    </row>
    <row r="248" spans="1:28" ht="15.6" customHeight="1" x14ac:dyDescent="0.25">
      <c r="A248" s="24" t="s">
        <v>853</v>
      </c>
      <c r="B248" s="50">
        <v>4133</v>
      </c>
      <c r="C248" s="25" t="s">
        <v>854</v>
      </c>
      <c r="D248" s="25" t="s">
        <v>261</v>
      </c>
      <c r="E248" s="25" t="s">
        <v>194</v>
      </c>
      <c r="F248" s="25" t="s">
        <v>155</v>
      </c>
      <c r="G248" s="26" t="s">
        <v>139</v>
      </c>
      <c r="H248" s="27" t="s">
        <v>202</v>
      </c>
      <c r="I248" s="24" t="s">
        <v>106</v>
      </c>
      <c r="J248" s="24" t="s">
        <v>107</v>
      </c>
      <c r="K248" s="28" t="s">
        <v>108</v>
      </c>
      <c r="L248" s="29">
        <v>0.02</v>
      </c>
      <c r="M248" s="29">
        <v>1.4999999999999999E-2</v>
      </c>
      <c r="N248" s="29">
        <v>0.02</v>
      </c>
      <c r="O248" s="27" t="s">
        <v>116</v>
      </c>
      <c r="P248" s="30" t="s">
        <v>261</v>
      </c>
      <c r="Q248" s="31">
        <v>3013877.42</v>
      </c>
      <c r="R248" s="31">
        <v>155.49</v>
      </c>
      <c r="S248" s="32">
        <v>0.17457300000000001</v>
      </c>
      <c r="T248" s="32">
        <v>3.8739999999999998E-3</v>
      </c>
      <c r="U248" s="32">
        <v>-1.3325999999999999E-2</v>
      </c>
      <c r="V248" s="32">
        <v>1.6100000000000001E-3</v>
      </c>
      <c r="W248" s="32">
        <v>6.8640000000000003E-3</v>
      </c>
      <c r="X248" s="32">
        <v>-1.2574E-2</v>
      </c>
      <c r="Y248" s="32">
        <v>0.17457300000000001</v>
      </c>
      <c r="Z248" s="32">
        <v>0.39854299999999998</v>
      </c>
      <c r="AA248" s="32">
        <v>0.51771599999999995</v>
      </c>
      <c r="AB248" s="32">
        <v>0.45521800000000001</v>
      </c>
    </row>
    <row r="249" spans="1:28" ht="15.6" customHeight="1" x14ac:dyDescent="0.25">
      <c r="A249" s="24" t="s">
        <v>855</v>
      </c>
      <c r="B249" s="50">
        <v>4138</v>
      </c>
      <c r="C249" s="25" t="s">
        <v>856</v>
      </c>
      <c r="D249" s="25" t="s">
        <v>164</v>
      </c>
      <c r="E249" s="25" t="s">
        <v>194</v>
      </c>
      <c r="F249" s="25" t="s">
        <v>103</v>
      </c>
      <c r="G249" s="26" t="s">
        <v>244</v>
      </c>
      <c r="H249" s="27" t="s">
        <v>857</v>
      </c>
      <c r="I249" s="24" t="s">
        <v>106</v>
      </c>
      <c r="J249" s="24" t="s">
        <v>107</v>
      </c>
      <c r="K249" s="28" t="s">
        <v>108</v>
      </c>
      <c r="L249" s="29">
        <v>0.01</v>
      </c>
      <c r="M249" s="29">
        <v>0.01</v>
      </c>
      <c r="N249" s="29">
        <v>0.01</v>
      </c>
      <c r="O249" s="27" t="s">
        <v>166</v>
      </c>
      <c r="P249" s="30" t="s">
        <v>164</v>
      </c>
      <c r="Q249" s="31">
        <v>3131766840.4099998</v>
      </c>
      <c r="R249" s="31">
        <v>1214.6099999999999</v>
      </c>
      <c r="S249" s="32">
        <v>2.8233000000000001E-2</v>
      </c>
      <c r="T249" s="32">
        <v>2.5500000000000002E-4</v>
      </c>
      <c r="U249" s="32">
        <v>7.2499999999999995E-4</v>
      </c>
      <c r="V249" s="32">
        <v>2.3349999999999998E-3</v>
      </c>
      <c r="W249" s="32">
        <v>6.0049999999999999E-3</v>
      </c>
      <c r="X249" s="32">
        <v>1.231E-2</v>
      </c>
      <c r="Y249" s="32">
        <v>2.8233000000000001E-2</v>
      </c>
      <c r="Z249" s="32">
        <v>6.1945E-2</v>
      </c>
      <c r="AA249" s="32">
        <v>9.6801999999999999E-2</v>
      </c>
      <c r="AB249" s="32">
        <v>0.12668399999999999</v>
      </c>
    </row>
    <row r="250" spans="1:28" ht="15.6" customHeight="1" x14ac:dyDescent="0.25">
      <c r="A250" s="24" t="s">
        <v>858</v>
      </c>
      <c r="B250" s="50">
        <v>4139</v>
      </c>
      <c r="C250" s="25" t="s">
        <v>859</v>
      </c>
      <c r="D250" s="25" t="s">
        <v>504</v>
      </c>
      <c r="E250" s="25" t="s">
        <v>194</v>
      </c>
      <c r="F250" s="25" t="s">
        <v>128</v>
      </c>
      <c r="G250" s="26" t="s">
        <v>289</v>
      </c>
      <c r="H250" s="27" t="s">
        <v>130</v>
      </c>
      <c r="I250" s="24" t="s">
        <v>106</v>
      </c>
      <c r="J250" s="24" t="s">
        <v>107</v>
      </c>
      <c r="K250" s="28" t="s">
        <v>108</v>
      </c>
      <c r="L250" s="29">
        <v>0.01</v>
      </c>
      <c r="M250" s="29">
        <v>0.01</v>
      </c>
      <c r="N250" s="29">
        <v>0.01</v>
      </c>
      <c r="O250" s="27" t="s">
        <v>161</v>
      </c>
      <c r="P250" s="30" t="s">
        <v>504</v>
      </c>
      <c r="Q250" s="31">
        <v>3509485828.1399999</v>
      </c>
      <c r="R250" s="31">
        <v>1300.27</v>
      </c>
      <c r="S250" s="32">
        <v>3.1944E-2</v>
      </c>
      <c r="T250" s="32">
        <v>1E-4</v>
      </c>
      <c r="U250" s="32">
        <v>5.7700000000000004E-4</v>
      </c>
      <c r="V250" s="32">
        <v>2.7529999999999998E-3</v>
      </c>
      <c r="W250" s="32">
        <v>6.051E-3</v>
      </c>
      <c r="X250" s="32">
        <v>1.2774000000000001E-2</v>
      </c>
      <c r="Y250" s="32">
        <v>3.1944E-2</v>
      </c>
      <c r="Z250" s="32">
        <v>7.4416999999999997E-2</v>
      </c>
      <c r="AA250" s="32">
        <v>0.11234</v>
      </c>
      <c r="AB250" s="32">
        <v>0.15115000000000001</v>
      </c>
    </row>
    <row r="251" spans="1:28" ht="15.6" customHeight="1" x14ac:dyDescent="0.25">
      <c r="A251" s="24" t="s">
        <v>860</v>
      </c>
      <c r="B251" s="50">
        <v>4140</v>
      </c>
      <c r="C251" s="25" t="s">
        <v>861</v>
      </c>
      <c r="D251" s="25" t="s">
        <v>322</v>
      </c>
      <c r="E251" s="25" t="s">
        <v>194</v>
      </c>
      <c r="F251" s="25" t="s">
        <v>128</v>
      </c>
      <c r="G251" s="26" t="s">
        <v>289</v>
      </c>
      <c r="H251" s="27" t="s">
        <v>130</v>
      </c>
      <c r="I251" s="24" t="s">
        <v>106</v>
      </c>
      <c r="J251" s="24" t="s">
        <v>107</v>
      </c>
      <c r="K251" s="28" t="s">
        <v>108</v>
      </c>
      <c r="L251" s="29">
        <v>0.03</v>
      </c>
      <c r="M251" s="29">
        <v>1.4999999999999999E-2</v>
      </c>
      <c r="N251" s="29">
        <v>0.02</v>
      </c>
      <c r="O251" s="27" t="s">
        <v>161</v>
      </c>
      <c r="P251" s="30" t="s">
        <v>322</v>
      </c>
      <c r="Q251" s="31">
        <v>655522.41</v>
      </c>
      <c r="R251" s="31">
        <v>125.68</v>
      </c>
      <c r="S251" s="32">
        <v>2.0461E-2</v>
      </c>
      <c r="T251" s="32">
        <v>2.3900000000000001E-4</v>
      </c>
      <c r="U251" s="32">
        <v>6.3699999999999998E-4</v>
      </c>
      <c r="V251" s="32">
        <v>1.913E-3</v>
      </c>
      <c r="W251" s="32">
        <v>4.4759999999999999E-3</v>
      </c>
      <c r="X251" s="32">
        <v>7.6969999999999998E-3</v>
      </c>
      <c r="Y251" s="32">
        <v>2.0461E-2</v>
      </c>
      <c r="Z251" s="32">
        <v>4.9431999999999997E-2</v>
      </c>
      <c r="AA251" s="32">
        <v>8.4476999999999997E-2</v>
      </c>
      <c r="AB251" s="32">
        <v>0.108876</v>
      </c>
    </row>
    <row r="252" spans="1:28" ht="15.6" customHeight="1" x14ac:dyDescent="0.25">
      <c r="A252" s="24" t="s">
        <v>862</v>
      </c>
      <c r="B252" s="50">
        <v>4150</v>
      </c>
      <c r="C252" s="25" t="s">
        <v>863</v>
      </c>
      <c r="D252" s="25" t="s">
        <v>164</v>
      </c>
      <c r="E252" s="25" t="s">
        <v>194</v>
      </c>
      <c r="F252" s="25" t="s">
        <v>113</v>
      </c>
      <c r="G252" s="26" t="s">
        <v>347</v>
      </c>
      <c r="H252" s="27" t="s">
        <v>115</v>
      </c>
      <c r="I252" s="24" t="s">
        <v>106</v>
      </c>
      <c r="J252" s="24" t="s">
        <v>121</v>
      </c>
      <c r="K252" s="28" t="s">
        <v>227</v>
      </c>
      <c r="L252" s="29">
        <v>0.03</v>
      </c>
      <c r="M252" s="29">
        <v>1.4999999999999999E-2</v>
      </c>
      <c r="N252" s="29">
        <v>0.02</v>
      </c>
      <c r="O252" s="27" t="s">
        <v>173</v>
      </c>
      <c r="P252" s="30" t="s">
        <v>663</v>
      </c>
      <c r="Q252" s="31">
        <v>1965346507.29</v>
      </c>
      <c r="R252" s="31">
        <v>1165.94</v>
      </c>
      <c r="S252" s="32">
        <v>6.5305000000000002E-2</v>
      </c>
      <c r="T252" s="32">
        <v>-3.9399999999999998E-4</v>
      </c>
      <c r="U252" s="32">
        <v>1.2899999999999999E-4</v>
      </c>
      <c r="V252" s="32">
        <v>8.3890000000000006E-3</v>
      </c>
      <c r="W252" s="32">
        <v>-3.836E-3</v>
      </c>
      <c r="X252" s="32">
        <v>7.4739999999999997E-3</v>
      </c>
      <c r="Y252" s="32">
        <v>6.5305000000000002E-2</v>
      </c>
      <c r="Z252" s="32">
        <v>0.16956599999999999</v>
      </c>
      <c r="AA252" s="32">
        <v>0.16325400000000001</v>
      </c>
      <c r="AB252" s="32">
        <v>0.16605900000000001</v>
      </c>
    </row>
    <row r="253" spans="1:28" ht="15.6" customHeight="1" x14ac:dyDescent="0.25">
      <c r="A253" s="24" t="s">
        <v>864</v>
      </c>
      <c r="B253" s="50">
        <v>4151</v>
      </c>
      <c r="C253" s="25" t="s">
        <v>865</v>
      </c>
      <c r="D253" s="25" t="s">
        <v>164</v>
      </c>
      <c r="E253" s="25" t="s">
        <v>194</v>
      </c>
      <c r="F253" s="25" t="s">
        <v>113</v>
      </c>
      <c r="G253" s="26" t="s">
        <v>866</v>
      </c>
      <c r="H253" s="27" t="s">
        <v>115</v>
      </c>
      <c r="I253" s="24" t="s">
        <v>106</v>
      </c>
      <c r="J253" s="24" t="s">
        <v>107</v>
      </c>
      <c r="K253" s="28" t="s">
        <v>108</v>
      </c>
      <c r="L253" s="29">
        <v>0.03</v>
      </c>
      <c r="M253" s="29">
        <v>1.4999999999999999E-2</v>
      </c>
      <c r="N253" s="29">
        <v>0.02</v>
      </c>
      <c r="O253" s="27" t="s">
        <v>173</v>
      </c>
      <c r="P253" s="30" t="s">
        <v>663</v>
      </c>
      <c r="Q253" s="31">
        <v>159368282.33000001</v>
      </c>
      <c r="R253" s="31">
        <v>1237.1199999999999</v>
      </c>
      <c r="S253" s="32">
        <v>3.8549E-2</v>
      </c>
      <c r="T253" s="32">
        <v>1.37E-4</v>
      </c>
      <c r="U253" s="32">
        <v>-2.5900000000000001E-4</v>
      </c>
      <c r="V253" s="32">
        <v>3.7569999999999999E-3</v>
      </c>
      <c r="W253" s="32">
        <v>-3.4480000000000001E-3</v>
      </c>
      <c r="X253" s="32">
        <v>1.3190000000000001E-3</v>
      </c>
      <c r="Y253" s="32">
        <v>3.8549E-2</v>
      </c>
      <c r="Z253" s="32">
        <v>0.11810900000000001</v>
      </c>
      <c r="AA253" s="32">
        <v>0.15543100000000001</v>
      </c>
      <c r="AB253" s="32">
        <v>0.163242</v>
      </c>
    </row>
    <row r="254" spans="1:28" ht="15.6" customHeight="1" x14ac:dyDescent="0.25">
      <c r="A254" s="24" t="s">
        <v>867</v>
      </c>
      <c r="B254" s="50">
        <v>4159</v>
      </c>
      <c r="C254" s="25" t="s">
        <v>868</v>
      </c>
      <c r="D254" s="25" t="s">
        <v>112</v>
      </c>
      <c r="E254" s="25" t="s">
        <v>194</v>
      </c>
      <c r="F254" s="25" t="s">
        <v>113</v>
      </c>
      <c r="G254" s="26" t="s">
        <v>531</v>
      </c>
      <c r="H254" s="27" t="s">
        <v>199</v>
      </c>
      <c r="I254" s="24" t="s">
        <v>106</v>
      </c>
      <c r="J254" s="24" t="s">
        <v>121</v>
      </c>
      <c r="K254" s="28" t="s">
        <v>108</v>
      </c>
      <c r="L254" s="29">
        <v>0.03</v>
      </c>
      <c r="M254" s="29">
        <v>1.4999999999999999E-2</v>
      </c>
      <c r="N254" s="29">
        <v>0.02</v>
      </c>
      <c r="O254" s="27" t="s">
        <v>116</v>
      </c>
      <c r="P254" s="30" t="s">
        <v>112</v>
      </c>
      <c r="Q254" s="31">
        <v>1682234321.6400001</v>
      </c>
      <c r="R254" s="31">
        <v>1215.8599999999999</v>
      </c>
      <c r="S254" s="32">
        <v>4.8924000000000002E-2</v>
      </c>
      <c r="T254" s="32">
        <v>-2.052E-3</v>
      </c>
      <c r="U254" s="32">
        <v>-2.052E-3</v>
      </c>
      <c r="V254" s="32">
        <v>5.4580000000000002E-3</v>
      </c>
      <c r="W254" s="32">
        <v>-3.516E-3</v>
      </c>
      <c r="X254" s="32">
        <v>4.8349999999999999E-3</v>
      </c>
      <c r="Y254" s="32">
        <v>4.8924000000000002E-2</v>
      </c>
      <c r="Z254" s="32">
        <v>0.138659</v>
      </c>
      <c r="AA254" s="32">
        <v>0.17709800000000001</v>
      </c>
      <c r="AB254" s="32">
        <v>0.19984199999999999</v>
      </c>
    </row>
    <row r="255" spans="1:28" ht="15.6" customHeight="1" x14ac:dyDescent="0.25">
      <c r="A255" s="24" t="s">
        <v>869</v>
      </c>
      <c r="B255" s="50">
        <v>4160</v>
      </c>
      <c r="C255" s="25" t="s">
        <v>870</v>
      </c>
      <c r="D255" s="25" t="s">
        <v>112</v>
      </c>
      <c r="E255" s="25" t="s">
        <v>194</v>
      </c>
      <c r="F255" s="25" t="s">
        <v>103</v>
      </c>
      <c r="G255" s="26" t="s">
        <v>244</v>
      </c>
      <c r="H255" s="27" t="s">
        <v>567</v>
      </c>
      <c r="I255" s="24" t="s">
        <v>106</v>
      </c>
      <c r="J255" s="24" t="s">
        <v>107</v>
      </c>
      <c r="K255" s="28" t="s">
        <v>108</v>
      </c>
      <c r="L255" s="29">
        <v>0.03</v>
      </c>
      <c r="M255" s="29">
        <v>1.4999999999999999E-2</v>
      </c>
      <c r="N255" s="29">
        <v>0.02</v>
      </c>
      <c r="O255" s="27" t="s">
        <v>161</v>
      </c>
      <c r="P255" s="30" t="s">
        <v>112</v>
      </c>
      <c r="Q255" s="31">
        <v>241736652.27000001</v>
      </c>
      <c r="R255" s="31">
        <v>1126.27</v>
      </c>
      <c r="S255" s="32">
        <v>2.6963000000000001E-2</v>
      </c>
      <c r="T255" s="32">
        <v>2.4000000000000001E-4</v>
      </c>
      <c r="U255" s="32">
        <v>7.1100000000000004E-4</v>
      </c>
      <c r="V255" s="32">
        <v>2.385E-3</v>
      </c>
      <c r="W255" s="32">
        <v>5.94E-3</v>
      </c>
      <c r="X255" s="32">
        <v>1.2186000000000001E-2</v>
      </c>
      <c r="Y255" s="32">
        <v>2.6963000000000001E-2</v>
      </c>
      <c r="Z255" s="32">
        <v>6.1006999999999999E-2</v>
      </c>
      <c r="AA255" s="32">
        <v>9.4199000000000005E-2</v>
      </c>
      <c r="AB255" s="32">
        <v>0.12595500000000001</v>
      </c>
    </row>
    <row r="256" spans="1:28" ht="15.6" customHeight="1" x14ac:dyDescent="0.25">
      <c r="A256" s="24" t="s">
        <v>871</v>
      </c>
      <c r="B256" s="50">
        <v>4161</v>
      </c>
      <c r="C256" s="25" t="s">
        <v>872</v>
      </c>
      <c r="D256" s="25" t="s">
        <v>112</v>
      </c>
      <c r="E256" s="25" t="s">
        <v>194</v>
      </c>
      <c r="F256" s="25" t="s">
        <v>128</v>
      </c>
      <c r="G256" s="26" t="s">
        <v>289</v>
      </c>
      <c r="H256" s="27" t="s">
        <v>130</v>
      </c>
      <c r="I256" s="24" t="s">
        <v>106</v>
      </c>
      <c r="J256" s="24" t="s">
        <v>107</v>
      </c>
      <c r="K256" s="28" t="s">
        <v>108</v>
      </c>
      <c r="L256" s="29">
        <v>0.03</v>
      </c>
      <c r="M256" s="29">
        <v>1.4999999999999999E-2</v>
      </c>
      <c r="N256" s="29">
        <v>0.02</v>
      </c>
      <c r="O256" s="27" t="s">
        <v>161</v>
      </c>
      <c r="P256" s="30" t="s">
        <v>112</v>
      </c>
      <c r="Q256" s="31">
        <v>1101073.71</v>
      </c>
      <c r="R256" s="31">
        <v>1101.07</v>
      </c>
      <c r="S256" s="32">
        <v>2.1249000000000001E-2</v>
      </c>
      <c r="T256" s="32">
        <v>-1.0900000000000001E-4</v>
      </c>
      <c r="U256" s="32">
        <v>2.4499999999999999E-4</v>
      </c>
      <c r="V256" s="32">
        <v>1.8010000000000001E-3</v>
      </c>
      <c r="W256" s="32">
        <v>3.8019999999999998E-3</v>
      </c>
      <c r="X256" s="32">
        <v>8.6750000000000004E-3</v>
      </c>
      <c r="Y256" s="32">
        <v>2.1249000000000001E-2</v>
      </c>
      <c r="Z256" s="32">
        <v>5.1121E-2</v>
      </c>
      <c r="AA256" s="32">
        <v>7.6230999999999993E-2</v>
      </c>
      <c r="AB256" s="32">
        <v>9.9915000000000004E-2</v>
      </c>
    </row>
    <row r="257" spans="1:28" ht="15.6" customHeight="1" x14ac:dyDescent="0.25">
      <c r="A257" s="24" t="s">
        <v>873</v>
      </c>
      <c r="B257" s="50">
        <v>4166</v>
      </c>
      <c r="C257" s="25" t="s">
        <v>874</v>
      </c>
      <c r="D257" s="25" t="s">
        <v>164</v>
      </c>
      <c r="E257" s="25" t="s">
        <v>194</v>
      </c>
      <c r="F257" s="25" t="s">
        <v>138</v>
      </c>
      <c r="G257" s="26" t="s">
        <v>139</v>
      </c>
      <c r="H257" s="27" t="s">
        <v>875</v>
      </c>
      <c r="I257" s="24" t="s">
        <v>106</v>
      </c>
      <c r="J257" s="24" t="s">
        <v>121</v>
      </c>
      <c r="K257" s="28" t="s">
        <v>108</v>
      </c>
      <c r="L257" s="29">
        <v>0.03</v>
      </c>
      <c r="M257" s="29">
        <v>1.4999999999999999E-2</v>
      </c>
      <c r="N257" s="29">
        <v>0.02</v>
      </c>
      <c r="O257" s="27" t="s">
        <v>548</v>
      </c>
      <c r="P257" s="30" t="s">
        <v>164</v>
      </c>
      <c r="Q257" s="31">
        <v>5920257006.7600002</v>
      </c>
      <c r="R257" s="31">
        <v>1233.8499999999999</v>
      </c>
      <c r="S257" s="32">
        <v>0.125642</v>
      </c>
      <c r="T257" s="32">
        <v>1.3960000000000001E-3</v>
      </c>
      <c r="U257" s="32">
        <v>-3.0460000000000001E-3</v>
      </c>
      <c r="V257" s="32">
        <v>6.058E-3</v>
      </c>
      <c r="W257" s="32">
        <v>-2.0709999999999999E-3</v>
      </c>
      <c r="X257" s="32">
        <v>1.0938E-2</v>
      </c>
      <c r="Y257" s="32">
        <v>0.125642</v>
      </c>
      <c r="Z257" s="32">
        <v>0.26623999999999998</v>
      </c>
      <c r="AA257" s="32">
        <v>0.33876899999999999</v>
      </c>
      <c r="AB257" s="32" t="s">
        <v>139</v>
      </c>
    </row>
    <row r="258" spans="1:28" ht="15.6" customHeight="1" x14ac:dyDescent="0.25">
      <c r="A258" s="24" t="s">
        <v>876</v>
      </c>
      <c r="B258" s="50">
        <v>4168</v>
      </c>
      <c r="C258" s="25" t="s">
        <v>877</v>
      </c>
      <c r="D258" s="25" t="s">
        <v>127</v>
      </c>
      <c r="E258" s="25" t="s">
        <v>194</v>
      </c>
      <c r="F258" s="25" t="s">
        <v>103</v>
      </c>
      <c r="G258" s="26" t="s">
        <v>104</v>
      </c>
      <c r="H258" s="27" t="s">
        <v>217</v>
      </c>
      <c r="I258" s="24" t="s">
        <v>106</v>
      </c>
      <c r="J258" s="24" t="s">
        <v>107</v>
      </c>
      <c r="K258" s="28" t="s">
        <v>108</v>
      </c>
      <c r="L258" s="29">
        <v>0</v>
      </c>
      <c r="M258" s="29">
        <v>0</v>
      </c>
      <c r="N258" s="29">
        <v>5.0000000000000001E-3</v>
      </c>
      <c r="O258" s="27" t="s">
        <v>131</v>
      </c>
      <c r="P258" s="30" t="s">
        <v>131</v>
      </c>
      <c r="Q258" s="31">
        <v>4329740491.79</v>
      </c>
      <c r="R258" s="31">
        <v>16590.900000000001</v>
      </c>
      <c r="S258" s="32">
        <v>2.6324E-2</v>
      </c>
      <c r="T258" s="32">
        <v>3.0400000000000002E-4</v>
      </c>
      <c r="U258" s="32">
        <v>7.8899999999999999E-4</v>
      </c>
      <c r="V258" s="32">
        <v>2.366E-3</v>
      </c>
      <c r="W258" s="32">
        <v>6.0910000000000001E-3</v>
      </c>
      <c r="X258" s="32">
        <v>1.2217E-2</v>
      </c>
      <c r="Y258" s="32">
        <v>2.6324E-2</v>
      </c>
      <c r="Z258" s="32">
        <v>6.1051000000000001E-2</v>
      </c>
      <c r="AA258" s="32">
        <v>9.6353999999999995E-2</v>
      </c>
      <c r="AB258" s="32">
        <v>0.12976399999999999</v>
      </c>
    </row>
    <row r="259" spans="1:28" ht="15.6" customHeight="1" x14ac:dyDescent="0.25">
      <c r="A259" s="24" t="s">
        <v>878</v>
      </c>
      <c r="B259" s="50">
        <v>4169</v>
      </c>
      <c r="C259" s="25" t="s">
        <v>879</v>
      </c>
      <c r="D259" s="25" t="s">
        <v>127</v>
      </c>
      <c r="E259" s="25" t="s">
        <v>194</v>
      </c>
      <c r="F259" s="25" t="s">
        <v>361</v>
      </c>
      <c r="G259" s="26" t="s">
        <v>139</v>
      </c>
      <c r="H259" s="27" t="s">
        <v>188</v>
      </c>
      <c r="I259" s="24" t="s">
        <v>106</v>
      </c>
      <c r="J259" s="24" t="s">
        <v>107</v>
      </c>
      <c r="K259" s="28" t="s">
        <v>108</v>
      </c>
      <c r="L259" s="29">
        <v>0</v>
      </c>
      <c r="M259" s="29">
        <v>0</v>
      </c>
      <c r="N259" s="29">
        <v>0.02</v>
      </c>
      <c r="O259" s="27" t="s">
        <v>131</v>
      </c>
      <c r="P259" s="30" t="s">
        <v>131</v>
      </c>
      <c r="Q259" s="31">
        <v>2045723129.05</v>
      </c>
      <c r="R259" s="31">
        <v>141177.82999999999</v>
      </c>
      <c r="S259" s="32">
        <v>2.0279999999999999E-2</v>
      </c>
      <c r="T259" s="32">
        <v>5.3000000000000001E-5</v>
      </c>
      <c r="U259" s="32">
        <v>3.6999999999999999E-4</v>
      </c>
      <c r="V259" s="32">
        <v>1.5319999999999999E-3</v>
      </c>
      <c r="W259" s="32">
        <v>4.7609999999999996E-3</v>
      </c>
      <c r="X259" s="32">
        <v>9.6939999999999995E-3</v>
      </c>
      <c r="Y259" s="32">
        <v>2.0279999999999999E-2</v>
      </c>
      <c r="Z259" s="32">
        <v>4.6260000000000003E-2</v>
      </c>
      <c r="AA259" s="32">
        <v>7.3258000000000004E-2</v>
      </c>
      <c r="AB259" s="32">
        <v>9.8835000000000006E-2</v>
      </c>
    </row>
    <row r="260" spans="1:28" ht="15.6" customHeight="1" x14ac:dyDescent="0.25">
      <c r="A260" s="24" t="s">
        <v>881</v>
      </c>
      <c r="B260" s="50">
        <v>4171</v>
      </c>
      <c r="C260" s="25" t="s">
        <v>882</v>
      </c>
      <c r="D260" s="25" t="s">
        <v>127</v>
      </c>
      <c r="E260" s="25" t="s">
        <v>194</v>
      </c>
      <c r="F260" s="25" t="s">
        <v>128</v>
      </c>
      <c r="G260" s="26" t="s">
        <v>250</v>
      </c>
      <c r="H260" s="27" t="s">
        <v>130</v>
      </c>
      <c r="I260" s="24" t="s">
        <v>106</v>
      </c>
      <c r="J260" s="24" t="s">
        <v>107</v>
      </c>
      <c r="K260" s="28" t="s">
        <v>108</v>
      </c>
      <c r="L260" s="29">
        <v>0</v>
      </c>
      <c r="M260" s="29">
        <v>0</v>
      </c>
      <c r="N260" s="29">
        <v>0.02</v>
      </c>
      <c r="O260" s="27" t="s">
        <v>131</v>
      </c>
      <c r="P260" s="30" t="s">
        <v>131</v>
      </c>
      <c r="Q260" s="31">
        <v>5143488415.0900002</v>
      </c>
      <c r="R260" s="31">
        <v>1512.86</v>
      </c>
      <c r="S260" s="32">
        <v>3.0088E-2</v>
      </c>
      <c r="T260" s="32">
        <v>1.5200000000000001E-4</v>
      </c>
      <c r="U260" s="32">
        <v>6.2200000000000005E-4</v>
      </c>
      <c r="V260" s="32">
        <v>2.7369999999999998E-3</v>
      </c>
      <c r="W260" s="32">
        <v>5.7099999999999998E-3</v>
      </c>
      <c r="X260" s="32">
        <v>1.2238000000000001E-2</v>
      </c>
      <c r="Y260" s="32">
        <v>3.0088E-2</v>
      </c>
      <c r="Z260" s="32">
        <v>6.9891999999999996E-2</v>
      </c>
      <c r="AA260" s="32">
        <v>0.10990800000000001</v>
      </c>
      <c r="AB260" s="32">
        <v>0.14366300000000001</v>
      </c>
    </row>
    <row r="261" spans="1:28" ht="15.6" customHeight="1" x14ac:dyDescent="0.25">
      <c r="A261" s="24" t="s">
        <v>888</v>
      </c>
      <c r="B261" s="50">
        <v>4174</v>
      </c>
      <c r="C261" s="25" t="s">
        <v>889</v>
      </c>
      <c r="D261" s="25" t="s">
        <v>127</v>
      </c>
      <c r="E261" s="25" t="s">
        <v>194</v>
      </c>
      <c r="F261" s="25" t="s">
        <v>103</v>
      </c>
      <c r="G261" s="26" t="s">
        <v>216</v>
      </c>
      <c r="H261" s="27" t="s">
        <v>806</v>
      </c>
      <c r="I261" s="24" t="s">
        <v>106</v>
      </c>
      <c r="J261" s="24" t="s">
        <v>107</v>
      </c>
      <c r="K261" s="28" t="s">
        <v>108</v>
      </c>
      <c r="L261" s="29">
        <v>0</v>
      </c>
      <c r="M261" s="29">
        <v>0</v>
      </c>
      <c r="N261" s="29">
        <v>0.02</v>
      </c>
      <c r="O261" s="27" t="s">
        <v>131</v>
      </c>
      <c r="P261" s="30" t="s">
        <v>131</v>
      </c>
      <c r="Q261" s="31">
        <v>13629922.18</v>
      </c>
      <c r="R261" s="31">
        <v>1137.71</v>
      </c>
      <c r="S261" s="32">
        <v>2.0358999999999999E-2</v>
      </c>
      <c r="T261" s="32">
        <v>1.05E-4</v>
      </c>
      <c r="U261" s="32">
        <v>4.75E-4</v>
      </c>
      <c r="V261" s="32">
        <v>1.6459999999999999E-3</v>
      </c>
      <c r="W261" s="32">
        <v>4.6800000000000001E-3</v>
      </c>
      <c r="X261" s="32">
        <v>9.2429999999999995E-3</v>
      </c>
      <c r="Y261" s="32">
        <v>2.0358999999999999E-2</v>
      </c>
      <c r="Z261" s="32">
        <v>5.0226E-2</v>
      </c>
      <c r="AA261" s="32">
        <v>8.0589999999999995E-2</v>
      </c>
      <c r="AB261" s="32">
        <v>0.10659299999999999</v>
      </c>
    </row>
    <row r="262" spans="1:28" ht="15.6" customHeight="1" x14ac:dyDescent="0.25">
      <c r="A262" s="24" t="s">
        <v>890</v>
      </c>
      <c r="B262" s="50">
        <v>4181</v>
      </c>
      <c r="C262" s="25" t="s">
        <v>891</v>
      </c>
      <c r="D262" s="25" t="s">
        <v>101</v>
      </c>
      <c r="E262" s="25" t="s">
        <v>194</v>
      </c>
      <c r="F262" s="25" t="s">
        <v>103</v>
      </c>
      <c r="G262" s="26" t="s">
        <v>244</v>
      </c>
      <c r="H262" s="27" t="s">
        <v>337</v>
      </c>
      <c r="I262" s="24" t="s">
        <v>106</v>
      </c>
      <c r="J262" s="24" t="s">
        <v>107</v>
      </c>
      <c r="K262" s="28" t="s">
        <v>108</v>
      </c>
      <c r="L262" s="29">
        <v>0</v>
      </c>
      <c r="M262" s="29">
        <v>0</v>
      </c>
      <c r="N262" s="29">
        <v>0.02</v>
      </c>
      <c r="O262" s="27" t="s">
        <v>109</v>
      </c>
      <c r="P262" s="30" t="s">
        <v>101</v>
      </c>
      <c r="Q262" s="31">
        <v>602521418.33000004</v>
      </c>
      <c r="R262" s="31">
        <v>14463.18</v>
      </c>
      <c r="S262" s="32">
        <v>2.2256999999999999E-2</v>
      </c>
      <c r="T262" s="32">
        <v>1.9900000000000001E-4</v>
      </c>
      <c r="U262" s="32">
        <v>6.0400000000000004E-4</v>
      </c>
      <c r="V262" s="32">
        <v>1.98E-3</v>
      </c>
      <c r="W262" s="32">
        <v>4.8690000000000001E-3</v>
      </c>
      <c r="X262" s="32">
        <v>1.0003E-2</v>
      </c>
      <c r="Y262" s="32">
        <v>2.2256999999999999E-2</v>
      </c>
      <c r="Z262" s="32">
        <v>5.1013000000000003E-2</v>
      </c>
      <c r="AA262" s="32">
        <v>7.9399999999999998E-2</v>
      </c>
      <c r="AB262" s="32">
        <v>0.10155599999999999</v>
      </c>
    </row>
    <row r="263" spans="1:28" ht="15.6" customHeight="1" x14ac:dyDescent="0.25">
      <c r="A263" s="24" t="s">
        <v>892</v>
      </c>
      <c r="B263" s="50">
        <v>4184</v>
      </c>
      <c r="C263" s="25" t="s">
        <v>893</v>
      </c>
      <c r="D263" s="25" t="s">
        <v>101</v>
      </c>
      <c r="E263" s="25" t="s">
        <v>194</v>
      </c>
      <c r="F263" s="25" t="s">
        <v>128</v>
      </c>
      <c r="G263" s="26" t="s">
        <v>289</v>
      </c>
      <c r="H263" s="27" t="s">
        <v>130</v>
      </c>
      <c r="I263" s="24" t="s">
        <v>106</v>
      </c>
      <c r="J263" s="24" t="s">
        <v>107</v>
      </c>
      <c r="K263" s="28" t="s">
        <v>108</v>
      </c>
      <c r="L263" s="29">
        <v>0</v>
      </c>
      <c r="M263" s="29">
        <v>0</v>
      </c>
      <c r="N263" s="29">
        <v>0.02</v>
      </c>
      <c r="O263" s="27" t="s">
        <v>109</v>
      </c>
      <c r="P263" s="30" t="s">
        <v>101</v>
      </c>
      <c r="Q263" s="31">
        <v>460828329.13999999</v>
      </c>
      <c r="R263" s="31">
        <v>124.52</v>
      </c>
      <c r="S263" s="32">
        <v>2.8580999999999999E-2</v>
      </c>
      <c r="T263" s="32">
        <v>2.41E-4</v>
      </c>
      <c r="U263" s="32">
        <v>7.2300000000000001E-4</v>
      </c>
      <c r="V263" s="32">
        <v>2.738E-3</v>
      </c>
      <c r="W263" s="32">
        <v>5.3290000000000004E-3</v>
      </c>
      <c r="X263" s="32">
        <v>1.1782000000000001E-2</v>
      </c>
      <c r="Y263" s="32">
        <v>2.8580999999999999E-2</v>
      </c>
      <c r="Z263" s="32">
        <v>6.6186999999999996E-2</v>
      </c>
      <c r="AA263" s="32">
        <v>0.10116700000000001</v>
      </c>
      <c r="AB263" s="32">
        <v>0.12667400000000001</v>
      </c>
    </row>
    <row r="264" spans="1:28" ht="15.6" customHeight="1" x14ac:dyDescent="0.25">
      <c r="A264" s="24" t="s">
        <v>899</v>
      </c>
      <c r="B264" s="50">
        <v>4189</v>
      </c>
      <c r="C264" s="25" t="s">
        <v>900</v>
      </c>
      <c r="D264" s="25" t="s">
        <v>101</v>
      </c>
      <c r="E264" s="25" t="s">
        <v>194</v>
      </c>
      <c r="F264" s="25" t="s">
        <v>103</v>
      </c>
      <c r="G264" s="26" t="s">
        <v>392</v>
      </c>
      <c r="H264" s="27" t="s">
        <v>217</v>
      </c>
      <c r="I264" s="24" t="s">
        <v>106</v>
      </c>
      <c r="J264" s="24" t="s">
        <v>107</v>
      </c>
      <c r="K264" s="28" t="s">
        <v>108</v>
      </c>
      <c r="L264" s="29">
        <v>0</v>
      </c>
      <c r="M264" s="29">
        <v>0</v>
      </c>
      <c r="N264" s="29">
        <v>0.02</v>
      </c>
      <c r="O264" s="27" t="s">
        <v>109</v>
      </c>
      <c r="P264" s="30" t="s">
        <v>101</v>
      </c>
      <c r="Q264" s="31">
        <v>372514476.94</v>
      </c>
      <c r="R264" s="31">
        <v>143954.26</v>
      </c>
      <c r="S264" s="32">
        <v>2.6317E-2</v>
      </c>
      <c r="T264" s="32">
        <v>3.5199999999999999E-4</v>
      </c>
      <c r="U264" s="32">
        <v>7.7899999999999996E-4</v>
      </c>
      <c r="V264" s="32">
        <v>2.186E-3</v>
      </c>
      <c r="W264" s="32">
        <v>6.2469999999999999E-3</v>
      </c>
      <c r="X264" s="32">
        <v>1.3065E-2</v>
      </c>
      <c r="Y264" s="32">
        <v>2.6317E-2</v>
      </c>
      <c r="Z264" s="32">
        <v>5.6099999999999997E-2</v>
      </c>
      <c r="AA264" s="32">
        <v>8.3835999999999994E-2</v>
      </c>
      <c r="AB264" s="32">
        <v>0.106279</v>
      </c>
    </row>
    <row r="265" spans="1:28" ht="15.6" customHeight="1" x14ac:dyDescent="0.25">
      <c r="A265" s="24" t="s">
        <v>901</v>
      </c>
      <c r="B265" s="50">
        <v>4193</v>
      </c>
      <c r="C265" s="25" t="s">
        <v>902</v>
      </c>
      <c r="D265" s="25" t="s">
        <v>127</v>
      </c>
      <c r="E265" s="25" t="s">
        <v>194</v>
      </c>
      <c r="F265" s="25" t="s">
        <v>103</v>
      </c>
      <c r="G265" s="26" t="s">
        <v>392</v>
      </c>
      <c r="H265" s="27" t="s">
        <v>903</v>
      </c>
      <c r="I265" s="24" t="s">
        <v>106</v>
      </c>
      <c r="J265" s="24" t="s">
        <v>107</v>
      </c>
      <c r="K265" s="28" t="s">
        <v>108</v>
      </c>
      <c r="L265" s="29">
        <v>0.02</v>
      </c>
      <c r="M265" s="29">
        <v>0.02</v>
      </c>
      <c r="N265" s="29">
        <v>0.02</v>
      </c>
      <c r="O265" s="27" t="s">
        <v>131</v>
      </c>
      <c r="P265" s="30" t="s">
        <v>131</v>
      </c>
      <c r="Q265" s="31">
        <v>130549583.95999999</v>
      </c>
      <c r="R265" s="31">
        <v>1161.5</v>
      </c>
      <c r="S265" s="32">
        <v>1.9467999999999999E-2</v>
      </c>
      <c r="T265" s="32">
        <v>5.1999999999999997E-5</v>
      </c>
      <c r="U265" s="32">
        <v>3.9599999999999998E-4</v>
      </c>
      <c r="V265" s="32">
        <v>1.5089999999999999E-3</v>
      </c>
      <c r="W265" s="32">
        <v>4.5319999999999996E-3</v>
      </c>
      <c r="X265" s="32">
        <v>9.3679999999999996E-3</v>
      </c>
      <c r="Y265" s="32">
        <v>1.9467999999999999E-2</v>
      </c>
      <c r="Z265" s="32">
        <v>4.7226999999999998E-2</v>
      </c>
      <c r="AA265" s="32">
        <v>8.6142999999999997E-2</v>
      </c>
      <c r="AB265" s="32" t="s">
        <v>139</v>
      </c>
    </row>
    <row r="266" spans="1:28" ht="15.6" customHeight="1" x14ac:dyDescent="0.25">
      <c r="A266" s="24" t="s">
        <v>904</v>
      </c>
      <c r="B266" s="50">
        <v>4196</v>
      </c>
      <c r="C266" s="25" t="s">
        <v>905</v>
      </c>
      <c r="D266" s="25" t="s">
        <v>127</v>
      </c>
      <c r="E266" s="25" t="s">
        <v>194</v>
      </c>
      <c r="F266" s="25" t="s">
        <v>103</v>
      </c>
      <c r="G266" s="26" t="s">
        <v>216</v>
      </c>
      <c r="H266" s="27" t="s">
        <v>188</v>
      </c>
      <c r="I266" s="24" t="s">
        <v>106</v>
      </c>
      <c r="J266" s="24" t="s">
        <v>107</v>
      </c>
      <c r="K266" s="28" t="s">
        <v>227</v>
      </c>
      <c r="L266" s="29">
        <v>0.02</v>
      </c>
      <c r="M266" s="29">
        <v>0.06</v>
      </c>
      <c r="N266" s="29">
        <v>5.0000000000000001E-3</v>
      </c>
      <c r="O266" s="27" t="s">
        <v>131</v>
      </c>
      <c r="P266" s="30" t="s">
        <v>131</v>
      </c>
      <c r="Q266" s="31">
        <v>111828307.51000001</v>
      </c>
      <c r="R266" s="31">
        <v>1031.1400000000001</v>
      </c>
      <c r="S266" s="32">
        <v>2.5052999999999999E-2</v>
      </c>
      <c r="T266" s="32">
        <v>8.7000000000000001E-5</v>
      </c>
      <c r="U266" s="32">
        <v>5.1400000000000003E-4</v>
      </c>
      <c r="V266" s="32">
        <v>1.9040000000000001E-3</v>
      </c>
      <c r="W266" s="32">
        <v>5.3229999999999996E-3</v>
      </c>
      <c r="X266" s="32">
        <v>1.1011E-2</v>
      </c>
      <c r="Y266" s="32">
        <v>2.5052999999999999E-2</v>
      </c>
      <c r="Z266" s="32">
        <v>5.7217999999999998E-2</v>
      </c>
      <c r="AA266" s="32">
        <v>9.1627E-2</v>
      </c>
      <c r="AB266" s="32" t="s">
        <v>139</v>
      </c>
    </row>
    <row r="267" spans="1:28" ht="15.6" customHeight="1" x14ac:dyDescent="0.25">
      <c r="A267" s="24" t="s">
        <v>906</v>
      </c>
      <c r="B267" s="50">
        <v>4197</v>
      </c>
      <c r="C267" s="25" t="s">
        <v>907</v>
      </c>
      <c r="D267" s="25" t="s">
        <v>908</v>
      </c>
      <c r="E267" s="25" t="s">
        <v>194</v>
      </c>
      <c r="F267" s="25" t="s">
        <v>155</v>
      </c>
      <c r="G267" s="26" t="s">
        <v>139</v>
      </c>
      <c r="H267" s="27" t="s">
        <v>139</v>
      </c>
      <c r="I267" s="24" t="s">
        <v>106</v>
      </c>
      <c r="J267" s="24" t="s">
        <v>107</v>
      </c>
      <c r="K267" s="28" t="s">
        <v>227</v>
      </c>
      <c r="L267" s="29">
        <v>5.0000000000000001E-3</v>
      </c>
      <c r="M267" s="29">
        <v>5.0000000000000001E-3</v>
      </c>
      <c r="N267" s="29">
        <v>0.02</v>
      </c>
      <c r="O267" s="27" t="s">
        <v>166</v>
      </c>
      <c r="P267" s="30" t="s">
        <v>908</v>
      </c>
      <c r="Q267" s="31">
        <v>76899867.920000002</v>
      </c>
      <c r="R267" s="31">
        <v>146.81</v>
      </c>
      <c r="S267" s="32">
        <v>0.316137</v>
      </c>
      <c r="T267" s="32">
        <v>6.1679999999999999E-3</v>
      </c>
      <c r="U267" s="32">
        <v>3.006E-3</v>
      </c>
      <c r="V267" s="32">
        <v>1.1227000000000001E-2</v>
      </c>
      <c r="W267" s="32">
        <v>-8.1700000000000002E-4</v>
      </c>
      <c r="X267" s="32">
        <v>2.0150999999999999E-2</v>
      </c>
      <c r="Y267" s="32">
        <v>0.316137</v>
      </c>
      <c r="Z267" s="32">
        <v>0.58626999999999996</v>
      </c>
      <c r="AA267" s="32">
        <v>0.71158900000000003</v>
      </c>
      <c r="AB267" s="32" t="s">
        <v>139</v>
      </c>
    </row>
    <row r="268" spans="1:28" ht="15.6" customHeight="1" x14ac:dyDescent="0.25">
      <c r="A268" s="24" t="s">
        <v>909</v>
      </c>
      <c r="B268" s="50">
        <v>4199</v>
      </c>
      <c r="C268" s="25" t="s">
        <v>910</v>
      </c>
      <c r="D268" s="25" t="s">
        <v>908</v>
      </c>
      <c r="E268" s="25" t="s">
        <v>194</v>
      </c>
      <c r="F268" s="25" t="s">
        <v>103</v>
      </c>
      <c r="G268" s="26" t="s">
        <v>104</v>
      </c>
      <c r="H268" s="27" t="s">
        <v>139</v>
      </c>
      <c r="I268" s="24" t="s">
        <v>106</v>
      </c>
      <c r="J268" s="24" t="s">
        <v>107</v>
      </c>
      <c r="K268" s="28" t="s">
        <v>108</v>
      </c>
      <c r="L268" s="29">
        <v>0</v>
      </c>
      <c r="M268" s="29">
        <v>0</v>
      </c>
      <c r="N268" s="29">
        <v>6.5000000000000006E-3</v>
      </c>
      <c r="O268" s="27" t="s">
        <v>262</v>
      </c>
      <c r="P268" s="30" t="s">
        <v>908</v>
      </c>
      <c r="Q268" s="31">
        <v>209489468.36000001</v>
      </c>
      <c r="R268" s="31">
        <v>1525.54</v>
      </c>
      <c r="S268" s="32">
        <v>2.5863000000000001E-2</v>
      </c>
      <c r="T268" s="32">
        <v>1.5699999999999999E-4</v>
      </c>
      <c r="U268" s="32">
        <v>5.7700000000000004E-4</v>
      </c>
      <c r="V268" s="32">
        <v>2.0820000000000001E-3</v>
      </c>
      <c r="W268" s="32">
        <v>5.9680000000000002E-3</v>
      </c>
      <c r="X268" s="32">
        <v>1.1799E-2</v>
      </c>
      <c r="Y268" s="32">
        <v>2.5863000000000001E-2</v>
      </c>
      <c r="Z268" s="32">
        <v>5.8976000000000001E-2</v>
      </c>
      <c r="AA268" s="32">
        <v>9.1519000000000003E-2</v>
      </c>
      <c r="AB268" s="32">
        <v>0.124457</v>
      </c>
    </row>
    <row r="269" spans="1:28" ht="15.6" customHeight="1" x14ac:dyDescent="0.25">
      <c r="A269" s="24" t="s">
        <v>911</v>
      </c>
      <c r="B269" s="50">
        <v>4202</v>
      </c>
      <c r="C269" s="25" t="s">
        <v>912</v>
      </c>
      <c r="D269" s="25" t="s">
        <v>908</v>
      </c>
      <c r="E269" s="25" t="s">
        <v>194</v>
      </c>
      <c r="F269" s="25" t="s">
        <v>128</v>
      </c>
      <c r="G269" s="26" t="s">
        <v>913</v>
      </c>
      <c r="H269" s="27" t="s">
        <v>130</v>
      </c>
      <c r="I269" s="24" t="s">
        <v>106</v>
      </c>
      <c r="J269" s="24" t="s">
        <v>107</v>
      </c>
      <c r="K269" s="28" t="s">
        <v>108</v>
      </c>
      <c r="L269" s="29">
        <v>0</v>
      </c>
      <c r="M269" s="29">
        <v>0</v>
      </c>
      <c r="N269" s="29">
        <v>0.02</v>
      </c>
      <c r="O269" s="27" t="s">
        <v>262</v>
      </c>
      <c r="P269" s="30" t="s">
        <v>908</v>
      </c>
      <c r="Q269" s="31">
        <v>139632008.30000001</v>
      </c>
      <c r="R269" s="31">
        <v>1339.26</v>
      </c>
      <c r="S269" s="32">
        <v>3.0438E-2</v>
      </c>
      <c r="T269" s="32">
        <v>2.7599999999999999E-4</v>
      </c>
      <c r="U269" s="32">
        <v>7.6999999999999996E-4</v>
      </c>
      <c r="V269" s="32">
        <v>2.5600000000000002E-3</v>
      </c>
      <c r="W269" s="32">
        <v>6.032E-3</v>
      </c>
      <c r="X269" s="32">
        <v>1.2688E-2</v>
      </c>
      <c r="Y269" s="32">
        <v>3.0438E-2</v>
      </c>
      <c r="Z269" s="32">
        <v>7.0833999999999994E-2</v>
      </c>
      <c r="AA269" s="32">
        <v>0.108778</v>
      </c>
      <c r="AB269" s="32">
        <v>0.14607700000000001</v>
      </c>
    </row>
    <row r="270" spans="1:28" ht="15.6" customHeight="1" x14ac:dyDescent="0.25">
      <c r="A270" s="24" t="s">
        <v>914</v>
      </c>
      <c r="B270" s="50">
        <v>4204</v>
      </c>
      <c r="C270" s="25" t="s">
        <v>915</v>
      </c>
      <c r="D270" s="25" t="s">
        <v>350</v>
      </c>
      <c r="E270" s="25" t="s">
        <v>194</v>
      </c>
      <c r="F270" s="25" t="s">
        <v>103</v>
      </c>
      <c r="G270" s="26" t="s">
        <v>392</v>
      </c>
      <c r="H270" s="27" t="s">
        <v>188</v>
      </c>
      <c r="I270" s="24" t="s">
        <v>106</v>
      </c>
      <c r="J270" s="24" t="s">
        <v>107</v>
      </c>
      <c r="K270" s="28" t="s">
        <v>108</v>
      </c>
      <c r="L270" s="29">
        <v>0.03</v>
      </c>
      <c r="M270" s="29">
        <v>0.03</v>
      </c>
      <c r="N270" s="29">
        <v>0.02</v>
      </c>
      <c r="O270" s="27" t="s">
        <v>262</v>
      </c>
      <c r="P270" s="30" t="s">
        <v>350</v>
      </c>
      <c r="Q270" s="31">
        <v>4943372.12</v>
      </c>
      <c r="R270" s="31">
        <v>124.47</v>
      </c>
      <c r="S270" s="32">
        <v>2.3349999999999999E-2</v>
      </c>
      <c r="T270" s="32">
        <v>1.6100000000000001E-4</v>
      </c>
      <c r="U270" s="32">
        <v>5.6300000000000002E-4</v>
      </c>
      <c r="V270" s="32">
        <v>1.9319999999999999E-3</v>
      </c>
      <c r="W270" s="32">
        <v>4.8440000000000002E-3</v>
      </c>
      <c r="X270" s="32">
        <v>1.039E-2</v>
      </c>
      <c r="Y270" s="32">
        <v>2.3349999999999999E-2</v>
      </c>
      <c r="Z270" s="32">
        <v>5.5814999999999997E-2</v>
      </c>
      <c r="AA270" s="32">
        <v>9.0407000000000001E-2</v>
      </c>
      <c r="AB270" s="32">
        <v>0.12044299999999999</v>
      </c>
    </row>
    <row r="271" spans="1:28" ht="15.6" customHeight="1" x14ac:dyDescent="0.25">
      <c r="A271" s="24" t="s">
        <v>916</v>
      </c>
      <c r="B271" s="50">
        <v>4205</v>
      </c>
      <c r="C271" s="25" t="s">
        <v>917</v>
      </c>
      <c r="D271" s="25" t="s">
        <v>350</v>
      </c>
      <c r="E271" s="25" t="s">
        <v>194</v>
      </c>
      <c r="F271" s="25" t="s">
        <v>103</v>
      </c>
      <c r="G271" s="26" t="s">
        <v>392</v>
      </c>
      <c r="H271" s="27" t="s">
        <v>188</v>
      </c>
      <c r="I271" s="24" t="s">
        <v>106</v>
      </c>
      <c r="J271" s="24" t="s">
        <v>107</v>
      </c>
      <c r="K271" s="28" t="s">
        <v>108</v>
      </c>
      <c r="L271" s="29">
        <v>0.03</v>
      </c>
      <c r="M271" s="29">
        <v>0.03</v>
      </c>
      <c r="N271" s="29">
        <v>0.02</v>
      </c>
      <c r="O271" s="27" t="s">
        <v>262</v>
      </c>
      <c r="P271" s="30" t="s">
        <v>350</v>
      </c>
      <c r="Q271" s="31">
        <v>462132354.89999998</v>
      </c>
      <c r="R271" s="31">
        <v>121.57</v>
      </c>
      <c r="S271" s="32">
        <v>2.5906999999999999E-2</v>
      </c>
      <c r="T271" s="32">
        <v>3.2899999999999997E-4</v>
      </c>
      <c r="U271" s="32">
        <v>8.2299999999999995E-4</v>
      </c>
      <c r="V271" s="32">
        <v>2.3089999999999999E-3</v>
      </c>
      <c r="W271" s="32">
        <v>5.875E-3</v>
      </c>
      <c r="X271" s="32">
        <v>1.1734E-2</v>
      </c>
      <c r="Y271" s="32">
        <v>2.5906999999999999E-2</v>
      </c>
      <c r="Z271" s="32">
        <v>5.8971999999999997E-2</v>
      </c>
      <c r="AA271" s="32">
        <v>9.2763999999999999E-2</v>
      </c>
      <c r="AB271" s="32">
        <v>0.124607</v>
      </c>
    </row>
    <row r="272" spans="1:28" ht="15.6" customHeight="1" x14ac:dyDescent="0.25">
      <c r="A272" s="24" t="s">
        <v>918</v>
      </c>
      <c r="B272" s="50">
        <v>4206</v>
      </c>
      <c r="C272" s="25" t="s">
        <v>919</v>
      </c>
      <c r="D272" s="25" t="s">
        <v>350</v>
      </c>
      <c r="E272" s="25" t="s">
        <v>194</v>
      </c>
      <c r="F272" s="25" t="s">
        <v>128</v>
      </c>
      <c r="G272" s="26" t="s">
        <v>289</v>
      </c>
      <c r="H272" s="27" t="s">
        <v>130</v>
      </c>
      <c r="I272" s="24" t="s">
        <v>106</v>
      </c>
      <c r="J272" s="24" t="s">
        <v>107</v>
      </c>
      <c r="K272" s="28" t="s">
        <v>108</v>
      </c>
      <c r="L272" s="29">
        <v>0.03</v>
      </c>
      <c r="M272" s="29">
        <v>0.03</v>
      </c>
      <c r="N272" s="29">
        <v>0.02</v>
      </c>
      <c r="O272" s="27" t="s">
        <v>262</v>
      </c>
      <c r="P272" s="30" t="s">
        <v>350</v>
      </c>
      <c r="Q272" s="31">
        <v>748098551.51999998</v>
      </c>
      <c r="R272" s="31">
        <v>123.51</v>
      </c>
      <c r="S272" s="32">
        <v>2.8393000000000002E-2</v>
      </c>
      <c r="T272" s="32">
        <v>8.1000000000000004E-5</v>
      </c>
      <c r="U272" s="32">
        <v>5.6700000000000001E-4</v>
      </c>
      <c r="V272" s="32">
        <v>2.679E-3</v>
      </c>
      <c r="W272" s="32">
        <v>5.372E-3</v>
      </c>
      <c r="X272" s="32">
        <v>1.1547999999999999E-2</v>
      </c>
      <c r="Y272" s="32">
        <v>2.8393000000000002E-2</v>
      </c>
      <c r="Z272" s="32">
        <v>6.5109E-2</v>
      </c>
      <c r="AA272" s="32">
        <v>0.104444</v>
      </c>
      <c r="AB272" s="32">
        <v>0.13802600000000001</v>
      </c>
    </row>
    <row r="273" spans="1:28" ht="15.6" customHeight="1" x14ac:dyDescent="0.25">
      <c r="A273" s="24" t="s">
        <v>920</v>
      </c>
      <c r="B273" s="50">
        <v>4211</v>
      </c>
      <c r="C273" s="25" t="s">
        <v>921</v>
      </c>
      <c r="D273" s="25" t="s">
        <v>164</v>
      </c>
      <c r="E273" s="25" t="s">
        <v>194</v>
      </c>
      <c r="F273" s="25" t="s">
        <v>138</v>
      </c>
      <c r="G273" s="26" t="s">
        <v>139</v>
      </c>
      <c r="H273" s="27" t="s">
        <v>922</v>
      </c>
      <c r="I273" s="24" t="s">
        <v>106</v>
      </c>
      <c r="J273" s="24" t="s">
        <v>107</v>
      </c>
      <c r="K273" s="28" t="s">
        <v>180</v>
      </c>
      <c r="L273" s="29">
        <v>0.02</v>
      </c>
      <c r="M273" s="29">
        <v>0.02</v>
      </c>
      <c r="N273" s="29">
        <v>0.02</v>
      </c>
      <c r="O273" s="27" t="s">
        <v>166</v>
      </c>
      <c r="P273" s="30" t="s">
        <v>627</v>
      </c>
      <c r="Q273" s="31">
        <v>2364858.77</v>
      </c>
      <c r="R273" s="31">
        <v>147.71</v>
      </c>
      <c r="S273" s="32">
        <v>0.19597899999999999</v>
      </c>
      <c r="T273" s="32">
        <v>4.8300000000000001E-3</v>
      </c>
      <c r="U273" s="32">
        <v>-4.6499999999999996E-3</v>
      </c>
      <c r="V273" s="32">
        <v>2.3649999999999999E-3</v>
      </c>
      <c r="W273" s="32">
        <v>6.4999999999999994E-5</v>
      </c>
      <c r="X273" s="32">
        <v>2.026E-3</v>
      </c>
      <c r="Y273" s="32">
        <v>0.19597899999999999</v>
      </c>
      <c r="Z273" s="32">
        <v>0.37233100000000002</v>
      </c>
      <c r="AA273" s="32">
        <v>0.50556100000000004</v>
      </c>
      <c r="AB273" s="32" t="s">
        <v>139</v>
      </c>
    </row>
    <row r="274" spans="1:28" ht="15.6" customHeight="1" x14ac:dyDescent="0.25">
      <c r="A274" s="24" t="s">
        <v>923</v>
      </c>
      <c r="B274" s="50">
        <v>4212</v>
      </c>
      <c r="C274" s="25" t="s">
        <v>924</v>
      </c>
      <c r="D274" s="25" t="s">
        <v>164</v>
      </c>
      <c r="E274" s="25" t="s">
        <v>194</v>
      </c>
      <c r="F274" s="25" t="s">
        <v>113</v>
      </c>
      <c r="G274" s="26" t="s">
        <v>925</v>
      </c>
      <c r="H274" s="27" t="s">
        <v>120</v>
      </c>
      <c r="I274" s="24" t="s">
        <v>106</v>
      </c>
      <c r="J274" s="24" t="s">
        <v>107</v>
      </c>
      <c r="K274" s="28" t="s">
        <v>108</v>
      </c>
      <c r="L274" s="29">
        <v>0.03</v>
      </c>
      <c r="M274" s="29">
        <v>0.03</v>
      </c>
      <c r="N274" s="29">
        <v>0.02</v>
      </c>
      <c r="O274" s="27" t="s">
        <v>166</v>
      </c>
      <c r="P274" s="30" t="s">
        <v>627</v>
      </c>
      <c r="Q274" s="31">
        <v>399718384.74000001</v>
      </c>
      <c r="R274" s="31">
        <v>109.2</v>
      </c>
      <c r="S274" s="32">
        <v>2.0753000000000001E-2</v>
      </c>
      <c r="T274" s="32">
        <v>-7.3200000000000001E-4</v>
      </c>
      <c r="U274" s="32">
        <v>4.5800000000000002E-4</v>
      </c>
      <c r="V274" s="32">
        <v>7.9389999999999999E-3</v>
      </c>
      <c r="W274" s="32">
        <v>1.56E-3</v>
      </c>
      <c r="X274" s="32">
        <v>-1.5529999999999999E-3</v>
      </c>
      <c r="Y274" s="32">
        <v>2.0753000000000001E-2</v>
      </c>
      <c r="Z274" s="32">
        <v>7.1999999999999995E-2</v>
      </c>
      <c r="AA274" s="32">
        <v>0.101657</v>
      </c>
      <c r="AB274" s="32" t="s">
        <v>139</v>
      </c>
    </row>
    <row r="275" spans="1:28" ht="15.6" customHeight="1" x14ac:dyDescent="0.25">
      <c r="A275" s="24" t="s">
        <v>926</v>
      </c>
      <c r="B275" s="50">
        <v>4214</v>
      </c>
      <c r="C275" s="25" t="s">
        <v>927</v>
      </c>
      <c r="D275" s="25" t="s">
        <v>164</v>
      </c>
      <c r="E275" s="25" t="s">
        <v>194</v>
      </c>
      <c r="F275" s="25" t="s">
        <v>361</v>
      </c>
      <c r="G275" s="26" t="s">
        <v>139</v>
      </c>
      <c r="H275" s="27" t="s">
        <v>188</v>
      </c>
      <c r="I275" s="24" t="s">
        <v>106</v>
      </c>
      <c r="J275" s="24" t="s">
        <v>107</v>
      </c>
      <c r="K275" s="28" t="s">
        <v>108</v>
      </c>
      <c r="L275" s="29">
        <v>0</v>
      </c>
      <c r="M275" s="29">
        <v>0</v>
      </c>
      <c r="N275" s="29">
        <v>1.5E-3</v>
      </c>
      <c r="O275" s="27" t="s">
        <v>166</v>
      </c>
      <c r="P275" s="30" t="s">
        <v>164</v>
      </c>
      <c r="Q275" s="31">
        <v>2835589159.8499999</v>
      </c>
      <c r="R275" s="31">
        <v>1077.21</v>
      </c>
      <c r="S275" s="32">
        <v>2.0219999999999998E-2</v>
      </c>
      <c r="T275" s="32">
        <v>5.5999999999999999E-5</v>
      </c>
      <c r="U275" s="32">
        <v>3.7100000000000002E-4</v>
      </c>
      <c r="V275" s="32">
        <v>1.5529999999999999E-3</v>
      </c>
      <c r="W275" s="32">
        <v>4.7759999999999999E-3</v>
      </c>
      <c r="X275" s="32">
        <v>9.6919999999999992E-3</v>
      </c>
      <c r="Y275" s="32">
        <v>2.0219999999999998E-2</v>
      </c>
      <c r="Z275" s="32">
        <v>4.7115999999999998E-2</v>
      </c>
      <c r="AA275" s="32">
        <v>7.4941999999999995E-2</v>
      </c>
      <c r="AB275" s="32" t="s">
        <v>139</v>
      </c>
    </row>
    <row r="276" spans="1:28" ht="15.6" customHeight="1" x14ac:dyDescent="0.25">
      <c r="A276" s="24" t="s">
        <v>928</v>
      </c>
      <c r="B276" s="50">
        <v>4215</v>
      </c>
      <c r="C276" s="25" t="s">
        <v>929</v>
      </c>
      <c r="D276" s="25" t="s">
        <v>241</v>
      </c>
      <c r="E276" s="25" t="s">
        <v>194</v>
      </c>
      <c r="F276" s="25" t="s">
        <v>128</v>
      </c>
      <c r="G276" s="26" t="s">
        <v>289</v>
      </c>
      <c r="H276" s="27" t="s">
        <v>130</v>
      </c>
      <c r="I276" s="24" t="s">
        <v>106</v>
      </c>
      <c r="J276" s="24" t="s">
        <v>107</v>
      </c>
      <c r="K276" s="28" t="s">
        <v>108</v>
      </c>
      <c r="L276" s="29">
        <v>0.03</v>
      </c>
      <c r="M276" s="29">
        <v>1.4999999999999999E-2</v>
      </c>
      <c r="N276" s="29">
        <v>0.02</v>
      </c>
      <c r="O276" s="27" t="s">
        <v>148</v>
      </c>
      <c r="P276" s="30" t="s">
        <v>930</v>
      </c>
      <c r="Q276" s="31">
        <v>4594008747.8500004</v>
      </c>
      <c r="R276" s="31">
        <v>1338.32</v>
      </c>
      <c r="S276" s="32">
        <v>3.2295999999999998E-2</v>
      </c>
      <c r="T276" s="32">
        <v>1.7200000000000001E-4</v>
      </c>
      <c r="U276" s="32">
        <v>8.0000000000000004E-4</v>
      </c>
      <c r="V276" s="32">
        <v>2.81E-3</v>
      </c>
      <c r="W276" s="32">
        <v>6.1120000000000002E-3</v>
      </c>
      <c r="X276" s="32">
        <v>1.3004E-2</v>
      </c>
      <c r="Y276" s="32">
        <v>3.2295999999999998E-2</v>
      </c>
      <c r="Z276" s="32">
        <v>7.4300000000000005E-2</v>
      </c>
      <c r="AA276" s="32">
        <v>0.114125</v>
      </c>
      <c r="AB276" s="32">
        <v>0.15182799999999999</v>
      </c>
    </row>
    <row r="277" spans="1:28" ht="15.6" customHeight="1" x14ac:dyDescent="0.25">
      <c r="A277" s="24" t="s">
        <v>931</v>
      </c>
      <c r="B277" s="50">
        <v>4216</v>
      </c>
      <c r="C277" s="25" t="s">
        <v>932</v>
      </c>
      <c r="D277" s="25" t="s">
        <v>241</v>
      </c>
      <c r="E277" s="25" t="s">
        <v>194</v>
      </c>
      <c r="F277" s="25" t="s">
        <v>155</v>
      </c>
      <c r="G277" s="26" t="s">
        <v>139</v>
      </c>
      <c r="H277" s="27" t="s">
        <v>156</v>
      </c>
      <c r="I277" s="24" t="s">
        <v>106</v>
      </c>
      <c r="J277" s="24" t="s">
        <v>107</v>
      </c>
      <c r="K277" s="28" t="s">
        <v>108</v>
      </c>
      <c r="L277" s="29">
        <v>0.03</v>
      </c>
      <c r="M277" s="29">
        <v>1.4999999999999999E-2</v>
      </c>
      <c r="N277" s="29">
        <v>0.02</v>
      </c>
      <c r="O277" s="27" t="s">
        <v>148</v>
      </c>
      <c r="P277" s="30" t="s">
        <v>930</v>
      </c>
      <c r="Q277" s="31">
        <v>2959562057.4200001</v>
      </c>
      <c r="R277" s="31">
        <v>738.67</v>
      </c>
      <c r="S277" s="32">
        <v>0.28793600000000003</v>
      </c>
      <c r="T277" s="32">
        <v>5.8139999999999997E-3</v>
      </c>
      <c r="U277" s="32">
        <v>-9.5069999999999998E-3</v>
      </c>
      <c r="V277" s="32">
        <v>8.1000000000000004E-5</v>
      </c>
      <c r="W277" s="32">
        <v>-5.1310000000000001E-3</v>
      </c>
      <c r="X277" s="32">
        <v>-2.3000000000000001E-4</v>
      </c>
      <c r="Y277" s="32">
        <v>0.28793600000000003</v>
      </c>
      <c r="Z277" s="32">
        <v>0.65903800000000001</v>
      </c>
      <c r="AA277" s="32">
        <v>0.81817499999999999</v>
      </c>
      <c r="AB277" s="32" t="s">
        <v>139</v>
      </c>
    </row>
    <row r="278" spans="1:28" ht="15.6" customHeight="1" x14ac:dyDescent="0.25">
      <c r="A278" s="24" t="s">
        <v>933</v>
      </c>
      <c r="B278" s="50">
        <v>4217</v>
      </c>
      <c r="C278" s="25" t="s">
        <v>934</v>
      </c>
      <c r="D278" s="25" t="s">
        <v>241</v>
      </c>
      <c r="E278" s="25" t="s">
        <v>194</v>
      </c>
      <c r="F278" s="25" t="s">
        <v>103</v>
      </c>
      <c r="G278" s="26" t="s">
        <v>244</v>
      </c>
      <c r="H278" s="27" t="s">
        <v>446</v>
      </c>
      <c r="I278" s="24" t="s">
        <v>106</v>
      </c>
      <c r="J278" s="24" t="s">
        <v>107</v>
      </c>
      <c r="K278" s="28" t="s">
        <v>108</v>
      </c>
      <c r="L278" s="29">
        <v>0</v>
      </c>
      <c r="M278" s="29">
        <v>0</v>
      </c>
      <c r="N278" s="29">
        <v>0.02</v>
      </c>
      <c r="O278" s="27" t="s">
        <v>148</v>
      </c>
      <c r="P278" s="30" t="s">
        <v>466</v>
      </c>
      <c r="Q278" s="31">
        <v>2419714438.02</v>
      </c>
      <c r="R278" s="31">
        <v>1300.8800000000001</v>
      </c>
      <c r="S278" s="32">
        <v>2.8761999999999999E-2</v>
      </c>
      <c r="T278" s="32">
        <v>2.61E-4</v>
      </c>
      <c r="U278" s="32">
        <v>7.3899999999999997E-4</v>
      </c>
      <c r="V278" s="32">
        <v>2.3890000000000001E-3</v>
      </c>
      <c r="W278" s="32">
        <v>6.5380000000000004E-3</v>
      </c>
      <c r="X278" s="32">
        <v>1.2940999999999999E-2</v>
      </c>
      <c r="Y278" s="32">
        <v>2.8761999999999999E-2</v>
      </c>
      <c r="Z278" s="32">
        <v>6.4350000000000004E-2</v>
      </c>
      <c r="AA278" s="32">
        <v>0.10095700000000001</v>
      </c>
      <c r="AB278" s="32">
        <v>0.136189</v>
      </c>
    </row>
    <row r="279" spans="1:28" ht="15.6" customHeight="1" x14ac:dyDescent="0.25">
      <c r="A279" s="24" t="s">
        <v>935</v>
      </c>
      <c r="B279" s="50">
        <v>4218</v>
      </c>
      <c r="C279" s="25" t="s">
        <v>936</v>
      </c>
      <c r="D279" s="25" t="s">
        <v>241</v>
      </c>
      <c r="E279" s="25" t="s">
        <v>194</v>
      </c>
      <c r="F279" s="25" t="s">
        <v>113</v>
      </c>
      <c r="G279" s="26" t="s">
        <v>198</v>
      </c>
      <c r="H279" s="27" t="s">
        <v>440</v>
      </c>
      <c r="I279" s="24" t="s">
        <v>106</v>
      </c>
      <c r="J279" s="24" t="s">
        <v>107</v>
      </c>
      <c r="K279" s="28" t="s">
        <v>108</v>
      </c>
      <c r="L279" s="29">
        <v>0.03</v>
      </c>
      <c r="M279" s="29">
        <v>1.4999999999999999E-2</v>
      </c>
      <c r="N279" s="29">
        <v>0.02</v>
      </c>
      <c r="O279" s="27" t="s">
        <v>148</v>
      </c>
      <c r="P279" s="30" t="s">
        <v>930</v>
      </c>
      <c r="Q279" s="31">
        <v>3784746988.0100002</v>
      </c>
      <c r="R279" s="31">
        <v>1452.29</v>
      </c>
      <c r="S279" s="32">
        <v>5.5666E-2</v>
      </c>
      <c r="T279" s="32">
        <v>3.6499999999999998E-4</v>
      </c>
      <c r="U279" s="32">
        <v>1.65E-4</v>
      </c>
      <c r="V279" s="32">
        <v>8.0239999999999999E-3</v>
      </c>
      <c r="W279" s="32">
        <v>-1.9719999999999998E-3</v>
      </c>
      <c r="X279" s="32">
        <v>4.5510000000000004E-3</v>
      </c>
      <c r="Y279" s="32">
        <v>5.5666E-2</v>
      </c>
      <c r="Z279" s="32">
        <v>0.142258</v>
      </c>
      <c r="AA279" s="32">
        <v>0.149427</v>
      </c>
      <c r="AB279" s="32" t="s">
        <v>139</v>
      </c>
    </row>
    <row r="280" spans="1:28" ht="15.6" customHeight="1" x14ac:dyDescent="0.25">
      <c r="A280" s="24" t="s">
        <v>937</v>
      </c>
      <c r="B280" s="50">
        <v>4220</v>
      </c>
      <c r="C280" s="25" t="s">
        <v>938</v>
      </c>
      <c r="D280" s="25" t="s">
        <v>241</v>
      </c>
      <c r="E280" s="25" t="s">
        <v>194</v>
      </c>
      <c r="F280" s="25" t="s">
        <v>138</v>
      </c>
      <c r="G280" s="26" t="s">
        <v>139</v>
      </c>
      <c r="H280" s="27" t="s">
        <v>939</v>
      </c>
      <c r="I280" s="24" t="s">
        <v>106</v>
      </c>
      <c r="J280" s="24" t="s">
        <v>107</v>
      </c>
      <c r="K280" s="28" t="s">
        <v>108</v>
      </c>
      <c r="L280" s="29">
        <v>0.03</v>
      </c>
      <c r="M280" s="29">
        <v>1.4999999999999999E-2</v>
      </c>
      <c r="N280" s="29">
        <v>0.02</v>
      </c>
      <c r="O280" s="27" t="s">
        <v>148</v>
      </c>
      <c r="P280" s="30" t="s">
        <v>940</v>
      </c>
      <c r="Q280" s="31">
        <v>4026315526.6199999</v>
      </c>
      <c r="R280" s="31">
        <v>2105.6999999999998</v>
      </c>
      <c r="S280" s="32">
        <v>0.15371299999999999</v>
      </c>
      <c r="T280" s="32">
        <v>1.913E-3</v>
      </c>
      <c r="U280" s="32">
        <v>-8.116E-3</v>
      </c>
      <c r="V280" s="32">
        <v>6.3199999999999997E-4</v>
      </c>
      <c r="W280" s="32">
        <v>-1.4305E-2</v>
      </c>
      <c r="X280" s="32">
        <v>-1.077E-3</v>
      </c>
      <c r="Y280" s="32">
        <v>0.15371299999999999</v>
      </c>
      <c r="Z280" s="32">
        <v>0.34668300000000002</v>
      </c>
      <c r="AA280" s="32">
        <v>0.34804499999999999</v>
      </c>
      <c r="AB280" s="32" t="s">
        <v>139</v>
      </c>
    </row>
    <row r="281" spans="1:28" ht="15.6" customHeight="1" x14ac:dyDescent="0.25">
      <c r="A281" s="24" t="s">
        <v>941</v>
      </c>
      <c r="B281" s="50">
        <v>4221</v>
      </c>
      <c r="C281" s="25" t="s">
        <v>942</v>
      </c>
      <c r="D281" s="25" t="s">
        <v>241</v>
      </c>
      <c r="E281" s="25" t="s">
        <v>194</v>
      </c>
      <c r="F281" s="25" t="s">
        <v>113</v>
      </c>
      <c r="G281" s="26" t="s">
        <v>943</v>
      </c>
      <c r="H281" s="27" t="s">
        <v>309</v>
      </c>
      <c r="I281" s="24" t="s">
        <v>106</v>
      </c>
      <c r="J281" s="24" t="s">
        <v>107</v>
      </c>
      <c r="K281" s="28" t="s">
        <v>108</v>
      </c>
      <c r="L281" s="29">
        <v>0.03</v>
      </c>
      <c r="M281" s="29">
        <v>0.01</v>
      </c>
      <c r="N281" s="29">
        <v>0.02</v>
      </c>
      <c r="O281" s="27" t="s">
        <v>148</v>
      </c>
      <c r="P281" s="30" t="s">
        <v>940</v>
      </c>
      <c r="Q281" s="31">
        <v>4753954886.6800003</v>
      </c>
      <c r="R281" s="31">
        <v>1124.93</v>
      </c>
      <c r="S281" s="32">
        <v>5.4311999999999999E-2</v>
      </c>
      <c r="T281" s="32">
        <v>1.8E-5</v>
      </c>
      <c r="U281" s="32">
        <v>1.8699999999999999E-4</v>
      </c>
      <c r="V281" s="32">
        <v>6.1809999999999999E-3</v>
      </c>
      <c r="W281" s="32">
        <v>-4.3099999999999996E-3</v>
      </c>
      <c r="X281" s="32">
        <v>4.0159999999999996E-3</v>
      </c>
      <c r="Y281" s="32">
        <v>5.4311999999999999E-2</v>
      </c>
      <c r="Z281" s="32">
        <v>0.13384199999999999</v>
      </c>
      <c r="AA281" s="32">
        <v>0.125583</v>
      </c>
      <c r="AB281" s="32" t="s">
        <v>139</v>
      </c>
    </row>
    <row r="282" spans="1:28" ht="15.6" customHeight="1" x14ac:dyDescent="0.25">
      <c r="A282" s="24" t="s">
        <v>944</v>
      </c>
      <c r="B282" s="50">
        <v>4222</v>
      </c>
      <c r="C282" s="25" t="s">
        <v>945</v>
      </c>
      <c r="D282" s="25" t="s">
        <v>112</v>
      </c>
      <c r="E282" s="25" t="s">
        <v>194</v>
      </c>
      <c r="F282" s="25" t="s">
        <v>361</v>
      </c>
      <c r="G282" s="26" t="s">
        <v>139</v>
      </c>
      <c r="H282" s="27" t="s">
        <v>188</v>
      </c>
      <c r="I282" s="24" t="s">
        <v>106</v>
      </c>
      <c r="J282" s="24" t="s">
        <v>107</v>
      </c>
      <c r="K282" s="28" t="s">
        <v>108</v>
      </c>
      <c r="L282" s="29">
        <v>0.03</v>
      </c>
      <c r="M282" s="29">
        <v>1.4999999999999999E-2</v>
      </c>
      <c r="N282" s="29">
        <v>0.02</v>
      </c>
      <c r="O282" s="27" t="s">
        <v>548</v>
      </c>
      <c r="P282" s="30" t="s">
        <v>112</v>
      </c>
      <c r="Q282" s="31">
        <v>121778616.58</v>
      </c>
      <c r="R282" s="31">
        <v>1054.73</v>
      </c>
      <c r="S282" s="32">
        <v>2.0246E-2</v>
      </c>
      <c r="T282" s="32">
        <v>5.7000000000000003E-5</v>
      </c>
      <c r="U282" s="32">
        <v>3.79E-4</v>
      </c>
      <c r="V282" s="32">
        <v>1.6050000000000001E-3</v>
      </c>
      <c r="W282" s="32">
        <v>4.9550000000000002E-3</v>
      </c>
      <c r="X282" s="32">
        <v>9.8230000000000001E-3</v>
      </c>
      <c r="Y282" s="32">
        <v>2.0246E-2</v>
      </c>
      <c r="Z282" s="32">
        <v>4.5539999999999997E-2</v>
      </c>
      <c r="AA282" s="32" t="s">
        <v>139</v>
      </c>
      <c r="AB282" s="32" t="s">
        <v>139</v>
      </c>
    </row>
    <row r="283" spans="1:28" ht="15.6" customHeight="1" x14ac:dyDescent="0.25">
      <c r="A283" s="24" t="s">
        <v>946</v>
      </c>
      <c r="B283" s="50">
        <v>4223</v>
      </c>
      <c r="C283" s="25" t="s">
        <v>947</v>
      </c>
      <c r="D283" s="25" t="s">
        <v>112</v>
      </c>
      <c r="E283" s="25" t="s">
        <v>194</v>
      </c>
      <c r="F283" s="25" t="s">
        <v>128</v>
      </c>
      <c r="G283" s="26" t="s">
        <v>289</v>
      </c>
      <c r="H283" s="27" t="s">
        <v>258</v>
      </c>
      <c r="I283" s="24" t="s">
        <v>106</v>
      </c>
      <c r="J283" s="24" t="s">
        <v>121</v>
      </c>
      <c r="K283" s="28" t="s">
        <v>108</v>
      </c>
      <c r="L283" s="29">
        <v>0</v>
      </c>
      <c r="M283" s="29">
        <v>0</v>
      </c>
      <c r="N283" s="29">
        <v>0.02</v>
      </c>
      <c r="O283" s="27" t="s">
        <v>548</v>
      </c>
      <c r="P283" s="30" t="s">
        <v>112</v>
      </c>
      <c r="Q283" s="31">
        <v>609966.4</v>
      </c>
      <c r="R283" s="31">
        <v>1079.58</v>
      </c>
      <c r="S283" s="32">
        <v>2.9593000000000001E-2</v>
      </c>
      <c r="T283" s="32">
        <v>-1.9000000000000001E-5</v>
      </c>
      <c r="U283" s="32">
        <v>4.5399999999999998E-4</v>
      </c>
      <c r="V283" s="32">
        <v>2.4329999999999998E-3</v>
      </c>
      <c r="W283" s="32">
        <v>6.986E-3</v>
      </c>
      <c r="X283" s="32">
        <v>1.3195E-2</v>
      </c>
      <c r="Y283" s="32">
        <v>2.9593000000000001E-2</v>
      </c>
      <c r="Z283" s="32">
        <v>6.5967999999999999E-2</v>
      </c>
      <c r="AA283" s="32" t="s">
        <v>139</v>
      </c>
      <c r="AB283" s="32" t="s">
        <v>139</v>
      </c>
    </row>
    <row r="284" spans="1:28" ht="15.6" customHeight="1" x14ac:dyDescent="0.25">
      <c r="A284" s="24" t="s">
        <v>950</v>
      </c>
      <c r="B284" s="50">
        <v>4236</v>
      </c>
      <c r="C284" s="25" t="s">
        <v>951</v>
      </c>
      <c r="D284" s="25" t="s">
        <v>164</v>
      </c>
      <c r="E284" s="25" t="s">
        <v>194</v>
      </c>
      <c r="F284" s="25" t="s">
        <v>113</v>
      </c>
      <c r="G284" s="26" t="s">
        <v>647</v>
      </c>
      <c r="H284" s="27" t="s">
        <v>952</v>
      </c>
      <c r="I284" s="24" t="s">
        <v>106</v>
      </c>
      <c r="J284" s="24" t="s">
        <v>121</v>
      </c>
      <c r="K284" s="28" t="s">
        <v>227</v>
      </c>
      <c r="L284" s="29">
        <v>0</v>
      </c>
      <c r="M284" s="29">
        <v>0</v>
      </c>
      <c r="N284" s="29">
        <v>0.02</v>
      </c>
      <c r="O284" s="27" t="s">
        <v>166</v>
      </c>
      <c r="P284" s="30" t="s">
        <v>164</v>
      </c>
      <c r="Q284" s="31">
        <v>3474965316.5300002</v>
      </c>
      <c r="R284" s="31">
        <v>1902.54</v>
      </c>
      <c r="S284" s="32">
        <v>5.6191999999999999E-2</v>
      </c>
      <c r="T284" s="32">
        <v>6.587E-3</v>
      </c>
      <c r="U284" s="32">
        <v>1.0205000000000001E-2</v>
      </c>
      <c r="V284" s="32">
        <v>1.8889E-2</v>
      </c>
      <c r="W284" s="32">
        <v>1.6254000000000001E-2</v>
      </c>
      <c r="X284" s="32">
        <v>2.2485999999999999E-2</v>
      </c>
      <c r="Y284" s="32">
        <v>5.6191999999999999E-2</v>
      </c>
      <c r="Z284" s="32">
        <v>0.12989500000000001</v>
      </c>
      <c r="AA284" s="32">
        <v>0.16388900000000001</v>
      </c>
      <c r="AB284" s="32">
        <v>0.206178</v>
      </c>
    </row>
    <row r="285" spans="1:28" ht="15.6" customHeight="1" x14ac:dyDescent="0.25">
      <c r="A285" s="24" t="s">
        <v>953</v>
      </c>
      <c r="B285" s="50">
        <v>4239</v>
      </c>
      <c r="C285" s="25" t="s">
        <v>954</v>
      </c>
      <c r="D285" s="25" t="s">
        <v>164</v>
      </c>
      <c r="E285" s="25" t="s">
        <v>194</v>
      </c>
      <c r="F285" s="25" t="s">
        <v>138</v>
      </c>
      <c r="G285" s="26" t="s">
        <v>139</v>
      </c>
      <c r="H285" s="27" t="s">
        <v>955</v>
      </c>
      <c r="I285" s="24" t="s">
        <v>106</v>
      </c>
      <c r="J285" s="24" t="s">
        <v>107</v>
      </c>
      <c r="K285" s="28" t="s">
        <v>227</v>
      </c>
      <c r="L285" s="29">
        <v>0.03</v>
      </c>
      <c r="M285" s="29">
        <v>1.4999999999999999E-2</v>
      </c>
      <c r="N285" s="29">
        <v>0.02</v>
      </c>
      <c r="O285" s="27" t="s">
        <v>166</v>
      </c>
      <c r="P285" s="30" t="s">
        <v>164</v>
      </c>
      <c r="Q285" s="31">
        <v>133881012.97</v>
      </c>
      <c r="R285" s="31">
        <v>153619.95000000001</v>
      </c>
      <c r="S285" s="32">
        <v>0.171289</v>
      </c>
      <c r="T285" s="32">
        <v>-1.095E-2</v>
      </c>
      <c r="U285" s="32">
        <v>-1.5958E-2</v>
      </c>
      <c r="V285" s="32">
        <v>-5.0400000000000002E-3</v>
      </c>
      <c r="W285" s="32">
        <v>1.328E-2</v>
      </c>
      <c r="X285" s="32">
        <v>6.4468999999999999E-2</v>
      </c>
      <c r="Y285" s="32">
        <v>0.171289</v>
      </c>
      <c r="Z285" s="32">
        <v>0.29077799999999998</v>
      </c>
      <c r="AA285" s="32">
        <v>0.39851500000000001</v>
      </c>
      <c r="AB285" s="32">
        <v>0.43302099999999999</v>
      </c>
    </row>
    <row r="286" spans="1:28" ht="15.6" customHeight="1" x14ac:dyDescent="0.25">
      <c r="A286" s="24" t="s">
        <v>956</v>
      </c>
      <c r="B286" s="50">
        <v>4241</v>
      </c>
      <c r="C286" s="25" t="s">
        <v>957</v>
      </c>
      <c r="D286" s="25" t="s">
        <v>164</v>
      </c>
      <c r="E286" s="25" t="s">
        <v>194</v>
      </c>
      <c r="F286" s="25" t="s">
        <v>113</v>
      </c>
      <c r="G286" s="26" t="s">
        <v>958</v>
      </c>
      <c r="H286" s="27" t="s">
        <v>327</v>
      </c>
      <c r="I286" s="24" t="s">
        <v>106</v>
      </c>
      <c r="J286" s="24" t="s">
        <v>121</v>
      </c>
      <c r="K286" s="28" t="s">
        <v>227</v>
      </c>
      <c r="L286" s="29">
        <v>0.03</v>
      </c>
      <c r="M286" s="29">
        <v>1.4999999999999999E-2</v>
      </c>
      <c r="N286" s="29">
        <v>0.02</v>
      </c>
      <c r="O286" s="27" t="s">
        <v>166</v>
      </c>
      <c r="P286" s="30" t="s">
        <v>164</v>
      </c>
      <c r="Q286" s="31">
        <v>332142935.31</v>
      </c>
      <c r="R286" s="31">
        <v>1132.0899999999999</v>
      </c>
      <c r="S286" s="32">
        <v>5.3121000000000002E-2</v>
      </c>
      <c r="T286" s="32">
        <v>-8.03E-4</v>
      </c>
      <c r="U286" s="32">
        <v>-5.2099999999999998E-4</v>
      </c>
      <c r="V286" s="32">
        <v>4.9890000000000004E-3</v>
      </c>
      <c r="W286" s="32">
        <v>-1.173E-3</v>
      </c>
      <c r="X286" s="32">
        <v>7.816E-3</v>
      </c>
      <c r="Y286" s="32">
        <v>5.3121000000000002E-2</v>
      </c>
      <c r="Z286" s="32">
        <v>0.131908</v>
      </c>
      <c r="AA286" s="32">
        <v>0.15476400000000001</v>
      </c>
      <c r="AB286" s="32">
        <v>0.15554000000000001</v>
      </c>
    </row>
    <row r="287" spans="1:28" ht="15.6" customHeight="1" x14ac:dyDescent="0.25">
      <c r="A287" s="24" t="s">
        <v>959</v>
      </c>
      <c r="B287" s="50">
        <v>4243</v>
      </c>
      <c r="C287" s="25" t="s">
        <v>960</v>
      </c>
      <c r="D287" s="25" t="s">
        <v>101</v>
      </c>
      <c r="E287" s="25" t="s">
        <v>194</v>
      </c>
      <c r="F287" s="25" t="s">
        <v>103</v>
      </c>
      <c r="G287" s="26" t="s">
        <v>104</v>
      </c>
      <c r="H287" s="27" t="s">
        <v>961</v>
      </c>
      <c r="I287" s="24" t="s">
        <v>106</v>
      </c>
      <c r="J287" s="24" t="s">
        <v>107</v>
      </c>
      <c r="K287" s="28" t="s">
        <v>108</v>
      </c>
      <c r="L287" s="29">
        <v>0.03</v>
      </c>
      <c r="M287" s="29">
        <v>1.4999999999999999E-2</v>
      </c>
      <c r="N287" s="29">
        <v>0.02</v>
      </c>
      <c r="O287" s="27" t="s">
        <v>262</v>
      </c>
      <c r="P287" s="30" t="s">
        <v>291</v>
      </c>
      <c r="Q287" s="31">
        <v>2263373436.52</v>
      </c>
      <c r="R287" s="31">
        <v>1539.84</v>
      </c>
      <c r="S287" s="32">
        <v>2.7999E-2</v>
      </c>
      <c r="T287" s="32">
        <v>4.0299999999999998E-4</v>
      </c>
      <c r="U287" s="32">
        <v>9.2299999999999999E-4</v>
      </c>
      <c r="V287" s="32">
        <v>2.617E-3</v>
      </c>
      <c r="W287" s="32">
        <v>6.5040000000000002E-3</v>
      </c>
      <c r="X287" s="32">
        <v>1.3086E-2</v>
      </c>
      <c r="Y287" s="32">
        <v>2.7999E-2</v>
      </c>
      <c r="Z287" s="32">
        <v>6.0920000000000002E-2</v>
      </c>
      <c r="AA287" s="32">
        <v>9.1217999999999994E-2</v>
      </c>
      <c r="AB287" s="32">
        <v>0.121654</v>
      </c>
    </row>
    <row r="288" spans="1:28" ht="15.6" customHeight="1" x14ac:dyDescent="0.25">
      <c r="A288" s="24" t="s">
        <v>962</v>
      </c>
      <c r="B288" s="50">
        <v>4245</v>
      </c>
      <c r="C288" s="25" t="s">
        <v>963</v>
      </c>
      <c r="D288" s="25" t="s">
        <v>101</v>
      </c>
      <c r="E288" s="25" t="s">
        <v>194</v>
      </c>
      <c r="F288" s="25" t="s">
        <v>128</v>
      </c>
      <c r="G288" s="26" t="s">
        <v>250</v>
      </c>
      <c r="H288" s="27" t="s">
        <v>964</v>
      </c>
      <c r="I288" s="24" t="s">
        <v>106</v>
      </c>
      <c r="J288" s="24" t="s">
        <v>107</v>
      </c>
      <c r="K288" s="28" t="s">
        <v>108</v>
      </c>
      <c r="L288" s="29">
        <v>0.03</v>
      </c>
      <c r="M288" s="29">
        <v>1.4999999999999999E-2</v>
      </c>
      <c r="N288" s="29">
        <v>0.02</v>
      </c>
      <c r="O288" s="27" t="s">
        <v>262</v>
      </c>
      <c r="P288" s="30" t="s">
        <v>291</v>
      </c>
      <c r="Q288" s="31">
        <v>1090037801.76</v>
      </c>
      <c r="R288" s="31">
        <v>1584.03</v>
      </c>
      <c r="S288" s="32">
        <v>3.0887000000000001E-2</v>
      </c>
      <c r="T288" s="32">
        <v>2.5300000000000002E-4</v>
      </c>
      <c r="U288" s="32">
        <v>7.7099999999999998E-4</v>
      </c>
      <c r="V288" s="32">
        <v>2.9120000000000001E-3</v>
      </c>
      <c r="W288" s="32">
        <v>5.8739999999999999E-3</v>
      </c>
      <c r="X288" s="32">
        <v>1.2807000000000001E-2</v>
      </c>
      <c r="Y288" s="32">
        <v>3.0887000000000001E-2</v>
      </c>
      <c r="Z288" s="32">
        <v>6.8514000000000005E-2</v>
      </c>
      <c r="AA288" s="32">
        <v>9.8906999999999995E-2</v>
      </c>
      <c r="AB288" s="32">
        <v>0.12439</v>
      </c>
    </row>
    <row r="289" spans="1:28" ht="15.6" customHeight="1" x14ac:dyDescent="0.25">
      <c r="A289" s="24" t="s">
        <v>965</v>
      </c>
      <c r="B289" s="50">
        <v>4248</v>
      </c>
      <c r="C289" s="25" t="s">
        <v>966</v>
      </c>
      <c r="D289" s="25" t="s">
        <v>101</v>
      </c>
      <c r="E289" s="25" t="s">
        <v>194</v>
      </c>
      <c r="F289" s="25" t="s">
        <v>103</v>
      </c>
      <c r="G289" s="26" t="s">
        <v>104</v>
      </c>
      <c r="H289" s="27" t="s">
        <v>124</v>
      </c>
      <c r="I289" s="24" t="s">
        <v>106</v>
      </c>
      <c r="J289" s="24" t="s">
        <v>107</v>
      </c>
      <c r="K289" s="28" t="s">
        <v>108</v>
      </c>
      <c r="L289" s="29">
        <v>0.03</v>
      </c>
      <c r="M289" s="29">
        <v>1.4999999999999999E-2</v>
      </c>
      <c r="N289" s="29">
        <v>0.02</v>
      </c>
      <c r="O289" s="27" t="s">
        <v>262</v>
      </c>
      <c r="P289" s="30" t="s">
        <v>291</v>
      </c>
      <c r="Q289" s="31">
        <v>1631740.65</v>
      </c>
      <c r="R289" s="31">
        <v>1429.04</v>
      </c>
      <c r="S289" s="32">
        <v>9.2379999999999997E-3</v>
      </c>
      <c r="T289" s="32">
        <v>-8.3999999999999995E-5</v>
      </c>
      <c r="U289" s="32">
        <v>7.7000000000000001E-5</v>
      </c>
      <c r="V289" s="32">
        <v>7.6999999999999996E-4</v>
      </c>
      <c r="W289" s="32">
        <v>1.6329999999999999E-3</v>
      </c>
      <c r="X289" s="32">
        <v>3.4970000000000001E-3</v>
      </c>
      <c r="Y289" s="32">
        <v>9.2379999999999997E-3</v>
      </c>
      <c r="Z289" s="32">
        <v>2.9078E-2</v>
      </c>
      <c r="AA289" s="32">
        <v>5.4362000000000001E-2</v>
      </c>
      <c r="AB289" s="32">
        <v>7.3263999999999996E-2</v>
      </c>
    </row>
    <row r="290" spans="1:28" ht="15.6" customHeight="1" x14ac:dyDescent="0.25">
      <c r="A290" s="24" t="s">
        <v>967</v>
      </c>
      <c r="B290" s="50">
        <v>4249</v>
      </c>
      <c r="C290" s="25" t="s">
        <v>968</v>
      </c>
      <c r="D290" s="25" t="s">
        <v>908</v>
      </c>
      <c r="E290" s="25" t="s">
        <v>194</v>
      </c>
      <c r="F290" s="25" t="s">
        <v>128</v>
      </c>
      <c r="G290" s="26" t="s">
        <v>289</v>
      </c>
      <c r="H290" s="27" t="s">
        <v>130</v>
      </c>
      <c r="I290" s="24" t="s">
        <v>106</v>
      </c>
      <c r="J290" s="24" t="s">
        <v>107</v>
      </c>
      <c r="K290" s="28" t="s">
        <v>108</v>
      </c>
      <c r="L290" s="29">
        <v>0</v>
      </c>
      <c r="M290" s="29">
        <v>0</v>
      </c>
      <c r="N290" s="29">
        <v>0.02</v>
      </c>
      <c r="O290" s="27" t="s">
        <v>166</v>
      </c>
      <c r="P290" s="30" t="s">
        <v>908</v>
      </c>
      <c r="Q290" s="31">
        <v>160482328.66</v>
      </c>
      <c r="R290" s="31">
        <v>1053.52</v>
      </c>
      <c r="S290" s="32">
        <v>3.1174E-2</v>
      </c>
      <c r="T290" s="32">
        <v>2.9399999999999999E-4</v>
      </c>
      <c r="U290" s="32">
        <v>7.8799999999999996E-4</v>
      </c>
      <c r="V290" s="32">
        <v>2.6459999999999999E-3</v>
      </c>
      <c r="W290" s="32">
        <v>6.3039999999999997E-3</v>
      </c>
      <c r="X290" s="32">
        <v>1.2971E-2</v>
      </c>
      <c r="Y290" s="32">
        <v>3.1174E-2</v>
      </c>
      <c r="Z290" s="32" t="s">
        <v>139</v>
      </c>
      <c r="AA290" s="32" t="s">
        <v>139</v>
      </c>
      <c r="AB290" s="32" t="s">
        <v>139</v>
      </c>
    </row>
    <row r="291" spans="1:28" ht="15.6" customHeight="1" x14ac:dyDescent="0.25">
      <c r="A291" s="24" t="s">
        <v>969</v>
      </c>
      <c r="B291" s="50">
        <v>4257</v>
      </c>
      <c r="C291" s="25" t="s">
        <v>970</v>
      </c>
      <c r="D291" s="25" t="s">
        <v>127</v>
      </c>
      <c r="E291" s="25" t="s">
        <v>194</v>
      </c>
      <c r="F291" s="25" t="s">
        <v>128</v>
      </c>
      <c r="G291" s="26" t="s">
        <v>250</v>
      </c>
      <c r="H291" s="27" t="s">
        <v>130</v>
      </c>
      <c r="I291" s="24" t="s">
        <v>106</v>
      </c>
      <c r="J291" s="24" t="s">
        <v>107</v>
      </c>
      <c r="K291" s="28" t="s">
        <v>108</v>
      </c>
      <c r="L291" s="29">
        <v>0</v>
      </c>
      <c r="M291" s="29">
        <v>0</v>
      </c>
      <c r="N291" s="29">
        <v>7.4999999999999997E-3</v>
      </c>
      <c r="O291" s="27" t="s">
        <v>131</v>
      </c>
      <c r="P291" s="30" t="s">
        <v>131</v>
      </c>
      <c r="Q291" s="31">
        <v>492849706.12</v>
      </c>
      <c r="R291" s="31">
        <v>213.31</v>
      </c>
      <c r="S291" s="32">
        <v>2.8198000000000001E-2</v>
      </c>
      <c r="T291" s="32">
        <v>2.81E-4</v>
      </c>
      <c r="U291" s="32">
        <v>7.9799999999999999E-4</v>
      </c>
      <c r="V291" s="32">
        <v>2.8210000000000002E-3</v>
      </c>
      <c r="W291" s="32">
        <v>5.2779999999999997E-3</v>
      </c>
      <c r="X291" s="32">
        <v>1.1379E-2</v>
      </c>
      <c r="Y291" s="32">
        <v>2.8198000000000001E-2</v>
      </c>
      <c r="Z291" s="32">
        <v>6.6177E-2</v>
      </c>
      <c r="AA291" s="32">
        <v>0.10334699999999999</v>
      </c>
      <c r="AB291" s="32" t="s">
        <v>139</v>
      </c>
    </row>
    <row r="292" spans="1:28" ht="15.6" customHeight="1" x14ac:dyDescent="0.25">
      <c r="A292" s="24" t="s">
        <v>971</v>
      </c>
      <c r="B292" s="50">
        <v>4260</v>
      </c>
      <c r="C292" s="25" t="s">
        <v>972</v>
      </c>
      <c r="D292" s="25" t="s">
        <v>101</v>
      </c>
      <c r="E292" s="25" t="s">
        <v>194</v>
      </c>
      <c r="F292" s="25" t="s">
        <v>103</v>
      </c>
      <c r="G292" s="26" t="s">
        <v>392</v>
      </c>
      <c r="H292" s="27" t="s">
        <v>337</v>
      </c>
      <c r="I292" s="24" t="s">
        <v>106</v>
      </c>
      <c r="J292" s="24" t="s">
        <v>107</v>
      </c>
      <c r="K292" s="28" t="s">
        <v>108</v>
      </c>
      <c r="L292" s="29">
        <v>0.03</v>
      </c>
      <c r="M292" s="29">
        <v>0</v>
      </c>
      <c r="N292" s="29">
        <v>0.02</v>
      </c>
      <c r="O292" s="27" t="s">
        <v>109</v>
      </c>
      <c r="P292" s="30" t="s">
        <v>101</v>
      </c>
      <c r="Q292" s="31">
        <v>12044985.550000001</v>
      </c>
      <c r="R292" s="31">
        <v>137.26</v>
      </c>
      <c r="S292" s="32">
        <v>4.0794999999999998E-2</v>
      </c>
      <c r="T292" s="32">
        <v>2.1900000000000001E-4</v>
      </c>
      <c r="U292" s="32">
        <v>5.1000000000000004E-4</v>
      </c>
      <c r="V292" s="32">
        <v>1.3860000000000001E-3</v>
      </c>
      <c r="W292" s="32">
        <v>1.1346999999999999E-2</v>
      </c>
      <c r="X292" s="32">
        <v>2.4711E-2</v>
      </c>
      <c r="Y292" s="32">
        <v>4.0794999999999998E-2</v>
      </c>
      <c r="Z292" s="32">
        <v>6.7838999999999997E-2</v>
      </c>
      <c r="AA292" s="32">
        <v>8.1554000000000001E-2</v>
      </c>
      <c r="AB292" s="32">
        <v>9.6062999999999996E-2</v>
      </c>
    </row>
    <row r="293" spans="1:28" ht="15.6" customHeight="1" x14ac:dyDescent="0.25">
      <c r="A293" s="24"/>
      <c r="B293" s="24"/>
      <c r="C293" s="25"/>
      <c r="D293" s="25"/>
      <c r="E293" s="25"/>
      <c r="F293" s="25"/>
      <c r="G293" s="26"/>
      <c r="H293" s="27"/>
      <c r="I293" s="24"/>
      <c r="J293" s="24"/>
      <c r="K293" s="28"/>
      <c r="L293" s="29"/>
      <c r="M293" s="29"/>
      <c r="N293" s="29"/>
      <c r="O293" s="27"/>
      <c r="P293" s="30"/>
      <c r="Q293" s="31"/>
      <c r="R293" s="31"/>
      <c r="S293" s="32"/>
      <c r="T293" s="32"/>
      <c r="U293" s="32"/>
      <c r="V293" s="32"/>
      <c r="W293" s="32"/>
      <c r="X293" s="32"/>
      <c r="Y293" s="32"/>
      <c r="Z293" s="32"/>
      <c r="AA293" s="32"/>
      <c r="AB293" s="32"/>
    </row>
    <row r="294" spans="1:28" ht="15.6" customHeight="1" x14ac:dyDescent="0.25">
      <c r="A294" s="24"/>
      <c r="B294" s="24"/>
      <c r="C294" s="25"/>
      <c r="D294" s="25"/>
      <c r="E294" s="25"/>
      <c r="F294" s="25"/>
      <c r="G294" s="26"/>
      <c r="H294" s="27"/>
      <c r="I294" s="24"/>
      <c r="J294" s="24"/>
      <c r="K294" s="28"/>
      <c r="L294" s="29"/>
      <c r="M294" s="29"/>
      <c r="N294" s="29"/>
      <c r="O294" s="27"/>
      <c r="P294" s="30"/>
      <c r="Q294" s="31"/>
      <c r="R294" s="31"/>
      <c r="S294" s="32"/>
      <c r="T294" s="32"/>
      <c r="U294" s="32"/>
      <c r="V294" s="32"/>
      <c r="W294" s="32"/>
      <c r="X294" s="32"/>
      <c r="Y294" s="32"/>
      <c r="Z294" s="32"/>
      <c r="AA294" s="32"/>
      <c r="AB294" s="32"/>
    </row>
    <row r="295" spans="1:28" ht="15.6" customHeight="1" x14ac:dyDescent="0.25">
      <c r="A295" s="24"/>
      <c r="B295" s="24"/>
      <c r="C295" s="25"/>
      <c r="D295" s="25"/>
      <c r="E295" s="25"/>
      <c r="F295" s="25"/>
      <c r="G295" s="26"/>
      <c r="H295" s="27"/>
      <c r="I295" s="24"/>
      <c r="J295" s="24"/>
      <c r="K295" s="28"/>
      <c r="L295" s="29"/>
      <c r="M295" s="29"/>
      <c r="N295" s="29"/>
      <c r="O295" s="27"/>
      <c r="P295" s="30"/>
      <c r="Q295" s="31"/>
      <c r="R295" s="31"/>
      <c r="S295" s="32"/>
      <c r="T295" s="32"/>
      <c r="U295" s="32"/>
      <c r="V295" s="32"/>
      <c r="W295" s="32"/>
      <c r="X295" s="32"/>
      <c r="Y295" s="32"/>
      <c r="Z295" s="32"/>
      <c r="AA295" s="32"/>
      <c r="AB295" s="32"/>
    </row>
    <row r="296" spans="1:28" ht="15.6" customHeight="1" x14ac:dyDescent="0.25">
      <c r="A296" s="24"/>
      <c r="B296" s="24"/>
      <c r="C296" s="25"/>
      <c r="D296" s="25"/>
      <c r="E296" s="25"/>
      <c r="F296" s="25"/>
      <c r="G296" s="26"/>
      <c r="H296" s="27"/>
      <c r="I296" s="24"/>
      <c r="J296" s="24"/>
      <c r="K296" s="28"/>
      <c r="L296" s="29"/>
      <c r="M296" s="29"/>
      <c r="N296" s="29"/>
      <c r="O296" s="27"/>
      <c r="P296" s="30"/>
      <c r="Q296" s="31"/>
      <c r="R296" s="31"/>
      <c r="S296" s="32"/>
      <c r="T296" s="32"/>
      <c r="U296" s="32"/>
      <c r="V296" s="32"/>
      <c r="W296" s="32"/>
      <c r="X296" s="32"/>
      <c r="Y296" s="32"/>
      <c r="Z296" s="32"/>
      <c r="AA296" s="32"/>
      <c r="AB296" s="32"/>
    </row>
    <row r="297" spans="1:28" ht="15.6" customHeight="1" x14ac:dyDescent="0.25">
      <c r="A297" s="24"/>
      <c r="B297" s="24"/>
      <c r="C297" s="25"/>
      <c r="D297" s="25"/>
      <c r="E297" s="25"/>
      <c r="F297" s="25"/>
      <c r="G297" s="26"/>
      <c r="H297" s="27"/>
      <c r="I297" s="24"/>
      <c r="J297" s="24"/>
      <c r="K297" s="28"/>
      <c r="L297" s="29"/>
      <c r="M297" s="29"/>
      <c r="N297" s="29"/>
      <c r="O297" s="27"/>
      <c r="P297" s="30"/>
      <c r="Q297" s="31"/>
      <c r="R297" s="31"/>
      <c r="S297" s="32"/>
      <c r="T297" s="32"/>
      <c r="U297" s="32"/>
      <c r="V297" s="32"/>
      <c r="W297" s="32"/>
      <c r="X297" s="32"/>
      <c r="Y297" s="32"/>
      <c r="Z297" s="32"/>
      <c r="AA297" s="32"/>
      <c r="AB297" s="32"/>
    </row>
    <row r="298" spans="1:28" ht="15.6" customHeight="1" x14ac:dyDescent="0.25">
      <c r="A298" s="24"/>
      <c r="B298" s="24"/>
      <c r="C298" s="25"/>
      <c r="D298" s="25"/>
      <c r="E298" s="25"/>
      <c r="F298" s="25"/>
      <c r="G298" s="26"/>
      <c r="H298" s="27"/>
      <c r="I298" s="24"/>
      <c r="J298" s="24"/>
      <c r="K298" s="28"/>
      <c r="L298" s="29"/>
      <c r="M298" s="29"/>
      <c r="N298" s="29"/>
      <c r="O298" s="27"/>
      <c r="P298" s="30"/>
      <c r="Q298" s="31"/>
      <c r="R298" s="31"/>
      <c r="S298" s="32"/>
      <c r="T298" s="32"/>
      <c r="U298" s="32"/>
      <c r="V298" s="32"/>
      <c r="W298" s="32"/>
      <c r="X298" s="32"/>
      <c r="Y298" s="32"/>
      <c r="Z298" s="32"/>
      <c r="AA298" s="32"/>
      <c r="AB298" s="32"/>
    </row>
    <row r="299" spans="1:28" ht="15.6" customHeight="1" x14ac:dyDescent="0.25">
      <c r="A299" s="24"/>
      <c r="B299" s="24"/>
      <c r="C299" s="25"/>
      <c r="D299" s="25"/>
      <c r="E299" s="25"/>
      <c r="F299" s="25"/>
      <c r="G299" s="26"/>
      <c r="H299" s="27"/>
      <c r="I299" s="24"/>
      <c r="J299" s="24"/>
      <c r="K299" s="28"/>
      <c r="L299" s="29"/>
      <c r="M299" s="29"/>
      <c r="N299" s="29"/>
      <c r="O299" s="27"/>
      <c r="P299" s="30"/>
      <c r="Q299" s="31"/>
      <c r="R299" s="31"/>
      <c r="S299" s="32"/>
      <c r="T299" s="32"/>
      <c r="U299" s="32"/>
      <c r="V299" s="32"/>
      <c r="W299" s="32"/>
      <c r="X299" s="32"/>
      <c r="Y299" s="32"/>
      <c r="Z299" s="32"/>
      <c r="AA299" s="32"/>
      <c r="AB299" s="32"/>
    </row>
    <row r="300" spans="1:28" ht="15.6" customHeight="1" x14ac:dyDescent="0.25">
      <c r="A300" s="24"/>
      <c r="B300" s="24"/>
      <c r="C300" s="25"/>
      <c r="D300" s="25"/>
      <c r="E300" s="25"/>
      <c r="F300" s="25"/>
      <c r="G300" s="26"/>
      <c r="H300" s="27"/>
      <c r="I300" s="24"/>
      <c r="J300" s="24"/>
      <c r="K300" s="28"/>
      <c r="L300" s="29"/>
      <c r="M300" s="29"/>
      <c r="N300" s="29"/>
      <c r="O300" s="27"/>
      <c r="P300" s="30"/>
      <c r="Q300" s="31"/>
      <c r="R300" s="31"/>
      <c r="S300" s="32"/>
      <c r="T300" s="32"/>
      <c r="U300" s="32"/>
      <c r="V300" s="32"/>
      <c r="W300" s="32"/>
      <c r="X300" s="32"/>
      <c r="Y300" s="32"/>
      <c r="Z300" s="32"/>
      <c r="AA300" s="32"/>
      <c r="AB300" s="32"/>
    </row>
    <row r="301" spans="1:28" ht="15.6" customHeight="1" x14ac:dyDescent="0.25">
      <c r="A301" s="24"/>
      <c r="B301" s="24"/>
      <c r="C301" s="25"/>
      <c r="D301" s="25"/>
      <c r="E301" s="25"/>
      <c r="F301" s="25"/>
      <c r="G301" s="26"/>
      <c r="H301" s="27"/>
      <c r="I301" s="24"/>
      <c r="J301" s="24"/>
      <c r="K301" s="28"/>
      <c r="L301" s="29"/>
      <c r="M301" s="29"/>
      <c r="N301" s="29"/>
      <c r="O301" s="27"/>
      <c r="P301" s="30"/>
      <c r="Q301" s="31"/>
      <c r="R301" s="31"/>
      <c r="S301" s="32"/>
      <c r="T301" s="32"/>
      <c r="U301" s="32"/>
      <c r="V301" s="32"/>
      <c r="W301" s="32"/>
      <c r="X301" s="32"/>
      <c r="Y301" s="32"/>
      <c r="Z301" s="32"/>
      <c r="AA301" s="32"/>
      <c r="AB301" s="32"/>
    </row>
    <row r="302" spans="1:28" ht="15.6" customHeight="1" x14ac:dyDescent="0.25">
      <c r="A302" s="24"/>
      <c r="B302" s="24"/>
      <c r="C302" s="25"/>
      <c r="D302" s="25"/>
      <c r="E302" s="25"/>
      <c r="F302" s="25"/>
      <c r="G302" s="26"/>
      <c r="H302" s="27"/>
      <c r="I302" s="24"/>
      <c r="J302" s="24"/>
      <c r="K302" s="28"/>
      <c r="L302" s="29"/>
      <c r="M302" s="29"/>
      <c r="N302" s="29"/>
      <c r="O302" s="27"/>
      <c r="P302" s="30"/>
      <c r="Q302" s="31"/>
      <c r="R302" s="31"/>
      <c r="S302" s="32"/>
      <c r="T302" s="32"/>
      <c r="U302" s="32"/>
      <c r="V302" s="32"/>
      <c r="W302" s="32"/>
      <c r="X302" s="32"/>
      <c r="Y302" s="32"/>
      <c r="Z302" s="32"/>
      <c r="AA302" s="32"/>
      <c r="AB302" s="32"/>
    </row>
    <row r="303" spans="1:28" ht="15.6" customHeight="1" x14ac:dyDescent="0.25">
      <c r="A303" s="24"/>
      <c r="B303" s="24"/>
      <c r="C303" s="25"/>
      <c r="D303" s="25"/>
      <c r="E303" s="25"/>
      <c r="F303" s="25"/>
      <c r="G303" s="26"/>
      <c r="H303" s="27"/>
      <c r="I303" s="24"/>
      <c r="J303" s="24"/>
      <c r="K303" s="28"/>
      <c r="L303" s="29"/>
      <c r="M303" s="29"/>
      <c r="N303" s="29"/>
      <c r="O303" s="27"/>
      <c r="P303" s="30"/>
      <c r="Q303" s="31"/>
      <c r="R303" s="31"/>
      <c r="S303" s="32"/>
      <c r="T303" s="32"/>
      <c r="U303" s="32"/>
      <c r="V303" s="32"/>
      <c r="W303" s="32"/>
      <c r="X303" s="32"/>
      <c r="Y303" s="32"/>
      <c r="Z303" s="32"/>
      <c r="AA303" s="32"/>
      <c r="AB303" s="32"/>
    </row>
    <row r="304" spans="1:28" ht="15.6" customHeight="1" x14ac:dyDescent="0.25">
      <c r="A304" s="24"/>
      <c r="B304" s="24"/>
      <c r="C304" s="25"/>
      <c r="D304" s="25"/>
      <c r="E304" s="25"/>
      <c r="F304" s="25"/>
      <c r="G304" s="26"/>
      <c r="H304" s="27"/>
      <c r="I304" s="24"/>
      <c r="J304" s="24"/>
      <c r="K304" s="28"/>
      <c r="L304" s="29"/>
      <c r="M304" s="29"/>
      <c r="N304" s="29"/>
      <c r="O304" s="27"/>
      <c r="P304" s="30"/>
      <c r="Q304" s="31"/>
      <c r="R304" s="31"/>
      <c r="S304" s="32"/>
      <c r="T304" s="32"/>
      <c r="U304" s="32"/>
      <c r="V304" s="32"/>
      <c r="W304" s="32"/>
      <c r="X304" s="32"/>
      <c r="Y304" s="32"/>
      <c r="Z304" s="32"/>
      <c r="AA304" s="32"/>
      <c r="AB304" s="32"/>
    </row>
    <row r="305" spans="1:28" ht="15.6" customHeight="1" x14ac:dyDescent="0.25">
      <c r="A305" s="24"/>
      <c r="B305" s="24"/>
      <c r="C305" s="25"/>
      <c r="D305" s="25"/>
      <c r="E305" s="25"/>
      <c r="F305" s="25"/>
      <c r="G305" s="26"/>
      <c r="H305" s="27"/>
      <c r="I305" s="24"/>
      <c r="J305" s="24"/>
      <c r="K305" s="28"/>
      <c r="L305" s="29"/>
      <c r="M305" s="29"/>
      <c r="N305" s="29"/>
      <c r="O305" s="27"/>
      <c r="P305" s="30"/>
      <c r="Q305" s="31"/>
      <c r="R305" s="31"/>
      <c r="S305" s="32"/>
      <c r="T305" s="32"/>
      <c r="U305" s="32"/>
      <c r="V305" s="32"/>
      <c r="W305" s="32"/>
      <c r="X305" s="32"/>
      <c r="Y305" s="32"/>
      <c r="Z305" s="32"/>
      <c r="AA305" s="32"/>
      <c r="AB305" s="32"/>
    </row>
    <row r="306" spans="1:28" ht="15.6" customHeight="1" x14ac:dyDescent="0.25">
      <c r="A306" s="24"/>
      <c r="B306" s="24"/>
      <c r="C306" s="25"/>
      <c r="D306" s="25"/>
      <c r="E306" s="25"/>
      <c r="F306" s="25"/>
      <c r="G306" s="26"/>
      <c r="H306" s="27"/>
      <c r="I306" s="24"/>
      <c r="J306" s="24"/>
      <c r="K306" s="28"/>
      <c r="L306" s="29"/>
      <c r="M306" s="29"/>
      <c r="N306" s="29"/>
      <c r="O306" s="27"/>
      <c r="P306" s="30"/>
      <c r="Q306" s="31"/>
      <c r="R306" s="31"/>
      <c r="S306" s="32"/>
      <c r="T306" s="32"/>
      <c r="U306" s="32"/>
      <c r="V306" s="32"/>
      <c r="W306" s="32"/>
      <c r="X306" s="32"/>
      <c r="Y306" s="32"/>
      <c r="Z306" s="32"/>
      <c r="AA306" s="32"/>
      <c r="AB306" s="32"/>
    </row>
    <row r="307" spans="1:28" ht="15.6" customHeight="1" x14ac:dyDescent="0.25">
      <c r="A307" s="24"/>
      <c r="B307" s="24"/>
      <c r="C307" s="25"/>
      <c r="D307" s="25"/>
      <c r="E307" s="25"/>
      <c r="F307" s="25"/>
      <c r="G307" s="26"/>
      <c r="H307" s="27"/>
      <c r="I307" s="24"/>
      <c r="J307" s="24"/>
      <c r="K307" s="28"/>
      <c r="L307" s="29"/>
      <c r="M307" s="29"/>
      <c r="N307" s="29"/>
      <c r="O307" s="27"/>
      <c r="P307" s="30"/>
      <c r="Q307" s="31"/>
      <c r="R307" s="31"/>
      <c r="S307" s="32"/>
      <c r="T307" s="32"/>
      <c r="U307" s="32"/>
      <c r="V307" s="32"/>
      <c r="W307" s="32"/>
      <c r="X307" s="32"/>
      <c r="Y307" s="32"/>
      <c r="Z307" s="32"/>
      <c r="AA307" s="32"/>
      <c r="AB307" s="32"/>
    </row>
    <row r="308" spans="1:28" ht="15.6" customHeight="1" x14ac:dyDescent="0.25">
      <c r="A308" s="24"/>
      <c r="B308" s="24"/>
      <c r="C308" s="25"/>
      <c r="D308" s="25"/>
      <c r="E308" s="25"/>
      <c r="F308" s="25"/>
      <c r="G308" s="26"/>
      <c r="H308" s="27"/>
      <c r="I308" s="24"/>
      <c r="J308" s="24"/>
      <c r="K308" s="28"/>
      <c r="L308" s="29"/>
      <c r="M308" s="29"/>
      <c r="N308" s="29"/>
      <c r="O308" s="27"/>
      <c r="P308" s="30"/>
      <c r="Q308" s="31"/>
      <c r="R308" s="31"/>
      <c r="S308" s="32"/>
      <c r="T308" s="32"/>
      <c r="U308" s="32"/>
      <c r="V308" s="32"/>
      <c r="W308" s="32"/>
      <c r="X308" s="32"/>
      <c r="Y308" s="32"/>
      <c r="Z308" s="32"/>
      <c r="AA308" s="32"/>
      <c r="AB308" s="32"/>
    </row>
    <row r="309" spans="1:28" ht="15.6" customHeight="1" x14ac:dyDescent="0.25">
      <c r="A309" s="24"/>
      <c r="B309" s="24"/>
      <c r="C309" s="25"/>
      <c r="D309" s="25"/>
      <c r="E309" s="25"/>
      <c r="F309" s="25"/>
      <c r="G309" s="26"/>
      <c r="H309" s="27"/>
      <c r="I309" s="24"/>
      <c r="J309" s="24"/>
      <c r="K309" s="28"/>
      <c r="L309" s="29"/>
      <c r="M309" s="29"/>
      <c r="N309" s="29"/>
      <c r="O309" s="27"/>
      <c r="P309" s="30"/>
      <c r="Q309" s="31"/>
      <c r="R309" s="31"/>
      <c r="S309" s="32"/>
      <c r="T309" s="32"/>
      <c r="U309" s="32"/>
      <c r="V309" s="32"/>
      <c r="W309" s="32"/>
      <c r="X309" s="32"/>
      <c r="Y309" s="32"/>
      <c r="Z309" s="32"/>
      <c r="AA309" s="32"/>
      <c r="AB309" s="32"/>
    </row>
    <row r="310" spans="1:28" ht="15.6" customHeight="1" x14ac:dyDescent="0.25">
      <c r="A310" s="24"/>
      <c r="B310" s="24"/>
      <c r="C310" s="25"/>
      <c r="D310" s="25"/>
      <c r="E310" s="25"/>
      <c r="F310" s="25"/>
      <c r="G310" s="26"/>
      <c r="H310" s="27"/>
      <c r="I310" s="24"/>
      <c r="J310" s="24"/>
      <c r="K310" s="28"/>
      <c r="L310" s="29"/>
      <c r="M310" s="29"/>
      <c r="N310" s="29"/>
      <c r="O310" s="27"/>
      <c r="P310" s="30"/>
      <c r="Q310" s="31"/>
      <c r="R310" s="31"/>
      <c r="S310" s="32"/>
      <c r="T310" s="32"/>
      <c r="U310" s="32"/>
      <c r="V310" s="32"/>
      <c r="W310" s="32"/>
      <c r="X310" s="32"/>
      <c r="Y310" s="32"/>
      <c r="Z310" s="32"/>
      <c r="AA310" s="32"/>
      <c r="AB310" s="32"/>
    </row>
    <row r="311" spans="1:28" ht="15.6" customHeight="1" x14ac:dyDescent="0.25">
      <c r="A311" s="24"/>
      <c r="B311" s="24"/>
      <c r="C311" s="25"/>
      <c r="D311" s="25"/>
      <c r="E311" s="25"/>
      <c r="F311" s="25"/>
      <c r="G311" s="26"/>
      <c r="H311" s="27"/>
      <c r="I311" s="24"/>
      <c r="J311" s="24"/>
      <c r="K311" s="28"/>
      <c r="L311" s="29"/>
      <c r="M311" s="29"/>
      <c r="N311" s="29"/>
      <c r="O311" s="27"/>
      <c r="P311" s="30"/>
      <c r="Q311" s="31"/>
      <c r="R311" s="31"/>
      <c r="S311" s="32"/>
      <c r="T311" s="32"/>
      <c r="U311" s="32"/>
      <c r="V311" s="32"/>
      <c r="W311" s="32"/>
      <c r="X311" s="32"/>
      <c r="Y311" s="32"/>
      <c r="Z311" s="32"/>
      <c r="AA311" s="32"/>
      <c r="AB311" s="32"/>
    </row>
    <row r="312" spans="1:28" ht="15.6" customHeight="1" x14ac:dyDescent="0.25">
      <c r="A312" s="24"/>
      <c r="B312" s="24"/>
      <c r="C312" s="25"/>
      <c r="D312" s="25"/>
      <c r="E312" s="25"/>
      <c r="F312" s="25"/>
      <c r="G312" s="26"/>
      <c r="H312" s="27"/>
      <c r="I312" s="24"/>
      <c r="J312" s="24"/>
      <c r="K312" s="28"/>
      <c r="L312" s="29"/>
      <c r="M312" s="29"/>
      <c r="N312" s="29"/>
      <c r="O312" s="27"/>
      <c r="P312" s="30"/>
      <c r="Q312" s="31"/>
      <c r="R312" s="31"/>
      <c r="S312" s="32"/>
      <c r="T312" s="32"/>
      <c r="U312" s="32"/>
      <c r="V312" s="32"/>
      <c r="W312" s="32"/>
      <c r="X312" s="32"/>
      <c r="Y312" s="32"/>
      <c r="Z312" s="32"/>
      <c r="AA312" s="32"/>
      <c r="AB312" s="32"/>
    </row>
    <row r="313" spans="1:28" ht="15.6" customHeight="1" x14ac:dyDescent="0.25">
      <c r="A313" s="24"/>
      <c r="B313" s="24"/>
      <c r="C313" s="25"/>
      <c r="D313" s="25"/>
      <c r="E313" s="25"/>
      <c r="F313" s="25"/>
      <c r="G313" s="26"/>
      <c r="H313" s="27"/>
      <c r="I313" s="24"/>
      <c r="J313" s="24"/>
      <c r="K313" s="28"/>
      <c r="L313" s="29"/>
      <c r="M313" s="29"/>
      <c r="N313" s="29"/>
      <c r="O313" s="27"/>
      <c r="P313" s="30"/>
      <c r="Q313" s="31"/>
      <c r="R313" s="31"/>
      <c r="S313" s="32"/>
      <c r="T313" s="32"/>
      <c r="U313" s="32"/>
      <c r="V313" s="32"/>
      <c r="W313" s="32"/>
      <c r="X313" s="32"/>
      <c r="Y313" s="32"/>
      <c r="Z313" s="32"/>
      <c r="AA313" s="32"/>
      <c r="AB313" s="32"/>
    </row>
    <row r="314" spans="1:28" ht="15.6" customHeight="1" x14ac:dyDescent="0.25">
      <c r="A314" s="24"/>
      <c r="B314" s="24"/>
      <c r="C314" s="25"/>
      <c r="D314" s="25"/>
      <c r="E314" s="25"/>
      <c r="F314" s="25"/>
      <c r="G314" s="26"/>
      <c r="H314" s="27"/>
      <c r="I314" s="24"/>
      <c r="J314" s="24"/>
      <c r="K314" s="28"/>
      <c r="L314" s="29"/>
      <c r="M314" s="29"/>
      <c r="N314" s="29"/>
      <c r="O314" s="27"/>
      <c r="P314" s="30"/>
      <c r="Q314" s="31"/>
      <c r="R314" s="31"/>
      <c r="S314" s="32"/>
      <c r="T314" s="32"/>
      <c r="U314" s="32"/>
      <c r="V314" s="32"/>
      <c r="W314" s="32"/>
      <c r="X314" s="32"/>
      <c r="Y314" s="32"/>
      <c r="Z314" s="32"/>
      <c r="AA314" s="32"/>
      <c r="AB314" s="32"/>
    </row>
    <row r="315" spans="1:28" ht="15.6" customHeight="1" x14ac:dyDescent="0.25">
      <c r="A315" s="24"/>
      <c r="B315" s="24"/>
      <c r="C315" s="25"/>
      <c r="D315" s="25"/>
      <c r="E315" s="25"/>
      <c r="F315" s="25"/>
      <c r="G315" s="26"/>
      <c r="H315" s="27"/>
      <c r="I315" s="24"/>
      <c r="J315" s="24"/>
      <c r="K315" s="28"/>
      <c r="L315" s="29"/>
      <c r="M315" s="29"/>
      <c r="N315" s="29"/>
      <c r="O315" s="27"/>
      <c r="P315" s="30"/>
      <c r="Q315" s="31"/>
      <c r="R315" s="31"/>
      <c r="S315" s="32"/>
      <c r="T315" s="32"/>
      <c r="U315" s="32"/>
      <c r="V315" s="32"/>
      <c r="W315" s="32"/>
      <c r="X315" s="32"/>
      <c r="Y315" s="32"/>
      <c r="Z315" s="32"/>
      <c r="AA315" s="32"/>
      <c r="AB315" s="32"/>
    </row>
    <row r="316" spans="1:28" ht="15.6" customHeight="1" x14ac:dyDescent="0.25">
      <c r="A316" s="24"/>
      <c r="B316" s="24"/>
      <c r="C316" s="25"/>
      <c r="D316" s="25"/>
      <c r="E316" s="25"/>
      <c r="F316" s="25"/>
      <c r="G316" s="26"/>
      <c r="H316" s="27"/>
      <c r="I316" s="24"/>
      <c r="J316" s="24"/>
      <c r="K316" s="28"/>
      <c r="L316" s="29"/>
      <c r="M316" s="29"/>
      <c r="N316" s="29"/>
      <c r="O316" s="27"/>
      <c r="P316" s="30"/>
      <c r="Q316" s="31"/>
      <c r="R316" s="31"/>
      <c r="S316" s="32"/>
      <c r="T316" s="32"/>
      <c r="U316" s="32"/>
      <c r="V316" s="32"/>
      <c r="W316" s="32"/>
      <c r="X316" s="32"/>
      <c r="Y316" s="32"/>
      <c r="Z316" s="32"/>
      <c r="AA316" s="32"/>
      <c r="AB316" s="32"/>
    </row>
    <row r="317" spans="1:28" ht="15.6" customHeight="1" x14ac:dyDescent="0.25">
      <c r="A317" s="24"/>
      <c r="B317" s="24"/>
      <c r="C317" s="25"/>
      <c r="D317" s="25"/>
      <c r="E317" s="25"/>
      <c r="F317" s="25"/>
      <c r="G317" s="26"/>
      <c r="H317" s="27"/>
      <c r="I317" s="24"/>
      <c r="J317" s="24"/>
      <c r="K317" s="28"/>
      <c r="L317" s="29"/>
      <c r="M317" s="29"/>
      <c r="N317" s="29"/>
      <c r="O317" s="27"/>
      <c r="P317" s="30"/>
      <c r="Q317" s="31"/>
      <c r="R317" s="31"/>
      <c r="S317" s="32"/>
      <c r="T317" s="32"/>
      <c r="U317" s="32"/>
      <c r="V317" s="32"/>
      <c r="W317" s="32"/>
      <c r="X317" s="32"/>
      <c r="Y317" s="32"/>
      <c r="Z317" s="32"/>
      <c r="AA317" s="32"/>
      <c r="AB317" s="32"/>
    </row>
    <row r="318" spans="1:28" ht="15.6" customHeight="1" x14ac:dyDescent="0.25">
      <c r="A318" s="24"/>
      <c r="B318" s="24"/>
      <c r="C318" s="25"/>
      <c r="D318" s="25"/>
      <c r="E318" s="25"/>
      <c r="F318" s="25"/>
      <c r="G318" s="26"/>
      <c r="H318" s="27"/>
      <c r="I318" s="24"/>
      <c r="J318" s="24"/>
      <c r="K318" s="28"/>
      <c r="L318" s="29"/>
      <c r="M318" s="29"/>
      <c r="N318" s="29"/>
      <c r="O318" s="27"/>
      <c r="P318" s="30"/>
      <c r="Q318" s="31"/>
      <c r="R318" s="31"/>
      <c r="S318" s="32"/>
      <c r="T318" s="32"/>
      <c r="U318" s="32"/>
      <c r="V318" s="32"/>
      <c r="W318" s="32"/>
      <c r="X318" s="32"/>
      <c r="Y318" s="32"/>
      <c r="Z318" s="32"/>
      <c r="AA318" s="32"/>
      <c r="AB318" s="32"/>
    </row>
    <row r="319" spans="1:28" ht="15.6" customHeight="1" x14ac:dyDescent="0.25">
      <c r="A319" s="24"/>
      <c r="B319" s="24"/>
      <c r="C319" s="25"/>
      <c r="D319" s="25"/>
      <c r="E319" s="25"/>
      <c r="F319" s="25"/>
      <c r="G319" s="26"/>
      <c r="H319" s="27"/>
      <c r="I319" s="24"/>
      <c r="J319" s="24"/>
      <c r="K319" s="28"/>
      <c r="L319" s="29"/>
      <c r="M319" s="29"/>
      <c r="N319" s="29"/>
      <c r="O319" s="27"/>
      <c r="P319" s="30"/>
      <c r="Q319" s="31"/>
      <c r="R319" s="31"/>
      <c r="S319" s="32"/>
      <c r="T319" s="32"/>
      <c r="U319" s="32"/>
      <c r="V319" s="32"/>
      <c r="W319" s="32"/>
      <c r="X319" s="32"/>
      <c r="Y319" s="32"/>
      <c r="Z319" s="32"/>
      <c r="AA319" s="32"/>
      <c r="AB319" s="32"/>
    </row>
    <row r="320" spans="1:28" ht="15.6" customHeight="1" x14ac:dyDescent="0.25">
      <c r="A320" s="24"/>
      <c r="B320" s="24"/>
      <c r="C320" s="25"/>
      <c r="D320" s="25"/>
      <c r="E320" s="25"/>
      <c r="F320" s="25"/>
      <c r="G320" s="26"/>
      <c r="H320" s="27"/>
      <c r="I320" s="24"/>
      <c r="J320" s="24"/>
      <c r="K320" s="28"/>
      <c r="L320" s="29"/>
      <c r="M320" s="29"/>
      <c r="N320" s="29"/>
      <c r="O320" s="27"/>
      <c r="P320" s="30"/>
      <c r="Q320" s="31"/>
      <c r="R320" s="31"/>
      <c r="S320" s="32"/>
      <c r="T320" s="32"/>
      <c r="U320" s="32"/>
      <c r="V320" s="32"/>
      <c r="W320" s="32"/>
      <c r="X320" s="32"/>
      <c r="Y320" s="32"/>
      <c r="Z320" s="32"/>
      <c r="AA320" s="32"/>
      <c r="AB320" s="32"/>
    </row>
    <row r="321" spans="1:28" ht="15.6" customHeight="1" x14ac:dyDescent="0.25">
      <c r="A321" s="24"/>
      <c r="B321" s="24"/>
      <c r="C321" s="25"/>
      <c r="D321" s="25"/>
      <c r="E321" s="25"/>
      <c r="F321" s="25"/>
      <c r="G321" s="26"/>
      <c r="H321" s="27"/>
      <c r="I321" s="24"/>
      <c r="J321" s="24"/>
      <c r="K321" s="28"/>
      <c r="L321" s="29"/>
      <c r="M321" s="29"/>
      <c r="N321" s="29"/>
      <c r="O321" s="27"/>
      <c r="P321" s="30"/>
      <c r="Q321" s="31"/>
      <c r="R321" s="31"/>
      <c r="S321" s="32"/>
      <c r="T321" s="32"/>
      <c r="U321" s="32"/>
      <c r="V321" s="32"/>
      <c r="W321" s="32"/>
      <c r="X321" s="32"/>
      <c r="Y321" s="32"/>
      <c r="Z321" s="32"/>
      <c r="AA321" s="32"/>
      <c r="AB321" s="32"/>
    </row>
    <row r="322" spans="1:28" ht="15.6" customHeight="1" x14ac:dyDescent="0.25">
      <c r="A322" s="24"/>
      <c r="B322" s="24"/>
      <c r="C322" s="25"/>
      <c r="D322" s="25"/>
      <c r="E322" s="25"/>
      <c r="F322" s="25"/>
      <c r="G322" s="26"/>
      <c r="H322" s="27"/>
      <c r="I322" s="24"/>
      <c r="J322" s="24"/>
      <c r="K322" s="28"/>
      <c r="L322" s="29"/>
      <c r="M322" s="29"/>
      <c r="N322" s="29"/>
      <c r="O322" s="27"/>
      <c r="P322" s="30"/>
      <c r="Q322" s="31"/>
      <c r="R322" s="31"/>
      <c r="S322" s="32"/>
      <c r="T322" s="32"/>
      <c r="U322" s="32"/>
      <c r="V322" s="32"/>
      <c r="W322" s="32"/>
      <c r="X322" s="32"/>
      <c r="Y322" s="32"/>
      <c r="Z322" s="32"/>
      <c r="AA322" s="32"/>
      <c r="AB322" s="32"/>
    </row>
    <row r="323" spans="1:28" ht="15.6" customHeight="1" x14ac:dyDescent="0.25">
      <c r="A323" s="24"/>
      <c r="B323" s="24"/>
      <c r="C323" s="25"/>
      <c r="D323" s="25"/>
      <c r="E323" s="25"/>
      <c r="F323" s="25"/>
      <c r="G323" s="26"/>
      <c r="H323" s="27"/>
      <c r="I323" s="24"/>
      <c r="J323" s="24"/>
      <c r="K323" s="28"/>
      <c r="L323" s="29"/>
      <c r="M323" s="29"/>
      <c r="N323" s="29"/>
      <c r="O323" s="27"/>
      <c r="P323" s="30"/>
      <c r="Q323" s="31"/>
      <c r="R323" s="31"/>
      <c r="S323" s="32"/>
      <c r="T323" s="32"/>
      <c r="U323" s="32"/>
      <c r="V323" s="32"/>
      <c r="W323" s="32"/>
      <c r="X323" s="32"/>
      <c r="Y323" s="32"/>
      <c r="Z323" s="32"/>
      <c r="AA323" s="32"/>
      <c r="AB323" s="32"/>
    </row>
    <row r="324" spans="1:28" ht="15.6" customHeight="1" x14ac:dyDescent="0.25">
      <c r="A324" s="24"/>
      <c r="B324" s="24"/>
      <c r="C324" s="25"/>
      <c r="D324" s="25"/>
      <c r="E324" s="25"/>
      <c r="F324" s="25"/>
      <c r="G324" s="26"/>
      <c r="H324" s="27"/>
      <c r="I324" s="24"/>
      <c r="J324" s="24"/>
      <c r="K324" s="28"/>
      <c r="L324" s="29"/>
      <c r="M324" s="29"/>
      <c r="N324" s="29"/>
      <c r="O324" s="27"/>
      <c r="P324" s="30"/>
      <c r="Q324" s="31"/>
      <c r="R324" s="31"/>
      <c r="S324" s="32"/>
      <c r="T324" s="32"/>
      <c r="U324" s="32"/>
      <c r="V324" s="32"/>
      <c r="W324" s="32"/>
      <c r="X324" s="32"/>
      <c r="Y324" s="32"/>
      <c r="Z324" s="32"/>
      <c r="AA324" s="32"/>
      <c r="AB324" s="32"/>
    </row>
    <row r="325" spans="1:28" ht="15.6" customHeight="1" x14ac:dyDescent="0.25">
      <c r="A325" s="24"/>
      <c r="B325" s="24"/>
      <c r="C325" s="25"/>
      <c r="D325" s="25"/>
      <c r="E325" s="25"/>
      <c r="F325" s="25"/>
      <c r="G325" s="26"/>
      <c r="H325" s="27"/>
      <c r="I325" s="24"/>
      <c r="J325" s="24"/>
      <c r="K325" s="28"/>
      <c r="L325" s="29"/>
      <c r="M325" s="29"/>
      <c r="N325" s="29"/>
      <c r="O325" s="27"/>
      <c r="P325" s="30"/>
      <c r="Q325" s="31"/>
      <c r="R325" s="31"/>
      <c r="S325" s="32"/>
      <c r="T325" s="32"/>
      <c r="U325" s="32"/>
      <c r="V325" s="32"/>
      <c r="W325" s="32"/>
      <c r="X325" s="32"/>
      <c r="Y325" s="32"/>
      <c r="Z325" s="32"/>
      <c r="AA325" s="32"/>
      <c r="AB325" s="32"/>
    </row>
    <row r="326" spans="1:28" ht="15.6" customHeight="1" x14ac:dyDescent="0.25">
      <c r="A326" s="24"/>
      <c r="B326" s="24"/>
      <c r="C326" s="25"/>
      <c r="D326" s="25"/>
      <c r="E326" s="25"/>
      <c r="F326" s="25"/>
      <c r="G326" s="26"/>
      <c r="H326" s="27"/>
      <c r="I326" s="24"/>
      <c r="J326" s="24"/>
      <c r="K326" s="28"/>
      <c r="L326" s="29"/>
      <c r="M326" s="29"/>
      <c r="N326" s="29"/>
      <c r="O326" s="27"/>
      <c r="P326" s="30"/>
      <c r="Q326" s="31"/>
      <c r="R326" s="31"/>
      <c r="S326" s="32"/>
      <c r="T326" s="32"/>
      <c r="U326" s="32"/>
      <c r="V326" s="32"/>
      <c r="W326" s="32"/>
      <c r="X326" s="32"/>
      <c r="Y326" s="32"/>
      <c r="Z326" s="32"/>
      <c r="AA326" s="32"/>
      <c r="AB326" s="32"/>
    </row>
    <row r="327" spans="1:28" ht="15.6" customHeight="1" x14ac:dyDescent="0.25">
      <c r="A327" s="24"/>
      <c r="B327" s="24"/>
      <c r="C327" s="25"/>
      <c r="D327" s="25"/>
      <c r="E327" s="25"/>
      <c r="F327" s="25"/>
      <c r="G327" s="26"/>
      <c r="H327" s="27"/>
      <c r="I327" s="24"/>
      <c r="J327" s="24"/>
      <c r="K327" s="28"/>
      <c r="L327" s="29"/>
      <c r="M327" s="29"/>
      <c r="N327" s="29"/>
      <c r="O327" s="27"/>
      <c r="P327" s="30"/>
      <c r="Q327" s="31"/>
      <c r="R327" s="31"/>
      <c r="S327" s="32"/>
      <c r="T327" s="32"/>
      <c r="U327" s="32"/>
      <c r="V327" s="32"/>
      <c r="W327" s="32"/>
      <c r="X327" s="32"/>
      <c r="Y327" s="32"/>
      <c r="Z327" s="32"/>
      <c r="AA327" s="32"/>
      <c r="AB327" s="32"/>
    </row>
    <row r="328" spans="1:28" ht="15.6" customHeight="1" x14ac:dyDescent="0.25">
      <c r="A328" s="24"/>
      <c r="B328" s="24"/>
      <c r="C328" s="25"/>
      <c r="D328" s="25"/>
      <c r="E328" s="25"/>
      <c r="F328" s="25"/>
      <c r="G328" s="26"/>
      <c r="H328" s="27"/>
      <c r="I328" s="24"/>
      <c r="J328" s="24"/>
      <c r="K328" s="28"/>
      <c r="L328" s="29"/>
      <c r="M328" s="29"/>
      <c r="N328" s="29"/>
      <c r="O328" s="27"/>
      <c r="P328" s="30"/>
      <c r="Q328" s="31"/>
      <c r="R328" s="31"/>
      <c r="S328" s="32"/>
      <c r="T328" s="32"/>
      <c r="U328" s="32"/>
      <c r="V328" s="32"/>
      <c r="W328" s="32"/>
      <c r="X328" s="32"/>
      <c r="Y328" s="32"/>
      <c r="Z328" s="32"/>
      <c r="AA328" s="32"/>
      <c r="AB328" s="32"/>
    </row>
    <row r="329" spans="1:28" ht="15.6" customHeight="1" x14ac:dyDescent="0.25">
      <c r="A329" s="24"/>
      <c r="B329" s="24"/>
      <c r="C329" s="25"/>
      <c r="D329" s="25"/>
      <c r="E329" s="25"/>
      <c r="F329" s="25"/>
      <c r="G329" s="26"/>
      <c r="H329" s="27"/>
      <c r="I329" s="24"/>
      <c r="J329" s="24"/>
      <c r="K329" s="28"/>
      <c r="L329" s="29"/>
      <c r="M329" s="29"/>
      <c r="N329" s="29"/>
      <c r="O329" s="27"/>
      <c r="P329" s="30"/>
      <c r="Q329" s="31"/>
      <c r="R329" s="31"/>
      <c r="S329" s="32"/>
      <c r="T329" s="32"/>
      <c r="U329" s="32"/>
      <c r="V329" s="32"/>
      <c r="W329" s="32"/>
      <c r="X329" s="32"/>
      <c r="Y329" s="32"/>
      <c r="Z329" s="32"/>
      <c r="AA329" s="32"/>
      <c r="AB329" s="32"/>
    </row>
    <row r="330" spans="1:28" ht="15.6" customHeight="1" x14ac:dyDescent="0.25">
      <c r="A330" s="24"/>
      <c r="B330" s="24"/>
      <c r="C330" s="25"/>
      <c r="D330" s="25"/>
      <c r="E330" s="25"/>
      <c r="F330" s="25"/>
      <c r="G330" s="26"/>
      <c r="H330" s="27"/>
      <c r="I330" s="24"/>
      <c r="J330" s="24"/>
      <c r="K330" s="28"/>
      <c r="L330" s="29"/>
      <c r="M330" s="29"/>
      <c r="N330" s="29"/>
      <c r="O330" s="27"/>
      <c r="P330" s="30"/>
      <c r="Q330" s="31"/>
      <c r="R330" s="31"/>
      <c r="S330" s="32"/>
      <c r="T330" s="32"/>
      <c r="U330" s="32"/>
      <c r="V330" s="32"/>
      <c r="W330" s="32"/>
      <c r="X330" s="32"/>
      <c r="Y330" s="32"/>
      <c r="Z330" s="32"/>
      <c r="AA330" s="32"/>
      <c r="AB330" s="32"/>
    </row>
    <row r="331" spans="1:28" ht="15.6" customHeight="1" x14ac:dyDescent="0.25">
      <c r="A331" s="24"/>
      <c r="B331" s="24"/>
      <c r="C331" s="25"/>
      <c r="D331" s="25"/>
      <c r="E331" s="25"/>
      <c r="F331" s="25"/>
      <c r="G331" s="26"/>
      <c r="H331" s="27"/>
      <c r="I331" s="24"/>
      <c r="J331" s="24"/>
      <c r="K331" s="28"/>
      <c r="L331" s="29"/>
      <c r="M331" s="29"/>
      <c r="N331" s="29"/>
      <c r="O331" s="27"/>
      <c r="P331" s="30"/>
      <c r="Q331" s="31"/>
      <c r="R331" s="31"/>
      <c r="S331" s="32"/>
      <c r="T331" s="32"/>
      <c r="U331" s="32"/>
      <c r="V331" s="32"/>
      <c r="W331" s="32"/>
      <c r="X331" s="32"/>
      <c r="Y331" s="32"/>
      <c r="Z331" s="32"/>
      <c r="AA331" s="32"/>
      <c r="AB331" s="32"/>
    </row>
    <row r="332" spans="1:28" ht="15.6" customHeight="1" x14ac:dyDescent="0.25">
      <c r="A332" s="24"/>
      <c r="B332" s="24"/>
      <c r="C332" s="25"/>
      <c r="D332" s="25"/>
      <c r="E332" s="25"/>
      <c r="F332" s="25"/>
      <c r="G332" s="26"/>
      <c r="H332" s="27"/>
      <c r="I332" s="24"/>
      <c r="J332" s="24"/>
      <c r="K332" s="28"/>
      <c r="L332" s="29"/>
      <c r="M332" s="29"/>
      <c r="N332" s="29"/>
      <c r="O332" s="27"/>
      <c r="P332" s="30"/>
      <c r="Q332" s="31"/>
      <c r="R332" s="31"/>
      <c r="S332" s="32"/>
      <c r="T332" s="32"/>
      <c r="U332" s="32"/>
      <c r="V332" s="32"/>
      <c r="W332" s="32"/>
      <c r="X332" s="32"/>
      <c r="Y332" s="32"/>
      <c r="Z332" s="32"/>
      <c r="AA332" s="32"/>
      <c r="AB332" s="32"/>
    </row>
    <row r="333" spans="1:28" ht="15.6" customHeight="1" x14ac:dyDescent="0.25">
      <c r="A333" s="24"/>
      <c r="B333" s="24"/>
      <c r="C333" s="25"/>
      <c r="D333" s="25"/>
      <c r="E333" s="25"/>
      <c r="F333" s="25"/>
      <c r="G333" s="26"/>
      <c r="H333" s="27"/>
      <c r="I333" s="24"/>
      <c r="J333" s="24"/>
      <c r="K333" s="28"/>
      <c r="L333" s="29"/>
      <c r="M333" s="29"/>
      <c r="N333" s="29"/>
      <c r="O333" s="27"/>
      <c r="P333" s="30"/>
      <c r="Q333" s="31"/>
      <c r="R333" s="31"/>
      <c r="S333" s="32"/>
      <c r="T333" s="32"/>
      <c r="U333" s="32"/>
      <c r="V333" s="32"/>
      <c r="W333" s="32"/>
      <c r="X333" s="32"/>
      <c r="Y333" s="32"/>
      <c r="Z333" s="32"/>
      <c r="AA333" s="32"/>
      <c r="AB333" s="32"/>
    </row>
    <row r="334" spans="1:28" ht="15.6" customHeight="1" x14ac:dyDescent="0.25">
      <c r="A334" s="24"/>
      <c r="B334" s="24"/>
      <c r="C334" s="25"/>
      <c r="D334" s="25"/>
      <c r="E334" s="25"/>
      <c r="F334" s="25"/>
      <c r="G334" s="26"/>
      <c r="H334" s="27"/>
      <c r="I334" s="24"/>
      <c r="J334" s="24"/>
      <c r="K334" s="28"/>
      <c r="L334" s="29"/>
      <c r="M334" s="29"/>
      <c r="N334" s="29"/>
      <c r="O334" s="27"/>
      <c r="P334" s="30"/>
      <c r="Q334" s="31"/>
      <c r="R334" s="31"/>
      <c r="S334" s="32"/>
      <c r="T334" s="32"/>
      <c r="U334" s="32"/>
      <c r="V334" s="32"/>
      <c r="W334" s="32"/>
      <c r="X334" s="32"/>
      <c r="Y334" s="32"/>
      <c r="Z334" s="32"/>
      <c r="AA334" s="32"/>
      <c r="AB334" s="32"/>
    </row>
    <row r="335" spans="1:28" ht="15.6" customHeight="1" x14ac:dyDescent="0.25">
      <c r="A335" s="24"/>
      <c r="B335" s="24"/>
      <c r="C335" s="25"/>
      <c r="D335" s="25"/>
      <c r="E335" s="25"/>
      <c r="F335" s="25"/>
      <c r="G335" s="26"/>
      <c r="H335" s="27"/>
      <c r="I335" s="24"/>
      <c r="J335" s="24"/>
      <c r="K335" s="28"/>
      <c r="L335" s="29"/>
      <c r="M335" s="29"/>
      <c r="N335" s="29"/>
      <c r="O335" s="27"/>
      <c r="P335" s="30"/>
      <c r="Q335" s="31"/>
      <c r="R335" s="31"/>
      <c r="S335" s="32"/>
      <c r="T335" s="32"/>
      <c r="U335" s="32"/>
      <c r="V335" s="32"/>
      <c r="W335" s="32"/>
      <c r="X335" s="32"/>
      <c r="Y335" s="32"/>
      <c r="Z335" s="32"/>
      <c r="AA335" s="32"/>
      <c r="AB335" s="32"/>
    </row>
    <row r="336" spans="1:28" ht="15.6" customHeight="1" x14ac:dyDescent="0.25">
      <c r="A336" s="24"/>
      <c r="B336" s="24"/>
      <c r="C336" s="25"/>
      <c r="D336" s="25"/>
      <c r="E336" s="25"/>
      <c r="F336" s="25"/>
      <c r="G336" s="26"/>
      <c r="H336" s="27"/>
      <c r="I336" s="24"/>
      <c r="J336" s="24"/>
      <c r="K336" s="28"/>
      <c r="L336" s="29"/>
      <c r="M336" s="29"/>
      <c r="N336" s="29"/>
      <c r="O336" s="27"/>
      <c r="P336" s="30"/>
      <c r="Q336" s="31"/>
      <c r="R336" s="31"/>
      <c r="S336" s="32"/>
      <c r="T336" s="32"/>
      <c r="U336" s="32"/>
      <c r="V336" s="32"/>
      <c r="W336" s="32"/>
      <c r="X336" s="32"/>
      <c r="Y336" s="32"/>
      <c r="Z336" s="32"/>
      <c r="AA336" s="32"/>
      <c r="AB336" s="32"/>
    </row>
    <row r="337" spans="1:28" ht="15.6" customHeight="1" x14ac:dyDescent="0.25">
      <c r="A337" s="24"/>
      <c r="B337" s="24"/>
      <c r="C337" s="25"/>
      <c r="D337" s="25"/>
      <c r="E337" s="25"/>
      <c r="F337" s="25"/>
      <c r="G337" s="26"/>
      <c r="H337" s="27"/>
      <c r="I337" s="24"/>
      <c r="J337" s="24"/>
      <c r="K337" s="28"/>
      <c r="L337" s="29"/>
      <c r="M337" s="29"/>
      <c r="N337" s="29"/>
      <c r="O337" s="27"/>
      <c r="P337" s="30"/>
      <c r="Q337" s="31"/>
      <c r="R337" s="31"/>
      <c r="S337" s="32"/>
      <c r="T337" s="32"/>
      <c r="U337" s="32"/>
      <c r="V337" s="32"/>
      <c r="W337" s="32"/>
      <c r="X337" s="32"/>
      <c r="Y337" s="32"/>
      <c r="Z337" s="32"/>
      <c r="AA337" s="32"/>
      <c r="AB337" s="32"/>
    </row>
    <row r="338" spans="1:28" ht="15.6" customHeight="1" x14ac:dyDescent="0.25">
      <c r="A338" s="24"/>
      <c r="B338" s="24"/>
      <c r="C338" s="25"/>
      <c r="D338" s="25"/>
      <c r="E338" s="25"/>
      <c r="F338" s="25"/>
      <c r="G338" s="26"/>
      <c r="H338" s="27"/>
      <c r="I338" s="24"/>
      <c r="J338" s="24"/>
      <c r="K338" s="28"/>
      <c r="L338" s="29"/>
      <c r="M338" s="29"/>
      <c r="N338" s="29"/>
      <c r="O338" s="27"/>
      <c r="P338" s="30"/>
      <c r="Q338" s="31"/>
      <c r="R338" s="31"/>
      <c r="S338" s="32"/>
      <c r="T338" s="32"/>
      <c r="U338" s="32"/>
      <c r="V338" s="32"/>
      <c r="W338" s="32"/>
      <c r="X338" s="32"/>
      <c r="Y338" s="32"/>
      <c r="Z338" s="32"/>
      <c r="AA338" s="32"/>
      <c r="AB338" s="32"/>
    </row>
    <row r="339" spans="1:28" ht="15.6" customHeight="1" x14ac:dyDescent="0.25">
      <c r="A339" s="24"/>
      <c r="B339" s="24"/>
      <c r="C339" s="25"/>
      <c r="D339" s="25"/>
      <c r="E339" s="25"/>
      <c r="F339" s="25"/>
      <c r="G339" s="26"/>
      <c r="H339" s="27"/>
      <c r="I339" s="24"/>
      <c r="J339" s="24"/>
      <c r="K339" s="28"/>
      <c r="L339" s="29"/>
      <c r="M339" s="29"/>
      <c r="N339" s="29"/>
      <c r="O339" s="27"/>
      <c r="P339" s="30"/>
      <c r="Q339" s="31"/>
      <c r="R339" s="31"/>
      <c r="S339" s="32"/>
      <c r="T339" s="32"/>
      <c r="U339" s="32"/>
      <c r="V339" s="32"/>
      <c r="W339" s="32"/>
      <c r="X339" s="32"/>
      <c r="Y339" s="32"/>
      <c r="Z339" s="32"/>
      <c r="AA339" s="32"/>
      <c r="AB339" s="32"/>
    </row>
    <row r="340" spans="1:28" ht="15.6" customHeight="1" x14ac:dyDescent="0.25">
      <c r="A340" s="24"/>
      <c r="B340" s="24"/>
      <c r="C340" s="25"/>
      <c r="D340" s="25"/>
      <c r="E340" s="25"/>
      <c r="F340" s="25"/>
      <c r="G340" s="26"/>
      <c r="H340" s="27"/>
      <c r="I340" s="24"/>
      <c r="J340" s="24"/>
      <c r="K340" s="28"/>
      <c r="L340" s="29"/>
      <c r="M340" s="29"/>
      <c r="N340" s="29"/>
      <c r="O340" s="27"/>
      <c r="P340" s="30"/>
      <c r="Q340" s="31"/>
      <c r="R340" s="31"/>
      <c r="S340" s="32"/>
      <c r="T340" s="32"/>
      <c r="U340" s="32"/>
      <c r="V340" s="32"/>
      <c r="W340" s="32"/>
      <c r="X340" s="32"/>
      <c r="Y340" s="32"/>
      <c r="Z340" s="32"/>
      <c r="AA340" s="32"/>
      <c r="AB340" s="32"/>
    </row>
    <row r="341" spans="1:28" ht="15.6" customHeight="1" x14ac:dyDescent="0.25">
      <c r="A341" s="24"/>
      <c r="B341" s="24"/>
      <c r="C341" s="25"/>
      <c r="D341" s="25"/>
      <c r="E341" s="25"/>
      <c r="F341" s="25"/>
      <c r="G341" s="26"/>
      <c r="H341" s="27"/>
      <c r="I341" s="24"/>
      <c r="J341" s="24"/>
      <c r="K341" s="28"/>
      <c r="L341" s="29"/>
      <c r="M341" s="29"/>
      <c r="N341" s="29"/>
      <c r="O341" s="27"/>
      <c r="P341" s="30"/>
      <c r="Q341" s="31"/>
      <c r="R341" s="31"/>
      <c r="S341" s="32"/>
      <c r="T341" s="32"/>
      <c r="U341" s="32"/>
      <c r="V341" s="32"/>
      <c r="W341" s="32"/>
      <c r="X341" s="32"/>
      <c r="Y341" s="32"/>
      <c r="Z341" s="32"/>
      <c r="AA341" s="32"/>
      <c r="AB341" s="32"/>
    </row>
    <row r="342" spans="1:28" ht="15.6" customHeight="1" x14ac:dyDescent="0.25">
      <c r="A342" s="24"/>
      <c r="B342" s="24"/>
      <c r="C342" s="25"/>
      <c r="D342" s="25"/>
      <c r="E342" s="25"/>
      <c r="F342" s="25"/>
      <c r="G342" s="26"/>
      <c r="H342" s="27"/>
      <c r="I342" s="24"/>
      <c r="J342" s="24"/>
      <c r="K342" s="28"/>
      <c r="L342" s="29"/>
      <c r="M342" s="29"/>
      <c r="N342" s="29"/>
      <c r="O342" s="27"/>
      <c r="P342" s="30"/>
      <c r="Q342" s="31"/>
      <c r="R342" s="31"/>
      <c r="S342" s="32"/>
      <c r="T342" s="32"/>
      <c r="U342" s="32"/>
      <c r="V342" s="32"/>
      <c r="W342" s="32"/>
      <c r="X342" s="32"/>
      <c r="Y342" s="32"/>
      <c r="Z342" s="32"/>
      <c r="AA342" s="32"/>
      <c r="AB342" s="32"/>
    </row>
    <row r="343" spans="1:28" ht="15.6" customHeight="1" x14ac:dyDescent="0.25">
      <c r="A343" s="24"/>
      <c r="B343" s="24"/>
      <c r="C343" s="25"/>
      <c r="D343" s="25"/>
      <c r="E343" s="25"/>
      <c r="F343" s="25"/>
      <c r="G343" s="26"/>
      <c r="H343" s="27"/>
      <c r="I343" s="24"/>
      <c r="J343" s="24"/>
      <c r="K343" s="28"/>
      <c r="L343" s="29"/>
      <c r="M343" s="29"/>
      <c r="N343" s="29"/>
      <c r="O343" s="27"/>
      <c r="P343" s="30"/>
      <c r="Q343" s="31"/>
      <c r="R343" s="31"/>
      <c r="S343" s="32"/>
      <c r="T343" s="32"/>
      <c r="U343" s="32"/>
      <c r="V343" s="32"/>
      <c r="W343" s="32"/>
      <c r="X343" s="32"/>
      <c r="Y343" s="32"/>
      <c r="Z343" s="32"/>
      <c r="AA343" s="32"/>
      <c r="AB343" s="32"/>
    </row>
    <row r="344" spans="1:28" ht="15.6" customHeight="1" x14ac:dyDescent="0.25">
      <c r="A344" s="24"/>
      <c r="B344" s="24"/>
      <c r="C344" s="25"/>
      <c r="D344" s="25"/>
      <c r="E344" s="25"/>
      <c r="F344" s="25"/>
      <c r="G344" s="26"/>
      <c r="H344" s="27"/>
      <c r="I344" s="24"/>
      <c r="J344" s="24"/>
      <c r="K344" s="28"/>
      <c r="L344" s="29"/>
      <c r="M344" s="29"/>
      <c r="N344" s="29"/>
      <c r="O344" s="27"/>
      <c r="P344" s="30"/>
      <c r="Q344" s="31"/>
      <c r="R344" s="31"/>
      <c r="S344" s="32"/>
      <c r="T344" s="32"/>
      <c r="U344" s="32"/>
      <c r="V344" s="32"/>
      <c r="W344" s="32"/>
      <c r="X344" s="32"/>
      <c r="Y344" s="32"/>
      <c r="Z344" s="32"/>
      <c r="AA344" s="32"/>
      <c r="AB344" s="32"/>
    </row>
    <row r="345" spans="1:28" ht="15.6" customHeight="1" x14ac:dyDescent="0.25">
      <c r="A345" s="24"/>
      <c r="B345" s="24"/>
      <c r="C345" s="25"/>
      <c r="D345" s="25"/>
      <c r="E345" s="25"/>
      <c r="F345" s="25"/>
      <c r="G345" s="26"/>
      <c r="H345" s="27"/>
      <c r="I345" s="24"/>
      <c r="J345" s="24"/>
      <c r="K345" s="28"/>
      <c r="L345" s="29"/>
      <c r="M345" s="29"/>
      <c r="N345" s="29"/>
      <c r="O345" s="27"/>
      <c r="P345" s="30"/>
      <c r="Q345" s="31"/>
      <c r="R345" s="31"/>
      <c r="S345" s="32"/>
      <c r="T345" s="32"/>
      <c r="U345" s="32"/>
      <c r="V345" s="32"/>
      <c r="W345" s="32"/>
      <c r="X345" s="32"/>
      <c r="Y345" s="32"/>
      <c r="Z345" s="32"/>
      <c r="AA345" s="32"/>
      <c r="AB345" s="32"/>
    </row>
    <row r="346" spans="1:28" ht="15.6" customHeight="1" x14ac:dyDescent="0.25">
      <c r="A346" s="24"/>
      <c r="B346" s="24"/>
      <c r="C346" s="25"/>
      <c r="D346" s="25"/>
      <c r="E346" s="25"/>
      <c r="F346" s="25"/>
      <c r="G346" s="26"/>
      <c r="H346" s="27"/>
      <c r="I346" s="24"/>
      <c r="J346" s="24"/>
      <c r="K346" s="28"/>
      <c r="L346" s="29"/>
      <c r="M346" s="29"/>
      <c r="N346" s="29"/>
      <c r="O346" s="27"/>
      <c r="P346" s="30"/>
      <c r="Q346" s="31"/>
      <c r="R346" s="31"/>
      <c r="S346" s="32"/>
      <c r="T346" s="32"/>
      <c r="U346" s="32"/>
      <c r="V346" s="32"/>
      <c r="W346" s="32"/>
      <c r="X346" s="32"/>
      <c r="Y346" s="32"/>
      <c r="Z346" s="32"/>
      <c r="AA346" s="32"/>
      <c r="AB346" s="32"/>
    </row>
    <row r="347" spans="1:28" ht="15.6" customHeight="1" x14ac:dyDescent="0.25">
      <c r="A347" s="24"/>
      <c r="B347" s="24"/>
      <c r="C347" s="25"/>
      <c r="D347" s="25"/>
      <c r="E347" s="25"/>
      <c r="F347" s="25"/>
      <c r="G347" s="26"/>
      <c r="H347" s="27"/>
      <c r="I347" s="24"/>
      <c r="J347" s="24"/>
      <c r="K347" s="28"/>
      <c r="L347" s="29"/>
      <c r="M347" s="29"/>
      <c r="N347" s="29"/>
      <c r="O347" s="27"/>
      <c r="P347" s="30"/>
      <c r="Q347" s="31"/>
      <c r="R347" s="31"/>
      <c r="S347" s="32"/>
      <c r="T347" s="32"/>
      <c r="U347" s="32"/>
      <c r="V347" s="32"/>
      <c r="W347" s="32"/>
      <c r="X347" s="32"/>
      <c r="Y347" s="32"/>
      <c r="Z347" s="32"/>
      <c r="AA347" s="32"/>
      <c r="AB347" s="32"/>
    </row>
    <row r="348" spans="1:28" ht="15.6" customHeight="1" x14ac:dyDescent="0.25">
      <c r="A348" s="24"/>
      <c r="B348" s="24"/>
      <c r="C348" s="25"/>
      <c r="D348" s="25"/>
      <c r="E348" s="25"/>
      <c r="F348" s="25"/>
      <c r="G348" s="26"/>
      <c r="H348" s="27"/>
      <c r="I348" s="24"/>
      <c r="J348" s="24"/>
      <c r="K348" s="28"/>
      <c r="L348" s="29"/>
      <c r="M348" s="29"/>
      <c r="N348" s="29"/>
      <c r="O348" s="27"/>
      <c r="P348" s="30"/>
      <c r="Q348" s="31"/>
      <c r="R348" s="31"/>
      <c r="S348" s="32"/>
      <c r="T348" s="32"/>
      <c r="U348" s="32"/>
      <c r="V348" s="32"/>
      <c r="W348" s="32"/>
      <c r="X348" s="32"/>
      <c r="Y348" s="32"/>
      <c r="Z348" s="32"/>
      <c r="AA348" s="32"/>
      <c r="AB348" s="32"/>
    </row>
    <row r="349" spans="1:28" ht="15.6" customHeight="1" x14ac:dyDescent="0.25">
      <c r="A349" s="24"/>
      <c r="B349" s="24"/>
      <c r="C349" s="25"/>
      <c r="D349" s="25"/>
      <c r="E349" s="25"/>
      <c r="F349" s="25"/>
      <c r="G349" s="26"/>
      <c r="H349" s="27"/>
      <c r="I349" s="24"/>
      <c r="J349" s="24"/>
      <c r="K349" s="28"/>
      <c r="L349" s="29"/>
      <c r="M349" s="29"/>
      <c r="N349" s="29"/>
      <c r="O349" s="27"/>
      <c r="P349" s="30"/>
      <c r="Q349" s="31"/>
      <c r="R349" s="31"/>
      <c r="S349" s="32"/>
      <c r="T349" s="32"/>
      <c r="U349" s="32"/>
      <c r="V349" s="32"/>
      <c r="W349" s="32"/>
      <c r="X349" s="32"/>
      <c r="Y349" s="32"/>
      <c r="Z349" s="32"/>
      <c r="AA349" s="32"/>
      <c r="AB349" s="32"/>
    </row>
    <row r="350" spans="1:28" ht="15.6" customHeight="1" x14ac:dyDescent="0.25">
      <c r="A350" s="24"/>
      <c r="B350" s="24"/>
      <c r="C350" s="25"/>
      <c r="D350" s="25"/>
      <c r="E350" s="25"/>
      <c r="F350" s="25"/>
      <c r="G350" s="26"/>
      <c r="H350" s="27"/>
      <c r="I350" s="24"/>
      <c r="J350" s="24"/>
      <c r="K350" s="28"/>
      <c r="L350" s="29"/>
      <c r="M350" s="29"/>
      <c r="N350" s="29"/>
      <c r="O350" s="27"/>
      <c r="P350" s="30"/>
      <c r="Q350" s="31"/>
      <c r="R350" s="31"/>
      <c r="S350" s="32"/>
      <c r="T350" s="32"/>
      <c r="U350" s="32"/>
      <c r="V350" s="32"/>
      <c r="W350" s="32"/>
      <c r="X350" s="32"/>
      <c r="Y350" s="32"/>
      <c r="Z350" s="32"/>
      <c r="AA350" s="32"/>
      <c r="AB350" s="32"/>
    </row>
    <row r="351" spans="1:28" ht="15.6" customHeight="1" x14ac:dyDescent="0.25">
      <c r="A351" s="24"/>
      <c r="B351" s="24"/>
      <c r="C351" s="25"/>
      <c r="D351" s="25"/>
      <c r="E351" s="25"/>
      <c r="F351" s="25"/>
      <c r="G351" s="26"/>
      <c r="H351" s="27"/>
      <c r="I351" s="24"/>
      <c r="J351" s="24"/>
      <c r="K351" s="28"/>
      <c r="L351" s="29"/>
      <c r="M351" s="29"/>
      <c r="N351" s="29"/>
      <c r="O351" s="27"/>
      <c r="P351" s="30"/>
      <c r="Q351" s="31"/>
      <c r="R351" s="31"/>
      <c r="S351" s="32"/>
      <c r="T351" s="32"/>
      <c r="U351" s="32"/>
      <c r="V351" s="32"/>
      <c r="W351" s="32"/>
      <c r="X351" s="32"/>
      <c r="Y351" s="32"/>
      <c r="Z351" s="32"/>
      <c r="AA351" s="32"/>
      <c r="AB351" s="32"/>
    </row>
    <row r="352" spans="1:28" ht="15.6" customHeight="1" x14ac:dyDescent="0.25">
      <c r="A352" s="24"/>
      <c r="B352" s="24"/>
      <c r="C352" s="25"/>
      <c r="D352" s="25"/>
      <c r="E352" s="25"/>
      <c r="F352" s="25"/>
      <c r="G352" s="26"/>
      <c r="H352" s="27"/>
      <c r="I352" s="24"/>
      <c r="J352" s="24"/>
      <c r="K352" s="28"/>
      <c r="L352" s="29"/>
      <c r="M352" s="29"/>
      <c r="N352" s="29"/>
      <c r="O352" s="27"/>
      <c r="P352" s="30"/>
      <c r="Q352" s="31"/>
      <c r="R352" s="31"/>
      <c r="S352" s="32"/>
      <c r="T352" s="32"/>
      <c r="U352" s="32"/>
      <c r="V352" s="32"/>
      <c r="W352" s="32"/>
      <c r="X352" s="32"/>
      <c r="Y352" s="32"/>
      <c r="Z352" s="32"/>
      <c r="AA352" s="32"/>
      <c r="AB352" s="32"/>
    </row>
    <row r="353" spans="1:28" ht="15.6" customHeight="1" x14ac:dyDescent="0.25">
      <c r="A353" s="24"/>
      <c r="B353" s="24"/>
      <c r="C353" s="25"/>
      <c r="D353" s="25"/>
      <c r="E353" s="25"/>
      <c r="F353" s="25"/>
      <c r="G353" s="26"/>
      <c r="H353" s="27"/>
      <c r="I353" s="24"/>
      <c r="J353" s="24"/>
      <c r="K353" s="28"/>
      <c r="L353" s="29"/>
      <c r="M353" s="29"/>
      <c r="N353" s="29"/>
      <c r="O353" s="27"/>
      <c r="P353" s="30"/>
      <c r="Q353" s="31"/>
      <c r="R353" s="31"/>
      <c r="S353" s="32"/>
      <c r="T353" s="32"/>
      <c r="U353" s="32"/>
      <c r="V353" s="32"/>
      <c r="W353" s="32"/>
      <c r="X353" s="32"/>
      <c r="Y353" s="32"/>
      <c r="Z353" s="32"/>
      <c r="AA353" s="32"/>
      <c r="AB353" s="32"/>
    </row>
    <row r="354" spans="1:28" ht="15.6" customHeight="1" x14ac:dyDescent="0.25">
      <c r="A354" s="24"/>
      <c r="B354" s="24"/>
      <c r="C354" s="25"/>
      <c r="D354" s="25"/>
      <c r="E354" s="25"/>
      <c r="F354" s="25"/>
      <c r="G354" s="26"/>
      <c r="H354" s="27"/>
      <c r="I354" s="24"/>
      <c r="J354" s="24"/>
      <c r="K354" s="28"/>
      <c r="L354" s="29"/>
      <c r="M354" s="29"/>
      <c r="N354" s="29"/>
      <c r="O354" s="27"/>
      <c r="P354" s="30"/>
      <c r="Q354" s="31"/>
      <c r="R354" s="31"/>
      <c r="S354" s="32"/>
      <c r="T354" s="32"/>
      <c r="U354" s="32"/>
      <c r="V354" s="32"/>
      <c r="W354" s="32"/>
      <c r="X354" s="32"/>
      <c r="Y354" s="32"/>
      <c r="Z354" s="32"/>
      <c r="AA354" s="32"/>
      <c r="AB354" s="32"/>
    </row>
    <row r="355" spans="1:28" ht="15.6" customHeight="1" x14ac:dyDescent="0.25">
      <c r="A355" s="24"/>
      <c r="B355" s="24"/>
      <c r="C355" s="25"/>
      <c r="D355" s="25"/>
      <c r="E355" s="25"/>
      <c r="F355" s="25"/>
      <c r="G355" s="26"/>
      <c r="H355" s="27"/>
      <c r="I355" s="24"/>
      <c r="J355" s="24"/>
      <c r="K355" s="28"/>
      <c r="L355" s="29"/>
      <c r="M355" s="29"/>
      <c r="N355" s="29"/>
      <c r="O355" s="27"/>
      <c r="P355" s="30"/>
      <c r="Q355" s="31"/>
      <c r="R355" s="31"/>
      <c r="S355" s="32"/>
      <c r="T355" s="32"/>
      <c r="U355" s="32"/>
      <c r="V355" s="32"/>
      <c r="W355" s="32"/>
      <c r="X355" s="32"/>
      <c r="Y355" s="32"/>
      <c r="Z355" s="32"/>
      <c r="AA355" s="32"/>
      <c r="AB355" s="32"/>
    </row>
    <row r="356" spans="1:28" ht="15.6" customHeight="1" x14ac:dyDescent="0.25">
      <c r="A356" s="24"/>
      <c r="B356" s="24"/>
      <c r="C356" s="25"/>
      <c r="D356" s="25"/>
      <c r="E356" s="25"/>
      <c r="F356" s="25"/>
      <c r="G356" s="26"/>
      <c r="H356" s="27"/>
      <c r="I356" s="24"/>
      <c r="J356" s="24"/>
      <c r="K356" s="28"/>
      <c r="L356" s="29"/>
      <c r="M356" s="29"/>
      <c r="N356" s="29"/>
      <c r="O356" s="27"/>
      <c r="P356" s="30"/>
      <c r="Q356" s="31"/>
      <c r="R356" s="31"/>
      <c r="S356" s="32"/>
      <c r="T356" s="32"/>
      <c r="U356" s="32"/>
      <c r="V356" s="32"/>
      <c r="W356" s="32"/>
      <c r="X356" s="32"/>
      <c r="Y356" s="32"/>
      <c r="Z356" s="32"/>
      <c r="AA356" s="32"/>
      <c r="AB356" s="32"/>
    </row>
    <row r="357" spans="1:28" ht="15.6" customHeight="1" x14ac:dyDescent="0.25">
      <c r="A357" s="24"/>
      <c r="B357" s="24"/>
      <c r="C357" s="25"/>
      <c r="D357" s="25"/>
      <c r="E357" s="25"/>
      <c r="F357" s="25"/>
      <c r="G357" s="26"/>
      <c r="H357" s="27"/>
      <c r="I357" s="24"/>
      <c r="J357" s="24"/>
      <c r="K357" s="28"/>
      <c r="L357" s="29"/>
      <c r="M357" s="29"/>
      <c r="N357" s="29"/>
      <c r="O357" s="27"/>
      <c r="P357" s="30"/>
      <c r="Q357" s="31"/>
      <c r="R357" s="31"/>
      <c r="S357" s="32"/>
      <c r="T357" s="32"/>
      <c r="U357" s="32"/>
      <c r="V357" s="32"/>
      <c r="W357" s="32"/>
      <c r="X357" s="32"/>
      <c r="Y357" s="32"/>
      <c r="Z357" s="32"/>
      <c r="AA357" s="32"/>
      <c r="AB357" s="32"/>
    </row>
    <row r="358" spans="1:28" ht="15.6" customHeight="1" x14ac:dyDescent="0.25">
      <c r="A358" s="24"/>
      <c r="B358" s="24"/>
      <c r="C358" s="25"/>
      <c r="D358" s="25"/>
      <c r="E358" s="25"/>
      <c r="F358" s="25"/>
      <c r="G358" s="26"/>
      <c r="H358" s="27"/>
      <c r="I358" s="24"/>
      <c r="J358" s="24"/>
      <c r="K358" s="28"/>
      <c r="L358" s="29"/>
      <c r="M358" s="29"/>
      <c r="N358" s="29"/>
      <c r="O358" s="27"/>
      <c r="P358" s="30"/>
      <c r="Q358" s="31"/>
      <c r="R358" s="31"/>
      <c r="S358" s="32"/>
      <c r="T358" s="32"/>
      <c r="U358" s="32"/>
      <c r="V358" s="32"/>
      <c r="W358" s="32"/>
      <c r="X358" s="32"/>
      <c r="Y358" s="32"/>
      <c r="Z358" s="32"/>
      <c r="AA358" s="32"/>
      <c r="AB358" s="32"/>
    </row>
    <row r="359" spans="1:28" ht="15.6" customHeight="1" x14ac:dyDescent="0.25">
      <c r="A359" s="24"/>
      <c r="B359" s="24"/>
      <c r="C359" s="25"/>
      <c r="D359" s="25"/>
      <c r="E359" s="25"/>
      <c r="F359" s="25"/>
      <c r="G359" s="26"/>
      <c r="H359" s="27"/>
      <c r="I359" s="24"/>
      <c r="J359" s="24"/>
      <c r="K359" s="28"/>
      <c r="L359" s="29"/>
      <c r="M359" s="29"/>
      <c r="N359" s="29"/>
      <c r="O359" s="27"/>
      <c r="P359" s="30"/>
      <c r="Q359" s="31"/>
      <c r="R359" s="31"/>
      <c r="S359" s="32"/>
      <c r="T359" s="32"/>
      <c r="U359" s="32"/>
      <c r="V359" s="32"/>
      <c r="W359" s="32"/>
      <c r="X359" s="32"/>
      <c r="Y359" s="32"/>
      <c r="Z359" s="32"/>
      <c r="AA359" s="32"/>
      <c r="AB359" s="32"/>
    </row>
    <row r="360" spans="1:28" ht="15.6" customHeight="1" x14ac:dyDescent="0.25">
      <c r="A360" s="24"/>
      <c r="B360" s="24"/>
      <c r="C360" s="25"/>
      <c r="D360" s="25"/>
      <c r="E360" s="25"/>
      <c r="F360" s="25"/>
      <c r="G360" s="26"/>
      <c r="H360" s="27"/>
      <c r="I360" s="24"/>
      <c r="J360" s="24"/>
      <c r="K360" s="28"/>
      <c r="L360" s="29"/>
      <c r="M360" s="29"/>
      <c r="N360" s="29"/>
      <c r="O360" s="27"/>
      <c r="P360" s="30"/>
      <c r="Q360" s="31"/>
      <c r="R360" s="31"/>
      <c r="S360" s="32"/>
      <c r="T360" s="32"/>
      <c r="U360" s="32"/>
      <c r="V360" s="32"/>
      <c r="W360" s="32"/>
      <c r="X360" s="32"/>
      <c r="Y360" s="32"/>
      <c r="Z360" s="32"/>
      <c r="AA360" s="32"/>
      <c r="AB360" s="32"/>
    </row>
    <row r="361" spans="1:28" ht="15.6" customHeight="1" x14ac:dyDescent="0.25">
      <c r="A361" s="24"/>
      <c r="B361" s="24"/>
      <c r="C361" s="25"/>
      <c r="D361" s="25"/>
      <c r="E361" s="25"/>
      <c r="F361" s="25"/>
      <c r="G361" s="26"/>
      <c r="H361" s="27"/>
      <c r="I361" s="24"/>
      <c r="J361" s="24"/>
      <c r="K361" s="28"/>
      <c r="L361" s="29"/>
      <c r="M361" s="29"/>
      <c r="N361" s="29"/>
      <c r="O361" s="27"/>
      <c r="P361" s="30"/>
      <c r="Q361" s="31"/>
      <c r="R361" s="31"/>
      <c r="S361" s="32"/>
      <c r="T361" s="32"/>
      <c r="U361" s="32"/>
      <c r="V361" s="32"/>
      <c r="W361" s="32"/>
      <c r="X361" s="32"/>
      <c r="Y361" s="32"/>
      <c r="Z361" s="32"/>
      <c r="AA361" s="32"/>
      <c r="AB361" s="32"/>
    </row>
    <row r="362" spans="1:28" ht="15.6" customHeight="1" x14ac:dyDescent="0.25">
      <c r="A362" s="24"/>
      <c r="B362" s="24"/>
      <c r="C362" s="25"/>
      <c r="D362" s="25"/>
      <c r="E362" s="25"/>
      <c r="F362" s="25"/>
      <c r="G362" s="26"/>
      <c r="H362" s="27"/>
      <c r="I362" s="24"/>
      <c r="J362" s="24"/>
      <c r="K362" s="28"/>
      <c r="L362" s="29"/>
      <c r="M362" s="29"/>
      <c r="N362" s="29"/>
      <c r="O362" s="27"/>
      <c r="P362" s="30"/>
      <c r="Q362" s="31"/>
      <c r="R362" s="31"/>
      <c r="S362" s="32"/>
      <c r="T362" s="32"/>
      <c r="U362" s="32"/>
      <c r="V362" s="32"/>
      <c r="W362" s="32"/>
      <c r="X362" s="32"/>
      <c r="Y362" s="32"/>
      <c r="Z362" s="32"/>
      <c r="AA362" s="32"/>
      <c r="AB362" s="32"/>
    </row>
    <row r="363" spans="1:28" ht="15.6" customHeight="1" x14ac:dyDescent="0.25">
      <c r="A363" s="24"/>
      <c r="B363" s="24"/>
      <c r="C363" s="25"/>
      <c r="D363" s="25"/>
      <c r="E363" s="25"/>
      <c r="F363" s="25"/>
      <c r="G363" s="26"/>
      <c r="H363" s="27"/>
      <c r="I363" s="24"/>
      <c r="J363" s="24"/>
      <c r="K363" s="28"/>
      <c r="L363" s="29"/>
      <c r="M363" s="29"/>
      <c r="N363" s="29"/>
      <c r="O363" s="27"/>
      <c r="P363" s="30"/>
      <c r="Q363" s="31"/>
      <c r="R363" s="31"/>
      <c r="S363" s="32"/>
      <c r="T363" s="32"/>
      <c r="U363" s="32"/>
      <c r="V363" s="32"/>
      <c r="W363" s="32"/>
      <c r="X363" s="32"/>
      <c r="Y363" s="32"/>
      <c r="Z363" s="32"/>
      <c r="AA363" s="32"/>
      <c r="AB363" s="32"/>
    </row>
    <row r="364" spans="1:28" ht="15.6" customHeight="1" x14ac:dyDescent="0.25">
      <c r="A364" s="24"/>
      <c r="B364" s="24"/>
      <c r="C364" s="25"/>
      <c r="D364" s="25"/>
      <c r="E364" s="25"/>
      <c r="F364" s="25"/>
      <c r="G364" s="26"/>
      <c r="H364" s="27"/>
      <c r="I364" s="24"/>
      <c r="J364" s="24"/>
      <c r="K364" s="28"/>
      <c r="L364" s="29"/>
      <c r="M364" s="29"/>
      <c r="N364" s="29"/>
      <c r="O364" s="27"/>
      <c r="P364" s="30"/>
      <c r="Q364" s="31"/>
      <c r="R364" s="31"/>
      <c r="S364" s="32"/>
      <c r="T364" s="32"/>
      <c r="U364" s="32"/>
      <c r="V364" s="32"/>
      <c r="W364" s="32"/>
      <c r="X364" s="32"/>
      <c r="Y364" s="32"/>
      <c r="Z364" s="32"/>
      <c r="AA364" s="32"/>
      <c r="AB364" s="32"/>
    </row>
    <row r="365" spans="1:28" ht="15.6" customHeight="1" x14ac:dyDescent="0.25">
      <c r="A365" s="24"/>
      <c r="B365" s="24"/>
      <c r="C365" s="25"/>
      <c r="D365" s="25"/>
      <c r="E365" s="25"/>
      <c r="F365" s="25"/>
      <c r="G365" s="26"/>
      <c r="H365" s="27"/>
      <c r="I365" s="24"/>
      <c r="J365" s="24"/>
      <c r="K365" s="28"/>
      <c r="L365" s="29"/>
      <c r="M365" s="29"/>
      <c r="N365" s="29"/>
      <c r="O365" s="27"/>
      <c r="P365" s="30"/>
      <c r="Q365" s="31"/>
      <c r="R365" s="31"/>
      <c r="S365" s="32"/>
      <c r="T365" s="32"/>
      <c r="U365" s="32"/>
      <c r="V365" s="32"/>
      <c r="W365" s="32"/>
      <c r="X365" s="32"/>
      <c r="Y365" s="32"/>
      <c r="Z365" s="32"/>
      <c r="AA365" s="32"/>
      <c r="AB365" s="32"/>
    </row>
    <row r="366" spans="1:28" ht="15.6" customHeight="1" x14ac:dyDescent="0.25">
      <c r="A366" s="24"/>
      <c r="B366" s="24"/>
      <c r="C366" s="25"/>
      <c r="D366" s="25"/>
      <c r="E366" s="25"/>
      <c r="F366" s="25"/>
      <c r="G366" s="26"/>
      <c r="H366" s="27"/>
      <c r="I366" s="24"/>
      <c r="J366" s="24"/>
      <c r="K366" s="28"/>
      <c r="L366" s="29"/>
      <c r="M366" s="29"/>
      <c r="N366" s="29"/>
      <c r="O366" s="27"/>
      <c r="P366" s="30"/>
      <c r="Q366" s="31"/>
      <c r="R366" s="31"/>
      <c r="S366" s="32"/>
      <c r="T366" s="32"/>
      <c r="U366" s="32"/>
      <c r="V366" s="32"/>
      <c r="W366" s="32"/>
      <c r="X366" s="32"/>
      <c r="Y366" s="32"/>
      <c r="Z366" s="32"/>
      <c r="AA366" s="32"/>
      <c r="AB366" s="32"/>
    </row>
    <row r="367" spans="1:28" ht="15.6" customHeight="1" x14ac:dyDescent="0.25">
      <c r="A367" s="24"/>
      <c r="B367" s="24"/>
      <c r="C367" s="25"/>
      <c r="D367" s="25"/>
      <c r="E367" s="25"/>
      <c r="F367" s="25"/>
      <c r="G367" s="26"/>
      <c r="H367" s="27"/>
      <c r="I367" s="24"/>
      <c r="J367" s="24"/>
      <c r="K367" s="28"/>
      <c r="L367" s="29"/>
      <c r="M367" s="29"/>
      <c r="N367" s="29"/>
      <c r="O367" s="27"/>
      <c r="P367" s="30"/>
      <c r="Q367" s="31"/>
      <c r="R367" s="31"/>
      <c r="S367" s="32"/>
      <c r="T367" s="32"/>
      <c r="U367" s="32"/>
      <c r="V367" s="32"/>
      <c r="W367" s="32"/>
      <c r="X367" s="32"/>
      <c r="Y367" s="32"/>
      <c r="Z367" s="32"/>
      <c r="AA367" s="32"/>
      <c r="AB367" s="32"/>
    </row>
    <row r="368" spans="1:28" ht="15.6" customHeight="1" x14ac:dyDescent="0.25">
      <c r="A368" s="24"/>
      <c r="B368" s="24"/>
      <c r="C368" s="25"/>
      <c r="D368" s="25"/>
      <c r="E368" s="25"/>
      <c r="F368" s="25"/>
      <c r="G368" s="26"/>
      <c r="H368" s="27"/>
      <c r="I368" s="24"/>
      <c r="J368" s="24"/>
      <c r="K368" s="28"/>
      <c r="L368" s="29"/>
      <c r="M368" s="29"/>
      <c r="N368" s="29"/>
      <c r="O368" s="27"/>
      <c r="P368" s="30"/>
      <c r="Q368" s="31"/>
      <c r="R368" s="31"/>
      <c r="S368" s="32"/>
      <c r="T368" s="32"/>
      <c r="U368" s="32"/>
      <c r="V368" s="32"/>
      <c r="W368" s="32"/>
      <c r="X368" s="32"/>
      <c r="Y368" s="32"/>
      <c r="Z368" s="32"/>
      <c r="AA368" s="32"/>
      <c r="AB368" s="32"/>
    </row>
    <row r="369" spans="1:28" ht="15.6" customHeight="1" x14ac:dyDescent="0.25">
      <c r="A369" s="24"/>
      <c r="B369" s="24"/>
      <c r="C369" s="25"/>
      <c r="D369" s="25"/>
      <c r="E369" s="25"/>
      <c r="F369" s="25"/>
      <c r="G369" s="26"/>
      <c r="H369" s="27"/>
      <c r="I369" s="24"/>
      <c r="J369" s="24"/>
      <c r="K369" s="28"/>
      <c r="L369" s="29"/>
      <c r="M369" s="29"/>
      <c r="N369" s="29"/>
      <c r="O369" s="27"/>
      <c r="P369" s="30"/>
      <c r="Q369" s="31"/>
      <c r="R369" s="31"/>
      <c r="S369" s="32"/>
      <c r="T369" s="32"/>
      <c r="U369" s="32"/>
      <c r="V369" s="32"/>
      <c r="W369" s="32"/>
      <c r="X369" s="32"/>
      <c r="Y369" s="32"/>
      <c r="Z369" s="32"/>
      <c r="AA369" s="32"/>
      <c r="AB369" s="32"/>
    </row>
    <row r="370" spans="1:28" ht="15.6" customHeight="1" x14ac:dyDescent="0.25">
      <c r="A370" s="24"/>
      <c r="B370" s="24"/>
      <c r="C370" s="25"/>
      <c r="D370" s="25"/>
      <c r="E370" s="25"/>
      <c r="F370" s="25"/>
      <c r="G370" s="26"/>
      <c r="H370" s="27"/>
      <c r="I370" s="24"/>
      <c r="J370" s="24"/>
      <c r="K370" s="28"/>
      <c r="L370" s="29"/>
      <c r="M370" s="29"/>
      <c r="N370" s="29"/>
      <c r="O370" s="27"/>
      <c r="P370" s="30"/>
      <c r="Q370" s="31"/>
      <c r="R370" s="31"/>
      <c r="S370" s="32"/>
      <c r="T370" s="32"/>
      <c r="U370" s="32"/>
      <c r="V370" s="32"/>
      <c r="W370" s="32"/>
      <c r="X370" s="32"/>
      <c r="Y370" s="32"/>
      <c r="Z370" s="32"/>
      <c r="AA370" s="32"/>
      <c r="AB370" s="32"/>
    </row>
    <row r="371" spans="1:28" ht="15.6" customHeight="1" x14ac:dyDescent="0.25">
      <c r="A371" s="24"/>
      <c r="B371" s="24"/>
      <c r="C371" s="25"/>
      <c r="D371" s="25"/>
      <c r="E371" s="25"/>
      <c r="F371" s="25"/>
      <c r="G371" s="26"/>
      <c r="H371" s="27"/>
      <c r="I371" s="24"/>
      <c r="J371" s="24"/>
      <c r="K371" s="28"/>
      <c r="L371" s="29"/>
      <c r="M371" s="29"/>
      <c r="N371" s="29"/>
      <c r="O371" s="27"/>
      <c r="P371" s="30"/>
      <c r="Q371" s="31"/>
      <c r="R371" s="31"/>
      <c r="S371" s="32"/>
      <c r="T371" s="32"/>
      <c r="U371" s="32"/>
      <c r="V371" s="32"/>
      <c r="W371" s="32"/>
      <c r="X371" s="32"/>
      <c r="Y371" s="32"/>
      <c r="Z371" s="32"/>
      <c r="AA371" s="32"/>
      <c r="AB371" s="32"/>
    </row>
    <row r="372" spans="1:28" ht="15.6" customHeight="1" x14ac:dyDescent="0.25">
      <c r="A372" s="24"/>
      <c r="B372" s="24"/>
      <c r="C372" s="25"/>
      <c r="D372" s="25"/>
      <c r="E372" s="25"/>
      <c r="F372" s="25"/>
      <c r="G372" s="26"/>
      <c r="H372" s="27"/>
      <c r="I372" s="24"/>
      <c r="J372" s="24"/>
      <c r="K372" s="28"/>
      <c r="L372" s="29"/>
      <c r="M372" s="29"/>
      <c r="N372" s="29"/>
      <c r="O372" s="27"/>
      <c r="P372" s="30"/>
      <c r="Q372" s="31"/>
      <c r="R372" s="31"/>
      <c r="S372" s="32"/>
      <c r="T372" s="32"/>
      <c r="U372" s="32"/>
      <c r="V372" s="32"/>
      <c r="W372" s="32"/>
      <c r="X372" s="32"/>
      <c r="Y372" s="32"/>
      <c r="Z372" s="32"/>
      <c r="AA372" s="32"/>
      <c r="AB372" s="32"/>
    </row>
    <row r="373" spans="1:28" ht="15.6" customHeight="1" x14ac:dyDescent="0.25">
      <c r="A373" s="24"/>
      <c r="B373" s="24"/>
      <c r="C373" s="25"/>
      <c r="D373" s="25"/>
      <c r="E373" s="25"/>
      <c r="F373" s="25"/>
      <c r="G373" s="26"/>
      <c r="H373" s="27"/>
      <c r="I373" s="24"/>
      <c r="J373" s="24"/>
      <c r="K373" s="28"/>
      <c r="L373" s="29"/>
      <c r="M373" s="29"/>
      <c r="N373" s="29"/>
      <c r="O373" s="27"/>
      <c r="P373" s="30"/>
      <c r="Q373" s="31"/>
      <c r="R373" s="31"/>
      <c r="S373" s="32"/>
      <c r="T373" s="32"/>
      <c r="U373" s="32"/>
      <c r="V373" s="32"/>
      <c r="W373" s="32"/>
      <c r="X373" s="32"/>
      <c r="Y373" s="32"/>
      <c r="Z373" s="32"/>
      <c r="AA373" s="32"/>
      <c r="AB373" s="32"/>
    </row>
    <row r="374" spans="1:28" ht="15.6" customHeight="1" x14ac:dyDescent="0.25">
      <c r="A374" s="24"/>
      <c r="B374" s="24"/>
      <c r="C374" s="25"/>
      <c r="D374" s="25"/>
      <c r="E374" s="25"/>
      <c r="F374" s="25"/>
      <c r="G374" s="26"/>
      <c r="H374" s="27"/>
      <c r="I374" s="24"/>
      <c r="J374" s="24"/>
      <c r="K374" s="28"/>
      <c r="L374" s="29"/>
      <c r="M374" s="29"/>
      <c r="N374" s="29"/>
      <c r="O374" s="27"/>
      <c r="P374" s="30"/>
      <c r="Q374" s="31"/>
      <c r="R374" s="31"/>
      <c r="S374" s="32"/>
      <c r="T374" s="32"/>
      <c r="U374" s="32"/>
      <c r="V374" s="32"/>
      <c r="W374" s="32"/>
      <c r="X374" s="32"/>
      <c r="Y374" s="32"/>
      <c r="Z374" s="32"/>
      <c r="AA374" s="32"/>
      <c r="AB374" s="32"/>
    </row>
    <row r="375" spans="1:28" ht="15.6" customHeight="1" x14ac:dyDescent="0.25">
      <c r="A375" s="24"/>
      <c r="B375" s="24"/>
      <c r="C375" s="25"/>
      <c r="D375" s="25"/>
      <c r="E375" s="25"/>
      <c r="F375" s="25"/>
      <c r="G375" s="26"/>
      <c r="H375" s="27"/>
      <c r="I375" s="24"/>
      <c r="J375" s="24"/>
      <c r="K375" s="28"/>
      <c r="L375" s="29"/>
      <c r="M375" s="29"/>
      <c r="N375" s="29"/>
      <c r="O375" s="27"/>
      <c r="P375" s="30"/>
      <c r="Q375" s="31"/>
      <c r="R375" s="31"/>
      <c r="S375" s="32"/>
      <c r="T375" s="32"/>
      <c r="U375" s="32"/>
      <c r="V375" s="32"/>
      <c r="W375" s="32"/>
      <c r="X375" s="32"/>
      <c r="Y375" s="32"/>
      <c r="Z375" s="32"/>
      <c r="AA375" s="32"/>
      <c r="AB375" s="32"/>
    </row>
    <row r="376" spans="1:28" ht="15.6" customHeight="1" x14ac:dyDescent="0.25">
      <c r="A376" s="24"/>
      <c r="B376" s="24"/>
      <c r="C376" s="25"/>
      <c r="D376" s="25"/>
      <c r="E376" s="25"/>
      <c r="F376" s="25"/>
      <c r="G376" s="26"/>
      <c r="H376" s="27"/>
      <c r="I376" s="24"/>
      <c r="J376" s="24"/>
      <c r="K376" s="28"/>
      <c r="L376" s="29"/>
      <c r="M376" s="29"/>
      <c r="N376" s="29"/>
      <c r="O376" s="27"/>
      <c r="P376" s="30"/>
      <c r="Q376" s="31"/>
      <c r="R376" s="31"/>
      <c r="S376" s="32"/>
      <c r="T376" s="32"/>
      <c r="U376" s="32"/>
      <c r="V376" s="32"/>
      <c r="W376" s="32"/>
      <c r="X376" s="32"/>
      <c r="Y376" s="32"/>
      <c r="Z376" s="32"/>
      <c r="AA376" s="32"/>
      <c r="AB376" s="32"/>
    </row>
    <row r="377" spans="1:28" ht="15.6" customHeight="1" x14ac:dyDescent="0.25">
      <c r="A377" s="24"/>
      <c r="B377" s="24"/>
      <c r="C377" s="25"/>
      <c r="D377" s="25"/>
      <c r="E377" s="25"/>
      <c r="F377" s="25"/>
      <c r="G377" s="26"/>
      <c r="H377" s="27"/>
      <c r="I377" s="24"/>
      <c r="J377" s="24"/>
      <c r="K377" s="28"/>
      <c r="L377" s="29"/>
      <c r="M377" s="29"/>
      <c r="N377" s="29"/>
      <c r="O377" s="27"/>
      <c r="P377" s="30"/>
      <c r="Q377" s="31"/>
      <c r="R377" s="31"/>
      <c r="S377" s="32"/>
      <c r="T377" s="32"/>
      <c r="U377" s="32"/>
      <c r="V377" s="32"/>
      <c r="W377" s="32"/>
      <c r="X377" s="32"/>
      <c r="Y377" s="32"/>
      <c r="Z377" s="32"/>
      <c r="AA377" s="32"/>
      <c r="AB377" s="32"/>
    </row>
    <row r="378" spans="1:28" ht="15.6" customHeight="1" x14ac:dyDescent="0.25">
      <c r="A378" s="24"/>
      <c r="B378" s="24"/>
      <c r="C378" s="25"/>
      <c r="D378" s="25"/>
      <c r="E378" s="25"/>
      <c r="F378" s="25"/>
      <c r="G378" s="26"/>
      <c r="H378" s="27"/>
      <c r="I378" s="24"/>
      <c r="J378" s="24"/>
      <c r="K378" s="28"/>
      <c r="L378" s="29"/>
      <c r="M378" s="29"/>
      <c r="N378" s="29"/>
      <c r="O378" s="27"/>
      <c r="P378" s="30"/>
      <c r="Q378" s="31"/>
      <c r="R378" s="31"/>
      <c r="S378" s="32"/>
      <c r="T378" s="32"/>
      <c r="U378" s="32"/>
      <c r="V378" s="32"/>
      <c r="W378" s="32"/>
      <c r="X378" s="32"/>
      <c r="Y378" s="32"/>
      <c r="Z378" s="32"/>
      <c r="AA378" s="32"/>
      <c r="AB378" s="32"/>
    </row>
    <row r="379" spans="1:28" ht="15.6" customHeight="1" x14ac:dyDescent="0.25">
      <c r="A379" s="24"/>
      <c r="B379" s="24"/>
      <c r="C379" s="25"/>
      <c r="D379" s="25"/>
      <c r="E379" s="25"/>
      <c r="F379" s="25"/>
      <c r="G379" s="26"/>
      <c r="H379" s="27"/>
      <c r="I379" s="24"/>
      <c r="J379" s="24"/>
      <c r="K379" s="28"/>
      <c r="L379" s="29"/>
      <c r="M379" s="29"/>
      <c r="N379" s="29"/>
      <c r="O379" s="27"/>
      <c r="P379" s="30"/>
      <c r="Q379" s="31"/>
      <c r="R379" s="31"/>
      <c r="S379" s="32"/>
      <c r="T379" s="32"/>
      <c r="U379" s="32"/>
      <c r="V379" s="32"/>
      <c r="W379" s="32"/>
      <c r="X379" s="32"/>
      <c r="Y379" s="32"/>
      <c r="Z379" s="32"/>
      <c r="AA379" s="32"/>
      <c r="AB379" s="32"/>
    </row>
    <row r="380" spans="1:28" ht="15.6" customHeight="1" x14ac:dyDescent="0.25">
      <c r="A380" s="24"/>
      <c r="B380" s="24"/>
      <c r="C380" s="25"/>
      <c r="D380" s="25"/>
      <c r="E380" s="25"/>
      <c r="F380" s="25"/>
      <c r="G380" s="26"/>
      <c r="H380" s="27"/>
      <c r="I380" s="24"/>
      <c r="J380" s="24"/>
      <c r="K380" s="28"/>
      <c r="L380" s="29"/>
      <c r="M380" s="29"/>
      <c r="N380" s="29"/>
      <c r="O380" s="27"/>
      <c r="P380" s="30"/>
      <c r="Q380" s="31"/>
      <c r="R380" s="31"/>
      <c r="S380" s="32"/>
      <c r="T380" s="32"/>
      <c r="U380" s="32"/>
      <c r="V380" s="32"/>
      <c r="W380" s="32"/>
      <c r="X380" s="32"/>
      <c r="Y380" s="32"/>
      <c r="Z380" s="32"/>
      <c r="AA380" s="32"/>
      <c r="AB380" s="32"/>
    </row>
    <row r="381" spans="1:28" ht="15.6" customHeight="1" x14ac:dyDescent="0.25">
      <c r="A381" s="24"/>
      <c r="B381" s="24"/>
      <c r="C381" s="25"/>
      <c r="D381" s="25"/>
      <c r="E381" s="25"/>
      <c r="F381" s="25"/>
      <c r="G381" s="26"/>
      <c r="H381" s="27"/>
      <c r="I381" s="24"/>
      <c r="J381" s="24"/>
      <c r="K381" s="28"/>
      <c r="L381" s="29"/>
      <c r="M381" s="29"/>
      <c r="N381" s="29"/>
      <c r="O381" s="27"/>
      <c r="P381" s="30"/>
      <c r="Q381" s="31"/>
      <c r="R381" s="31"/>
      <c r="S381" s="32"/>
      <c r="T381" s="32"/>
      <c r="U381" s="32"/>
      <c r="V381" s="32"/>
      <c r="W381" s="32"/>
      <c r="X381" s="32"/>
      <c r="Y381" s="32"/>
      <c r="Z381" s="32"/>
      <c r="AA381" s="32"/>
      <c r="AB381" s="32"/>
    </row>
    <row r="382" spans="1:28" ht="15.6" customHeight="1" x14ac:dyDescent="0.25">
      <c r="A382" s="24"/>
      <c r="B382" s="24"/>
      <c r="C382" s="25"/>
      <c r="D382" s="25"/>
      <c r="E382" s="25"/>
      <c r="F382" s="25"/>
      <c r="G382" s="26"/>
      <c r="H382" s="27"/>
      <c r="I382" s="24"/>
      <c r="J382" s="24"/>
      <c r="K382" s="28"/>
      <c r="L382" s="29"/>
      <c r="M382" s="29"/>
      <c r="N382" s="29"/>
      <c r="O382" s="27"/>
      <c r="P382" s="30"/>
      <c r="Q382" s="31"/>
      <c r="R382" s="31"/>
      <c r="S382" s="32"/>
      <c r="T382" s="32"/>
      <c r="U382" s="32"/>
      <c r="V382" s="32"/>
      <c r="W382" s="32"/>
      <c r="X382" s="32"/>
      <c r="Y382" s="32"/>
      <c r="Z382" s="32"/>
      <c r="AA382" s="32"/>
      <c r="AB382" s="32"/>
    </row>
    <row r="383" spans="1:28" ht="15.6" customHeight="1" x14ac:dyDescent="0.25">
      <c r="A383" s="24"/>
      <c r="B383" s="24"/>
      <c r="C383" s="25"/>
      <c r="D383" s="25"/>
      <c r="E383" s="25"/>
      <c r="F383" s="25"/>
      <c r="G383" s="26"/>
      <c r="H383" s="27"/>
      <c r="I383" s="24"/>
      <c r="J383" s="24"/>
      <c r="K383" s="28"/>
      <c r="L383" s="29"/>
      <c r="M383" s="29"/>
      <c r="N383" s="29"/>
      <c r="O383" s="27"/>
      <c r="P383" s="30"/>
      <c r="Q383" s="31"/>
      <c r="R383" s="31"/>
      <c r="S383" s="32"/>
      <c r="T383" s="32"/>
      <c r="U383" s="32"/>
      <c r="V383" s="32"/>
      <c r="W383" s="32"/>
      <c r="X383" s="32"/>
      <c r="Y383" s="32"/>
      <c r="Z383" s="32"/>
      <c r="AA383" s="32"/>
      <c r="AB383" s="32"/>
    </row>
    <row r="384" spans="1:28" ht="15.6" customHeight="1" x14ac:dyDescent="0.25">
      <c r="A384" s="24"/>
      <c r="B384" s="24"/>
      <c r="C384" s="25"/>
      <c r="D384" s="25"/>
      <c r="E384" s="25"/>
      <c r="F384" s="25"/>
      <c r="G384" s="26"/>
      <c r="H384" s="27"/>
      <c r="I384" s="24"/>
      <c r="J384" s="24"/>
      <c r="K384" s="28"/>
      <c r="L384" s="29"/>
      <c r="M384" s="29"/>
      <c r="N384" s="29"/>
      <c r="O384" s="27"/>
      <c r="P384" s="30"/>
      <c r="Q384" s="31"/>
      <c r="R384" s="31"/>
      <c r="S384" s="32"/>
      <c r="T384" s="32"/>
      <c r="U384" s="32"/>
      <c r="V384" s="32"/>
      <c r="W384" s="32"/>
      <c r="X384" s="32"/>
      <c r="Y384" s="32"/>
      <c r="Z384" s="32"/>
      <c r="AA384" s="32"/>
      <c r="AB384" s="32"/>
    </row>
    <row r="385" spans="1:28" ht="15.6" customHeight="1" x14ac:dyDescent="0.25">
      <c r="A385" s="24"/>
      <c r="B385" s="24"/>
      <c r="C385" s="25"/>
      <c r="D385" s="25"/>
      <c r="E385" s="25"/>
      <c r="F385" s="25"/>
      <c r="G385" s="26"/>
      <c r="H385" s="27"/>
      <c r="I385" s="24"/>
      <c r="J385" s="24"/>
      <c r="K385" s="28"/>
      <c r="L385" s="29"/>
      <c r="M385" s="29"/>
      <c r="N385" s="29"/>
      <c r="O385" s="27"/>
      <c r="P385" s="30"/>
      <c r="Q385" s="31"/>
      <c r="R385" s="31"/>
      <c r="S385" s="32"/>
      <c r="T385" s="32"/>
      <c r="U385" s="32"/>
      <c r="V385" s="32"/>
      <c r="W385" s="32"/>
      <c r="X385" s="32"/>
      <c r="Y385" s="32"/>
      <c r="Z385" s="32"/>
      <c r="AA385" s="32"/>
      <c r="AB385" s="32"/>
    </row>
    <row r="386" spans="1:28" ht="15.6" customHeight="1" x14ac:dyDescent="0.25">
      <c r="A386" s="24"/>
      <c r="B386" s="24"/>
      <c r="C386" s="25"/>
      <c r="D386" s="25"/>
      <c r="E386" s="25"/>
      <c r="F386" s="25"/>
      <c r="G386" s="26"/>
      <c r="H386" s="27"/>
      <c r="I386" s="24"/>
      <c r="J386" s="24"/>
      <c r="K386" s="28"/>
      <c r="L386" s="29"/>
      <c r="M386" s="29"/>
      <c r="N386" s="29"/>
      <c r="O386" s="27"/>
      <c r="P386" s="30"/>
      <c r="Q386" s="31"/>
      <c r="R386" s="31"/>
      <c r="S386" s="32"/>
      <c r="T386" s="32"/>
      <c r="U386" s="32"/>
      <c r="V386" s="32"/>
      <c r="W386" s="32"/>
      <c r="X386" s="32"/>
      <c r="Y386" s="32"/>
      <c r="Z386" s="32"/>
      <c r="AA386" s="32"/>
      <c r="AB386" s="32"/>
    </row>
    <row r="387" spans="1:28" ht="15.6" customHeight="1" x14ac:dyDescent="0.25">
      <c r="A387" s="24"/>
      <c r="B387" s="24"/>
      <c r="C387" s="25"/>
      <c r="D387" s="25"/>
      <c r="E387" s="25"/>
      <c r="F387" s="25"/>
      <c r="G387" s="26"/>
      <c r="H387" s="27"/>
      <c r="I387" s="24"/>
      <c r="J387" s="24"/>
      <c r="K387" s="28"/>
      <c r="L387" s="29"/>
      <c r="M387" s="29"/>
      <c r="N387" s="29"/>
      <c r="O387" s="27"/>
      <c r="P387" s="30"/>
      <c r="Q387" s="31"/>
      <c r="R387" s="31"/>
      <c r="S387" s="32"/>
      <c r="T387" s="32"/>
      <c r="U387" s="32"/>
      <c r="V387" s="32"/>
      <c r="W387" s="32"/>
      <c r="X387" s="32"/>
      <c r="Y387" s="32"/>
      <c r="Z387" s="32"/>
      <c r="AA387" s="32"/>
      <c r="AB387" s="32"/>
    </row>
    <row r="388" spans="1:28" ht="15.6" customHeight="1" x14ac:dyDescent="0.25">
      <c r="A388" s="24"/>
      <c r="B388" s="24"/>
      <c r="C388" s="25"/>
      <c r="D388" s="25"/>
      <c r="E388" s="25"/>
      <c r="F388" s="25"/>
      <c r="G388" s="26"/>
      <c r="H388" s="27"/>
      <c r="I388" s="24"/>
      <c r="J388" s="24"/>
      <c r="K388" s="28"/>
      <c r="L388" s="29"/>
      <c r="M388" s="29"/>
      <c r="N388" s="29"/>
      <c r="O388" s="27"/>
      <c r="P388" s="30"/>
      <c r="Q388" s="31"/>
      <c r="R388" s="31"/>
      <c r="S388" s="32"/>
      <c r="T388" s="32"/>
      <c r="U388" s="32"/>
      <c r="V388" s="32"/>
      <c r="W388" s="32"/>
      <c r="X388" s="32"/>
      <c r="Y388" s="32"/>
      <c r="Z388" s="32"/>
      <c r="AA388" s="32"/>
      <c r="AB388" s="32"/>
    </row>
    <row r="389" spans="1:28" ht="15.6" customHeight="1" x14ac:dyDescent="0.25">
      <c r="A389" s="24"/>
      <c r="B389" s="24"/>
      <c r="C389" s="25"/>
      <c r="D389" s="25"/>
      <c r="E389" s="25"/>
      <c r="F389" s="25"/>
      <c r="G389" s="26"/>
      <c r="H389" s="27"/>
      <c r="I389" s="24"/>
      <c r="J389" s="24"/>
      <c r="K389" s="28"/>
      <c r="L389" s="29"/>
      <c r="M389" s="29"/>
      <c r="N389" s="29"/>
      <c r="O389" s="27"/>
      <c r="P389" s="30"/>
      <c r="Q389" s="31"/>
      <c r="R389" s="31"/>
      <c r="S389" s="32"/>
      <c r="T389" s="32"/>
      <c r="U389" s="32"/>
      <c r="V389" s="32"/>
      <c r="W389" s="32"/>
      <c r="X389" s="32"/>
      <c r="Y389" s="32"/>
      <c r="Z389" s="32"/>
      <c r="AA389" s="32"/>
      <c r="AB389" s="32"/>
    </row>
    <row r="390" spans="1:28" ht="15.6" customHeight="1" x14ac:dyDescent="0.25">
      <c r="A390" s="24"/>
      <c r="B390" s="24"/>
      <c r="C390" s="25"/>
      <c r="D390" s="25"/>
      <c r="E390" s="25"/>
      <c r="F390" s="25"/>
      <c r="G390" s="26"/>
      <c r="H390" s="27"/>
      <c r="I390" s="24"/>
      <c r="J390" s="24"/>
      <c r="K390" s="28"/>
      <c r="L390" s="29"/>
      <c r="M390" s="29"/>
      <c r="N390" s="29"/>
      <c r="O390" s="27"/>
      <c r="P390" s="30"/>
      <c r="Q390" s="31"/>
      <c r="R390" s="31"/>
      <c r="S390" s="32"/>
      <c r="T390" s="32"/>
      <c r="U390" s="32"/>
      <c r="V390" s="32"/>
      <c r="W390" s="32"/>
      <c r="X390" s="32"/>
      <c r="Y390" s="32"/>
      <c r="Z390" s="32"/>
      <c r="AA390" s="32"/>
      <c r="AB390" s="32"/>
    </row>
    <row r="391" spans="1:28" ht="15.6" customHeight="1" x14ac:dyDescent="0.25">
      <c r="A391" s="24"/>
      <c r="B391" s="24"/>
      <c r="C391" s="25"/>
      <c r="D391" s="25"/>
      <c r="E391" s="25"/>
      <c r="F391" s="25"/>
      <c r="G391" s="26"/>
      <c r="H391" s="27"/>
      <c r="I391" s="24"/>
      <c r="J391" s="24"/>
      <c r="K391" s="28"/>
      <c r="L391" s="29"/>
      <c r="M391" s="29"/>
      <c r="N391" s="29"/>
      <c r="O391" s="27"/>
      <c r="P391" s="30"/>
      <c r="Q391" s="31"/>
      <c r="R391" s="31"/>
      <c r="S391" s="32"/>
      <c r="T391" s="32"/>
      <c r="U391" s="32"/>
      <c r="V391" s="32"/>
      <c r="W391" s="32"/>
      <c r="X391" s="32"/>
      <c r="Y391" s="32"/>
      <c r="Z391" s="32"/>
      <c r="AA391" s="32"/>
      <c r="AB391" s="32"/>
    </row>
    <row r="392" spans="1:28" ht="15.6" customHeight="1" x14ac:dyDescent="0.25">
      <c r="A392" s="24"/>
      <c r="B392" s="24"/>
      <c r="C392" s="25"/>
      <c r="D392" s="25"/>
      <c r="E392" s="25"/>
      <c r="F392" s="25"/>
      <c r="G392" s="26"/>
      <c r="H392" s="27"/>
      <c r="I392" s="24"/>
      <c r="J392" s="24"/>
      <c r="K392" s="28"/>
      <c r="L392" s="29"/>
      <c r="M392" s="29"/>
      <c r="N392" s="29"/>
      <c r="O392" s="27"/>
      <c r="P392" s="30"/>
      <c r="Q392" s="31"/>
      <c r="R392" s="31"/>
      <c r="S392" s="32"/>
      <c r="T392" s="32"/>
      <c r="U392" s="32"/>
      <c r="V392" s="32"/>
      <c r="W392" s="32"/>
      <c r="X392" s="32"/>
      <c r="Y392" s="32"/>
      <c r="Z392" s="32"/>
      <c r="AA392" s="32"/>
      <c r="AB392" s="32"/>
    </row>
    <row r="393" spans="1:28" ht="15.6" customHeight="1" x14ac:dyDescent="0.25">
      <c r="A393" s="24"/>
      <c r="B393" s="24"/>
      <c r="C393" s="25"/>
      <c r="D393" s="25"/>
      <c r="E393" s="25"/>
      <c r="F393" s="25"/>
      <c r="G393" s="26"/>
      <c r="H393" s="27"/>
      <c r="I393" s="24"/>
      <c r="J393" s="24"/>
      <c r="K393" s="28"/>
      <c r="L393" s="29"/>
      <c r="M393" s="29"/>
      <c r="N393" s="29"/>
      <c r="O393" s="27"/>
      <c r="P393" s="30"/>
      <c r="Q393" s="31"/>
      <c r="R393" s="31"/>
      <c r="S393" s="32"/>
      <c r="T393" s="32"/>
      <c r="U393" s="32"/>
      <c r="V393" s="32"/>
      <c r="W393" s="32"/>
      <c r="X393" s="32"/>
      <c r="Y393" s="32"/>
      <c r="Z393" s="32"/>
      <c r="AA393" s="32"/>
      <c r="AB393" s="32"/>
    </row>
    <row r="394" spans="1:28" ht="15.6" customHeight="1" x14ac:dyDescent="0.25">
      <c r="A394" s="24"/>
      <c r="B394" s="24"/>
      <c r="C394" s="25"/>
      <c r="D394" s="25"/>
      <c r="E394" s="25"/>
      <c r="F394" s="25"/>
      <c r="G394" s="26"/>
      <c r="H394" s="27"/>
      <c r="I394" s="24"/>
      <c r="J394" s="24"/>
      <c r="K394" s="28"/>
      <c r="L394" s="29"/>
      <c r="M394" s="29"/>
      <c r="N394" s="29"/>
      <c r="O394" s="27"/>
      <c r="P394" s="30"/>
      <c r="Q394" s="31"/>
      <c r="R394" s="31"/>
      <c r="S394" s="32"/>
      <c r="T394" s="32"/>
      <c r="U394" s="32"/>
      <c r="V394" s="32"/>
      <c r="W394" s="32"/>
      <c r="X394" s="32"/>
      <c r="Y394" s="32"/>
      <c r="Z394" s="32"/>
      <c r="AA394" s="32"/>
      <c r="AB394" s="32"/>
    </row>
    <row r="395" spans="1:28" ht="15.6" customHeight="1" x14ac:dyDescent="0.25">
      <c r="A395" s="24"/>
      <c r="B395" s="24"/>
      <c r="C395" s="25"/>
      <c r="D395" s="25"/>
      <c r="E395" s="25"/>
      <c r="F395" s="25"/>
      <c r="G395" s="26"/>
      <c r="H395" s="27"/>
      <c r="I395" s="24"/>
      <c r="J395" s="24"/>
      <c r="K395" s="28"/>
      <c r="L395" s="29"/>
      <c r="M395" s="29"/>
      <c r="N395" s="29"/>
      <c r="O395" s="27"/>
      <c r="P395" s="30"/>
      <c r="Q395" s="31"/>
      <c r="R395" s="31"/>
      <c r="S395" s="32"/>
      <c r="T395" s="32"/>
      <c r="U395" s="32"/>
      <c r="V395" s="32"/>
      <c r="W395" s="32"/>
      <c r="X395" s="32"/>
      <c r="Y395" s="32"/>
      <c r="Z395" s="32"/>
      <c r="AA395" s="32"/>
      <c r="AB395" s="32"/>
    </row>
    <row r="396" spans="1:28" ht="15.6" customHeight="1" x14ac:dyDescent="0.25">
      <c r="A396" s="24"/>
      <c r="B396" s="24"/>
      <c r="C396" s="25"/>
      <c r="D396" s="25"/>
      <c r="E396" s="25"/>
      <c r="F396" s="25"/>
      <c r="G396" s="26"/>
      <c r="H396" s="27"/>
      <c r="I396" s="24"/>
      <c r="J396" s="24"/>
      <c r="K396" s="28"/>
      <c r="L396" s="29"/>
      <c r="M396" s="29"/>
      <c r="N396" s="29"/>
      <c r="O396" s="27"/>
      <c r="P396" s="30"/>
      <c r="Q396" s="31"/>
      <c r="R396" s="31"/>
      <c r="S396" s="32"/>
      <c r="T396" s="32"/>
      <c r="U396" s="32"/>
      <c r="V396" s="32"/>
      <c r="W396" s="32"/>
      <c r="X396" s="32"/>
      <c r="Y396" s="32"/>
      <c r="Z396" s="32"/>
      <c r="AA396" s="32"/>
      <c r="AB396" s="32"/>
    </row>
    <row r="397" spans="1:28" ht="15.6" customHeight="1" x14ac:dyDescent="0.25">
      <c r="A397" s="24"/>
      <c r="B397" s="24"/>
      <c r="C397" s="25"/>
      <c r="D397" s="25"/>
      <c r="E397" s="25"/>
      <c r="F397" s="25"/>
      <c r="G397" s="26"/>
      <c r="H397" s="27"/>
      <c r="I397" s="24"/>
      <c r="J397" s="24"/>
      <c r="K397" s="28"/>
      <c r="L397" s="29"/>
      <c r="M397" s="29"/>
      <c r="N397" s="29"/>
      <c r="O397" s="27"/>
      <c r="P397" s="30"/>
      <c r="Q397" s="31"/>
      <c r="R397" s="31"/>
      <c r="S397" s="32"/>
      <c r="T397" s="32"/>
      <c r="U397" s="32"/>
      <c r="V397" s="32"/>
      <c r="W397" s="32"/>
      <c r="X397" s="32"/>
      <c r="Y397" s="32"/>
      <c r="Z397" s="32"/>
      <c r="AA397" s="32"/>
      <c r="AB397" s="32"/>
    </row>
    <row r="398" spans="1:28" ht="15.6" customHeight="1" x14ac:dyDescent="0.25">
      <c r="A398" s="24"/>
      <c r="B398" s="24"/>
      <c r="C398" s="25"/>
      <c r="D398" s="25"/>
      <c r="E398" s="25"/>
      <c r="F398" s="25"/>
      <c r="G398" s="26"/>
      <c r="H398" s="27"/>
      <c r="I398" s="24"/>
      <c r="J398" s="24"/>
      <c r="K398" s="28"/>
      <c r="L398" s="29"/>
      <c r="M398" s="29"/>
      <c r="N398" s="29"/>
      <c r="O398" s="27"/>
      <c r="P398" s="30"/>
      <c r="Q398" s="31"/>
      <c r="R398" s="31"/>
      <c r="S398" s="32"/>
      <c r="T398" s="32"/>
      <c r="U398" s="32"/>
      <c r="V398" s="32"/>
      <c r="W398" s="32"/>
      <c r="X398" s="32"/>
      <c r="Y398" s="32"/>
      <c r="Z398" s="32"/>
      <c r="AA398" s="32"/>
      <c r="AB398" s="32"/>
    </row>
    <row r="399" spans="1:28" ht="15.6" customHeight="1" x14ac:dyDescent="0.25">
      <c r="A399" s="24"/>
      <c r="B399" s="24"/>
      <c r="C399" s="25"/>
      <c r="D399" s="25"/>
      <c r="E399" s="25"/>
      <c r="F399" s="25"/>
      <c r="G399" s="26"/>
      <c r="H399" s="27"/>
      <c r="I399" s="24"/>
      <c r="J399" s="24"/>
      <c r="K399" s="28"/>
      <c r="L399" s="29"/>
      <c r="M399" s="29"/>
      <c r="N399" s="29"/>
      <c r="O399" s="27"/>
      <c r="P399" s="30"/>
      <c r="Q399" s="31"/>
      <c r="R399" s="31"/>
      <c r="S399" s="32"/>
      <c r="T399" s="32"/>
      <c r="U399" s="32"/>
      <c r="V399" s="32"/>
      <c r="W399" s="32"/>
      <c r="X399" s="32"/>
      <c r="Y399" s="32"/>
      <c r="Z399" s="32"/>
      <c r="AA399" s="32"/>
      <c r="AB399" s="32"/>
    </row>
    <row r="400" spans="1:28" ht="15.6" customHeight="1" x14ac:dyDescent="0.25">
      <c r="A400" s="24"/>
      <c r="B400" s="24"/>
      <c r="C400" s="25"/>
      <c r="D400" s="25"/>
      <c r="E400" s="25"/>
      <c r="F400" s="25"/>
      <c r="G400" s="26"/>
      <c r="H400" s="27"/>
      <c r="I400" s="24"/>
      <c r="J400" s="24"/>
      <c r="K400" s="28"/>
      <c r="L400" s="29"/>
      <c r="M400" s="29"/>
      <c r="N400" s="29"/>
      <c r="O400" s="27"/>
      <c r="P400" s="30"/>
      <c r="Q400" s="31"/>
      <c r="R400" s="31"/>
      <c r="S400" s="32"/>
      <c r="T400" s="32"/>
      <c r="U400" s="32"/>
      <c r="V400" s="32"/>
      <c r="W400" s="32"/>
      <c r="X400" s="32"/>
      <c r="Y400" s="32"/>
      <c r="Z400" s="32"/>
      <c r="AA400" s="32"/>
      <c r="AB400" s="32"/>
    </row>
    <row r="401" spans="1:28" ht="15.6" customHeight="1" x14ac:dyDescent="0.25">
      <c r="A401" s="24"/>
      <c r="B401" s="24"/>
      <c r="C401" s="25"/>
      <c r="D401" s="25"/>
      <c r="E401" s="25"/>
      <c r="F401" s="25"/>
      <c r="G401" s="26"/>
      <c r="H401" s="27"/>
      <c r="I401" s="24"/>
      <c r="J401" s="24"/>
      <c r="K401" s="28"/>
      <c r="L401" s="29"/>
      <c r="M401" s="29"/>
      <c r="N401" s="29"/>
      <c r="O401" s="27"/>
      <c r="P401" s="30"/>
      <c r="Q401" s="31"/>
      <c r="R401" s="31"/>
      <c r="S401" s="32"/>
      <c r="T401" s="32"/>
      <c r="U401" s="32"/>
      <c r="V401" s="32"/>
      <c r="W401" s="32"/>
      <c r="X401" s="32"/>
      <c r="Y401" s="32"/>
      <c r="Z401" s="32"/>
      <c r="AA401" s="32"/>
      <c r="AB401" s="32"/>
    </row>
    <row r="402" spans="1:28" ht="15.6" customHeight="1" x14ac:dyDescent="0.25">
      <c r="A402" s="24"/>
      <c r="B402" s="24"/>
      <c r="C402" s="25"/>
      <c r="D402" s="25"/>
      <c r="E402" s="25"/>
      <c r="F402" s="25"/>
      <c r="G402" s="26"/>
      <c r="H402" s="27"/>
      <c r="I402" s="24"/>
      <c r="J402" s="24"/>
      <c r="K402" s="28"/>
      <c r="L402" s="29"/>
      <c r="M402" s="29"/>
      <c r="N402" s="29"/>
      <c r="O402" s="27"/>
      <c r="P402" s="30"/>
      <c r="Q402" s="31"/>
      <c r="R402" s="31"/>
      <c r="S402" s="32"/>
      <c r="T402" s="32"/>
      <c r="U402" s="32"/>
      <c r="V402" s="32"/>
      <c r="W402" s="32"/>
      <c r="X402" s="32"/>
      <c r="Y402" s="32"/>
      <c r="Z402" s="32"/>
      <c r="AA402" s="32"/>
      <c r="AB402" s="32"/>
    </row>
    <row r="403" spans="1:28" ht="15.6" customHeight="1" x14ac:dyDescent="0.25">
      <c r="A403" s="24"/>
      <c r="B403" s="24"/>
      <c r="C403" s="25"/>
      <c r="D403" s="25"/>
      <c r="E403" s="25"/>
      <c r="F403" s="25"/>
      <c r="G403" s="26"/>
      <c r="H403" s="27"/>
      <c r="I403" s="24"/>
      <c r="J403" s="24"/>
      <c r="K403" s="28"/>
      <c r="L403" s="29"/>
      <c r="M403" s="29"/>
      <c r="N403" s="29"/>
      <c r="O403" s="27"/>
      <c r="P403" s="30"/>
      <c r="Q403" s="31"/>
      <c r="R403" s="31"/>
      <c r="S403" s="32"/>
      <c r="T403" s="32"/>
      <c r="U403" s="32"/>
      <c r="V403" s="32"/>
      <c r="W403" s="32"/>
      <c r="X403" s="32"/>
      <c r="Y403" s="32"/>
      <c r="Z403" s="32"/>
      <c r="AA403" s="32"/>
      <c r="AB403" s="32"/>
    </row>
    <row r="404" spans="1:28" ht="15.6" customHeight="1" x14ac:dyDescent="0.25">
      <c r="A404" s="24"/>
      <c r="B404" s="24"/>
      <c r="C404" s="25"/>
      <c r="D404" s="25"/>
      <c r="E404" s="25"/>
      <c r="F404" s="25"/>
      <c r="G404" s="26"/>
      <c r="H404" s="27"/>
      <c r="I404" s="24"/>
      <c r="J404" s="24"/>
      <c r="K404" s="28"/>
      <c r="L404" s="29"/>
      <c r="M404" s="29"/>
      <c r="N404" s="29"/>
      <c r="O404" s="27"/>
      <c r="P404" s="30"/>
      <c r="Q404" s="31"/>
      <c r="R404" s="31"/>
      <c r="S404" s="32"/>
      <c r="T404" s="32"/>
      <c r="U404" s="32"/>
      <c r="V404" s="32"/>
      <c r="W404" s="32"/>
      <c r="X404" s="32"/>
      <c r="Y404" s="32"/>
      <c r="Z404" s="32"/>
      <c r="AA404" s="32"/>
      <c r="AB404" s="32"/>
    </row>
    <row r="405" spans="1:28" ht="15.6" customHeight="1" x14ac:dyDescent="0.25">
      <c r="A405" s="24"/>
      <c r="B405" s="24"/>
      <c r="C405" s="25"/>
      <c r="D405" s="25"/>
      <c r="E405" s="25"/>
      <c r="F405" s="25"/>
      <c r="G405" s="26"/>
      <c r="H405" s="27"/>
      <c r="I405" s="24"/>
      <c r="J405" s="24"/>
      <c r="K405" s="28"/>
      <c r="L405" s="29"/>
      <c r="M405" s="29"/>
      <c r="N405" s="29"/>
      <c r="O405" s="27"/>
      <c r="P405" s="30"/>
      <c r="Q405" s="31"/>
      <c r="R405" s="31"/>
      <c r="S405" s="32"/>
      <c r="T405" s="32"/>
      <c r="U405" s="32"/>
      <c r="V405" s="32"/>
      <c r="W405" s="32"/>
      <c r="X405" s="32"/>
      <c r="Y405" s="32"/>
      <c r="Z405" s="32"/>
      <c r="AA405" s="32"/>
      <c r="AB405" s="32"/>
    </row>
    <row r="406" spans="1:28" ht="15.6" customHeight="1" x14ac:dyDescent="0.25">
      <c r="A406" s="24"/>
      <c r="B406" s="24"/>
      <c r="C406" s="25"/>
      <c r="D406" s="25"/>
      <c r="E406" s="25"/>
      <c r="F406" s="25"/>
      <c r="G406" s="26"/>
      <c r="H406" s="27"/>
      <c r="I406" s="24"/>
      <c r="J406" s="24"/>
      <c r="K406" s="28"/>
      <c r="L406" s="29"/>
      <c r="M406" s="29"/>
      <c r="N406" s="29"/>
      <c r="O406" s="27"/>
      <c r="P406" s="30"/>
      <c r="Q406" s="31"/>
      <c r="R406" s="31"/>
      <c r="S406" s="32"/>
      <c r="T406" s="32"/>
      <c r="U406" s="32"/>
      <c r="V406" s="32"/>
      <c r="W406" s="32"/>
      <c r="X406" s="32"/>
      <c r="Y406" s="32"/>
      <c r="Z406" s="32"/>
      <c r="AA406" s="32"/>
      <c r="AB406" s="32"/>
    </row>
    <row r="407" spans="1:28" ht="15.6" customHeight="1" x14ac:dyDescent="0.25">
      <c r="A407" s="24"/>
      <c r="B407" s="24"/>
      <c r="C407" s="25"/>
      <c r="D407" s="25"/>
      <c r="E407" s="25"/>
      <c r="F407" s="25"/>
      <c r="G407" s="26"/>
      <c r="H407" s="27"/>
      <c r="I407" s="24"/>
      <c r="J407" s="24"/>
      <c r="K407" s="28"/>
      <c r="L407" s="29"/>
      <c r="M407" s="29"/>
      <c r="N407" s="29"/>
      <c r="O407" s="27"/>
      <c r="P407" s="30"/>
      <c r="Q407" s="31"/>
      <c r="R407" s="31"/>
      <c r="S407" s="32"/>
      <c r="T407" s="32"/>
      <c r="U407" s="32"/>
      <c r="V407" s="32"/>
      <c r="W407" s="32"/>
      <c r="X407" s="32"/>
      <c r="Y407" s="32"/>
      <c r="Z407" s="32"/>
      <c r="AA407" s="32"/>
      <c r="AB407" s="32"/>
    </row>
    <row r="408" spans="1:28" ht="15.6" customHeight="1" x14ac:dyDescent="0.25">
      <c r="A408" s="24"/>
      <c r="B408" s="24"/>
      <c r="C408" s="25"/>
      <c r="D408" s="25"/>
      <c r="E408" s="25"/>
      <c r="F408" s="25"/>
      <c r="G408" s="26"/>
      <c r="H408" s="27"/>
      <c r="I408" s="24"/>
      <c r="J408" s="24"/>
      <c r="K408" s="28"/>
      <c r="L408" s="29"/>
      <c r="M408" s="29"/>
      <c r="N408" s="29"/>
      <c r="O408" s="27"/>
      <c r="P408" s="30"/>
      <c r="Q408" s="31"/>
      <c r="R408" s="31"/>
      <c r="S408" s="32"/>
      <c r="T408" s="32"/>
      <c r="U408" s="32"/>
      <c r="V408" s="32"/>
      <c r="W408" s="32"/>
      <c r="X408" s="32"/>
      <c r="Y408" s="32"/>
      <c r="Z408" s="32"/>
      <c r="AA408" s="32"/>
      <c r="AB408" s="32"/>
    </row>
    <row r="409" spans="1:28" ht="15.6" customHeight="1" x14ac:dyDescent="0.25">
      <c r="A409" s="24"/>
      <c r="B409" s="24"/>
      <c r="C409" s="25"/>
      <c r="D409" s="25"/>
      <c r="E409" s="25"/>
      <c r="F409" s="25"/>
      <c r="G409" s="26"/>
      <c r="H409" s="27"/>
      <c r="I409" s="24"/>
      <c r="J409" s="24"/>
      <c r="K409" s="28"/>
      <c r="L409" s="29"/>
      <c r="M409" s="29"/>
      <c r="N409" s="29"/>
      <c r="O409" s="27"/>
      <c r="P409" s="30"/>
      <c r="Q409" s="31"/>
      <c r="R409" s="31"/>
      <c r="S409" s="32"/>
      <c r="T409" s="32"/>
      <c r="U409" s="32"/>
      <c r="V409" s="32"/>
      <c r="W409" s="32"/>
      <c r="X409" s="32"/>
      <c r="Y409" s="32"/>
      <c r="Z409" s="32"/>
      <c r="AA409" s="32"/>
      <c r="AB409" s="32"/>
    </row>
    <row r="410" spans="1:28" ht="15.6" customHeight="1" x14ac:dyDescent="0.25">
      <c r="A410" s="24"/>
      <c r="B410" s="24"/>
      <c r="C410" s="25"/>
      <c r="D410" s="25"/>
      <c r="E410" s="25"/>
      <c r="F410" s="25"/>
      <c r="G410" s="26"/>
      <c r="H410" s="27"/>
      <c r="I410" s="24"/>
      <c r="J410" s="24"/>
      <c r="K410" s="28"/>
      <c r="L410" s="29"/>
      <c r="M410" s="29"/>
      <c r="N410" s="29"/>
      <c r="O410" s="27"/>
      <c r="P410" s="30"/>
      <c r="Q410" s="31"/>
      <c r="R410" s="31"/>
      <c r="S410" s="32"/>
      <c r="T410" s="32"/>
      <c r="U410" s="32"/>
      <c r="V410" s="32"/>
      <c r="W410" s="32"/>
      <c r="X410" s="32"/>
      <c r="Y410" s="32"/>
      <c r="Z410" s="32"/>
      <c r="AA410" s="32"/>
      <c r="AB410" s="32"/>
    </row>
    <row r="411" spans="1:28" ht="15.6" customHeight="1" x14ac:dyDescent="0.25">
      <c r="A411" s="24"/>
      <c r="B411" s="24"/>
      <c r="C411" s="25"/>
      <c r="D411" s="25"/>
      <c r="E411" s="25"/>
      <c r="F411" s="25"/>
      <c r="G411" s="26"/>
      <c r="H411" s="27"/>
      <c r="I411" s="24"/>
      <c r="J411" s="24"/>
      <c r="K411" s="28"/>
      <c r="L411" s="29"/>
      <c r="M411" s="29"/>
      <c r="N411" s="29"/>
      <c r="O411" s="27"/>
      <c r="P411" s="30"/>
      <c r="Q411" s="31"/>
      <c r="R411" s="31"/>
      <c r="S411" s="32"/>
      <c r="T411" s="32"/>
      <c r="U411" s="32"/>
      <c r="V411" s="32"/>
      <c r="W411" s="32"/>
      <c r="X411" s="32"/>
      <c r="Y411" s="32"/>
      <c r="Z411" s="32"/>
      <c r="AA411" s="32"/>
      <c r="AB411" s="32"/>
    </row>
    <row r="412" spans="1:28" ht="15.6" customHeight="1" x14ac:dyDescent="0.25">
      <c r="A412" s="24"/>
      <c r="B412" s="24"/>
      <c r="C412" s="25"/>
      <c r="D412" s="25"/>
      <c r="E412" s="25"/>
      <c r="F412" s="25"/>
      <c r="G412" s="26"/>
      <c r="H412" s="27"/>
      <c r="I412" s="24"/>
      <c r="J412" s="24"/>
      <c r="K412" s="28"/>
      <c r="L412" s="29"/>
      <c r="M412" s="29"/>
      <c r="N412" s="29"/>
      <c r="O412" s="27"/>
      <c r="P412" s="30"/>
      <c r="Q412" s="31"/>
      <c r="R412" s="31"/>
      <c r="S412" s="32"/>
      <c r="T412" s="32"/>
      <c r="U412" s="32"/>
      <c r="V412" s="32"/>
      <c r="W412" s="32"/>
      <c r="X412" s="32"/>
      <c r="Y412" s="32"/>
      <c r="Z412" s="32"/>
      <c r="AA412" s="32"/>
      <c r="AB412" s="32"/>
    </row>
    <row r="413" spans="1:28" ht="15.6" customHeight="1" x14ac:dyDescent="0.25">
      <c r="A413" s="24"/>
      <c r="B413" s="24"/>
      <c r="C413" s="25"/>
      <c r="D413" s="25"/>
      <c r="E413" s="25"/>
      <c r="F413" s="25"/>
      <c r="G413" s="26"/>
      <c r="H413" s="27"/>
      <c r="I413" s="24"/>
      <c r="J413" s="24"/>
      <c r="K413" s="28"/>
      <c r="L413" s="29"/>
      <c r="M413" s="29"/>
      <c r="N413" s="29"/>
      <c r="O413" s="27"/>
      <c r="P413" s="30"/>
      <c r="Q413" s="31"/>
      <c r="R413" s="31"/>
      <c r="S413" s="32"/>
      <c r="T413" s="32"/>
      <c r="U413" s="32"/>
      <c r="V413" s="32"/>
      <c r="W413" s="32"/>
      <c r="X413" s="32"/>
      <c r="Y413" s="32"/>
      <c r="Z413" s="32"/>
      <c r="AA413" s="32"/>
      <c r="AB413" s="32"/>
    </row>
    <row r="414" spans="1:28" ht="15.6" customHeight="1" x14ac:dyDescent="0.25">
      <c r="A414" s="24"/>
      <c r="B414" s="24"/>
      <c r="C414" s="25"/>
      <c r="D414" s="25"/>
      <c r="E414" s="25"/>
      <c r="F414" s="25"/>
      <c r="G414" s="26"/>
      <c r="H414" s="27"/>
      <c r="I414" s="24"/>
      <c r="J414" s="24"/>
      <c r="K414" s="28"/>
      <c r="L414" s="29"/>
      <c r="M414" s="29"/>
      <c r="N414" s="29"/>
      <c r="O414" s="27"/>
      <c r="P414" s="30"/>
      <c r="Q414" s="31"/>
      <c r="R414" s="31"/>
      <c r="S414" s="32"/>
      <c r="T414" s="32"/>
      <c r="U414" s="32"/>
      <c r="V414" s="32"/>
      <c r="W414" s="32"/>
      <c r="X414" s="32"/>
      <c r="Y414" s="32"/>
      <c r="Z414" s="32"/>
      <c r="AA414" s="32"/>
      <c r="AB414" s="32"/>
    </row>
    <row r="415" spans="1:28" ht="15.6" customHeight="1" x14ac:dyDescent="0.25">
      <c r="A415" s="24"/>
      <c r="B415" s="24"/>
      <c r="C415" s="25"/>
      <c r="D415" s="25"/>
      <c r="E415" s="25"/>
      <c r="F415" s="25"/>
      <c r="G415" s="26"/>
      <c r="H415" s="27"/>
      <c r="I415" s="24"/>
      <c r="J415" s="24"/>
      <c r="K415" s="28"/>
      <c r="L415" s="29"/>
      <c r="M415" s="29"/>
      <c r="N415" s="29"/>
      <c r="O415" s="27"/>
      <c r="P415" s="30"/>
      <c r="Q415" s="31"/>
      <c r="R415" s="31"/>
      <c r="S415" s="32"/>
      <c r="T415" s="32"/>
      <c r="U415" s="32"/>
      <c r="V415" s="32"/>
      <c r="W415" s="32"/>
      <c r="X415" s="32"/>
      <c r="Y415" s="32"/>
      <c r="Z415" s="32"/>
      <c r="AA415" s="32"/>
      <c r="AB415" s="32"/>
    </row>
    <row r="416" spans="1:28" ht="15.6" customHeight="1" x14ac:dyDescent="0.25">
      <c r="A416" s="24"/>
      <c r="B416" s="24"/>
      <c r="C416" s="25"/>
      <c r="D416" s="25"/>
      <c r="E416" s="25"/>
      <c r="F416" s="25"/>
      <c r="G416" s="26"/>
      <c r="H416" s="27"/>
      <c r="I416" s="24"/>
      <c r="J416" s="24"/>
      <c r="K416" s="28"/>
      <c r="L416" s="29"/>
      <c r="M416" s="29"/>
      <c r="N416" s="29"/>
      <c r="O416" s="27"/>
      <c r="P416" s="30"/>
      <c r="Q416" s="31"/>
      <c r="R416" s="31"/>
      <c r="S416" s="32"/>
      <c r="T416" s="32"/>
      <c r="U416" s="32"/>
      <c r="V416" s="32"/>
      <c r="W416" s="32"/>
      <c r="X416" s="32"/>
      <c r="Y416" s="32"/>
      <c r="Z416" s="32"/>
      <c r="AA416" s="32"/>
      <c r="AB416" s="32"/>
    </row>
    <row r="417" spans="1:28" ht="15.6" customHeight="1" x14ac:dyDescent="0.25">
      <c r="A417" s="24"/>
      <c r="B417" s="24"/>
      <c r="C417" s="25"/>
      <c r="D417" s="25"/>
      <c r="E417" s="25"/>
      <c r="F417" s="25"/>
      <c r="G417" s="26"/>
      <c r="H417" s="27"/>
      <c r="I417" s="24"/>
      <c r="J417" s="24"/>
      <c r="K417" s="28"/>
      <c r="L417" s="29"/>
      <c r="M417" s="29"/>
      <c r="N417" s="29"/>
      <c r="O417" s="27"/>
      <c r="P417" s="30"/>
      <c r="Q417" s="31"/>
      <c r="R417" s="31"/>
      <c r="S417" s="32"/>
      <c r="T417" s="32"/>
      <c r="U417" s="32"/>
      <c r="V417" s="32"/>
      <c r="W417" s="32"/>
      <c r="X417" s="32"/>
      <c r="Y417" s="32"/>
      <c r="Z417" s="32"/>
      <c r="AA417" s="32"/>
      <c r="AB417" s="32"/>
    </row>
    <row r="418" spans="1:28" ht="15.6" customHeight="1" x14ac:dyDescent="0.25">
      <c r="A418" s="24"/>
      <c r="B418" s="24"/>
      <c r="C418" s="25"/>
      <c r="D418" s="25"/>
      <c r="E418" s="25"/>
      <c r="F418" s="25"/>
      <c r="G418" s="26"/>
      <c r="H418" s="27"/>
      <c r="I418" s="24"/>
      <c r="J418" s="24"/>
      <c r="K418" s="28"/>
      <c r="L418" s="29"/>
      <c r="M418" s="29"/>
      <c r="N418" s="29"/>
      <c r="O418" s="27"/>
      <c r="P418" s="30"/>
      <c r="Q418" s="31"/>
      <c r="R418" s="31"/>
      <c r="S418" s="32"/>
      <c r="T418" s="32"/>
      <c r="U418" s="32"/>
      <c r="V418" s="32"/>
      <c r="W418" s="32"/>
      <c r="X418" s="32"/>
      <c r="Y418" s="32"/>
      <c r="Z418" s="32"/>
      <c r="AA418" s="32"/>
      <c r="AB418" s="32"/>
    </row>
    <row r="419" spans="1:28" ht="15.6" customHeight="1" x14ac:dyDescent="0.25">
      <c r="A419" s="24"/>
      <c r="B419" s="24"/>
      <c r="C419" s="25"/>
      <c r="D419" s="25"/>
      <c r="E419" s="25"/>
      <c r="F419" s="25"/>
      <c r="G419" s="26"/>
      <c r="H419" s="27"/>
      <c r="I419" s="24"/>
      <c r="J419" s="24"/>
      <c r="K419" s="28"/>
      <c r="L419" s="29"/>
      <c r="M419" s="29"/>
      <c r="N419" s="29"/>
      <c r="O419" s="27"/>
      <c r="P419" s="30"/>
      <c r="Q419" s="31"/>
      <c r="R419" s="31"/>
      <c r="S419" s="32"/>
      <c r="T419" s="32"/>
      <c r="U419" s="32"/>
      <c r="V419" s="32"/>
      <c r="W419" s="32"/>
      <c r="X419" s="32"/>
      <c r="Y419" s="32"/>
      <c r="Z419" s="32"/>
      <c r="AA419" s="32"/>
      <c r="AB419" s="32"/>
    </row>
    <row r="420" spans="1:28" ht="15.6" customHeight="1" x14ac:dyDescent="0.25">
      <c r="A420" s="24"/>
      <c r="B420" s="24"/>
      <c r="C420" s="25"/>
      <c r="D420" s="25"/>
      <c r="E420" s="25"/>
      <c r="F420" s="25"/>
      <c r="G420" s="26"/>
      <c r="H420" s="27"/>
      <c r="I420" s="24"/>
      <c r="J420" s="24"/>
      <c r="K420" s="28"/>
      <c r="L420" s="29"/>
      <c r="M420" s="29"/>
      <c r="N420" s="29"/>
      <c r="O420" s="27"/>
      <c r="P420" s="30"/>
      <c r="Q420" s="31"/>
      <c r="R420" s="31"/>
      <c r="S420" s="32"/>
      <c r="T420" s="32"/>
      <c r="U420" s="32"/>
      <c r="V420" s="32"/>
      <c r="W420" s="32"/>
      <c r="X420" s="32"/>
      <c r="Y420" s="32"/>
      <c r="Z420" s="32"/>
      <c r="AA420" s="32"/>
      <c r="AB420" s="32"/>
    </row>
    <row r="421" spans="1:28" ht="15.6" customHeight="1" x14ac:dyDescent="0.25">
      <c r="A421" s="24"/>
      <c r="B421" s="24"/>
      <c r="C421" s="25"/>
      <c r="D421" s="25"/>
      <c r="E421" s="25"/>
      <c r="F421" s="25"/>
      <c r="G421" s="26"/>
      <c r="H421" s="27"/>
      <c r="I421" s="24"/>
      <c r="J421" s="24"/>
      <c r="K421" s="28"/>
      <c r="L421" s="29"/>
      <c r="M421" s="29"/>
      <c r="N421" s="29"/>
      <c r="O421" s="27"/>
      <c r="P421" s="30"/>
      <c r="Q421" s="31"/>
      <c r="R421" s="31"/>
      <c r="S421" s="32"/>
      <c r="T421" s="32"/>
      <c r="U421" s="32"/>
      <c r="V421" s="32"/>
      <c r="W421" s="32"/>
      <c r="X421" s="32"/>
      <c r="Y421" s="32"/>
      <c r="Z421" s="32"/>
      <c r="AA421" s="32"/>
      <c r="AB421" s="32"/>
    </row>
    <row r="422" spans="1:28" ht="15.6" customHeight="1" x14ac:dyDescent="0.25">
      <c r="A422" s="24"/>
      <c r="B422" s="24"/>
      <c r="C422" s="25"/>
      <c r="D422" s="25"/>
      <c r="E422" s="25"/>
      <c r="F422" s="25"/>
      <c r="G422" s="26"/>
      <c r="H422" s="27"/>
      <c r="I422" s="24"/>
      <c r="J422" s="24"/>
      <c r="K422" s="28"/>
      <c r="L422" s="29"/>
      <c r="M422" s="29"/>
      <c r="N422" s="29"/>
      <c r="O422" s="27"/>
      <c r="P422" s="30"/>
      <c r="Q422" s="31"/>
      <c r="R422" s="31"/>
      <c r="S422" s="32"/>
      <c r="T422" s="32"/>
      <c r="U422" s="32"/>
      <c r="V422" s="32"/>
      <c r="W422" s="32"/>
      <c r="X422" s="32"/>
      <c r="Y422" s="32"/>
      <c r="Z422" s="32"/>
      <c r="AA422" s="32"/>
      <c r="AB422" s="32"/>
    </row>
    <row r="423" spans="1:28" ht="15.6" customHeight="1" x14ac:dyDescent="0.25">
      <c r="A423" s="24"/>
      <c r="B423" s="24"/>
      <c r="C423" s="25"/>
      <c r="D423" s="25"/>
      <c r="E423" s="25"/>
      <c r="F423" s="25"/>
      <c r="G423" s="26"/>
      <c r="H423" s="27"/>
      <c r="I423" s="24"/>
      <c r="J423" s="24"/>
      <c r="K423" s="28"/>
      <c r="L423" s="29"/>
      <c r="M423" s="29"/>
      <c r="N423" s="29"/>
      <c r="O423" s="27"/>
      <c r="P423" s="30"/>
      <c r="Q423" s="31"/>
      <c r="R423" s="31"/>
      <c r="S423" s="32"/>
      <c r="T423" s="32"/>
      <c r="U423" s="32"/>
      <c r="V423" s="32"/>
      <c r="W423" s="32"/>
      <c r="X423" s="32"/>
      <c r="Y423" s="32"/>
      <c r="Z423" s="32"/>
      <c r="AA423" s="32"/>
      <c r="AB423" s="32"/>
    </row>
    <row r="424" spans="1:28" ht="15.6" customHeight="1" x14ac:dyDescent="0.25">
      <c r="A424" s="24"/>
      <c r="B424" s="24"/>
      <c r="C424" s="25"/>
      <c r="D424" s="25"/>
      <c r="E424" s="25"/>
      <c r="F424" s="25"/>
      <c r="G424" s="26"/>
      <c r="H424" s="27"/>
      <c r="I424" s="24"/>
      <c r="J424" s="24"/>
      <c r="K424" s="28"/>
      <c r="L424" s="29"/>
      <c r="M424" s="29"/>
      <c r="N424" s="29"/>
      <c r="O424" s="27"/>
      <c r="P424" s="30"/>
      <c r="Q424" s="31"/>
      <c r="R424" s="31"/>
      <c r="S424" s="32"/>
      <c r="T424" s="32"/>
      <c r="U424" s="32"/>
      <c r="V424" s="32"/>
      <c r="W424" s="32"/>
      <c r="X424" s="32"/>
      <c r="Y424" s="32"/>
      <c r="Z424" s="32"/>
      <c r="AA424" s="32"/>
      <c r="AB424" s="32"/>
    </row>
    <row r="425" spans="1:28" ht="15.6" customHeight="1" x14ac:dyDescent="0.25">
      <c r="A425" s="24"/>
      <c r="B425" s="24"/>
      <c r="C425" s="25"/>
      <c r="D425" s="25"/>
      <c r="E425" s="25"/>
      <c r="F425" s="25"/>
      <c r="G425" s="26"/>
      <c r="H425" s="27"/>
      <c r="I425" s="24"/>
      <c r="J425" s="24"/>
      <c r="K425" s="28"/>
      <c r="L425" s="29"/>
      <c r="M425" s="29"/>
      <c r="N425" s="29"/>
      <c r="O425" s="27"/>
      <c r="P425" s="30"/>
      <c r="Q425" s="31"/>
      <c r="R425" s="31"/>
      <c r="S425" s="32"/>
      <c r="T425" s="32"/>
      <c r="U425" s="32"/>
      <c r="V425" s="32"/>
      <c r="W425" s="32"/>
      <c r="X425" s="32"/>
      <c r="Y425" s="32"/>
      <c r="Z425" s="32"/>
      <c r="AA425" s="32"/>
      <c r="AB425" s="32"/>
    </row>
    <row r="426" spans="1:28" ht="15.6" customHeight="1" x14ac:dyDescent="0.25">
      <c r="A426" s="24"/>
      <c r="B426" s="24"/>
      <c r="C426" s="25"/>
      <c r="D426" s="25"/>
      <c r="E426" s="25"/>
      <c r="F426" s="25"/>
      <c r="G426" s="26"/>
      <c r="H426" s="27"/>
      <c r="I426" s="24"/>
      <c r="J426" s="24"/>
      <c r="K426" s="28"/>
      <c r="L426" s="29"/>
      <c r="M426" s="29"/>
      <c r="N426" s="29"/>
      <c r="O426" s="27"/>
      <c r="P426" s="30"/>
      <c r="Q426" s="31"/>
      <c r="R426" s="31"/>
      <c r="S426" s="32"/>
      <c r="T426" s="32"/>
      <c r="U426" s="32"/>
      <c r="V426" s="32"/>
      <c r="W426" s="32"/>
      <c r="X426" s="32"/>
      <c r="Y426" s="32"/>
      <c r="Z426" s="32"/>
      <c r="AA426" s="32"/>
      <c r="AB426" s="32"/>
    </row>
    <row r="427" spans="1:28" ht="15.6" customHeight="1" x14ac:dyDescent="0.25">
      <c r="A427" s="24"/>
      <c r="B427" s="24"/>
      <c r="C427" s="25"/>
      <c r="D427" s="25"/>
      <c r="E427" s="25"/>
      <c r="F427" s="25"/>
      <c r="G427" s="26"/>
      <c r="H427" s="27"/>
      <c r="I427" s="24"/>
      <c r="J427" s="24"/>
      <c r="K427" s="28"/>
      <c r="L427" s="29"/>
      <c r="M427" s="29"/>
      <c r="N427" s="29"/>
      <c r="O427" s="27"/>
      <c r="P427" s="30"/>
      <c r="Q427" s="31"/>
      <c r="R427" s="31"/>
      <c r="S427" s="32"/>
      <c r="T427" s="32"/>
      <c r="U427" s="32"/>
      <c r="V427" s="32"/>
      <c r="W427" s="32"/>
      <c r="X427" s="32"/>
      <c r="Y427" s="32"/>
      <c r="Z427" s="32"/>
      <c r="AA427" s="32"/>
      <c r="AB427" s="32"/>
    </row>
    <row r="428" spans="1:28" ht="15.6" customHeight="1" x14ac:dyDescent="0.25">
      <c r="A428" s="24"/>
      <c r="B428" s="24"/>
      <c r="C428" s="25"/>
      <c r="D428" s="25"/>
      <c r="E428" s="25"/>
      <c r="F428" s="25"/>
      <c r="G428" s="26"/>
      <c r="H428" s="27"/>
      <c r="I428" s="24"/>
      <c r="J428" s="24"/>
      <c r="K428" s="28"/>
      <c r="L428" s="29"/>
      <c r="M428" s="29"/>
      <c r="N428" s="29"/>
      <c r="O428" s="27"/>
      <c r="P428" s="30"/>
      <c r="Q428" s="31"/>
      <c r="R428" s="31"/>
      <c r="S428" s="32"/>
      <c r="T428" s="32"/>
      <c r="U428" s="32"/>
      <c r="V428" s="32"/>
      <c r="W428" s="32"/>
      <c r="X428" s="32"/>
      <c r="Y428" s="32"/>
      <c r="Z428" s="32"/>
      <c r="AA428" s="32"/>
      <c r="AB428" s="32"/>
    </row>
    <row r="429" spans="1:28" ht="15.6" customHeight="1" x14ac:dyDescent="0.25">
      <c r="A429" s="24"/>
      <c r="B429" s="24"/>
      <c r="C429" s="25"/>
      <c r="D429" s="25"/>
      <c r="E429" s="25"/>
      <c r="F429" s="25"/>
      <c r="G429" s="26"/>
      <c r="H429" s="27"/>
      <c r="I429" s="24"/>
      <c r="J429" s="24"/>
      <c r="K429" s="28"/>
      <c r="L429" s="29"/>
      <c r="M429" s="29"/>
      <c r="N429" s="29"/>
      <c r="O429" s="27"/>
      <c r="P429" s="30"/>
      <c r="Q429" s="31"/>
      <c r="R429" s="31"/>
      <c r="S429" s="32"/>
      <c r="T429" s="32"/>
      <c r="U429" s="32"/>
      <c r="V429" s="32"/>
      <c r="W429" s="32"/>
      <c r="X429" s="32"/>
      <c r="Y429" s="32"/>
      <c r="Z429" s="32"/>
      <c r="AA429" s="32"/>
      <c r="AB429" s="32"/>
    </row>
    <row r="430" spans="1:28" ht="15.6" customHeight="1" x14ac:dyDescent="0.25">
      <c r="A430" s="24"/>
      <c r="B430" s="24"/>
      <c r="C430" s="25"/>
      <c r="D430" s="25"/>
      <c r="E430" s="25"/>
      <c r="F430" s="25"/>
      <c r="G430" s="26"/>
      <c r="H430" s="27"/>
      <c r="I430" s="24"/>
      <c r="J430" s="24"/>
      <c r="K430" s="28"/>
      <c r="L430" s="29"/>
      <c r="M430" s="29"/>
      <c r="N430" s="29"/>
      <c r="O430" s="27"/>
      <c r="P430" s="30"/>
      <c r="Q430" s="31"/>
      <c r="R430" s="31"/>
      <c r="S430" s="32"/>
      <c r="T430" s="32"/>
      <c r="U430" s="32"/>
      <c r="V430" s="32"/>
      <c r="W430" s="32"/>
      <c r="X430" s="32"/>
      <c r="Y430" s="32"/>
      <c r="Z430" s="32"/>
      <c r="AA430" s="32"/>
      <c r="AB430" s="32"/>
    </row>
    <row r="431" spans="1:28" ht="15.6" customHeight="1" x14ac:dyDescent="0.25">
      <c r="A431" s="24"/>
      <c r="B431" s="24"/>
      <c r="C431" s="25"/>
      <c r="D431" s="25"/>
      <c r="E431" s="25"/>
      <c r="F431" s="25"/>
      <c r="G431" s="26"/>
      <c r="H431" s="27"/>
      <c r="I431" s="24"/>
      <c r="J431" s="24"/>
      <c r="K431" s="28"/>
      <c r="L431" s="29"/>
      <c r="M431" s="29"/>
      <c r="N431" s="29"/>
      <c r="O431" s="27"/>
      <c r="P431" s="30"/>
      <c r="Q431" s="31"/>
      <c r="R431" s="31"/>
      <c r="S431" s="32"/>
      <c r="T431" s="32"/>
      <c r="U431" s="32"/>
      <c r="V431" s="32"/>
      <c r="W431" s="32"/>
      <c r="X431" s="32"/>
      <c r="Y431" s="32"/>
      <c r="Z431" s="32"/>
      <c r="AA431" s="32"/>
      <c r="AB431" s="32"/>
    </row>
    <row r="432" spans="1:28" ht="15.6" customHeight="1" x14ac:dyDescent="0.25">
      <c r="A432" s="24"/>
      <c r="B432" s="24"/>
      <c r="C432" s="25"/>
      <c r="D432" s="25"/>
      <c r="E432" s="25"/>
      <c r="F432" s="25"/>
      <c r="G432" s="26"/>
      <c r="H432" s="27"/>
      <c r="I432" s="24"/>
      <c r="J432" s="24"/>
      <c r="K432" s="28"/>
      <c r="L432" s="29"/>
      <c r="M432" s="29"/>
      <c r="N432" s="29"/>
      <c r="O432" s="27"/>
      <c r="P432" s="30"/>
      <c r="Q432" s="31"/>
      <c r="R432" s="31"/>
      <c r="S432" s="32"/>
      <c r="T432" s="32"/>
      <c r="U432" s="32"/>
      <c r="V432" s="32"/>
      <c r="W432" s="32"/>
      <c r="X432" s="32"/>
      <c r="Y432" s="32"/>
      <c r="Z432" s="32"/>
      <c r="AA432" s="32"/>
      <c r="AB432" s="32"/>
    </row>
    <row r="433" spans="1:28" ht="15.6" customHeight="1" x14ac:dyDescent="0.25">
      <c r="A433" s="24"/>
      <c r="B433" s="24"/>
      <c r="C433" s="25"/>
      <c r="D433" s="25"/>
      <c r="E433" s="25"/>
      <c r="F433" s="25"/>
      <c r="G433" s="26"/>
      <c r="H433" s="27"/>
      <c r="I433" s="24"/>
      <c r="J433" s="24"/>
      <c r="K433" s="28"/>
      <c r="L433" s="29"/>
      <c r="M433" s="29"/>
      <c r="N433" s="29"/>
      <c r="O433" s="27"/>
      <c r="P433" s="30"/>
      <c r="Q433" s="31"/>
      <c r="R433" s="31"/>
      <c r="S433" s="32"/>
      <c r="T433" s="32"/>
      <c r="U433" s="32"/>
      <c r="V433" s="32"/>
      <c r="W433" s="32"/>
      <c r="X433" s="32"/>
      <c r="Y433" s="32"/>
      <c r="Z433" s="32"/>
      <c r="AA433" s="32"/>
      <c r="AB433" s="32"/>
    </row>
    <row r="434" spans="1:28" ht="15.6" customHeight="1" x14ac:dyDescent="0.25">
      <c r="A434" s="24"/>
      <c r="B434" s="24"/>
      <c r="C434" s="25"/>
      <c r="D434" s="25"/>
      <c r="E434" s="25"/>
      <c r="F434" s="25"/>
      <c r="G434" s="26"/>
      <c r="H434" s="27"/>
      <c r="I434" s="24"/>
      <c r="J434" s="24"/>
      <c r="K434" s="28"/>
      <c r="L434" s="29"/>
      <c r="M434" s="29"/>
      <c r="N434" s="29"/>
      <c r="O434" s="27"/>
      <c r="P434" s="30"/>
      <c r="Q434" s="31"/>
      <c r="R434" s="31"/>
      <c r="S434" s="32"/>
      <c r="T434" s="32"/>
      <c r="U434" s="32"/>
      <c r="V434" s="32"/>
      <c r="W434" s="32"/>
      <c r="X434" s="32"/>
      <c r="Y434" s="32"/>
      <c r="Z434" s="32"/>
      <c r="AA434" s="32"/>
      <c r="AB434" s="32"/>
    </row>
    <row r="435" spans="1:28" ht="15.6" customHeight="1" x14ac:dyDescent="0.25">
      <c r="A435" s="24"/>
      <c r="B435" s="24"/>
      <c r="C435" s="25"/>
      <c r="D435" s="25"/>
      <c r="E435" s="25"/>
      <c r="F435" s="25"/>
      <c r="G435" s="26"/>
      <c r="H435" s="27"/>
      <c r="I435" s="24"/>
      <c r="J435" s="24"/>
      <c r="K435" s="28"/>
      <c r="L435" s="29"/>
      <c r="M435" s="29"/>
      <c r="N435" s="29"/>
      <c r="O435" s="27"/>
      <c r="P435" s="30"/>
      <c r="Q435" s="31"/>
      <c r="R435" s="31"/>
      <c r="S435" s="32"/>
      <c r="T435" s="32"/>
      <c r="U435" s="32"/>
      <c r="V435" s="32"/>
      <c r="W435" s="32"/>
      <c r="X435" s="32"/>
      <c r="Y435" s="32"/>
      <c r="Z435" s="32"/>
      <c r="AA435" s="32"/>
      <c r="AB435" s="32"/>
    </row>
    <row r="436" spans="1:28" ht="15.6" customHeight="1" x14ac:dyDescent="0.25">
      <c r="A436" s="24"/>
      <c r="B436" s="24"/>
      <c r="C436" s="25"/>
      <c r="D436" s="25"/>
      <c r="E436" s="25"/>
      <c r="F436" s="25"/>
      <c r="G436" s="26"/>
      <c r="H436" s="27"/>
      <c r="I436" s="24"/>
      <c r="J436" s="24"/>
      <c r="K436" s="28"/>
      <c r="L436" s="29"/>
      <c r="M436" s="29"/>
      <c r="N436" s="29"/>
      <c r="O436" s="27"/>
      <c r="P436" s="30"/>
      <c r="Q436" s="31"/>
      <c r="R436" s="31"/>
      <c r="S436" s="32"/>
      <c r="T436" s="32"/>
      <c r="U436" s="32"/>
      <c r="V436" s="32"/>
      <c r="W436" s="32"/>
      <c r="X436" s="32"/>
      <c r="Y436" s="32"/>
      <c r="Z436" s="32"/>
      <c r="AA436" s="32"/>
      <c r="AB436" s="32"/>
    </row>
    <row r="437" spans="1:28" ht="15.6" customHeight="1" x14ac:dyDescent="0.25">
      <c r="A437" s="24"/>
      <c r="B437" s="24"/>
      <c r="C437" s="25"/>
      <c r="D437" s="25"/>
      <c r="E437" s="25"/>
      <c r="F437" s="25"/>
      <c r="G437" s="26"/>
      <c r="H437" s="27"/>
      <c r="I437" s="24"/>
      <c r="J437" s="24"/>
      <c r="K437" s="28"/>
      <c r="L437" s="29"/>
      <c r="M437" s="29"/>
      <c r="N437" s="29"/>
      <c r="O437" s="27"/>
      <c r="P437" s="30"/>
      <c r="Q437" s="31"/>
      <c r="R437" s="31"/>
      <c r="S437" s="32"/>
      <c r="T437" s="32"/>
      <c r="U437" s="32"/>
      <c r="V437" s="32"/>
      <c r="W437" s="32"/>
      <c r="X437" s="32"/>
      <c r="Y437" s="32"/>
      <c r="Z437" s="32"/>
      <c r="AA437" s="32"/>
      <c r="AB437" s="32"/>
    </row>
    <row r="438" spans="1:28" ht="15.6" customHeight="1" x14ac:dyDescent="0.25">
      <c r="A438" s="24"/>
      <c r="B438" s="24"/>
      <c r="C438" s="25"/>
      <c r="D438" s="25"/>
      <c r="E438" s="25"/>
      <c r="F438" s="25"/>
      <c r="G438" s="26"/>
      <c r="H438" s="27"/>
      <c r="I438" s="24"/>
      <c r="J438" s="24"/>
      <c r="K438" s="28"/>
      <c r="L438" s="29"/>
      <c r="M438" s="29"/>
      <c r="N438" s="29"/>
      <c r="O438" s="27"/>
      <c r="P438" s="30"/>
      <c r="Q438" s="31"/>
      <c r="R438" s="31"/>
      <c r="S438" s="32"/>
      <c r="T438" s="32"/>
      <c r="U438" s="32"/>
      <c r="V438" s="32"/>
      <c r="W438" s="32"/>
      <c r="X438" s="32"/>
      <c r="Y438" s="32"/>
      <c r="Z438" s="32"/>
      <c r="AA438" s="32"/>
      <c r="AB438" s="32"/>
    </row>
    <row r="439" spans="1:28" ht="15.6" customHeight="1" x14ac:dyDescent="0.25">
      <c r="A439" s="24"/>
      <c r="B439" s="24"/>
      <c r="C439" s="25"/>
      <c r="D439" s="25"/>
      <c r="E439" s="25"/>
      <c r="F439" s="25"/>
      <c r="G439" s="26"/>
      <c r="H439" s="27"/>
      <c r="I439" s="24"/>
      <c r="J439" s="24"/>
      <c r="K439" s="28"/>
      <c r="L439" s="29"/>
      <c r="M439" s="29"/>
      <c r="N439" s="29"/>
      <c r="O439" s="27"/>
      <c r="P439" s="30"/>
      <c r="Q439" s="31"/>
      <c r="R439" s="31"/>
      <c r="S439" s="32"/>
      <c r="T439" s="32"/>
      <c r="U439" s="32"/>
      <c r="V439" s="32"/>
      <c r="W439" s="32"/>
      <c r="X439" s="32"/>
      <c r="Y439" s="32"/>
      <c r="Z439" s="32"/>
      <c r="AA439" s="32"/>
      <c r="AB439" s="32"/>
    </row>
    <row r="440" spans="1:28" ht="15.6" customHeight="1" x14ac:dyDescent="0.25">
      <c r="A440" s="24"/>
      <c r="B440" s="24"/>
      <c r="C440" s="25"/>
      <c r="D440" s="25"/>
      <c r="E440" s="25"/>
      <c r="F440" s="25"/>
      <c r="G440" s="26"/>
      <c r="H440" s="27"/>
      <c r="I440" s="24"/>
      <c r="J440" s="24"/>
      <c r="K440" s="28"/>
      <c r="L440" s="29"/>
      <c r="M440" s="29"/>
      <c r="N440" s="29"/>
      <c r="O440" s="27"/>
      <c r="P440" s="30"/>
      <c r="Q440" s="31"/>
      <c r="R440" s="31"/>
      <c r="S440" s="32"/>
      <c r="T440" s="32"/>
      <c r="U440" s="32"/>
      <c r="V440" s="32"/>
      <c r="W440" s="32"/>
      <c r="X440" s="32"/>
      <c r="Y440" s="32"/>
      <c r="Z440" s="32"/>
      <c r="AA440" s="32"/>
      <c r="AB440" s="32"/>
    </row>
    <row r="441" spans="1:28" ht="15.6" customHeight="1" x14ac:dyDescent="0.25">
      <c r="A441" s="24"/>
      <c r="B441" s="24"/>
      <c r="C441" s="25"/>
      <c r="D441" s="25"/>
      <c r="E441" s="25"/>
      <c r="F441" s="25"/>
      <c r="G441" s="26"/>
      <c r="H441" s="27"/>
      <c r="I441" s="24"/>
      <c r="J441" s="24"/>
      <c r="K441" s="28"/>
      <c r="L441" s="29"/>
      <c r="M441" s="29"/>
      <c r="N441" s="29"/>
      <c r="O441" s="27"/>
      <c r="P441" s="30"/>
      <c r="Q441" s="31"/>
      <c r="R441" s="31"/>
      <c r="S441" s="32"/>
      <c r="T441" s="32"/>
      <c r="U441" s="32"/>
      <c r="V441" s="32"/>
      <c r="W441" s="32"/>
      <c r="X441" s="32"/>
      <c r="Y441" s="32"/>
      <c r="Z441" s="32"/>
      <c r="AA441" s="32"/>
      <c r="AB441" s="32"/>
    </row>
    <row r="442" spans="1:28" ht="15.6" customHeight="1" x14ac:dyDescent="0.25">
      <c r="A442" s="24"/>
      <c r="B442" s="24"/>
      <c r="C442" s="25"/>
      <c r="D442" s="25"/>
      <c r="E442" s="25"/>
      <c r="F442" s="25"/>
      <c r="G442" s="26"/>
      <c r="H442" s="27"/>
      <c r="I442" s="24"/>
      <c r="J442" s="24"/>
      <c r="K442" s="28"/>
      <c r="L442" s="29"/>
      <c r="M442" s="29"/>
      <c r="N442" s="29"/>
      <c r="O442" s="27"/>
      <c r="P442" s="30"/>
      <c r="Q442" s="31"/>
      <c r="R442" s="31"/>
      <c r="S442" s="32"/>
      <c r="T442" s="32"/>
      <c r="U442" s="32"/>
      <c r="V442" s="32"/>
      <c r="W442" s="32"/>
      <c r="X442" s="32"/>
      <c r="Y442" s="32"/>
      <c r="Z442" s="32"/>
      <c r="AA442" s="32"/>
      <c r="AB442" s="32"/>
    </row>
    <row r="443" spans="1:28" ht="15.6" customHeight="1" x14ac:dyDescent="0.25">
      <c r="A443" s="24"/>
      <c r="B443" s="24"/>
      <c r="C443" s="25"/>
      <c r="D443" s="25"/>
      <c r="E443" s="25"/>
      <c r="F443" s="25"/>
      <c r="G443" s="26"/>
      <c r="H443" s="27"/>
      <c r="I443" s="24"/>
      <c r="J443" s="24"/>
      <c r="K443" s="28"/>
      <c r="L443" s="29"/>
      <c r="M443" s="29"/>
      <c r="N443" s="29"/>
      <c r="O443" s="27"/>
      <c r="P443" s="30"/>
      <c r="Q443" s="31"/>
      <c r="R443" s="31"/>
      <c r="S443" s="32"/>
      <c r="T443" s="32"/>
      <c r="U443" s="32"/>
      <c r="V443" s="32"/>
      <c r="W443" s="32"/>
      <c r="X443" s="32"/>
      <c r="Y443" s="32"/>
      <c r="Z443" s="32"/>
      <c r="AA443" s="32"/>
      <c r="AB443" s="32"/>
    </row>
    <row r="444" spans="1:28" ht="15.6" customHeight="1" x14ac:dyDescent="0.25">
      <c r="A444" s="24"/>
      <c r="B444" s="24"/>
      <c r="C444" s="25"/>
      <c r="D444" s="25"/>
      <c r="E444" s="25"/>
      <c r="F444" s="25"/>
      <c r="G444" s="26"/>
      <c r="H444" s="27"/>
      <c r="I444" s="24"/>
      <c r="J444" s="24"/>
      <c r="K444" s="28"/>
      <c r="L444" s="29"/>
      <c r="M444" s="29"/>
      <c r="N444" s="29"/>
      <c r="O444" s="27"/>
      <c r="P444" s="30"/>
      <c r="Q444" s="31"/>
      <c r="R444" s="31"/>
      <c r="S444" s="32"/>
      <c r="T444" s="32"/>
      <c r="U444" s="32"/>
      <c r="V444" s="32"/>
      <c r="W444" s="32"/>
      <c r="X444" s="32"/>
      <c r="Y444" s="32"/>
      <c r="Z444" s="32"/>
      <c r="AA444" s="32"/>
      <c r="AB444" s="32"/>
    </row>
    <row r="445" spans="1:28" ht="15.6" customHeight="1" x14ac:dyDescent="0.25">
      <c r="A445" s="24"/>
      <c r="B445" s="24"/>
      <c r="C445" s="25"/>
      <c r="D445" s="25"/>
      <c r="E445" s="25"/>
      <c r="F445" s="25"/>
      <c r="G445" s="26"/>
      <c r="H445" s="27"/>
      <c r="I445" s="24"/>
      <c r="J445" s="24"/>
      <c r="K445" s="28"/>
      <c r="L445" s="29"/>
      <c r="M445" s="29"/>
      <c r="N445" s="29"/>
      <c r="O445" s="27"/>
      <c r="P445" s="30"/>
      <c r="Q445" s="31"/>
      <c r="R445" s="31"/>
      <c r="S445" s="32"/>
      <c r="T445" s="32"/>
      <c r="U445" s="32"/>
      <c r="V445" s="32"/>
      <c r="W445" s="32"/>
      <c r="X445" s="32"/>
      <c r="Y445" s="32"/>
      <c r="Z445" s="32"/>
      <c r="AA445" s="32"/>
      <c r="AB445" s="32"/>
    </row>
    <row r="446" spans="1:28" ht="15.6" customHeight="1" x14ac:dyDescent="0.25">
      <c r="A446" s="24"/>
      <c r="B446" s="24"/>
      <c r="C446" s="25"/>
      <c r="D446" s="25"/>
      <c r="E446" s="25"/>
      <c r="F446" s="25"/>
      <c r="G446" s="26"/>
      <c r="H446" s="27"/>
      <c r="I446" s="24"/>
      <c r="J446" s="24"/>
      <c r="K446" s="28"/>
      <c r="L446" s="29"/>
      <c r="M446" s="29"/>
      <c r="N446" s="29"/>
      <c r="O446" s="27"/>
      <c r="P446" s="30"/>
      <c r="Q446" s="31"/>
      <c r="R446" s="31"/>
      <c r="S446" s="32"/>
      <c r="T446" s="32"/>
      <c r="U446" s="32"/>
      <c r="V446" s="32"/>
      <c r="W446" s="32"/>
      <c r="X446" s="32"/>
      <c r="Y446" s="32"/>
      <c r="Z446" s="32"/>
      <c r="AA446" s="32"/>
      <c r="AB446" s="32"/>
    </row>
    <row r="447" spans="1:28" ht="15.6" customHeight="1" x14ac:dyDescent="0.25">
      <c r="A447" s="24"/>
      <c r="B447" s="24"/>
      <c r="C447" s="25"/>
      <c r="D447" s="25"/>
      <c r="E447" s="25"/>
      <c r="F447" s="25"/>
      <c r="G447" s="26"/>
      <c r="H447" s="27"/>
      <c r="I447" s="24"/>
      <c r="J447" s="24"/>
      <c r="K447" s="28"/>
      <c r="L447" s="29"/>
      <c r="M447" s="29"/>
      <c r="N447" s="29"/>
      <c r="O447" s="27"/>
      <c r="P447" s="30"/>
      <c r="Q447" s="31"/>
      <c r="R447" s="31"/>
      <c r="S447" s="32"/>
      <c r="T447" s="32"/>
      <c r="U447" s="32"/>
      <c r="V447" s="32"/>
      <c r="W447" s="32"/>
      <c r="X447" s="32"/>
      <c r="Y447" s="32"/>
      <c r="Z447" s="32"/>
      <c r="AA447" s="32"/>
      <c r="AB447" s="32"/>
    </row>
    <row r="448" spans="1:28" ht="15.6" customHeight="1" x14ac:dyDescent="0.25">
      <c r="A448" s="24"/>
      <c r="B448" s="24"/>
      <c r="C448" s="25"/>
      <c r="D448" s="25"/>
      <c r="E448" s="25"/>
      <c r="F448" s="25"/>
      <c r="G448" s="26"/>
      <c r="H448" s="27"/>
      <c r="I448" s="24"/>
      <c r="J448" s="24"/>
      <c r="K448" s="28"/>
      <c r="L448" s="29"/>
      <c r="M448" s="29"/>
      <c r="N448" s="29"/>
      <c r="O448" s="27"/>
      <c r="P448" s="30"/>
      <c r="Q448" s="31"/>
      <c r="R448" s="31"/>
      <c r="S448" s="32"/>
      <c r="T448" s="32"/>
      <c r="U448" s="32"/>
      <c r="V448" s="32"/>
      <c r="W448" s="32"/>
      <c r="X448" s="32"/>
      <c r="Y448" s="32"/>
      <c r="Z448" s="32"/>
      <c r="AA448" s="32"/>
      <c r="AB448" s="32"/>
    </row>
    <row r="449" spans="1:28" ht="15.6" customHeight="1" x14ac:dyDescent="0.25">
      <c r="A449" s="24"/>
      <c r="B449" s="24"/>
      <c r="C449" s="25"/>
      <c r="D449" s="25"/>
      <c r="E449" s="25"/>
      <c r="F449" s="25"/>
      <c r="G449" s="26"/>
      <c r="H449" s="27"/>
      <c r="I449" s="24"/>
      <c r="J449" s="24"/>
      <c r="K449" s="28"/>
      <c r="L449" s="29"/>
      <c r="M449" s="29"/>
      <c r="N449" s="29"/>
      <c r="O449" s="27"/>
      <c r="P449" s="30"/>
      <c r="Q449" s="31"/>
      <c r="R449" s="31"/>
      <c r="S449" s="32"/>
      <c r="T449" s="32"/>
      <c r="U449" s="32"/>
      <c r="V449" s="32"/>
      <c r="W449" s="32"/>
      <c r="X449" s="32"/>
      <c r="Y449" s="32"/>
      <c r="Z449" s="32"/>
      <c r="AA449" s="32"/>
      <c r="AB449" s="32"/>
    </row>
    <row r="450" spans="1:28" ht="15.6" customHeight="1" x14ac:dyDescent="0.25">
      <c r="A450" s="24"/>
      <c r="B450" s="24"/>
      <c r="C450" s="25"/>
      <c r="D450" s="25"/>
      <c r="E450" s="25"/>
      <c r="F450" s="25"/>
      <c r="G450" s="26"/>
      <c r="H450" s="27"/>
      <c r="I450" s="24"/>
      <c r="J450" s="24"/>
      <c r="K450" s="28"/>
      <c r="L450" s="29"/>
      <c r="M450" s="29"/>
      <c r="N450" s="29"/>
      <c r="O450" s="27"/>
      <c r="P450" s="30"/>
      <c r="Q450" s="31"/>
      <c r="R450" s="31"/>
      <c r="S450" s="32"/>
      <c r="T450" s="32"/>
      <c r="U450" s="32"/>
      <c r="V450" s="32"/>
      <c r="W450" s="32"/>
      <c r="X450" s="32"/>
      <c r="Y450" s="32"/>
      <c r="Z450" s="32"/>
      <c r="AA450" s="32"/>
      <c r="AB450" s="32"/>
    </row>
    <row r="451" spans="1:28" ht="15.6" customHeight="1" x14ac:dyDescent="0.25">
      <c r="A451" s="24"/>
      <c r="B451" s="24"/>
      <c r="C451" s="25"/>
      <c r="D451" s="25"/>
      <c r="E451" s="25"/>
      <c r="F451" s="25"/>
      <c r="G451" s="26"/>
      <c r="H451" s="27"/>
      <c r="I451" s="24"/>
      <c r="J451" s="24"/>
      <c r="K451" s="28"/>
      <c r="L451" s="29"/>
      <c r="M451" s="29"/>
      <c r="N451" s="29"/>
      <c r="O451" s="27"/>
      <c r="P451" s="30"/>
      <c r="Q451" s="31"/>
      <c r="R451" s="31"/>
      <c r="S451" s="32"/>
      <c r="T451" s="32"/>
      <c r="U451" s="32"/>
      <c r="V451" s="32"/>
      <c r="W451" s="32"/>
      <c r="X451" s="32"/>
      <c r="Y451" s="32"/>
      <c r="Z451" s="32"/>
      <c r="AA451" s="32"/>
      <c r="AB451" s="32"/>
    </row>
    <row r="452" spans="1:28" ht="15.6" customHeight="1" x14ac:dyDescent="0.25">
      <c r="A452" s="24"/>
      <c r="B452" s="24"/>
      <c r="C452" s="25"/>
      <c r="D452" s="25"/>
      <c r="E452" s="25"/>
      <c r="F452" s="25"/>
      <c r="G452" s="26"/>
      <c r="H452" s="27"/>
      <c r="I452" s="24"/>
      <c r="J452" s="24"/>
      <c r="K452" s="28"/>
      <c r="L452" s="29"/>
      <c r="M452" s="29"/>
      <c r="N452" s="29"/>
      <c r="O452" s="27"/>
      <c r="P452" s="30"/>
      <c r="Q452" s="31"/>
      <c r="R452" s="31"/>
      <c r="S452" s="32"/>
      <c r="T452" s="32"/>
      <c r="U452" s="32"/>
      <c r="V452" s="32"/>
      <c r="W452" s="32"/>
      <c r="X452" s="32"/>
      <c r="Y452" s="32"/>
      <c r="Z452" s="32"/>
      <c r="AA452" s="32"/>
      <c r="AB452" s="32"/>
    </row>
    <row r="453" spans="1:28" ht="15.6" customHeight="1" x14ac:dyDescent="0.25">
      <c r="A453" s="24"/>
      <c r="B453" s="24"/>
      <c r="C453" s="25"/>
      <c r="D453" s="25"/>
      <c r="E453" s="25"/>
      <c r="F453" s="25"/>
      <c r="G453" s="26"/>
      <c r="H453" s="27"/>
      <c r="I453" s="24"/>
      <c r="J453" s="24"/>
      <c r="K453" s="28"/>
      <c r="L453" s="29"/>
      <c r="M453" s="29"/>
      <c r="N453" s="29"/>
      <c r="O453" s="27"/>
      <c r="P453" s="30"/>
      <c r="Q453" s="31"/>
      <c r="R453" s="31"/>
      <c r="S453" s="32"/>
      <c r="T453" s="32"/>
      <c r="U453" s="32"/>
      <c r="V453" s="32"/>
      <c r="W453" s="32"/>
      <c r="X453" s="32"/>
      <c r="Y453" s="32"/>
      <c r="Z453" s="32"/>
      <c r="AA453" s="32"/>
      <c r="AB453" s="32"/>
    </row>
    <row r="454" spans="1:28" ht="15.6" customHeight="1" x14ac:dyDescent="0.25">
      <c r="A454" s="24"/>
      <c r="B454" s="24"/>
      <c r="C454" s="25"/>
      <c r="D454" s="25"/>
      <c r="E454" s="25"/>
      <c r="F454" s="25"/>
      <c r="G454" s="26"/>
      <c r="H454" s="27"/>
      <c r="I454" s="24"/>
      <c r="J454" s="24"/>
      <c r="K454" s="28"/>
      <c r="L454" s="29"/>
      <c r="M454" s="29"/>
      <c r="N454" s="29"/>
      <c r="O454" s="27"/>
      <c r="P454" s="30"/>
      <c r="Q454" s="31"/>
      <c r="R454" s="31"/>
      <c r="S454" s="32"/>
      <c r="T454" s="32"/>
      <c r="U454" s="32"/>
      <c r="V454" s="32"/>
      <c r="W454" s="32"/>
      <c r="X454" s="32"/>
      <c r="Y454" s="32"/>
      <c r="Z454" s="32"/>
      <c r="AA454" s="32"/>
      <c r="AB454" s="32"/>
    </row>
    <row r="455" spans="1:28" ht="15.6" customHeight="1" x14ac:dyDescent="0.25">
      <c r="A455" s="24"/>
      <c r="B455" s="24"/>
      <c r="C455" s="25"/>
      <c r="D455" s="25"/>
      <c r="E455" s="25"/>
      <c r="F455" s="25"/>
      <c r="G455" s="26"/>
      <c r="H455" s="27"/>
      <c r="I455" s="24"/>
      <c r="J455" s="24"/>
      <c r="K455" s="28"/>
      <c r="L455" s="29"/>
      <c r="M455" s="29"/>
      <c r="N455" s="29"/>
      <c r="O455" s="27"/>
      <c r="P455" s="30"/>
      <c r="Q455" s="31"/>
      <c r="R455" s="31"/>
      <c r="S455" s="32"/>
      <c r="T455" s="32"/>
      <c r="U455" s="32"/>
      <c r="V455" s="32"/>
      <c r="W455" s="32"/>
      <c r="X455" s="32"/>
      <c r="Y455" s="32"/>
      <c r="Z455" s="32"/>
      <c r="AA455" s="32"/>
      <c r="AB455" s="32"/>
    </row>
    <row r="456" spans="1:28" ht="15.6" customHeight="1" x14ac:dyDescent="0.25">
      <c r="A456" s="24"/>
      <c r="B456" s="24"/>
      <c r="C456" s="25"/>
      <c r="D456" s="25"/>
      <c r="E456" s="25"/>
      <c r="F456" s="25"/>
      <c r="G456" s="26"/>
      <c r="H456" s="27"/>
      <c r="I456" s="24"/>
      <c r="J456" s="24"/>
      <c r="K456" s="28"/>
      <c r="L456" s="29"/>
      <c r="M456" s="29"/>
      <c r="N456" s="29"/>
      <c r="O456" s="27"/>
      <c r="P456" s="30"/>
      <c r="Q456" s="31"/>
      <c r="R456" s="31"/>
      <c r="S456" s="32"/>
      <c r="T456" s="32"/>
      <c r="U456" s="32"/>
      <c r="V456" s="32"/>
      <c r="W456" s="32"/>
      <c r="X456" s="32"/>
      <c r="Y456" s="32"/>
      <c r="Z456" s="32"/>
      <c r="AA456" s="32"/>
      <c r="AB456" s="32"/>
    </row>
    <row r="457" spans="1:28" ht="15.6" customHeight="1" x14ac:dyDescent="0.25">
      <c r="A457" s="24"/>
      <c r="B457" s="24"/>
      <c r="C457" s="25"/>
      <c r="D457" s="25"/>
      <c r="E457" s="25"/>
      <c r="F457" s="25"/>
      <c r="G457" s="26"/>
      <c r="H457" s="27"/>
      <c r="I457" s="24"/>
      <c r="J457" s="24"/>
      <c r="K457" s="28"/>
      <c r="L457" s="29"/>
      <c r="M457" s="29"/>
      <c r="N457" s="29"/>
      <c r="O457" s="27"/>
      <c r="P457" s="30"/>
      <c r="Q457" s="31"/>
      <c r="R457" s="31"/>
      <c r="S457" s="32"/>
      <c r="T457" s="32"/>
      <c r="U457" s="32"/>
      <c r="V457" s="32"/>
      <c r="W457" s="32"/>
      <c r="X457" s="32"/>
      <c r="Y457" s="32"/>
      <c r="Z457" s="32"/>
      <c r="AA457" s="32"/>
      <c r="AB457" s="32"/>
    </row>
    <row r="458" spans="1:28" ht="15.6" customHeight="1" x14ac:dyDescent="0.25">
      <c r="A458" s="24"/>
      <c r="B458" s="24"/>
      <c r="C458" s="25"/>
      <c r="D458" s="25"/>
      <c r="E458" s="25"/>
      <c r="F458" s="25"/>
      <c r="G458" s="26"/>
      <c r="H458" s="27"/>
      <c r="I458" s="24"/>
      <c r="J458" s="24"/>
      <c r="K458" s="28"/>
      <c r="L458" s="29"/>
      <c r="M458" s="29"/>
      <c r="N458" s="29"/>
      <c r="O458" s="27"/>
      <c r="P458" s="30"/>
      <c r="Q458" s="31"/>
      <c r="R458" s="31"/>
      <c r="S458" s="32"/>
      <c r="T458" s="32"/>
      <c r="U458" s="32"/>
      <c r="V458" s="32"/>
      <c r="W458" s="32"/>
      <c r="X458" s="32"/>
      <c r="Y458" s="32"/>
      <c r="Z458" s="32"/>
      <c r="AA458" s="32"/>
      <c r="AB458" s="32"/>
    </row>
    <row r="459" spans="1:28" ht="15.6" customHeight="1" x14ac:dyDescent="0.25">
      <c r="A459" s="24"/>
      <c r="B459" s="24"/>
      <c r="C459" s="25"/>
      <c r="D459" s="25"/>
      <c r="E459" s="25"/>
      <c r="F459" s="25"/>
      <c r="G459" s="26"/>
      <c r="H459" s="27"/>
      <c r="I459" s="24"/>
      <c r="J459" s="24"/>
      <c r="K459" s="28"/>
      <c r="L459" s="29"/>
      <c r="M459" s="29"/>
      <c r="N459" s="29"/>
      <c r="O459" s="27"/>
      <c r="P459" s="30"/>
      <c r="Q459" s="31"/>
      <c r="R459" s="31"/>
      <c r="S459" s="32"/>
      <c r="T459" s="32"/>
      <c r="U459" s="32"/>
      <c r="V459" s="32"/>
      <c r="W459" s="32"/>
      <c r="X459" s="32"/>
      <c r="Y459" s="32"/>
      <c r="Z459" s="32"/>
      <c r="AA459" s="32"/>
      <c r="AB459" s="32"/>
    </row>
    <row r="460" spans="1:28" ht="15.6" customHeight="1" x14ac:dyDescent="0.25">
      <c r="A460" s="24"/>
      <c r="B460" s="24"/>
      <c r="C460" s="25"/>
      <c r="D460" s="25"/>
      <c r="E460" s="25"/>
      <c r="F460" s="25"/>
      <c r="G460" s="26"/>
      <c r="H460" s="27"/>
      <c r="I460" s="24"/>
      <c r="J460" s="24"/>
      <c r="K460" s="28"/>
      <c r="L460" s="29"/>
      <c r="M460" s="29"/>
      <c r="N460" s="29"/>
      <c r="O460" s="27"/>
      <c r="P460" s="30"/>
      <c r="Q460" s="31"/>
      <c r="R460" s="31"/>
      <c r="S460" s="32"/>
      <c r="T460" s="32"/>
      <c r="U460" s="32"/>
      <c r="V460" s="32"/>
      <c r="W460" s="32"/>
      <c r="X460" s="32"/>
      <c r="Y460" s="32"/>
      <c r="Z460" s="32"/>
      <c r="AA460" s="32"/>
      <c r="AB460" s="32"/>
    </row>
    <row r="461" spans="1:28" ht="15.6" customHeight="1" x14ac:dyDescent="0.25">
      <c r="A461" s="24"/>
      <c r="B461" s="24"/>
      <c r="C461" s="25"/>
      <c r="D461" s="25"/>
      <c r="E461" s="25"/>
      <c r="F461" s="25"/>
      <c r="G461" s="26"/>
      <c r="H461" s="27"/>
      <c r="I461" s="24"/>
      <c r="J461" s="24"/>
      <c r="K461" s="28"/>
      <c r="L461" s="29"/>
      <c r="M461" s="29"/>
      <c r="N461" s="29"/>
      <c r="O461" s="27"/>
      <c r="P461" s="30"/>
      <c r="Q461" s="31"/>
      <c r="R461" s="31"/>
      <c r="S461" s="32"/>
      <c r="T461" s="32"/>
      <c r="U461" s="32"/>
      <c r="V461" s="32"/>
      <c r="W461" s="32"/>
      <c r="X461" s="32"/>
      <c r="Y461" s="32"/>
      <c r="Z461" s="32"/>
      <c r="AA461" s="32"/>
      <c r="AB461" s="32"/>
    </row>
    <row r="462" spans="1:28" ht="15.6" customHeight="1" x14ac:dyDescent="0.25">
      <c r="A462" s="24"/>
      <c r="B462" s="24"/>
      <c r="C462" s="25"/>
      <c r="D462" s="25"/>
      <c r="E462" s="25"/>
      <c r="F462" s="25"/>
      <c r="G462" s="26"/>
      <c r="H462" s="27"/>
      <c r="I462" s="24"/>
      <c r="J462" s="24"/>
      <c r="K462" s="28"/>
      <c r="L462" s="29"/>
      <c r="M462" s="29"/>
      <c r="N462" s="29"/>
      <c r="O462" s="27"/>
      <c r="P462" s="30"/>
      <c r="Q462" s="31"/>
      <c r="R462" s="31"/>
      <c r="S462" s="32"/>
      <c r="T462" s="32"/>
      <c r="U462" s="32"/>
      <c r="V462" s="32"/>
      <c r="W462" s="32"/>
      <c r="X462" s="32"/>
      <c r="Y462" s="32"/>
      <c r="Z462" s="32"/>
      <c r="AA462" s="32"/>
      <c r="AB462" s="32"/>
    </row>
    <row r="463" spans="1:28" ht="15.6" customHeight="1" x14ac:dyDescent="0.25">
      <c r="A463" s="24"/>
      <c r="B463" s="24"/>
      <c r="C463" s="25"/>
      <c r="D463" s="25"/>
      <c r="E463" s="25"/>
      <c r="F463" s="25"/>
      <c r="G463" s="26"/>
      <c r="H463" s="27"/>
      <c r="I463" s="24"/>
      <c r="J463" s="24"/>
      <c r="K463" s="28"/>
      <c r="L463" s="29"/>
      <c r="M463" s="29"/>
      <c r="N463" s="29"/>
      <c r="O463" s="27"/>
      <c r="P463" s="30"/>
      <c r="Q463" s="31"/>
      <c r="R463" s="31"/>
      <c r="S463" s="32"/>
      <c r="T463" s="32"/>
      <c r="U463" s="32"/>
      <c r="V463" s="32"/>
      <c r="W463" s="32"/>
      <c r="X463" s="32"/>
      <c r="Y463" s="32"/>
      <c r="Z463" s="32"/>
      <c r="AA463" s="32"/>
      <c r="AB463" s="32"/>
    </row>
    <row r="464" spans="1:28" ht="15.6" customHeight="1" x14ac:dyDescent="0.25">
      <c r="A464" s="24"/>
      <c r="B464" s="24"/>
      <c r="C464" s="25"/>
      <c r="D464" s="25"/>
      <c r="E464" s="25"/>
      <c r="F464" s="25"/>
      <c r="G464" s="26"/>
      <c r="H464" s="27"/>
      <c r="I464" s="24"/>
      <c r="J464" s="24"/>
      <c r="K464" s="28"/>
      <c r="L464" s="29"/>
      <c r="M464" s="29"/>
      <c r="N464" s="29"/>
      <c r="O464" s="27"/>
      <c r="P464" s="30"/>
      <c r="Q464" s="31"/>
      <c r="R464" s="31"/>
      <c r="S464" s="32"/>
      <c r="T464" s="32"/>
      <c r="U464" s="32"/>
      <c r="V464" s="32"/>
      <c r="W464" s="32"/>
      <c r="X464" s="32"/>
      <c r="Y464" s="32"/>
      <c r="Z464" s="32"/>
      <c r="AA464" s="32"/>
      <c r="AB464" s="32"/>
    </row>
    <row r="465" spans="1:28" ht="15.6" customHeight="1" x14ac:dyDescent="0.25">
      <c r="A465" s="24"/>
      <c r="B465" s="24"/>
      <c r="C465" s="25"/>
      <c r="D465" s="25"/>
      <c r="E465" s="25"/>
      <c r="F465" s="25"/>
      <c r="G465" s="26"/>
      <c r="H465" s="27"/>
      <c r="I465" s="24"/>
      <c r="J465" s="24"/>
      <c r="K465" s="28"/>
      <c r="L465" s="29"/>
      <c r="M465" s="29"/>
      <c r="N465" s="29"/>
      <c r="O465" s="27"/>
      <c r="P465" s="30"/>
      <c r="Q465" s="31"/>
      <c r="R465" s="31"/>
      <c r="S465" s="32"/>
      <c r="T465" s="32"/>
      <c r="U465" s="32"/>
      <c r="V465" s="32"/>
      <c r="W465" s="32"/>
      <c r="X465" s="32"/>
      <c r="Y465" s="32"/>
      <c r="Z465" s="32"/>
      <c r="AA465" s="32"/>
      <c r="AB465" s="32"/>
    </row>
    <row r="466" spans="1:28" ht="15.6" customHeight="1" x14ac:dyDescent="0.25">
      <c r="A466" s="24"/>
      <c r="B466" s="24"/>
      <c r="C466" s="25"/>
      <c r="D466" s="25"/>
      <c r="E466" s="25"/>
      <c r="F466" s="25"/>
      <c r="G466" s="26"/>
      <c r="H466" s="27"/>
      <c r="I466" s="24"/>
      <c r="J466" s="24"/>
      <c r="K466" s="28"/>
      <c r="L466" s="29"/>
      <c r="M466" s="29"/>
      <c r="N466" s="29"/>
      <c r="O466" s="27"/>
      <c r="P466" s="30"/>
      <c r="Q466" s="31"/>
      <c r="R466" s="31"/>
      <c r="S466" s="32"/>
      <c r="T466" s="32"/>
      <c r="U466" s="32"/>
      <c r="V466" s="32"/>
      <c r="W466" s="32"/>
      <c r="X466" s="32"/>
      <c r="Y466" s="32"/>
      <c r="Z466" s="32"/>
      <c r="AA466" s="32"/>
      <c r="AB466" s="32"/>
    </row>
    <row r="467" spans="1:28" ht="15.6" customHeight="1" x14ac:dyDescent="0.25">
      <c r="A467" s="24"/>
      <c r="B467" s="24"/>
      <c r="C467" s="25"/>
      <c r="D467" s="25"/>
      <c r="E467" s="25"/>
      <c r="F467" s="25"/>
      <c r="G467" s="26"/>
      <c r="H467" s="27"/>
      <c r="I467" s="24"/>
      <c r="J467" s="24"/>
      <c r="K467" s="28"/>
      <c r="L467" s="29"/>
      <c r="M467" s="29"/>
      <c r="N467" s="29"/>
      <c r="O467" s="27"/>
      <c r="P467" s="30"/>
      <c r="Q467" s="31"/>
      <c r="R467" s="31"/>
      <c r="S467" s="32"/>
      <c r="T467" s="32"/>
      <c r="U467" s="32"/>
      <c r="V467" s="32"/>
      <c r="W467" s="32"/>
      <c r="X467" s="32"/>
      <c r="Y467" s="32"/>
      <c r="Z467" s="32"/>
      <c r="AA467" s="32"/>
      <c r="AB467" s="32"/>
    </row>
    <row r="468" spans="1:28" ht="15.6" customHeight="1" x14ac:dyDescent="0.25">
      <c r="A468" s="24"/>
      <c r="B468" s="24"/>
      <c r="C468" s="25"/>
      <c r="D468" s="25"/>
      <c r="E468" s="25"/>
      <c r="F468" s="25"/>
      <c r="G468" s="26"/>
      <c r="H468" s="27"/>
      <c r="I468" s="24"/>
      <c r="J468" s="24"/>
      <c r="K468" s="28"/>
      <c r="L468" s="29"/>
      <c r="M468" s="29"/>
      <c r="N468" s="29"/>
      <c r="O468" s="27"/>
      <c r="P468" s="30"/>
      <c r="Q468" s="31"/>
      <c r="R468" s="31"/>
      <c r="S468" s="32"/>
      <c r="T468" s="32"/>
      <c r="U468" s="32"/>
      <c r="V468" s="32"/>
      <c r="W468" s="32"/>
      <c r="X468" s="32"/>
      <c r="Y468" s="32"/>
      <c r="Z468" s="32"/>
      <c r="AA468" s="32"/>
      <c r="AB468" s="32"/>
    </row>
    <row r="469" spans="1:28" ht="15.6" customHeight="1" x14ac:dyDescent="0.25">
      <c r="A469" s="24"/>
      <c r="B469" s="24"/>
      <c r="C469" s="25"/>
      <c r="D469" s="25"/>
      <c r="E469" s="25"/>
      <c r="F469" s="25"/>
      <c r="G469" s="26"/>
      <c r="H469" s="27"/>
      <c r="I469" s="24"/>
      <c r="J469" s="24"/>
      <c r="K469" s="28"/>
      <c r="L469" s="29"/>
      <c r="M469" s="29"/>
      <c r="N469" s="29"/>
      <c r="O469" s="27"/>
      <c r="P469" s="30"/>
      <c r="Q469" s="31"/>
      <c r="R469" s="31"/>
      <c r="S469" s="32"/>
      <c r="T469" s="32"/>
      <c r="U469" s="32"/>
      <c r="V469" s="32"/>
      <c r="W469" s="32"/>
      <c r="X469" s="32"/>
      <c r="Y469" s="32"/>
      <c r="Z469" s="32"/>
      <c r="AA469" s="32"/>
      <c r="AB469" s="32"/>
    </row>
    <row r="470" spans="1:28" ht="15.6" customHeight="1" x14ac:dyDescent="0.25">
      <c r="A470" s="24"/>
      <c r="B470" s="24"/>
      <c r="C470" s="25"/>
      <c r="D470" s="25"/>
      <c r="E470" s="25"/>
      <c r="F470" s="25"/>
      <c r="G470" s="26"/>
      <c r="H470" s="27"/>
      <c r="I470" s="24"/>
      <c r="J470" s="24"/>
      <c r="K470" s="28"/>
      <c r="L470" s="29"/>
      <c r="M470" s="29"/>
      <c r="N470" s="29"/>
      <c r="O470" s="27"/>
      <c r="P470" s="30"/>
      <c r="Q470" s="31"/>
      <c r="R470" s="31"/>
      <c r="S470" s="32"/>
      <c r="T470" s="32"/>
      <c r="U470" s="32"/>
      <c r="V470" s="32"/>
      <c r="W470" s="32"/>
      <c r="X470" s="32"/>
      <c r="Y470" s="32"/>
      <c r="Z470" s="32"/>
      <c r="AA470" s="32"/>
      <c r="AB470" s="32"/>
    </row>
    <row r="471" spans="1:28" ht="15.6" customHeight="1" x14ac:dyDescent="0.25">
      <c r="A471" s="24"/>
      <c r="B471" s="24"/>
      <c r="C471" s="25"/>
      <c r="D471" s="25"/>
      <c r="E471" s="25"/>
      <c r="F471" s="25"/>
      <c r="G471" s="26"/>
      <c r="H471" s="27"/>
      <c r="I471" s="24"/>
      <c r="J471" s="24"/>
      <c r="K471" s="28"/>
      <c r="L471" s="29"/>
      <c r="M471" s="29"/>
      <c r="N471" s="29"/>
      <c r="O471" s="27"/>
      <c r="P471" s="30"/>
      <c r="Q471" s="31"/>
      <c r="R471" s="31"/>
      <c r="S471" s="32"/>
      <c r="T471" s="32"/>
      <c r="U471" s="32"/>
      <c r="V471" s="32"/>
      <c r="W471" s="32"/>
      <c r="X471" s="32"/>
      <c r="Y471" s="32"/>
      <c r="Z471" s="32"/>
      <c r="AA471" s="32"/>
      <c r="AB471" s="32"/>
    </row>
    <row r="472" spans="1:28" ht="15.6" customHeight="1" x14ac:dyDescent="0.25">
      <c r="A472" s="24"/>
      <c r="B472" s="24"/>
      <c r="C472" s="25"/>
      <c r="D472" s="25"/>
      <c r="E472" s="25"/>
      <c r="F472" s="25"/>
      <c r="G472" s="26"/>
      <c r="H472" s="27"/>
      <c r="I472" s="24"/>
      <c r="J472" s="24"/>
      <c r="K472" s="28"/>
      <c r="L472" s="29"/>
      <c r="M472" s="29"/>
      <c r="N472" s="29"/>
      <c r="O472" s="27"/>
      <c r="P472" s="30"/>
      <c r="Q472" s="31"/>
      <c r="R472" s="31"/>
      <c r="S472" s="32"/>
      <c r="T472" s="32"/>
      <c r="U472" s="32"/>
      <c r="V472" s="32"/>
      <c r="W472" s="32"/>
      <c r="X472" s="32"/>
      <c r="Y472" s="32"/>
      <c r="Z472" s="32"/>
      <c r="AA472" s="32"/>
      <c r="AB472" s="32"/>
    </row>
    <row r="473" spans="1:28" ht="15.6" customHeight="1" x14ac:dyDescent="0.25">
      <c r="A473" s="24"/>
      <c r="B473" s="24"/>
      <c r="C473" s="25"/>
      <c r="D473" s="25"/>
      <c r="E473" s="25"/>
      <c r="F473" s="25"/>
      <c r="G473" s="26"/>
      <c r="H473" s="27"/>
      <c r="I473" s="24"/>
      <c r="J473" s="24"/>
      <c r="K473" s="28"/>
      <c r="L473" s="29"/>
      <c r="M473" s="29"/>
      <c r="N473" s="29"/>
      <c r="O473" s="27"/>
      <c r="P473" s="30"/>
      <c r="Q473" s="31"/>
      <c r="R473" s="31"/>
      <c r="S473" s="32"/>
      <c r="T473" s="32"/>
      <c r="U473" s="32"/>
      <c r="V473" s="32"/>
      <c r="W473" s="32"/>
      <c r="X473" s="32"/>
      <c r="Y473" s="32"/>
      <c r="Z473" s="32"/>
      <c r="AA473" s="32"/>
      <c r="AB473" s="32"/>
    </row>
    <row r="474" spans="1:28" ht="15.6" customHeight="1" x14ac:dyDescent="0.25">
      <c r="A474" s="24"/>
      <c r="B474" s="24"/>
      <c r="C474" s="25"/>
      <c r="D474" s="25"/>
      <c r="E474" s="25"/>
      <c r="F474" s="25"/>
      <c r="G474" s="26"/>
      <c r="H474" s="27"/>
      <c r="I474" s="24"/>
      <c r="J474" s="24"/>
      <c r="K474" s="28"/>
      <c r="L474" s="29"/>
      <c r="M474" s="29"/>
      <c r="N474" s="29"/>
      <c r="O474" s="27"/>
      <c r="P474" s="30"/>
      <c r="Q474" s="31"/>
      <c r="R474" s="31"/>
      <c r="S474" s="32"/>
      <c r="T474" s="32"/>
      <c r="U474" s="32"/>
      <c r="V474" s="32"/>
      <c r="W474" s="32"/>
      <c r="X474" s="32"/>
      <c r="Y474" s="32"/>
      <c r="Z474" s="32"/>
      <c r="AA474" s="32"/>
      <c r="AB474" s="32"/>
    </row>
    <row r="475" spans="1:28" ht="15.6" customHeight="1" x14ac:dyDescent="0.25">
      <c r="A475" s="24"/>
      <c r="B475" s="24"/>
      <c r="C475" s="25"/>
      <c r="D475" s="25"/>
      <c r="E475" s="25"/>
      <c r="F475" s="25"/>
      <c r="G475" s="26"/>
      <c r="H475" s="27"/>
      <c r="I475" s="24"/>
      <c r="J475" s="24"/>
      <c r="K475" s="28"/>
      <c r="L475" s="29"/>
      <c r="M475" s="29"/>
      <c r="N475" s="29"/>
      <c r="O475" s="27"/>
      <c r="P475" s="30"/>
      <c r="Q475" s="31"/>
      <c r="R475" s="31"/>
      <c r="S475" s="32"/>
      <c r="T475" s="32"/>
      <c r="U475" s="32"/>
      <c r="V475" s="32"/>
      <c r="W475" s="32"/>
      <c r="X475" s="32"/>
      <c r="Y475" s="32"/>
      <c r="Z475" s="32"/>
      <c r="AA475" s="32"/>
      <c r="AB475" s="32"/>
    </row>
    <row r="476" spans="1:28" ht="15.6" customHeight="1" x14ac:dyDescent="0.25">
      <c r="A476" s="24"/>
      <c r="B476" s="24"/>
      <c r="C476" s="25"/>
      <c r="D476" s="25"/>
      <c r="E476" s="25"/>
      <c r="F476" s="25"/>
      <c r="G476" s="26"/>
      <c r="H476" s="27"/>
      <c r="I476" s="24"/>
      <c r="J476" s="24"/>
      <c r="K476" s="28"/>
      <c r="L476" s="29"/>
      <c r="M476" s="29"/>
      <c r="N476" s="29"/>
      <c r="O476" s="27"/>
      <c r="P476" s="30"/>
      <c r="Q476" s="31"/>
      <c r="R476" s="31"/>
      <c r="S476" s="32"/>
      <c r="T476" s="32"/>
      <c r="U476" s="32"/>
      <c r="V476" s="32"/>
      <c r="W476" s="32"/>
      <c r="X476" s="32"/>
      <c r="Y476" s="32"/>
      <c r="Z476" s="32"/>
      <c r="AA476" s="32"/>
      <c r="AB476" s="32"/>
    </row>
    <row r="477" spans="1:28" ht="15.6" customHeight="1" x14ac:dyDescent="0.25">
      <c r="A477" s="24"/>
      <c r="B477" s="24"/>
      <c r="C477" s="25"/>
      <c r="D477" s="25"/>
      <c r="E477" s="25"/>
      <c r="F477" s="25"/>
      <c r="G477" s="26"/>
      <c r="H477" s="27"/>
      <c r="I477" s="24"/>
      <c r="J477" s="24"/>
      <c r="K477" s="28"/>
      <c r="L477" s="29"/>
      <c r="M477" s="29"/>
      <c r="N477" s="29"/>
      <c r="O477" s="27"/>
      <c r="P477" s="30"/>
      <c r="Q477" s="31"/>
      <c r="R477" s="31"/>
      <c r="S477" s="32"/>
      <c r="T477" s="32"/>
      <c r="U477" s="32"/>
      <c r="V477" s="32"/>
      <c r="W477" s="32"/>
      <c r="X477" s="32"/>
      <c r="Y477" s="32"/>
      <c r="Z477" s="32"/>
      <c r="AA477" s="32"/>
      <c r="AB477" s="32"/>
    </row>
    <row r="478" spans="1:28" ht="15.6" customHeight="1" x14ac:dyDescent="0.25">
      <c r="A478" s="24"/>
      <c r="B478" s="24"/>
      <c r="C478" s="25"/>
      <c r="D478" s="25"/>
      <c r="E478" s="25"/>
      <c r="F478" s="25"/>
      <c r="G478" s="26"/>
      <c r="H478" s="27"/>
      <c r="I478" s="24"/>
      <c r="J478" s="24"/>
      <c r="K478" s="28"/>
      <c r="L478" s="29"/>
      <c r="M478" s="29"/>
      <c r="N478" s="29"/>
      <c r="O478" s="27"/>
      <c r="P478" s="30"/>
      <c r="Q478" s="31"/>
      <c r="R478" s="31"/>
      <c r="S478" s="32"/>
      <c r="T478" s="32"/>
      <c r="U478" s="32"/>
      <c r="V478" s="32"/>
      <c r="W478" s="32"/>
      <c r="X478" s="32"/>
      <c r="Y478" s="32"/>
      <c r="Z478" s="32"/>
      <c r="AA478" s="32"/>
      <c r="AB478" s="32"/>
    </row>
    <row r="479" spans="1:28" ht="15.6" customHeight="1" x14ac:dyDescent="0.25">
      <c r="A479" s="24"/>
      <c r="B479" s="24"/>
      <c r="C479" s="25"/>
      <c r="D479" s="25"/>
      <c r="E479" s="25"/>
      <c r="F479" s="25"/>
      <c r="G479" s="26"/>
      <c r="H479" s="27"/>
      <c r="I479" s="24"/>
      <c r="J479" s="24"/>
      <c r="K479" s="28"/>
      <c r="L479" s="29"/>
      <c r="M479" s="29"/>
      <c r="N479" s="29"/>
      <c r="O479" s="27"/>
      <c r="P479" s="30"/>
      <c r="Q479" s="31"/>
      <c r="R479" s="31"/>
      <c r="S479" s="32"/>
      <c r="T479" s="32"/>
      <c r="U479" s="32"/>
      <c r="V479" s="32"/>
      <c r="W479" s="32"/>
      <c r="X479" s="32"/>
      <c r="Y479" s="32"/>
      <c r="Z479" s="32"/>
      <c r="AA479" s="32"/>
      <c r="AB479" s="32"/>
    </row>
    <row r="480" spans="1:28" ht="15.6" customHeight="1" x14ac:dyDescent="0.25">
      <c r="A480" s="24"/>
      <c r="B480" s="24"/>
      <c r="C480" s="25"/>
      <c r="D480" s="25"/>
      <c r="E480" s="25"/>
      <c r="F480" s="25"/>
      <c r="G480" s="26"/>
      <c r="H480" s="27"/>
      <c r="I480" s="24"/>
      <c r="J480" s="24"/>
      <c r="K480" s="28"/>
      <c r="L480" s="29"/>
      <c r="M480" s="29"/>
      <c r="N480" s="29"/>
      <c r="O480" s="27"/>
      <c r="P480" s="30"/>
      <c r="Q480" s="31"/>
      <c r="R480" s="31"/>
      <c r="S480" s="32"/>
      <c r="T480" s="32"/>
      <c r="U480" s="32"/>
      <c r="V480" s="32"/>
      <c r="W480" s="32"/>
      <c r="X480" s="32"/>
      <c r="Y480" s="32"/>
      <c r="Z480" s="32"/>
      <c r="AA480" s="32"/>
      <c r="AB480" s="32"/>
    </row>
    <row r="481" spans="1:28" ht="15.6" customHeight="1" x14ac:dyDescent="0.25">
      <c r="A481" s="24"/>
      <c r="B481" s="24"/>
      <c r="C481" s="25"/>
      <c r="D481" s="25"/>
      <c r="E481" s="25"/>
      <c r="F481" s="25"/>
      <c r="G481" s="26"/>
      <c r="H481" s="27"/>
      <c r="I481" s="24"/>
      <c r="J481" s="24"/>
      <c r="K481" s="28"/>
      <c r="L481" s="29"/>
      <c r="M481" s="29"/>
      <c r="N481" s="29"/>
      <c r="O481" s="27"/>
      <c r="P481" s="30"/>
      <c r="Q481" s="31"/>
      <c r="R481" s="31"/>
      <c r="S481" s="32"/>
      <c r="T481" s="32"/>
      <c r="U481" s="32"/>
      <c r="V481" s="32"/>
      <c r="W481" s="32"/>
      <c r="X481" s="32"/>
      <c r="Y481" s="32"/>
      <c r="Z481" s="32"/>
      <c r="AA481" s="32"/>
      <c r="AB481" s="32"/>
    </row>
    <row r="482" spans="1:28" ht="15.6" customHeight="1" x14ac:dyDescent="0.25">
      <c r="A482" s="24"/>
      <c r="B482" s="24"/>
      <c r="C482" s="25"/>
      <c r="D482" s="25"/>
      <c r="E482" s="25"/>
      <c r="F482" s="25"/>
      <c r="G482" s="26"/>
      <c r="H482" s="27"/>
      <c r="I482" s="24"/>
      <c r="J482" s="24"/>
      <c r="K482" s="28"/>
      <c r="L482" s="29"/>
      <c r="M482" s="29"/>
      <c r="N482" s="29"/>
      <c r="O482" s="27"/>
      <c r="P482" s="30"/>
      <c r="Q482" s="31"/>
      <c r="R482" s="31"/>
      <c r="S482" s="32"/>
      <c r="T482" s="32"/>
      <c r="U482" s="32"/>
      <c r="V482" s="32"/>
      <c r="W482" s="32"/>
      <c r="X482" s="32"/>
      <c r="Y482" s="32"/>
      <c r="Z482" s="32"/>
      <c r="AA482" s="32"/>
      <c r="AB482" s="32"/>
    </row>
    <row r="483" spans="1:28" ht="15.6" customHeight="1" x14ac:dyDescent="0.25">
      <c r="A483" s="24"/>
      <c r="B483" s="24"/>
      <c r="C483" s="25"/>
      <c r="D483" s="25"/>
      <c r="E483" s="25"/>
      <c r="F483" s="25"/>
      <c r="G483" s="26"/>
      <c r="H483" s="27"/>
      <c r="I483" s="24"/>
      <c r="J483" s="24"/>
      <c r="K483" s="28"/>
      <c r="L483" s="29"/>
      <c r="M483" s="29"/>
      <c r="N483" s="29"/>
      <c r="O483" s="27"/>
      <c r="P483" s="30"/>
      <c r="Q483" s="31"/>
      <c r="R483" s="31"/>
      <c r="S483" s="32"/>
      <c r="T483" s="32"/>
      <c r="U483" s="32"/>
      <c r="V483" s="32"/>
      <c r="W483" s="32"/>
      <c r="X483" s="32"/>
      <c r="Y483" s="32"/>
      <c r="Z483" s="32"/>
      <c r="AA483" s="32"/>
      <c r="AB483" s="32"/>
    </row>
    <row r="484" spans="1:28" ht="15.6" customHeight="1" x14ac:dyDescent="0.25">
      <c r="A484" s="24"/>
      <c r="B484" s="24"/>
      <c r="C484" s="25"/>
      <c r="D484" s="25"/>
      <c r="E484" s="25"/>
      <c r="F484" s="25"/>
      <c r="G484" s="26"/>
      <c r="H484" s="27"/>
      <c r="I484" s="24"/>
      <c r="J484" s="24"/>
      <c r="K484" s="28"/>
      <c r="L484" s="29"/>
      <c r="M484" s="29"/>
      <c r="N484" s="29"/>
      <c r="O484" s="27"/>
      <c r="P484" s="30"/>
      <c r="Q484" s="31"/>
      <c r="R484" s="31"/>
      <c r="S484" s="32"/>
      <c r="T484" s="32"/>
      <c r="U484" s="32"/>
      <c r="V484" s="32"/>
      <c r="W484" s="32"/>
      <c r="X484" s="32"/>
      <c r="Y484" s="32"/>
      <c r="Z484" s="32"/>
      <c r="AA484" s="32"/>
      <c r="AB484" s="32"/>
    </row>
    <row r="485" spans="1:28" ht="15.6" customHeight="1" x14ac:dyDescent="0.25">
      <c r="A485" s="24"/>
      <c r="B485" s="24"/>
      <c r="C485" s="25"/>
      <c r="D485" s="25"/>
      <c r="E485" s="25"/>
      <c r="F485" s="25"/>
      <c r="G485" s="26"/>
      <c r="H485" s="27"/>
      <c r="I485" s="24"/>
      <c r="J485" s="24"/>
      <c r="K485" s="28"/>
      <c r="L485" s="29"/>
      <c r="M485" s="29"/>
      <c r="N485" s="29"/>
      <c r="O485" s="27"/>
      <c r="P485" s="30"/>
      <c r="Q485" s="31"/>
      <c r="R485" s="31"/>
      <c r="S485" s="32"/>
      <c r="T485" s="32"/>
      <c r="U485" s="32"/>
      <c r="V485" s="32"/>
      <c r="W485" s="32"/>
      <c r="X485" s="32"/>
      <c r="Y485" s="32"/>
      <c r="Z485" s="32"/>
      <c r="AA485" s="32"/>
      <c r="AB485" s="32"/>
    </row>
    <row r="486" spans="1:28" ht="15.6" customHeight="1" x14ac:dyDescent="0.25">
      <c r="A486" s="24"/>
      <c r="B486" s="24"/>
      <c r="C486" s="25"/>
      <c r="D486" s="25"/>
      <c r="E486" s="25"/>
      <c r="F486" s="25"/>
      <c r="G486" s="26"/>
      <c r="H486" s="27"/>
      <c r="I486" s="24"/>
      <c r="J486" s="24"/>
      <c r="K486" s="28"/>
      <c r="L486" s="29"/>
      <c r="M486" s="29"/>
      <c r="N486" s="29"/>
      <c r="O486" s="27"/>
      <c r="P486" s="30"/>
      <c r="Q486" s="31"/>
      <c r="R486" s="31"/>
      <c r="S486" s="32"/>
      <c r="T486" s="32"/>
      <c r="U486" s="32"/>
      <c r="V486" s="32"/>
      <c r="W486" s="32"/>
      <c r="X486" s="32"/>
      <c r="Y486" s="32"/>
      <c r="Z486" s="32"/>
      <c r="AA486" s="32"/>
      <c r="AB486" s="32"/>
    </row>
    <row r="487" spans="1:28" ht="15.6" customHeight="1" x14ac:dyDescent="0.25">
      <c r="A487" s="24"/>
      <c r="B487" s="24"/>
      <c r="C487" s="25"/>
      <c r="D487" s="25"/>
      <c r="E487" s="25"/>
      <c r="F487" s="25"/>
      <c r="G487" s="26"/>
      <c r="H487" s="27"/>
      <c r="I487" s="24"/>
      <c r="J487" s="24"/>
      <c r="K487" s="28"/>
      <c r="L487" s="29"/>
      <c r="M487" s="29"/>
      <c r="N487" s="29"/>
      <c r="O487" s="27"/>
      <c r="P487" s="30"/>
      <c r="Q487" s="31"/>
      <c r="R487" s="31"/>
      <c r="S487" s="32"/>
      <c r="T487" s="32"/>
      <c r="U487" s="32"/>
      <c r="V487" s="32"/>
      <c r="W487" s="32"/>
      <c r="X487" s="32"/>
      <c r="Y487" s="32"/>
      <c r="Z487" s="32"/>
      <c r="AA487" s="32"/>
      <c r="AB487" s="32"/>
    </row>
    <row r="488" spans="1:28" ht="15.6" customHeight="1" x14ac:dyDescent="0.25">
      <c r="A488" s="24"/>
      <c r="B488" s="24"/>
      <c r="C488" s="25"/>
      <c r="D488" s="25"/>
      <c r="E488" s="25"/>
      <c r="F488" s="25"/>
      <c r="G488" s="26"/>
      <c r="H488" s="27"/>
      <c r="I488" s="24"/>
      <c r="J488" s="24"/>
      <c r="K488" s="28"/>
      <c r="L488" s="29"/>
      <c r="M488" s="29"/>
      <c r="N488" s="29"/>
      <c r="O488" s="27"/>
      <c r="P488" s="30"/>
      <c r="Q488" s="31"/>
      <c r="R488" s="31"/>
      <c r="S488" s="32"/>
      <c r="T488" s="32"/>
      <c r="U488" s="32"/>
      <c r="V488" s="32"/>
      <c r="W488" s="32"/>
      <c r="X488" s="32"/>
      <c r="Y488" s="32"/>
      <c r="Z488" s="32"/>
      <c r="AA488" s="32"/>
      <c r="AB488" s="32"/>
    </row>
    <row r="489" spans="1:28" ht="15.6" customHeight="1" x14ac:dyDescent="0.25">
      <c r="A489" s="24"/>
      <c r="B489" s="24"/>
      <c r="C489" s="25"/>
      <c r="D489" s="25"/>
      <c r="E489" s="25"/>
      <c r="F489" s="25"/>
      <c r="G489" s="26"/>
      <c r="H489" s="27"/>
      <c r="I489" s="24"/>
      <c r="J489" s="24"/>
      <c r="K489" s="28"/>
      <c r="L489" s="29"/>
      <c r="M489" s="29"/>
      <c r="N489" s="29"/>
      <c r="O489" s="27"/>
      <c r="P489" s="30"/>
      <c r="Q489" s="31"/>
      <c r="R489" s="31"/>
      <c r="S489" s="32"/>
      <c r="T489" s="32"/>
      <c r="U489" s="32"/>
      <c r="V489" s="32"/>
      <c r="W489" s="32"/>
      <c r="X489" s="32"/>
      <c r="Y489" s="32"/>
      <c r="Z489" s="32"/>
      <c r="AA489" s="32"/>
      <c r="AB489" s="32"/>
    </row>
    <row r="490" spans="1:28" ht="15.6" customHeight="1" x14ac:dyDescent="0.25">
      <c r="A490" s="24"/>
      <c r="B490" s="24"/>
      <c r="C490" s="25"/>
      <c r="D490" s="25"/>
      <c r="E490" s="25"/>
      <c r="F490" s="25"/>
      <c r="G490" s="26"/>
      <c r="H490" s="27"/>
      <c r="I490" s="24"/>
      <c r="J490" s="24"/>
      <c r="K490" s="28"/>
      <c r="L490" s="29"/>
      <c r="M490" s="29"/>
      <c r="N490" s="29"/>
      <c r="O490" s="27"/>
      <c r="P490" s="30"/>
      <c r="Q490" s="31"/>
      <c r="R490" s="31"/>
      <c r="S490" s="32"/>
      <c r="T490" s="32"/>
      <c r="U490" s="32"/>
      <c r="V490" s="32"/>
      <c r="W490" s="32"/>
      <c r="X490" s="32"/>
      <c r="Y490" s="32"/>
      <c r="Z490" s="32"/>
      <c r="AA490" s="32"/>
      <c r="AB490" s="32"/>
    </row>
    <row r="491" spans="1:28" ht="15.6" customHeight="1" x14ac:dyDescent="0.25">
      <c r="A491" s="24"/>
      <c r="B491" s="24"/>
      <c r="C491" s="25"/>
      <c r="D491" s="25"/>
      <c r="E491" s="25"/>
      <c r="F491" s="25"/>
      <c r="G491" s="26"/>
      <c r="H491" s="27"/>
      <c r="I491" s="24"/>
      <c r="J491" s="24"/>
      <c r="K491" s="28"/>
      <c r="L491" s="29"/>
      <c r="M491" s="29"/>
      <c r="N491" s="29"/>
      <c r="O491" s="27"/>
      <c r="P491" s="30"/>
      <c r="Q491" s="31"/>
      <c r="R491" s="31"/>
      <c r="S491" s="32"/>
      <c r="T491" s="32"/>
      <c r="U491" s="32"/>
      <c r="V491" s="32"/>
      <c r="W491" s="32"/>
      <c r="X491" s="32"/>
      <c r="Y491" s="32"/>
      <c r="Z491" s="32"/>
      <c r="AA491" s="32"/>
      <c r="AB491" s="32"/>
    </row>
    <row r="492" spans="1:28" ht="15.6" customHeight="1" x14ac:dyDescent="0.25">
      <c r="A492" s="24"/>
      <c r="B492" s="24"/>
      <c r="C492" s="25"/>
      <c r="D492" s="25"/>
      <c r="E492" s="25"/>
      <c r="F492" s="25"/>
      <c r="G492" s="26"/>
      <c r="H492" s="27"/>
      <c r="I492" s="24"/>
      <c r="J492" s="24"/>
      <c r="K492" s="28"/>
      <c r="L492" s="29"/>
      <c r="M492" s="29"/>
      <c r="N492" s="29"/>
      <c r="O492" s="27"/>
      <c r="P492" s="30"/>
      <c r="Q492" s="31"/>
      <c r="R492" s="31"/>
      <c r="S492" s="32"/>
      <c r="T492" s="32"/>
      <c r="U492" s="32"/>
      <c r="V492" s="32"/>
      <c r="W492" s="32"/>
      <c r="X492" s="32"/>
      <c r="Y492" s="32"/>
      <c r="Z492" s="32"/>
      <c r="AA492" s="32"/>
      <c r="AB492" s="32"/>
    </row>
    <row r="493" spans="1:28" ht="15.6" customHeight="1" x14ac:dyDescent="0.25">
      <c r="A493" s="24"/>
      <c r="B493" s="24"/>
      <c r="C493" s="25"/>
      <c r="D493" s="25"/>
      <c r="E493" s="25"/>
      <c r="F493" s="25"/>
      <c r="G493" s="26"/>
      <c r="H493" s="27"/>
      <c r="I493" s="24"/>
      <c r="J493" s="24"/>
      <c r="K493" s="28"/>
      <c r="L493" s="29"/>
      <c r="M493" s="29"/>
      <c r="N493" s="29"/>
      <c r="O493" s="27"/>
      <c r="P493" s="30"/>
      <c r="Q493" s="31"/>
      <c r="R493" s="31"/>
      <c r="S493" s="32"/>
      <c r="T493" s="32"/>
      <c r="U493" s="32"/>
      <c r="V493" s="32"/>
      <c r="W493" s="32"/>
      <c r="X493" s="32"/>
      <c r="Y493" s="32"/>
      <c r="Z493" s="32"/>
      <c r="AA493" s="32"/>
      <c r="AB493" s="32"/>
    </row>
    <row r="494" spans="1:28" ht="15.6" customHeight="1" x14ac:dyDescent="0.25">
      <c r="A494" s="24"/>
      <c r="B494" s="24"/>
      <c r="C494" s="25"/>
      <c r="D494" s="25"/>
      <c r="E494" s="25"/>
      <c r="F494" s="25"/>
      <c r="G494" s="26"/>
      <c r="H494" s="27"/>
      <c r="I494" s="24"/>
      <c r="J494" s="24"/>
      <c r="K494" s="28"/>
      <c r="L494" s="29"/>
      <c r="M494" s="29"/>
      <c r="N494" s="29"/>
      <c r="O494" s="27"/>
      <c r="P494" s="30"/>
      <c r="Q494" s="31"/>
      <c r="R494" s="31"/>
      <c r="S494" s="32"/>
      <c r="T494" s="32"/>
      <c r="U494" s="32"/>
      <c r="V494" s="32"/>
      <c r="W494" s="32"/>
      <c r="X494" s="32"/>
      <c r="Y494" s="32"/>
      <c r="Z494" s="32"/>
      <c r="AA494" s="32"/>
      <c r="AB494" s="32"/>
    </row>
    <row r="495" spans="1:28" ht="15.6" customHeight="1" x14ac:dyDescent="0.25">
      <c r="A495" s="24"/>
      <c r="B495" s="24"/>
      <c r="C495" s="25"/>
      <c r="D495" s="25"/>
      <c r="E495" s="25"/>
      <c r="F495" s="25"/>
      <c r="G495" s="26"/>
      <c r="H495" s="27"/>
      <c r="I495" s="24"/>
      <c r="J495" s="24"/>
      <c r="K495" s="28"/>
      <c r="L495" s="29"/>
      <c r="M495" s="29"/>
      <c r="N495" s="29"/>
      <c r="O495" s="27"/>
      <c r="P495" s="30"/>
      <c r="Q495" s="31"/>
      <c r="R495" s="31"/>
      <c r="S495" s="32"/>
      <c r="T495" s="32"/>
      <c r="U495" s="32"/>
      <c r="V495" s="32"/>
      <c r="W495" s="32"/>
      <c r="X495" s="32"/>
      <c r="Y495" s="32"/>
      <c r="Z495" s="32"/>
      <c r="AA495" s="32"/>
      <c r="AB495" s="32"/>
    </row>
    <row r="496" spans="1:28" ht="15.6" customHeight="1" x14ac:dyDescent="0.25">
      <c r="A496" s="24"/>
      <c r="B496" s="24"/>
      <c r="C496" s="25"/>
      <c r="D496" s="25"/>
      <c r="E496" s="25"/>
      <c r="F496" s="25"/>
      <c r="G496" s="26"/>
      <c r="H496" s="27"/>
      <c r="I496" s="24"/>
      <c r="J496" s="24"/>
      <c r="K496" s="28"/>
      <c r="L496" s="29"/>
      <c r="M496" s="29"/>
      <c r="N496" s="29"/>
      <c r="O496" s="27"/>
      <c r="P496" s="30"/>
      <c r="Q496" s="31"/>
      <c r="R496" s="31"/>
      <c r="S496" s="32"/>
      <c r="T496" s="32"/>
      <c r="U496" s="32"/>
      <c r="V496" s="32"/>
      <c r="W496" s="32"/>
      <c r="X496" s="32"/>
      <c r="Y496" s="32"/>
      <c r="Z496" s="32"/>
      <c r="AA496" s="32"/>
      <c r="AB496" s="32"/>
    </row>
    <row r="497" spans="1:28" ht="15.6" customHeight="1" x14ac:dyDescent="0.25">
      <c r="A497" s="24"/>
      <c r="B497" s="24"/>
      <c r="C497" s="25"/>
      <c r="D497" s="25"/>
      <c r="E497" s="25"/>
      <c r="F497" s="25"/>
      <c r="G497" s="26"/>
      <c r="H497" s="27"/>
      <c r="I497" s="24"/>
      <c r="J497" s="24"/>
      <c r="K497" s="28"/>
      <c r="L497" s="29"/>
      <c r="M497" s="29"/>
      <c r="N497" s="29"/>
      <c r="O497" s="27"/>
      <c r="P497" s="30"/>
      <c r="Q497" s="31"/>
      <c r="R497" s="31"/>
      <c r="S497" s="32"/>
      <c r="T497" s="32"/>
      <c r="U497" s="32"/>
      <c r="V497" s="32"/>
      <c r="W497" s="32"/>
      <c r="X497" s="32"/>
      <c r="Y497" s="32"/>
      <c r="Z497" s="32"/>
      <c r="AA497" s="32"/>
      <c r="AB497" s="32"/>
    </row>
    <row r="498" spans="1:28" ht="15.6" customHeight="1" x14ac:dyDescent="0.25">
      <c r="A498" s="24"/>
      <c r="B498" s="24"/>
      <c r="C498" s="25"/>
      <c r="D498" s="25"/>
      <c r="E498" s="25"/>
      <c r="F498" s="25"/>
      <c r="G498" s="26"/>
      <c r="H498" s="27"/>
      <c r="I498" s="24"/>
      <c r="J498" s="24"/>
      <c r="K498" s="28"/>
      <c r="L498" s="29"/>
      <c r="M498" s="29"/>
      <c r="N498" s="29"/>
      <c r="O498" s="27"/>
      <c r="P498" s="30"/>
      <c r="Q498" s="31"/>
      <c r="R498" s="31"/>
      <c r="S498" s="32"/>
      <c r="T498" s="32"/>
      <c r="U498" s="32"/>
      <c r="V498" s="32"/>
      <c r="W498" s="32"/>
      <c r="X498" s="32"/>
      <c r="Y498" s="32"/>
      <c r="Z498" s="32"/>
      <c r="AA498" s="32"/>
      <c r="AB498" s="32"/>
    </row>
    <row r="499" spans="1:28" ht="15.6" customHeight="1" x14ac:dyDescent="0.25">
      <c r="A499" s="24"/>
      <c r="B499" s="24"/>
      <c r="C499" s="25"/>
      <c r="D499" s="25"/>
      <c r="E499" s="25"/>
      <c r="F499" s="25"/>
      <c r="G499" s="26"/>
      <c r="H499" s="27"/>
      <c r="I499" s="24"/>
      <c r="J499" s="24"/>
      <c r="K499" s="28"/>
      <c r="L499" s="29"/>
      <c r="M499" s="29"/>
      <c r="N499" s="29"/>
      <c r="O499" s="27"/>
      <c r="P499" s="30"/>
      <c r="Q499" s="31"/>
      <c r="R499" s="31"/>
      <c r="S499" s="32"/>
      <c r="T499" s="32"/>
      <c r="U499" s="32"/>
      <c r="V499" s="32"/>
      <c r="W499" s="32"/>
      <c r="X499" s="32"/>
      <c r="Y499" s="32"/>
      <c r="Z499" s="32"/>
      <c r="AA499" s="32"/>
      <c r="AB499" s="32"/>
    </row>
    <row r="500" spans="1:28" ht="15.6" customHeight="1" x14ac:dyDescent="0.25">
      <c r="A500" s="24"/>
      <c r="B500" s="24"/>
      <c r="C500" s="25"/>
      <c r="D500" s="25"/>
      <c r="E500" s="25"/>
      <c r="F500" s="25"/>
      <c r="G500" s="26"/>
      <c r="H500" s="27"/>
      <c r="I500" s="24"/>
      <c r="J500" s="24"/>
      <c r="K500" s="28"/>
      <c r="L500" s="29"/>
      <c r="M500" s="29"/>
      <c r="N500" s="29"/>
      <c r="O500" s="27"/>
      <c r="P500" s="30"/>
      <c r="Q500" s="31"/>
      <c r="R500" s="31"/>
      <c r="S500" s="32"/>
      <c r="T500" s="32"/>
      <c r="U500" s="32"/>
      <c r="V500" s="32"/>
      <c r="W500" s="32"/>
      <c r="X500" s="32"/>
      <c r="Y500" s="32"/>
      <c r="Z500" s="32"/>
      <c r="AA500" s="32"/>
      <c r="AB500" s="32"/>
    </row>
    <row r="501" spans="1:28" ht="15.6" customHeight="1" x14ac:dyDescent="0.25">
      <c r="A501" s="24"/>
      <c r="B501" s="24"/>
      <c r="C501" s="25"/>
      <c r="D501" s="25"/>
      <c r="E501" s="25"/>
      <c r="F501" s="25"/>
      <c r="G501" s="26"/>
      <c r="H501" s="27"/>
      <c r="I501" s="24"/>
      <c r="J501" s="24"/>
      <c r="K501" s="28"/>
      <c r="L501" s="29"/>
      <c r="M501" s="29"/>
      <c r="N501" s="29"/>
      <c r="O501" s="27"/>
      <c r="P501" s="30"/>
      <c r="Q501" s="31"/>
      <c r="R501" s="31"/>
      <c r="S501" s="32"/>
      <c r="T501" s="32"/>
      <c r="U501" s="32"/>
      <c r="V501" s="32"/>
      <c r="W501" s="32"/>
      <c r="X501" s="32"/>
      <c r="Y501" s="32"/>
      <c r="Z501" s="32"/>
      <c r="AA501" s="32"/>
      <c r="AB501" s="32"/>
    </row>
    <row r="502" spans="1:28" ht="15.6" customHeight="1" x14ac:dyDescent="0.25">
      <c r="A502" s="24"/>
      <c r="B502" s="24"/>
      <c r="C502" s="25"/>
      <c r="D502" s="25"/>
      <c r="E502" s="25"/>
      <c r="F502" s="25"/>
      <c r="G502" s="26"/>
      <c r="H502" s="27"/>
      <c r="I502" s="24"/>
      <c r="J502" s="24"/>
      <c r="K502" s="28"/>
      <c r="L502" s="29"/>
      <c r="M502" s="29"/>
      <c r="N502" s="29"/>
      <c r="O502" s="27"/>
      <c r="P502" s="30"/>
      <c r="Q502" s="31"/>
      <c r="R502" s="31"/>
      <c r="S502" s="32"/>
      <c r="T502" s="32"/>
      <c r="U502" s="32"/>
      <c r="V502" s="32"/>
      <c r="W502" s="32"/>
      <c r="X502" s="32"/>
      <c r="Y502" s="32"/>
      <c r="Z502" s="32"/>
      <c r="AA502" s="32"/>
      <c r="AB502" s="32"/>
    </row>
    <row r="503" spans="1:28" ht="15.6" customHeight="1" x14ac:dyDescent="0.25">
      <c r="A503" s="24"/>
      <c r="B503" s="24"/>
      <c r="C503" s="25"/>
      <c r="D503" s="25"/>
      <c r="E503" s="25"/>
      <c r="F503" s="25"/>
      <c r="G503" s="26"/>
      <c r="H503" s="27"/>
      <c r="I503" s="24"/>
      <c r="J503" s="24"/>
      <c r="K503" s="28"/>
      <c r="L503" s="29"/>
      <c r="M503" s="29"/>
      <c r="N503" s="29"/>
      <c r="O503" s="27"/>
      <c r="P503" s="30"/>
      <c r="Q503" s="31"/>
      <c r="R503" s="31"/>
      <c r="S503" s="32"/>
      <c r="T503" s="32"/>
      <c r="U503" s="32"/>
      <c r="V503" s="32"/>
      <c r="W503" s="32"/>
      <c r="X503" s="32"/>
      <c r="Y503" s="32"/>
      <c r="Z503" s="32"/>
      <c r="AA503" s="32"/>
      <c r="AB503" s="32"/>
    </row>
    <row r="504" spans="1:28" ht="15.6" customHeight="1" x14ac:dyDescent="0.25">
      <c r="A504" s="24"/>
      <c r="B504" s="24"/>
      <c r="C504" s="25"/>
      <c r="D504" s="25"/>
      <c r="E504" s="25"/>
      <c r="F504" s="25"/>
      <c r="G504" s="26"/>
      <c r="H504" s="27"/>
      <c r="I504" s="24"/>
      <c r="J504" s="24"/>
      <c r="K504" s="28"/>
      <c r="L504" s="29"/>
      <c r="M504" s="29"/>
      <c r="N504" s="29"/>
      <c r="O504" s="27"/>
      <c r="P504" s="30"/>
      <c r="Q504" s="31"/>
      <c r="R504" s="31"/>
      <c r="S504" s="32"/>
      <c r="T504" s="32"/>
      <c r="U504" s="32"/>
      <c r="V504" s="32"/>
      <c r="W504" s="32"/>
      <c r="X504" s="32"/>
      <c r="Y504" s="32"/>
      <c r="Z504" s="32"/>
      <c r="AA504" s="32"/>
      <c r="AB504" s="32"/>
    </row>
    <row r="505" spans="1:28" ht="15.6" customHeight="1" x14ac:dyDescent="0.25">
      <c r="A505" s="24"/>
      <c r="B505" s="24"/>
      <c r="C505" s="25"/>
      <c r="D505" s="25"/>
      <c r="E505" s="25"/>
      <c r="F505" s="25"/>
      <c r="G505" s="26"/>
      <c r="H505" s="27"/>
      <c r="I505" s="24"/>
      <c r="J505" s="24"/>
      <c r="K505" s="28"/>
      <c r="L505" s="29"/>
      <c r="M505" s="29"/>
      <c r="N505" s="29"/>
      <c r="O505" s="27"/>
      <c r="P505" s="30"/>
      <c r="Q505" s="31"/>
      <c r="R505" s="31"/>
      <c r="S505" s="32"/>
      <c r="T505" s="32"/>
      <c r="U505" s="32"/>
      <c r="V505" s="32"/>
      <c r="W505" s="32"/>
      <c r="X505" s="32"/>
      <c r="Y505" s="32"/>
      <c r="Z505" s="32"/>
      <c r="AA505" s="32"/>
      <c r="AB505" s="32"/>
    </row>
    <row r="506" spans="1:28" ht="15.6" customHeight="1" x14ac:dyDescent="0.25">
      <c r="A506" s="24"/>
      <c r="B506" s="24"/>
      <c r="C506" s="25"/>
      <c r="D506" s="25"/>
      <c r="E506" s="25"/>
      <c r="F506" s="25"/>
      <c r="G506" s="26"/>
      <c r="H506" s="27"/>
      <c r="I506" s="24"/>
      <c r="J506" s="24"/>
      <c r="K506" s="28"/>
      <c r="L506" s="29"/>
      <c r="M506" s="29"/>
      <c r="N506" s="29"/>
      <c r="O506" s="27"/>
      <c r="P506" s="30"/>
      <c r="Q506" s="31"/>
      <c r="R506" s="31"/>
      <c r="S506" s="32"/>
      <c r="T506" s="32"/>
      <c r="U506" s="32"/>
      <c r="V506" s="32"/>
      <c r="W506" s="32"/>
      <c r="X506" s="32"/>
      <c r="Y506" s="32"/>
      <c r="Z506" s="32"/>
      <c r="AA506" s="32"/>
      <c r="AB506" s="32"/>
    </row>
    <row r="507" spans="1:28" ht="15.6" customHeight="1" x14ac:dyDescent="0.25">
      <c r="A507" s="24"/>
      <c r="B507" s="24"/>
      <c r="C507" s="25"/>
      <c r="D507" s="25"/>
      <c r="E507" s="25"/>
      <c r="F507" s="25"/>
      <c r="G507" s="26"/>
      <c r="H507" s="27"/>
      <c r="I507" s="24"/>
      <c r="J507" s="24"/>
      <c r="K507" s="28"/>
      <c r="L507" s="29"/>
      <c r="M507" s="29"/>
      <c r="N507" s="29"/>
      <c r="O507" s="27"/>
      <c r="P507" s="30"/>
      <c r="Q507" s="31"/>
      <c r="R507" s="31"/>
      <c r="S507" s="32"/>
      <c r="T507" s="32"/>
      <c r="U507" s="32"/>
      <c r="V507" s="32"/>
      <c r="W507" s="32"/>
      <c r="X507" s="32"/>
      <c r="Y507" s="32"/>
      <c r="Z507" s="32"/>
      <c r="AA507" s="32"/>
      <c r="AB507" s="32"/>
    </row>
    <row r="508" spans="1:28" ht="15.6" customHeight="1" x14ac:dyDescent="0.25">
      <c r="A508" s="24"/>
      <c r="B508" s="24"/>
      <c r="C508" s="25"/>
      <c r="D508" s="25"/>
      <c r="E508" s="25"/>
      <c r="F508" s="25"/>
      <c r="G508" s="26"/>
      <c r="H508" s="27"/>
      <c r="I508" s="24"/>
      <c r="J508" s="24"/>
      <c r="K508" s="28"/>
      <c r="L508" s="29"/>
      <c r="M508" s="29"/>
      <c r="N508" s="29"/>
      <c r="O508" s="27"/>
      <c r="P508" s="30"/>
      <c r="Q508" s="31"/>
      <c r="R508" s="31"/>
      <c r="S508" s="32"/>
      <c r="T508" s="32"/>
      <c r="U508" s="32"/>
      <c r="V508" s="32"/>
      <c r="W508" s="32"/>
      <c r="X508" s="32"/>
      <c r="Y508" s="32"/>
      <c r="Z508" s="32"/>
      <c r="AA508" s="32"/>
      <c r="AB508" s="32"/>
    </row>
    <row r="509" spans="1:28" ht="15.6" customHeight="1" x14ac:dyDescent="0.25">
      <c r="A509" s="24"/>
      <c r="B509" s="24"/>
      <c r="C509" s="25"/>
      <c r="D509" s="25"/>
      <c r="E509" s="25"/>
      <c r="F509" s="25"/>
      <c r="G509" s="26"/>
      <c r="H509" s="27"/>
      <c r="I509" s="24"/>
      <c r="J509" s="24"/>
      <c r="K509" s="28"/>
      <c r="L509" s="29"/>
      <c r="M509" s="29"/>
      <c r="N509" s="29"/>
      <c r="O509" s="27"/>
      <c r="P509" s="30"/>
      <c r="Q509" s="31"/>
      <c r="R509" s="31"/>
      <c r="S509" s="32"/>
      <c r="T509" s="32"/>
      <c r="U509" s="32"/>
      <c r="V509" s="32"/>
      <c r="W509" s="32"/>
      <c r="X509" s="32"/>
      <c r="Y509" s="32"/>
      <c r="Z509" s="32"/>
      <c r="AA509" s="32"/>
      <c r="AB509" s="32"/>
    </row>
    <row r="510" spans="1:28" ht="15.6" customHeight="1" x14ac:dyDescent="0.25">
      <c r="A510" s="24"/>
      <c r="B510" s="24"/>
      <c r="C510" s="25"/>
      <c r="D510" s="25"/>
      <c r="E510" s="25"/>
      <c r="F510" s="25"/>
      <c r="G510" s="26"/>
      <c r="H510" s="27"/>
      <c r="I510" s="24"/>
      <c r="J510" s="24"/>
      <c r="K510" s="28"/>
      <c r="L510" s="29"/>
      <c r="M510" s="29"/>
      <c r="N510" s="29"/>
      <c r="O510" s="27"/>
      <c r="P510" s="30"/>
      <c r="Q510" s="31"/>
      <c r="R510" s="31"/>
      <c r="S510" s="32"/>
      <c r="T510" s="32"/>
      <c r="U510" s="32"/>
      <c r="V510" s="32"/>
      <c r="W510" s="32"/>
      <c r="X510" s="32"/>
      <c r="Y510" s="32"/>
      <c r="Z510" s="32"/>
      <c r="AA510" s="32"/>
      <c r="AB510" s="32"/>
    </row>
    <row r="511" spans="1:28" ht="15.6" customHeight="1" x14ac:dyDescent="0.25">
      <c r="A511" s="24"/>
      <c r="B511" s="24"/>
      <c r="C511" s="25"/>
      <c r="D511" s="25"/>
      <c r="E511" s="25"/>
      <c r="F511" s="25"/>
      <c r="G511" s="26"/>
      <c r="H511" s="27"/>
      <c r="I511" s="24"/>
      <c r="J511" s="24"/>
      <c r="K511" s="28"/>
      <c r="L511" s="29"/>
      <c r="M511" s="29"/>
      <c r="N511" s="29"/>
      <c r="O511" s="27"/>
      <c r="P511" s="30"/>
      <c r="Q511" s="31"/>
      <c r="R511" s="31"/>
      <c r="S511" s="32"/>
      <c r="T511" s="32"/>
      <c r="U511" s="32"/>
      <c r="V511" s="32"/>
      <c r="W511" s="32"/>
      <c r="X511" s="32"/>
      <c r="Y511" s="32"/>
      <c r="Z511" s="32"/>
      <c r="AA511" s="32"/>
      <c r="AB511" s="32"/>
    </row>
    <row r="512" spans="1:28" ht="15.6" customHeight="1" x14ac:dyDescent="0.25">
      <c r="A512" s="24"/>
      <c r="B512" s="24"/>
      <c r="C512" s="25"/>
      <c r="D512" s="25"/>
      <c r="E512" s="25"/>
      <c r="F512" s="25"/>
      <c r="G512" s="26"/>
      <c r="H512" s="27"/>
      <c r="I512" s="24"/>
      <c r="J512" s="24"/>
      <c r="K512" s="28"/>
      <c r="L512" s="29"/>
      <c r="M512" s="29"/>
      <c r="N512" s="29"/>
      <c r="O512" s="27"/>
      <c r="P512" s="30"/>
      <c r="Q512" s="31"/>
      <c r="R512" s="31"/>
      <c r="S512" s="32"/>
      <c r="T512" s="32"/>
      <c r="U512" s="32"/>
      <c r="V512" s="32"/>
      <c r="W512" s="32"/>
      <c r="X512" s="32"/>
      <c r="Y512" s="32"/>
      <c r="Z512" s="32"/>
      <c r="AA512" s="32"/>
      <c r="AB512" s="32"/>
    </row>
    <row r="513" spans="1:28" ht="15.6" customHeight="1" x14ac:dyDescent="0.25">
      <c r="A513" s="24"/>
      <c r="B513" s="24"/>
      <c r="C513" s="25"/>
      <c r="D513" s="25"/>
      <c r="E513" s="25"/>
      <c r="F513" s="25"/>
      <c r="G513" s="26"/>
      <c r="H513" s="27"/>
      <c r="I513" s="24"/>
      <c r="J513" s="24"/>
      <c r="K513" s="28"/>
      <c r="L513" s="29"/>
      <c r="M513" s="29"/>
      <c r="N513" s="29"/>
      <c r="O513" s="27"/>
      <c r="P513" s="30"/>
      <c r="Q513" s="31"/>
      <c r="R513" s="31"/>
      <c r="S513" s="32"/>
      <c r="T513" s="32"/>
      <c r="U513" s="32"/>
      <c r="V513" s="32"/>
      <c r="W513" s="32"/>
      <c r="X513" s="32"/>
      <c r="Y513" s="32"/>
      <c r="Z513" s="32"/>
      <c r="AA513" s="32"/>
      <c r="AB513" s="32"/>
    </row>
    <row r="514" spans="1:28" ht="15.6" customHeight="1" x14ac:dyDescent="0.25">
      <c r="A514" s="24"/>
      <c r="B514" s="24"/>
      <c r="C514" s="25"/>
      <c r="D514" s="25"/>
      <c r="E514" s="25"/>
      <c r="F514" s="25"/>
      <c r="G514" s="26"/>
      <c r="H514" s="27"/>
      <c r="I514" s="24"/>
      <c r="J514" s="24"/>
      <c r="K514" s="28"/>
      <c r="L514" s="29"/>
      <c r="M514" s="29"/>
      <c r="N514" s="29"/>
      <c r="O514" s="27"/>
      <c r="P514" s="30"/>
      <c r="Q514" s="31"/>
      <c r="R514" s="31"/>
      <c r="S514" s="32"/>
      <c r="T514" s="32"/>
      <c r="U514" s="32"/>
      <c r="V514" s="32"/>
      <c r="W514" s="32"/>
      <c r="X514" s="32"/>
      <c r="Y514" s="32"/>
      <c r="Z514" s="32"/>
      <c r="AA514" s="32"/>
      <c r="AB514" s="32"/>
    </row>
    <row r="515" spans="1:28" ht="15.6" customHeight="1" x14ac:dyDescent="0.25">
      <c r="A515" s="24"/>
      <c r="B515" s="24"/>
      <c r="C515" s="25"/>
      <c r="D515" s="25"/>
      <c r="E515" s="25"/>
      <c r="F515" s="25"/>
      <c r="G515" s="26"/>
      <c r="H515" s="27"/>
      <c r="I515" s="24"/>
      <c r="J515" s="24"/>
      <c r="K515" s="28"/>
      <c r="L515" s="29"/>
      <c r="M515" s="29"/>
      <c r="N515" s="29"/>
      <c r="O515" s="27"/>
      <c r="P515" s="30"/>
      <c r="Q515" s="31"/>
      <c r="R515" s="31"/>
      <c r="S515" s="32"/>
      <c r="T515" s="32"/>
      <c r="U515" s="32"/>
      <c r="V515" s="32"/>
      <c r="W515" s="32"/>
      <c r="X515" s="32"/>
      <c r="Y515" s="32"/>
      <c r="Z515" s="32"/>
      <c r="AA515" s="32"/>
      <c r="AB515" s="32"/>
    </row>
    <row r="516" spans="1:28" ht="15.6" customHeight="1" x14ac:dyDescent="0.25">
      <c r="A516" s="24"/>
      <c r="B516" s="24"/>
      <c r="C516" s="25"/>
      <c r="D516" s="25"/>
      <c r="E516" s="25"/>
      <c r="F516" s="25"/>
      <c r="G516" s="26"/>
      <c r="H516" s="27"/>
      <c r="I516" s="24"/>
      <c r="J516" s="24"/>
      <c r="K516" s="28"/>
      <c r="L516" s="29"/>
      <c r="M516" s="29"/>
      <c r="N516" s="29"/>
      <c r="O516" s="27"/>
      <c r="P516" s="30"/>
      <c r="Q516" s="31"/>
      <c r="R516" s="31"/>
      <c r="S516" s="32"/>
      <c r="T516" s="32"/>
      <c r="U516" s="32"/>
      <c r="V516" s="32"/>
      <c r="W516" s="32"/>
      <c r="X516" s="32"/>
      <c r="Y516" s="32"/>
      <c r="Z516" s="32"/>
      <c r="AA516" s="32"/>
      <c r="AB516" s="32"/>
    </row>
    <row r="517" spans="1:28" ht="15.6" customHeight="1" x14ac:dyDescent="0.25">
      <c r="A517" s="24"/>
      <c r="B517" s="24"/>
      <c r="C517" s="25"/>
      <c r="D517" s="25"/>
      <c r="E517" s="25"/>
      <c r="F517" s="25"/>
      <c r="G517" s="26"/>
      <c r="H517" s="27"/>
      <c r="I517" s="24"/>
      <c r="J517" s="24"/>
      <c r="K517" s="28"/>
      <c r="L517" s="29"/>
      <c r="M517" s="29"/>
      <c r="N517" s="29"/>
      <c r="O517" s="27"/>
      <c r="P517" s="30"/>
      <c r="Q517" s="31"/>
      <c r="R517" s="31"/>
      <c r="S517" s="32"/>
      <c r="T517" s="32"/>
      <c r="U517" s="32"/>
      <c r="V517" s="32"/>
      <c r="W517" s="32"/>
      <c r="X517" s="32"/>
      <c r="Y517" s="32"/>
      <c r="Z517" s="32"/>
      <c r="AA517" s="32"/>
      <c r="AB517" s="32"/>
    </row>
    <row r="518" spans="1:28" ht="15.6" customHeight="1" x14ac:dyDescent="0.25">
      <c r="A518" s="24"/>
      <c r="B518" s="24"/>
      <c r="C518" s="25"/>
      <c r="D518" s="25"/>
      <c r="E518" s="25"/>
      <c r="F518" s="25"/>
      <c r="G518" s="26"/>
      <c r="H518" s="27"/>
      <c r="I518" s="24"/>
      <c r="J518" s="24"/>
      <c r="K518" s="28"/>
      <c r="L518" s="29"/>
      <c r="M518" s="29"/>
      <c r="N518" s="29"/>
      <c r="O518" s="27"/>
      <c r="P518" s="30"/>
      <c r="Q518" s="31"/>
      <c r="R518" s="31"/>
      <c r="S518" s="32"/>
      <c r="T518" s="32"/>
      <c r="U518" s="32"/>
      <c r="V518" s="32"/>
      <c r="W518" s="32"/>
      <c r="X518" s="32"/>
      <c r="Y518" s="32"/>
      <c r="Z518" s="32"/>
      <c r="AA518" s="32"/>
      <c r="AB518" s="32"/>
    </row>
    <row r="519" spans="1:28" ht="15.6" customHeight="1" x14ac:dyDescent="0.25">
      <c r="A519" s="24"/>
      <c r="B519" s="24"/>
      <c r="C519" s="25"/>
      <c r="D519" s="25"/>
      <c r="E519" s="25"/>
      <c r="F519" s="25"/>
      <c r="G519" s="26"/>
      <c r="H519" s="27"/>
      <c r="I519" s="24"/>
      <c r="J519" s="24"/>
      <c r="K519" s="28"/>
      <c r="L519" s="29"/>
      <c r="M519" s="29"/>
      <c r="N519" s="29"/>
      <c r="O519" s="27"/>
      <c r="P519" s="30"/>
      <c r="Q519" s="31"/>
      <c r="R519" s="31"/>
      <c r="S519" s="32"/>
      <c r="T519" s="32"/>
      <c r="U519" s="32"/>
      <c r="V519" s="32"/>
      <c r="W519" s="32"/>
      <c r="X519" s="32"/>
      <c r="Y519" s="32"/>
      <c r="Z519" s="32"/>
      <c r="AA519" s="32"/>
      <c r="AB519" s="32"/>
    </row>
    <row r="520" spans="1:28" ht="15.6" customHeight="1" x14ac:dyDescent="0.25">
      <c r="A520" s="24"/>
      <c r="B520" s="24"/>
      <c r="C520" s="25"/>
      <c r="D520" s="25"/>
      <c r="E520" s="25"/>
      <c r="F520" s="25"/>
      <c r="G520" s="26"/>
      <c r="H520" s="27"/>
      <c r="I520" s="24"/>
      <c r="J520" s="24"/>
      <c r="K520" s="28"/>
      <c r="L520" s="29"/>
      <c r="M520" s="29"/>
      <c r="N520" s="29"/>
      <c r="O520" s="27"/>
      <c r="P520" s="30"/>
      <c r="Q520" s="31"/>
      <c r="R520" s="31"/>
      <c r="S520" s="32"/>
      <c r="T520" s="32"/>
      <c r="U520" s="32"/>
      <c r="V520" s="32"/>
      <c r="W520" s="32"/>
      <c r="X520" s="32"/>
      <c r="Y520" s="32"/>
      <c r="Z520" s="32"/>
      <c r="AA520" s="32"/>
      <c r="AB520" s="32"/>
    </row>
    <row r="521" spans="1:28" ht="15.6" customHeight="1" x14ac:dyDescent="0.25">
      <c r="A521" s="24"/>
      <c r="B521" s="24"/>
      <c r="C521" s="25"/>
      <c r="D521" s="25"/>
      <c r="E521" s="25"/>
      <c r="F521" s="25"/>
      <c r="G521" s="26"/>
      <c r="H521" s="27"/>
      <c r="I521" s="24"/>
      <c r="J521" s="24"/>
      <c r="K521" s="28"/>
      <c r="L521" s="29"/>
      <c r="M521" s="29"/>
      <c r="N521" s="29"/>
      <c r="O521" s="27"/>
      <c r="P521" s="30"/>
      <c r="Q521" s="31"/>
      <c r="R521" s="31"/>
      <c r="S521" s="32"/>
      <c r="T521" s="32"/>
      <c r="U521" s="32"/>
      <c r="V521" s="32"/>
      <c r="W521" s="32"/>
      <c r="X521" s="32"/>
      <c r="Y521" s="32"/>
      <c r="Z521" s="32"/>
      <c r="AA521" s="32"/>
      <c r="AB521" s="32"/>
    </row>
    <row r="522" spans="1:28" ht="15.6" customHeight="1" x14ac:dyDescent="0.25">
      <c r="A522" s="24"/>
      <c r="B522" s="24"/>
      <c r="C522" s="25"/>
      <c r="D522" s="25"/>
      <c r="E522" s="25"/>
      <c r="F522" s="25"/>
      <c r="G522" s="26"/>
      <c r="H522" s="27"/>
      <c r="I522" s="24"/>
      <c r="J522" s="24"/>
      <c r="K522" s="28"/>
      <c r="L522" s="29"/>
      <c r="M522" s="29"/>
      <c r="N522" s="29"/>
      <c r="O522" s="27"/>
      <c r="P522" s="30"/>
      <c r="Q522" s="31"/>
      <c r="R522" s="31"/>
      <c r="S522" s="32"/>
      <c r="T522" s="32"/>
      <c r="U522" s="32"/>
      <c r="V522" s="32"/>
      <c r="W522" s="32"/>
      <c r="X522" s="32"/>
      <c r="Y522" s="32"/>
      <c r="Z522" s="32"/>
      <c r="AA522" s="32"/>
      <c r="AB522" s="32"/>
    </row>
    <row r="523" spans="1:28" ht="15.6" customHeight="1" x14ac:dyDescent="0.25">
      <c r="A523" s="24"/>
      <c r="B523" s="24"/>
      <c r="C523" s="25"/>
      <c r="D523" s="25"/>
      <c r="E523" s="25"/>
      <c r="F523" s="25"/>
      <c r="G523" s="26"/>
      <c r="H523" s="27"/>
      <c r="I523" s="24"/>
      <c r="J523" s="24"/>
      <c r="K523" s="28"/>
      <c r="L523" s="29"/>
      <c r="M523" s="29"/>
      <c r="N523" s="29"/>
      <c r="O523" s="27"/>
      <c r="P523" s="30"/>
      <c r="Q523" s="31"/>
      <c r="R523" s="31"/>
      <c r="S523" s="32"/>
      <c r="T523" s="32"/>
      <c r="U523" s="32"/>
      <c r="V523" s="32"/>
      <c r="W523" s="32"/>
      <c r="X523" s="32"/>
      <c r="Y523" s="32"/>
      <c r="Z523" s="32"/>
      <c r="AA523" s="32"/>
      <c r="AB523" s="32"/>
    </row>
    <row r="524" spans="1:28" ht="15.6" customHeight="1" x14ac:dyDescent="0.25">
      <c r="A524" s="24"/>
      <c r="B524" s="24"/>
      <c r="C524" s="25"/>
      <c r="D524" s="25"/>
      <c r="E524" s="25"/>
      <c r="F524" s="25"/>
      <c r="G524" s="26"/>
      <c r="H524" s="27"/>
      <c r="I524" s="24"/>
      <c r="J524" s="24"/>
      <c r="K524" s="28"/>
      <c r="L524" s="29"/>
      <c r="M524" s="29"/>
      <c r="N524" s="29"/>
      <c r="O524" s="27"/>
      <c r="P524" s="30"/>
      <c r="Q524" s="31"/>
      <c r="R524" s="31"/>
      <c r="S524" s="32"/>
      <c r="T524" s="32"/>
      <c r="U524" s="32"/>
      <c r="V524" s="32"/>
      <c r="W524" s="32"/>
      <c r="X524" s="32"/>
      <c r="Y524" s="32"/>
      <c r="Z524" s="32"/>
      <c r="AA524" s="32"/>
      <c r="AB524" s="32"/>
    </row>
    <row r="525" spans="1:28" ht="15.6" customHeight="1" x14ac:dyDescent="0.25">
      <c r="A525" s="24"/>
      <c r="B525" s="24"/>
      <c r="C525" s="25"/>
      <c r="D525" s="25"/>
      <c r="E525" s="25"/>
      <c r="F525" s="25"/>
      <c r="G525" s="26"/>
      <c r="H525" s="27"/>
      <c r="I525" s="24"/>
      <c r="J525" s="24"/>
      <c r="K525" s="28"/>
      <c r="L525" s="29"/>
      <c r="M525" s="29"/>
      <c r="N525" s="29"/>
      <c r="O525" s="27"/>
      <c r="P525" s="30"/>
      <c r="Q525" s="31"/>
      <c r="R525" s="31"/>
      <c r="S525" s="32"/>
      <c r="T525" s="32"/>
      <c r="U525" s="32"/>
      <c r="V525" s="32"/>
      <c r="W525" s="32"/>
      <c r="X525" s="32"/>
      <c r="Y525" s="32"/>
      <c r="Z525" s="32"/>
      <c r="AA525" s="32"/>
      <c r="AB525" s="32"/>
    </row>
    <row r="526" spans="1:28" ht="15.6" customHeight="1" x14ac:dyDescent="0.25">
      <c r="A526" s="24"/>
      <c r="B526" s="24"/>
      <c r="C526" s="25"/>
      <c r="D526" s="25"/>
      <c r="E526" s="25"/>
      <c r="F526" s="25"/>
      <c r="G526" s="26"/>
      <c r="H526" s="27"/>
      <c r="I526" s="24"/>
      <c r="J526" s="24"/>
      <c r="K526" s="28"/>
      <c r="L526" s="29"/>
      <c r="M526" s="29"/>
      <c r="N526" s="29"/>
      <c r="O526" s="27"/>
      <c r="P526" s="30"/>
      <c r="Q526" s="31"/>
      <c r="R526" s="31"/>
      <c r="S526" s="32"/>
      <c r="T526" s="32"/>
      <c r="U526" s="32"/>
      <c r="V526" s="32"/>
      <c r="W526" s="32"/>
      <c r="X526" s="32"/>
      <c r="Y526" s="32"/>
      <c r="Z526" s="32"/>
      <c r="AA526" s="32"/>
      <c r="AB526" s="32"/>
    </row>
    <row r="527" spans="1:28" ht="15.6" customHeight="1" x14ac:dyDescent="0.25">
      <c r="A527" s="24"/>
      <c r="B527" s="24"/>
      <c r="C527" s="25"/>
      <c r="D527" s="25"/>
      <c r="E527" s="25"/>
      <c r="F527" s="25"/>
      <c r="G527" s="26"/>
      <c r="H527" s="27"/>
      <c r="I527" s="24"/>
      <c r="J527" s="24"/>
      <c r="K527" s="28"/>
      <c r="L527" s="29"/>
      <c r="M527" s="29"/>
      <c r="N527" s="29"/>
      <c r="O527" s="27"/>
      <c r="P527" s="30"/>
      <c r="Q527" s="31"/>
      <c r="R527" s="31"/>
      <c r="S527" s="32"/>
      <c r="T527" s="32"/>
      <c r="U527" s="32"/>
      <c r="V527" s="32"/>
      <c r="W527" s="32"/>
      <c r="X527" s="32"/>
      <c r="Y527" s="32"/>
      <c r="Z527" s="32"/>
      <c r="AA527" s="32"/>
      <c r="AB527" s="32"/>
    </row>
    <row r="528" spans="1:28" ht="15.6" customHeight="1" x14ac:dyDescent="0.25">
      <c r="A528" s="24"/>
      <c r="B528" s="24"/>
      <c r="C528" s="25"/>
      <c r="D528" s="25"/>
      <c r="E528" s="25"/>
      <c r="F528" s="25"/>
      <c r="G528" s="26"/>
      <c r="H528" s="27"/>
      <c r="I528" s="24"/>
      <c r="J528" s="24"/>
      <c r="K528" s="28"/>
      <c r="L528" s="29"/>
      <c r="M528" s="29"/>
      <c r="N528" s="29"/>
      <c r="O528" s="27"/>
      <c r="P528" s="30"/>
      <c r="Q528" s="31"/>
      <c r="R528" s="31"/>
      <c r="S528" s="32"/>
      <c r="T528" s="32"/>
      <c r="U528" s="32"/>
      <c r="V528" s="32"/>
      <c r="W528" s="32"/>
      <c r="X528" s="32"/>
      <c r="Y528" s="32"/>
      <c r="Z528" s="32"/>
      <c r="AA528" s="32"/>
      <c r="AB528" s="32"/>
    </row>
    <row r="529" spans="1:28" ht="15.6" customHeight="1" x14ac:dyDescent="0.25">
      <c r="A529" s="24"/>
      <c r="B529" s="24"/>
      <c r="C529" s="25"/>
      <c r="D529" s="25"/>
      <c r="E529" s="25"/>
      <c r="F529" s="25"/>
      <c r="G529" s="26"/>
      <c r="H529" s="27"/>
      <c r="I529" s="24"/>
      <c r="J529" s="24"/>
      <c r="K529" s="28"/>
      <c r="L529" s="29"/>
      <c r="M529" s="29"/>
      <c r="N529" s="29"/>
      <c r="O529" s="27"/>
      <c r="P529" s="30"/>
      <c r="Q529" s="31"/>
      <c r="R529" s="31"/>
      <c r="S529" s="32"/>
      <c r="T529" s="32"/>
      <c r="U529" s="32"/>
      <c r="V529" s="32"/>
      <c r="W529" s="32"/>
      <c r="X529" s="32"/>
      <c r="Y529" s="32"/>
      <c r="Z529" s="32"/>
      <c r="AA529" s="32"/>
      <c r="AB529" s="32"/>
    </row>
    <row r="530" spans="1:28" ht="15.6" customHeight="1" x14ac:dyDescent="0.25">
      <c r="A530" s="24"/>
      <c r="B530" s="24"/>
      <c r="C530" s="25"/>
      <c r="D530" s="25"/>
      <c r="E530" s="25"/>
      <c r="F530" s="25"/>
      <c r="G530" s="26"/>
      <c r="H530" s="27"/>
      <c r="I530" s="24"/>
      <c r="J530" s="24"/>
      <c r="K530" s="28"/>
      <c r="L530" s="29"/>
      <c r="M530" s="29"/>
      <c r="N530" s="29"/>
      <c r="O530" s="27"/>
      <c r="P530" s="30"/>
      <c r="Q530" s="31"/>
      <c r="R530" s="31"/>
      <c r="S530" s="32"/>
      <c r="T530" s="32"/>
      <c r="U530" s="32"/>
      <c r="V530" s="32"/>
      <c r="W530" s="32"/>
      <c r="X530" s="32"/>
      <c r="Y530" s="32"/>
      <c r="Z530" s="32"/>
      <c r="AA530" s="32"/>
      <c r="AB530" s="32"/>
    </row>
    <row r="531" spans="1:28" ht="15.6" customHeight="1" x14ac:dyDescent="0.25">
      <c r="A531" s="24"/>
      <c r="B531" s="24"/>
      <c r="C531" s="25"/>
      <c r="D531" s="25"/>
      <c r="E531" s="25"/>
      <c r="F531" s="25"/>
      <c r="G531" s="26"/>
      <c r="H531" s="27"/>
      <c r="I531" s="24"/>
      <c r="J531" s="24"/>
      <c r="K531" s="28"/>
      <c r="L531" s="29"/>
      <c r="M531" s="29"/>
      <c r="N531" s="29"/>
      <c r="O531" s="27"/>
      <c r="P531" s="30"/>
      <c r="Q531" s="31"/>
      <c r="R531" s="31"/>
      <c r="S531" s="32"/>
      <c r="T531" s="32"/>
      <c r="U531" s="32"/>
      <c r="V531" s="32"/>
      <c r="W531" s="32"/>
      <c r="X531" s="32"/>
      <c r="Y531" s="32"/>
      <c r="Z531" s="32"/>
      <c r="AA531" s="32"/>
      <c r="AB531" s="32"/>
    </row>
    <row r="532" spans="1:28" ht="15.6" customHeight="1" x14ac:dyDescent="0.25">
      <c r="A532" s="24"/>
      <c r="B532" s="24"/>
      <c r="C532" s="25"/>
      <c r="D532" s="25"/>
      <c r="E532" s="25"/>
      <c r="F532" s="25"/>
      <c r="G532" s="26"/>
      <c r="H532" s="27"/>
      <c r="I532" s="24"/>
      <c r="J532" s="24"/>
      <c r="K532" s="28"/>
      <c r="L532" s="29"/>
      <c r="M532" s="29"/>
      <c r="N532" s="29"/>
      <c r="O532" s="27"/>
      <c r="P532" s="30"/>
      <c r="Q532" s="31"/>
      <c r="R532" s="31"/>
      <c r="S532" s="32"/>
      <c r="T532" s="32"/>
      <c r="U532" s="32"/>
      <c r="V532" s="32"/>
      <c r="W532" s="32"/>
      <c r="X532" s="32"/>
      <c r="Y532" s="32"/>
      <c r="Z532" s="32"/>
      <c r="AA532" s="32"/>
      <c r="AB532" s="32"/>
    </row>
    <row r="533" spans="1:28" ht="15.6" customHeight="1" x14ac:dyDescent="0.25">
      <c r="A533" s="24"/>
      <c r="B533" s="24"/>
      <c r="C533" s="25"/>
      <c r="D533" s="25"/>
      <c r="E533" s="25"/>
      <c r="F533" s="25"/>
      <c r="G533" s="26"/>
      <c r="H533" s="27"/>
      <c r="I533" s="24"/>
      <c r="J533" s="24"/>
      <c r="K533" s="28"/>
      <c r="L533" s="29"/>
      <c r="M533" s="29"/>
      <c r="N533" s="29"/>
      <c r="O533" s="27"/>
      <c r="P533" s="30"/>
      <c r="Q533" s="31"/>
      <c r="R533" s="31"/>
      <c r="S533" s="32"/>
      <c r="T533" s="32"/>
      <c r="U533" s="32"/>
      <c r="V533" s="32"/>
      <c r="W533" s="32"/>
      <c r="X533" s="32"/>
      <c r="Y533" s="32"/>
      <c r="Z533" s="32"/>
      <c r="AA533" s="32"/>
      <c r="AB533" s="32"/>
    </row>
    <row r="534" spans="1:28" ht="15.6" customHeight="1" x14ac:dyDescent="0.25">
      <c r="A534" s="24"/>
      <c r="B534" s="24"/>
      <c r="C534" s="25"/>
      <c r="D534" s="25"/>
      <c r="E534" s="25"/>
      <c r="F534" s="25"/>
      <c r="G534" s="26"/>
      <c r="H534" s="27"/>
      <c r="I534" s="24"/>
      <c r="J534" s="24"/>
      <c r="K534" s="28"/>
      <c r="L534" s="29"/>
      <c r="M534" s="29"/>
      <c r="N534" s="29"/>
      <c r="O534" s="27"/>
      <c r="P534" s="30"/>
      <c r="Q534" s="31"/>
      <c r="R534" s="31"/>
      <c r="S534" s="32"/>
      <c r="T534" s="32"/>
      <c r="U534" s="32"/>
      <c r="V534" s="32"/>
      <c r="W534" s="32"/>
      <c r="X534" s="32"/>
      <c r="Y534" s="32"/>
      <c r="Z534" s="32"/>
      <c r="AA534" s="32"/>
      <c r="AB534" s="32"/>
    </row>
    <row r="535" spans="1:28" ht="15.6" customHeight="1" x14ac:dyDescent="0.25">
      <c r="A535" s="24"/>
      <c r="B535" s="24"/>
      <c r="C535" s="25"/>
      <c r="D535" s="25"/>
      <c r="E535" s="25"/>
      <c r="F535" s="25"/>
      <c r="G535" s="26"/>
      <c r="H535" s="27"/>
      <c r="I535" s="24"/>
      <c r="J535" s="24"/>
      <c r="K535" s="28"/>
      <c r="L535" s="29"/>
      <c r="M535" s="29"/>
      <c r="N535" s="29"/>
      <c r="O535" s="27"/>
      <c r="P535" s="30"/>
      <c r="Q535" s="31"/>
      <c r="R535" s="31"/>
      <c r="S535" s="32"/>
      <c r="T535" s="32"/>
      <c r="U535" s="32"/>
      <c r="V535" s="32"/>
      <c r="W535" s="32"/>
      <c r="X535" s="32"/>
      <c r="Y535" s="32"/>
      <c r="Z535" s="32"/>
      <c r="AA535" s="32"/>
      <c r="AB535" s="32"/>
    </row>
    <row r="536" spans="1:28" ht="15.6" customHeight="1" x14ac:dyDescent="0.25">
      <c r="A536" s="24"/>
      <c r="B536" s="24"/>
      <c r="C536" s="25"/>
      <c r="D536" s="25"/>
      <c r="E536" s="25"/>
      <c r="F536" s="25"/>
      <c r="G536" s="26"/>
      <c r="H536" s="27"/>
      <c r="I536" s="24"/>
      <c r="J536" s="24"/>
      <c r="K536" s="28"/>
      <c r="L536" s="29"/>
      <c r="M536" s="29"/>
      <c r="N536" s="29"/>
      <c r="O536" s="27"/>
      <c r="P536" s="30"/>
      <c r="Q536" s="31"/>
      <c r="R536" s="31"/>
      <c r="S536" s="32"/>
      <c r="T536" s="32"/>
      <c r="U536" s="32"/>
      <c r="V536" s="32"/>
      <c r="W536" s="32"/>
      <c r="X536" s="32"/>
      <c r="Y536" s="32"/>
      <c r="Z536" s="32"/>
      <c r="AA536" s="32"/>
      <c r="AB536" s="32"/>
    </row>
    <row r="537" spans="1:28" ht="15.6" customHeight="1" x14ac:dyDescent="0.25">
      <c r="A537" s="24"/>
      <c r="B537" s="24"/>
      <c r="C537" s="25"/>
      <c r="D537" s="25"/>
      <c r="E537" s="25"/>
      <c r="F537" s="25"/>
      <c r="G537" s="26"/>
      <c r="H537" s="27"/>
      <c r="I537" s="24"/>
      <c r="J537" s="24"/>
      <c r="K537" s="28"/>
      <c r="L537" s="29"/>
      <c r="M537" s="29"/>
      <c r="N537" s="29"/>
      <c r="O537" s="27"/>
      <c r="P537" s="30"/>
      <c r="Q537" s="31"/>
      <c r="R537" s="31"/>
      <c r="S537" s="32"/>
      <c r="T537" s="32"/>
      <c r="U537" s="32"/>
      <c r="V537" s="32"/>
      <c r="W537" s="32"/>
      <c r="X537" s="32"/>
      <c r="Y537" s="32"/>
      <c r="Z537" s="32"/>
      <c r="AA537" s="32"/>
      <c r="AB537" s="32"/>
    </row>
    <row r="538" spans="1:28" ht="15.6" customHeight="1" x14ac:dyDescent="0.25">
      <c r="A538" s="24"/>
      <c r="B538" s="24"/>
      <c r="C538" s="25"/>
      <c r="D538" s="25"/>
      <c r="E538" s="25"/>
      <c r="F538" s="25"/>
      <c r="G538" s="26"/>
      <c r="H538" s="27"/>
      <c r="I538" s="24"/>
      <c r="J538" s="24"/>
      <c r="K538" s="28"/>
      <c r="L538" s="29"/>
      <c r="M538" s="29"/>
      <c r="N538" s="29"/>
      <c r="O538" s="27"/>
      <c r="P538" s="30"/>
      <c r="Q538" s="31"/>
      <c r="R538" s="31"/>
      <c r="S538" s="32"/>
      <c r="T538" s="32"/>
      <c r="U538" s="32"/>
      <c r="V538" s="32"/>
      <c r="W538" s="32"/>
      <c r="X538" s="32"/>
      <c r="Y538" s="32"/>
      <c r="Z538" s="32"/>
      <c r="AA538" s="32"/>
      <c r="AB538" s="32"/>
    </row>
    <row r="539" spans="1:28" ht="15.6" customHeight="1" x14ac:dyDescent="0.25">
      <c r="A539" s="24"/>
      <c r="B539" s="24"/>
      <c r="C539" s="25"/>
      <c r="D539" s="25"/>
      <c r="E539" s="25"/>
      <c r="F539" s="25"/>
      <c r="G539" s="26"/>
      <c r="H539" s="27"/>
      <c r="I539" s="24"/>
      <c r="J539" s="24"/>
      <c r="K539" s="28"/>
      <c r="L539" s="29"/>
      <c r="M539" s="29"/>
      <c r="N539" s="29"/>
      <c r="O539" s="27"/>
      <c r="P539" s="30"/>
      <c r="Q539" s="31"/>
      <c r="R539" s="31"/>
      <c r="S539" s="32"/>
      <c r="T539" s="32"/>
      <c r="U539" s="32"/>
      <c r="V539" s="32"/>
      <c r="W539" s="32"/>
      <c r="X539" s="32"/>
      <c r="Y539" s="32"/>
      <c r="Z539" s="32"/>
      <c r="AA539" s="32"/>
      <c r="AB539" s="32"/>
    </row>
    <row r="540" spans="1:28" ht="15.6" customHeight="1" x14ac:dyDescent="0.25">
      <c r="A540" s="24"/>
      <c r="B540" s="24"/>
      <c r="C540" s="25"/>
      <c r="D540" s="25"/>
      <c r="E540" s="25"/>
      <c r="F540" s="25"/>
      <c r="G540" s="26"/>
      <c r="H540" s="27"/>
      <c r="I540" s="24"/>
      <c r="J540" s="24"/>
      <c r="K540" s="28"/>
      <c r="L540" s="29"/>
      <c r="M540" s="29"/>
      <c r="N540" s="29"/>
      <c r="O540" s="27"/>
      <c r="P540" s="30"/>
      <c r="Q540" s="31"/>
      <c r="R540" s="31"/>
      <c r="S540" s="32"/>
      <c r="T540" s="32"/>
      <c r="U540" s="32"/>
      <c r="V540" s="32"/>
      <c r="W540" s="32"/>
      <c r="X540" s="32"/>
      <c r="Y540" s="32"/>
      <c r="Z540" s="32"/>
      <c r="AA540" s="32"/>
      <c r="AB540" s="32"/>
    </row>
    <row r="541" spans="1:28" ht="15.6" customHeight="1" x14ac:dyDescent="0.25">
      <c r="A541" s="24"/>
      <c r="B541" s="24"/>
      <c r="C541" s="25"/>
      <c r="D541" s="25"/>
      <c r="E541" s="25"/>
      <c r="F541" s="25"/>
      <c r="G541" s="26"/>
      <c r="H541" s="27"/>
      <c r="I541" s="24"/>
      <c r="J541" s="24"/>
      <c r="K541" s="28"/>
      <c r="L541" s="29"/>
      <c r="M541" s="29"/>
      <c r="N541" s="29"/>
      <c r="O541" s="27"/>
      <c r="P541" s="30"/>
      <c r="Q541" s="31"/>
      <c r="R541" s="31"/>
      <c r="S541" s="32"/>
      <c r="T541" s="32"/>
      <c r="U541" s="32"/>
      <c r="V541" s="32"/>
      <c r="W541" s="32"/>
      <c r="X541" s="32"/>
      <c r="Y541" s="32"/>
      <c r="Z541" s="32"/>
      <c r="AA541" s="32"/>
      <c r="AB541" s="32"/>
    </row>
    <row r="542" spans="1:28" ht="15.6" customHeight="1" x14ac:dyDescent="0.25">
      <c r="A542" s="24"/>
      <c r="B542" s="24"/>
      <c r="C542" s="25"/>
      <c r="D542" s="25"/>
      <c r="E542" s="25"/>
      <c r="F542" s="25"/>
      <c r="G542" s="26"/>
      <c r="H542" s="27"/>
      <c r="I542" s="24"/>
      <c r="J542" s="24"/>
      <c r="K542" s="28"/>
      <c r="L542" s="29"/>
      <c r="M542" s="29"/>
      <c r="N542" s="29"/>
      <c r="O542" s="27"/>
      <c r="P542" s="30"/>
      <c r="Q542" s="31"/>
      <c r="R542" s="31"/>
      <c r="S542" s="32"/>
      <c r="T542" s="32"/>
      <c r="U542" s="32"/>
      <c r="V542" s="32"/>
      <c r="W542" s="32"/>
      <c r="X542" s="32"/>
      <c r="Y542" s="32"/>
      <c r="Z542" s="32"/>
      <c r="AA542" s="32"/>
      <c r="AB542" s="32"/>
    </row>
    <row r="543" spans="1:28" ht="15.6" customHeight="1" x14ac:dyDescent="0.25">
      <c r="A543" s="24"/>
      <c r="B543" s="24"/>
      <c r="C543" s="25"/>
      <c r="D543" s="25"/>
      <c r="E543" s="25"/>
      <c r="F543" s="25"/>
      <c r="G543" s="26"/>
      <c r="H543" s="27"/>
      <c r="I543" s="24"/>
      <c r="J543" s="24"/>
      <c r="K543" s="28"/>
      <c r="L543" s="29"/>
      <c r="M543" s="29"/>
      <c r="N543" s="29"/>
      <c r="O543" s="27"/>
      <c r="P543" s="30"/>
      <c r="Q543" s="31"/>
      <c r="R543" s="31"/>
      <c r="S543" s="32"/>
      <c r="T543" s="32"/>
      <c r="U543" s="32"/>
      <c r="V543" s="32"/>
      <c r="W543" s="32"/>
      <c r="X543" s="32"/>
      <c r="Y543" s="32"/>
      <c r="Z543" s="32"/>
      <c r="AA543" s="32"/>
      <c r="AB543" s="32"/>
    </row>
    <row r="544" spans="1:28" ht="15.6" customHeight="1" x14ac:dyDescent="0.25">
      <c r="A544" s="24"/>
      <c r="B544" s="24"/>
      <c r="C544" s="25"/>
      <c r="D544" s="25"/>
      <c r="E544" s="25"/>
      <c r="F544" s="25"/>
      <c r="G544" s="26"/>
      <c r="H544" s="27"/>
      <c r="I544" s="24"/>
      <c r="J544" s="24"/>
      <c r="K544" s="28"/>
      <c r="L544" s="29"/>
      <c r="M544" s="29"/>
      <c r="N544" s="29"/>
      <c r="O544" s="27"/>
      <c r="P544" s="30"/>
      <c r="Q544" s="31"/>
      <c r="R544" s="31"/>
      <c r="S544" s="32"/>
      <c r="T544" s="32"/>
      <c r="U544" s="32"/>
      <c r="V544" s="32"/>
      <c r="W544" s="32"/>
      <c r="X544" s="32"/>
      <c r="Y544" s="32"/>
      <c r="Z544" s="32"/>
      <c r="AA544" s="32"/>
      <c r="AB544" s="32"/>
    </row>
    <row r="545" spans="1:28" ht="15.6" customHeight="1" x14ac:dyDescent="0.25">
      <c r="A545" s="24"/>
      <c r="B545" s="24"/>
      <c r="C545" s="25"/>
      <c r="D545" s="25"/>
      <c r="E545" s="25"/>
      <c r="F545" s="25"/>
      <c r="G545" s="26"/>
      <c r="H545" s="27"/>
      <c r="I545" s="24"/>
      <c r="J545" s="24"/>
      <c r="K545" s="28"/>
      <c r="L545" s="29"/>
      <c r="M545" s="29"/>
      <c r="N545" s="29"/>
      <c r="O545" s="27"/>
      <c r="P545" s="30"/>
      <c r="Q545" s="31"/>
      <c r="R545" s="31"/>
      <c r="S545" s="32"/>
      <c r="T545" s="32"/>
      <c r="U545" s="32"/>
      <c r="V545" s="32"/>
      <c r="W545" s="32"/>
      <c r="X545" s="32"/>
      <c r="Y545" s="32"/>
      <c r="Z545" s="32"/>
      <c r="AA545" s="32"/>
      <c r="AB545" s="32"/>
    </row>
    <row r="546" spans="1:28" ht="15.6" customHeight="1" x14ac:dyDescent="0.25">
      <c r="A546" s="24"/>
      <c r="B546" s="24"/>
      <c r="C546" s="25"/>
      <c r="D546" s="25"/>
      <c r="E546" s="25"/>
      <c r="F546" s="25"/>
      <c r="G546" s="26"/>
      <c r="H546" s="27"/>
      <c r="I546" s="24"/>
      <c r="J546" s="24"/>
      <c r="K546" s="28"/>
      <c r="L546" s="29"/>
      <c r="M546" s="29"/>
      <c r="N546" s="29"/>
      <c r="O546" s="27"/>
      <c r="P546" s="30"/>
      <c r="Q546" s="31"/>
      <c r="R546" s="31"/>
      <c r="S546" s="32"/>
      <c r="T546" s="32"/>
      <c r="U546" s="32"/>
      <c r="V546" s="32"/>
      <c r="W546" s="32"/>
      <c r="X546" s="32"/>
      <c r="Y546" s="32"/>
      <c r="Z546" s="32"/>
      <c r="AA546" s="32"/>
      <c r="AB546" s="32"/>
    </row>
    <row r="547" spans="1:28" ht="15.6" customHeight="1" x14ac:dyDescent="0.25">
      <c r="A547" s="24"/>
      <c r="B547" s="24"/>
      <c r="C547" s="25"/>
      <c r="D547" s="25"/>
      <c r="E547" s="25"/>
      <c r="F547" s="25"/>
      <c r="G547" s="26"/>
      <c r="H547" s="27"/>
      <c r="I547" s="24"/>
      <c r="J547" s="24"/>
      <c r="K547" s="28"/>
      <c r="L547" s="29"/>
      <c r="M547" s="29"/>
      <c r="N547" s="29"/>
      <c r="O547" s="27"/>
      <c r="P547" s="30"/>
      <c r="Q547" s="31"/>
      <c r="R547" s="31"/>
      <c r="S547" s="32"/>
      <c r="T547" s="32"/>
      <c r="U547" s="32"/>
      <c r="V547" s="32"/>
      <c r="W547" s="32"/>
      <c r="X547" s="32"/>
      <c r="Y547" s="32"/>
      <c r="Z547" s="32"/>
      <c r="AA547" s="32"/>
      <c r="AB547" s="32"/>
    </row>
    <row r="548" spans="1:28" ht="15.6" customHeight="1" x14ac:dyDescent="0.25">
      <c r="A548" s="24"/>
      <c r="B548" s="24"/>
      <c r="C548" s="25"/>
      <c r="D548" s="25"/>
      <c r="E548" s="25"/>
      <c r="F548" s="25"/>
      <c r="G548" s="26"/>
      <c r="H548" s="27"/>
      <c r="I548" s="24"/>
      <c r="J548" s="24"/>
      <c r="K548" s="28"/>
      <c r="L548" s="29"/>
      <c r="M548" s="29"/>
      <c r="N548" s="29"/>
      <c r="O548" s="27"/>
      <c r="P548" s="30"/>
      <c r="Q548" s="31"/>
      <c r="R548" s="31"/>
      <c r="S548" s="32"/>
      <c r="T548" s="32"/>
      <c r="U548" s="32"/>
      <c r="V548" s="32"/>
      <c r="W548" s="32"/>
      <c r="X548" s="32"/>
      <c r="Y548" s="32"/>
      <c r="Z548" s="32"/>
      <c r="AA548" s="32"/>
      <c r="AB548" s="32"/>
    </row>
    <row r="549" spans="1:28" ht="15.6" customHeight="1" x14ac:dyDescent="0.25">
      <c r="A549" s="24"/>
      <c r="B549" s="24"/>
      <c r="C549" s="25"/>
      <c r="D549" s="25"/>
      <c r="E549" s="25"/>
      <c r="F549" s="25"/>
      <c r="G549" s="26"/>
      <c r="H549" s="27"/>
      <c r="I549" s="24"/>
      <c r="J549" s="24"/>
      <c r="K549" s="28"/>
      <c r="L549" s="29"/>
      <c r="M549" s="29"/>
      <c r="N549" s="29"/>
      <c r="O549" s="27"/>
      <c r="P549" s="30"/>
      <c r="Q549" s="31"/>
      <c r="R549" s="31"/>
      <c r="S549" s="32"/>
      <c r="T549" s="32"/>
      <c r="U549" s="32"/>
      <c r="V549" s="32"/>
      <c r="W549" s="32"/>
      <c r="X549" s="32"/>
      <c r="Y549" s="32"/>
      <c r="Z549" s="32"/>
      <c r="AA549" s="32"/>
      <c r="AB549" s="32"/>
    </row>
    <row r="550" spans="1:28" ht="15.6" customHeight="1" x14ac:dyDescent="0.25">
      <c r="A550" s="24"/>
      <c r="B550" s="24"/>
      <c r="C550" s="25"/>
      <c r="D550" s="25"/>
      <c r="E550" s="25"/>
      <c r="F550" s="25"/>
      <c r="G550" s="26"/>
      <c r="H550" s="27"/>
      <c r="I550" s="24"/>
      <c r="J550" s="24"/>
      <c r="K550" s="28"/>
      <c r="L550" s="29"/>
      <c r="M550" s="29"/>
      <c r="N550" s="29"/>
      <c r="O550" s="27"/>
      <c r="P550" s="30"/>
      <c r="Q550" s="31"/>
      <c r="R550" s="31"/>
      <c r="S550" s="32"/>
      <c r="T550" s="32"/>
      <c r="U550" s="32"/>
      <c r="V550" s="32"/>
      <c r="W550" s="32"/>
      <c r="X550" s="32"/>
      <c r="Y550" s="32"/>
      <c r="Z550" s="32"/>
      <c r="AA550" s="32"/>
      <c r="AB550" s="32"/>
    </row>
    <row r="551" spans="1:28" ht="15.6" customHeight="1" x14ac:dyDescent="0.25">
      <c r="A551" s="24"/>
      <c r="B551" s="24"/>
      <c r="C551" s="25"/>
      <c r="D551" s="25"/>
      <c r="E551" s="25"/>
      <c r="F551" s="25"/>
      <c r="G551" s="26"/>
      <c r="H551" s="27"/>
      <c r="I551" s="24"/>
      <c r="J551" s="24"/>
      <c r="K551" s="28"/>
      <c r="L551" s="29"/>
      <c r="M551" s="29"/>
      <c r="N551" s="29"/>
      <c r="O551" s="27"/>
      <c r="P551" s="30"/>
      <c r="Q551" s="31"/>
      <c r="R551" s="31"/>
      <c r="S551" s="32"/>
      <c r="T551" s="32"/>
      <c r="U551" s="32"/>
      <c r="V551" s="32"/>
      <c r="W551" s="32"/>
      <c r="X551" s="32"/>
      <c r="Y551" s="32"/>
      <c r="Z551" s="32"/>
      <c r="AA551" s="32"/>
      <c r="AB551" s="32"/>
    </row>
    <row r="552" spans="1:28" ht="15.6" customHeight="1" x14ac:dyDescent="0.25">
      <c r="A552" s="24"/>
      <c r="B552" s="24"/>
      <c r="C552" s="25"/>
      <c r="D552" s="25"/>
      <c r="E552" s="25"/>
      <c r="F552" s="25"/>
      <c r="G552" s="26"/>
      <c r="H552" s="27"/>
      <c r="I552" s="24"/>
      <c r="J552" s="24"/>
      <c r="K552" s="28"/>
      <c r="L552" s="29"/>
      <c r="M552" s="29"/>
      <c r="N552" s="29"/>
      <c r="O552" s="27"/>
      <c r="P552" s="30"/>
      <c r="Q552" s="31"/>
      <c r="R552" s="31"/>
      <c r="S552" s="32"/>
      <c r="T552" s="32"/>
      <c r="U552" s="32"/>
      <c r="V552" s="32"/>
      <c r="W552" s="32"/>
      <c r="X552" s="32"/>
      <c r="Y552" s="32"/>
      <c r="Z552" s="32"/>
      <c r="AA552" s="32"/>
      <c r="AB552" s="32"/>
    </row>
    <row r="553" spans="1:28" ht="15.6" customHeight="1" x14ac:dyDescent="0.25">
      <c r="A553" s="24"/>
      <c r="B553" s="24"/>
      <c r="C553" s="25"/>
      <c r="D553" s="25"/>
      <c r="E553" s="25"/>
      <c r="F553" s="25"/>
      <c r="G553" s="26"/>
      <c r="H553" s="27"/>
      <c r="I553" s="24"/>
      <c r="J553" s="24"/>
      <c r="K553" s="28"/>
      <c r="L553" s="29"/>
      <c r="M553" s="29"/>
      <c r="N553" s="29"/>
      <c r="O553" s="27"/>
      <c r="P553" s="30"/>
      <c r="Q553" s="31"/>
      <c r="R553" s="31"/>
      <c r="S553" s="32"/>
      <c r="T553" s="32"/>
      <c r="U553" s="32"/>
      <c r="V553" s="32"/>
      <c r="W553" s="32"/>
      <c r="X553" s="32"/>
      <c r="Y553" s="32"/>
      <c r="Z553" s="32"/>
      <c r="AA553" s="32"/>
      <c r="AB553" s="32"/>
    </row>
    <row r="554" spans="1:28" ht="15.6" customHeight="1" x14ac:dyDescent="0.25">
      <c r="A554" s="24"/>
      <c r="B554" s="24"/>
      <c r="C554" s="25"/>
      <c r="D554" s="25"/>
      <c r="E554" s="25"/>
      <c r="F554" s="25"/>
      <c r="G554" s="26"/>
      <c r="H554" s="27"/>
      <c r="I554" s="24"/>
      <c r="J554" s="24"/>
      <c r="K554" s="28"/>
      <c r="L554" s="29"/>
      <c r="M554" s="29"/>
      <c r="N554" s="29"/>
      <c r="O554" s="27"/>
      <c r="P554" s="30"/>
      <c r="Q554" s="31"/>
      <c r="R554" s="31"/>
      <c r="S554" s="32"/>
      <c r="T554" s="32"/>
      <c r="U554" s="32"/>
      <c r="V554" s="32"/>
      <c r="W554" s="32"/>
      <c r="X554" s="32"/>
      <c r="Y554" s="32"/>
      <c r="Z554" s="32"/>
      <c r="AA554" s="32"/>
      <c r="AB554" s="32"/>
    </row>
    <row r="555" spans="1:28" ht="15.6" customHeight="1" x14ac:dyDescent="0.25">
      <c r="A555" s="24"/>
      <c r="B555" s="24"/>
      <c r="C555" s="25"/>
      <c r="D555" s="25"/>
      <c r="E555" s="25"/>
      <c r="F555" s="25"/>
      <c r="G555" s="26"/>
      <c r="H555" s="27"/>
      <c r="I555" s="24"/>
      <c r="J555" s="24"/>
      <c r="K555" s="28"/>
      <c r="L555" s="29"/>
      <c r="M555" s="29"/>
      <c r="N555" s="29"/>
      <c r="O555" s="27"/>
      <c r="P555" s="30"/>
      <c r="Q555" s="31"/>
      <c r="R555" s="31"/>
      <c r="S555" s="32"/>
      <c r="T555" s="32"/>
      <c r="U555" s="32"/>
      <c r="V555" s="32"/>
      <c r="W555" s="32"/>
      <c r="X555" s="32"/>
      <c r="Y555" s="32"/>
      <c r="Z555" s="32"/>
      <c r="AA555" s="32"/>
      <c r="AB555" s="32"/>
    </row>
    <row r="556" spans="1:28" ht="15.6" customHeight="1" x14ac:dyDescent="0.25">
      <c r="A556" s="24"/>
      <c r="B556" s="24"/>
      <c r="C556" s="25"/>
      <c r="D556" s="25"/>
      <c r="E556" s="25"/>
      <c r="F556" s="25"/>
      <c r="G556" s="26"/>
      <c r="H556" s="27"/>
      <c r="I556" s="24"/>
      <c r="J556" s="24"/>
      <c r="K556" s="28"/>
      <c r="L556" s="29"/>
      <c r="M556" s="29"/>
      <c r="N556" s="29"/>
      <c r="O556" s="27"/>
      <c r="P556" s="30"/>
      <c r="Q556" s="31"/>
      <c r="R556" s="31"/>
      <c r="S556" s="32"/>
      <c r="T556" s="32"/>
      <c r="U556" s="32"/>
      <c r="V556" s="32"/>
      <c r="W556" s="32"/>
      <c r="X556" s="32"/>
      <c r="Y556" s="32"/>
      <c r="Z556" s="32"/>
      <c r="AA556" s="32"/>
      <c r="AB556" s="32"/>
    </row>
    <row r="557" spans="1:28" ht="15.6" customHeight="1" x14ac:dyDescent="0.25">
      <c r="A557" s="24"/>
      <c r="B557" s="24"/>
      <c r="C557" s="25"/>
      <c r="D557" s="25"/>
      <c r="E557" s="25"/>
      <c r="F557" s="25"/>
      <c r="G557" s="26"/>
      <c r="H557" s="27"/>
      <c r="I557" s="24"/>
      <c r="J557" s="24"/>
      <c r="K557" s="28"/>
      <c r="L557" s="29"/>
      <c r="M557" s="29"/>
      <c r="N557" s="29"/>
      <c r="O557" s="27"/>
      <c r="P557" s="30"/>
      <c r="Q557" s="31"/>
      <c r="R557" s="31"/>
      <c r="S557" s="32"/>
      <c r="T557" s="32"/>
      <c r="U557" s="32"/>
      <c r="V557" s="32"/>
      <c r="W557" s="32"/>
      <c r="X557" s="32"/>
      <c r="Y557" s="32"/>
      <c r="Z557" s="32"/>
      <c r="AA557" s="32"/>
      <c r="AB557" s="32"/>
    </row>
    <row r="558" spans="1:28" ht="15.6" customHeight="1" x14ac:dyDescent="0.25">
      <c r="A558" s="24"/>
      <c r="B558" s="24"/>
      <c r="C558" s="25"/>
      <c r="D558" s="25"/>
      <c r="E558" s="25"/>
      <c r="F558" s="25"/>
      <c r="G558" s="26"/>
      <c r="H558" s="27"/>
      <c r="I558" s="24"/>
      <c r="J558" s="24"/>
      <c r="K558" s="28"/>
      <c r="L558" s="29"/>
      <c r="M558" s="29"/>
      <c r="N558" s="29"/>
      <c r="O558" s="27"/>
      <c r="P558" s="30"/>
      <c r="Q558" s="31"/>
      <c r="R558" s="31"/>
      <c r="S558" s="32"/>
      <c r="T558" s="32"/>
      <c r="U558" s="32"/>
      <c r="V558" s="32"/>
      <c r="W558" s="32"/>
      <c r="X558" s="32"/>
      <c r="Y558" s="32"/>
      <c r="Z558" s="32"/>
      <c r="AA558" s="32"/>
      <c r="AB558" s="32"/>
    </row>
    <row r="559" spans="1:28" ht="15.6" customHeight="1" x14ac:dyDescent="0.25">
      <c r="A559" s="24"/>
      <c r="B559" s="24"/>
      <c r="C559" s="25"/>
      <c r="D559" s="25"/>
      <c r="E559" s="25"/>
      <c r="F559" s="25"/>
      <c r="G559" s="26"/>
      <c r="H559" s="27"/>
      <c r="I559" s="24"/>
      <c r="J559" s="24"/>
      <c r="K559" s="28"/>
      <c r="L559" s="29"/>
      <c r="M559" s="29"/>
      <c r="N559" s="29"/>
      <c r="O559" s="27"/>
      <c r="P559" s="30"/>
      <c r="Q559" s="31"/>
      <c r="R559" s="31"/>
      <c r="S559" s="32"/>
      <c r="T559" s="32"/>
      <c r="U559" s="32"/>
      <c r="V559" s="32"/>
      <c r="W559" s="32"/>
      <c r="X559" s="32"/>
      <c r="Y559" s="32"/>
      <c r="Z559" s="32"/>
      <c r="AA559" s="32"/>
      <c r="AB559" s="32"/>
    </row>
    <row r="560" spans="1:28" ht="15.6" customHeight="1" x14ac:dyDescent="0.25">
      <c r="A560" s="24"/>
      <c r="B560" s="24"/>
      <c r="C560" s="25"/>
      <c r="D560" s="25"/>
      <c r="E560" s="25"/>
      <c r="F560" s="25"/>
      <c r="G560" s="26"/>
      <c r="H560" s="27"/>
      <c r="I560" s="24"/>
      <c r="J560" s="24"/>
      <c r="K560" s="28"/>
      <c r="L560" s="29"/>
      <c r="M560" s="29"/>
      <c r="N560" s="29"/>
      <c r="O560" s="27"/>
      <c r="P560" s="30"/>
      <c r="Q560" s="31"/>
      <c r="R560" s="31"/>
      <c r="S560" s="32"/>
      <c r="T560" s="32"/>
      <c r="U560" s="32"/>
      <c r="V560" s="32"/>
      <c r="W560" s="32"/>
      <c r="X560" s="32"/>
      <c r="Y560" s="32"/>
      <c r="Z560" s="32"/>
      <c r="AA560" s="32"/>
      <c r="AB560" s="32"/>
    </row>
    <row r="561" spans="1:28" ht="15.6" customHeight="1" x14ac:dyDescent="0.25">
      <c r="A561" s="24"/>
      <c r="B561" s="24"/>
      <c r="C561" s="25"/>
      <c r="D561" s="25"/>
      <c r="E561" s="25"/>
      <c r="F561" s="25"/>
      <c r="G561" s="26"/>
      <c r="H561" s="27"/>
      <c r="I561" s="24"/>
      <c r="J561" s="24"/>
      <c r="K561" s="28"/>
      <c r="L561" s="29"/>
      <c r="M561" s="29"/>
      <c r="N561" s="29"/>
      <c r="O561" s="27"/>
      <c r="P561" s="30"/>
      <c r="Q561" s="31"/>
      <c r="R561" s="31"/>
      <c r="S561" s="32"/>
      <c r="T561" s="32"/>
      <c r="U561" s="32"/>
      <c r="V561" s="32"/>
      <c r="W561" s="32"/>
      <c r="X561" s="32"/>
      <c r="Y561" s="32"/>
      <c r="Z561" s="32"/>
      <c r="AA561" s="32"/>
      <c r="AB561" s="32"/>
    </row>
    <row r="562" spans="1:28" ht="15.6" customHeight="1" x14ac:dyDescent="0.25">
      <c r="A562" s="24"/>
      <c r="B562" s="24"/>
      <c r="C562" s="25"/>
      <c r="D562" s="25"/>
      <c r="E562" s="25"/>
      <c r="F562" s="25"/>
      <c r="G562" s="26"/>
      <c r="H562" s="27"/>
      <c r="I562" s="24"/>
      <c r="J562" s="24"/>
      <c r="K562" s="28"/>
      <c r="L562" s="29"/>
      <c r="M562" s="29"/>
      <c r="N562" s="29"/>
      <c r="O562" s="27"/>
      <c r="P562" s="30"/>
      <c r="Q562" s="31"/>
      <c r="R562" s="31"/>
      <c r="S562" s="32"/>
      <c r="T562" s="32"/>
      <c r="U562" s="32"/>
      <c r="V562" s="32"/>
      <c r="W562" s="32"/>
      <c r="X562" s="32"/>
      <c r="Y562" s="32"/>
      <c r="Z562" s="32"/>
      <c r="AA562" s="32"/>
      <c r="AB562" s="32"/>
    </row>
    <row r="563" spans="1:28" ht="15.6" customHeight="1" x14ac:dyDescent="0.25">
      <c r="A563" s="24"/>
      <c r="B563" s="24"/>
      <c r="C563" s="25"/>
      <c r="D563" s="25"/>
      <c r="E563" s="25"/>
      <c r="F563" s="25"/>
      <c r="G563" s="26"/>
      <c r="H563" s="27"/>
      <c r="I563" s="24"/>
      <c r="J563" s="24"/>
      <c r="K563" s="28"/>
      <c r="L563" s="29"/>
      <c r="M563" s="29"/>
      <c r="N563" s="29"/>
      <c r="O563" s="27"/>
      <c r="P563" s="30"/>
      <c r="Q563" s="31"/>
      <c r="R563" s="31"/>
      <c r="S563" s="32"/>
      <c r="T563" s="32"/>
      <c r="U563" s="32"/>
      <c r="V563" s="32"/>
      <c r="W563" s="32"/>
      <c r="X563" s="32"/>
      <c r="Y563" s="32"/>
      <c r="Z563" s="32"/>
      <c r="AA563" s="32"/>
      <c r="AB563" s="32"/>
    </row>
    <row r="564" spans="1:28" ht="15.6" customHeight="1" x14ac:dyDescent="0.25">
      <c r="A564" s="24"/>
      <c r="B564" s="24"/>
      <c r="C564" s="25"/>
      <c r="D564" s="25"/>
      <c r="E564" s="25"/>
      <c r="F564" s="25"/>
      <c r="G564" s="26"/>
      <c r="H564" s="27"/>
      <c r="I564" s="24"/>
      <c r="J564" s="24"/>
      <c r="K564" s="28"/>
      <c r="L564" s="29"/>
      <c r="M564" s="29"/>
      <c r="N564" s="29"/>
      <c r="O564" s="27"/>
      <c r="P564" s="30"/>
      <c r="Q564" s="31"/>
      <c r="R564" s="31"/>
      <c r="S564" s="32"/>
      <c r="T564" s="32"/>
      <c r="U564" s="32"/>
      <c r="V564" s="32"/>
      <c r="W564" s="32"/>
      <c r="X564" s="32"/>
      <c r="Y564" s="32"/>
      <c r="Z564" s="32"/>
      <c r="AA564" s="32"/>
      <c r="AB564" s="32"/>
    </row>
    <row r="565" spans="1:28" ht="15.6" customHeight="1" x14ac:dyDescent="0.25">
      <c r="A565" s="24"/>
      <c r="B565" s="24"/>
      <c r="C565" s="25"/>
      <c r="D565" s="25"/>
      <c r="E565" s="25"/>
      <c r="F565" s="25"/>
      <c r="G565" s="26"/>
      <c r="H565" s="27"/>
      <c r="I565" s="24"/>
      <c r="J565" s="24"/>
      <c r="K565" s="28"/>
      <c r="L565" s="29"/>
      <c r="M565" s="29"/>
      <c r="N565" s="29"/>
      <c r="O565" s="27"/>
      <c r="P565" s="30"/>
      <c r="Q565" s="31"/>
      <c r="R565" s="31"/>
      <c r="S565" s="32"/>
      <c r="T565" s="32"/>
      <c r="U565" s="32"/>
      <c r="V565" s="32"/>
      <c r="W565" s="32"/>
      <c r="X565" s="32"/>
      <c r="Y565" s="32"/>
      <c r="Z565" s="32"/>
      <c r="AA565" s="32"/>
      <c r="AB565" s="32"/>
    </row>
    <row r="566" spans="1:28" ht="15.6" customHeight="1" x14ac:dyDescent="0.25">
      <c r="A566" s="24"/>
      <c r="B566" s="24"/>
      <c r="C566" s="25"/>
      <c r="D566" s="25"/>
      <c r="E566" s="25"/>
      <c r="F566" s="25"/>
      <c r="G566" s="26"/>
      <c r="H566" s="27"/>
      <c r="I566" s="24"/>
      <c r="J566" s="24"/>
      <c r="K566" s="28"/>
      <c r="L566" s="29"/>
      <c r="M566" s="29"/>
      <c r="N566" s="29"/>
      <c r="O566" s="27"/>
      <c r="P566" s="30"/>
      <c r="Q566" s="31"/>
      <c r="R566" s="31"/>
      <c r="S566" s="32"/>
      <c r="T566" s="32"/>
      <c r="U566" s="32"/>
      <c r="V566" s="32"/>
      <c r="W566" s="32"/>
      <c r="X566" s="32"/>
      <c r="Y566" s="32"/>
      <c r="Z566" s="32"/>
      <c r="AA566" s="32"/>
      <c r="AB566" s="32"/>
    </row>
    <row r="567" spans="1:28" ht="15.6" customHeight="1" x14ac:dyDescent="0.25">
      <c r="A567" s="24"/>
      <c r="B567" s="24"/>
      <c r="C567" s="25"/>
      <c r="D567" s="25"/>
      <c r="E567" s="25"/>
      <c r="F567" s="25"/>
      <c r="G567" s="26"/>
      <c r="H567" s="27"/>
      <c r="I567" s="24"/>
      <c r="J567" s="24"/>
      <c r="K567" s="28"/>
      <c r="L567" s="29"/>
      <c r="M567" s="29"/>
      <c r="N567" s="29"/>
      <c r="O567" s="27"/>
      <c r="P567" s="30"/>
      <c r="Q567" s="31"/>
      <c r="R567" s="31"/>
      <c r="S567" s="32"/>
      <c r="T567" s="32"/>
      <c r="U567" s="32"/>
      <c r="V567" s="32"/>
      <c r="W567" s="32"/>
      <c r="X567" s="32"/>
      <c r="Y567" s="32"/>
      <c r="Z567" s="32"/>
      <c r="AA567" s="32"/>
      <c r="AB567" s="32"/>
    </row>
    <row r="568" spans="1:28" ht="15.6" customHeight="1" x14ac:dyDescent="0.25">
      <c r="A568" s="24"/>
      <c r="B568" s="24"/>
      <c r="C568" s="25"/>
      <c r="D568" s="25"/>
      <c r="E568" s="25"/>
      <c r="F568" s="25"/>
      <c r="G568" s="26"/>
      <c r="H568" s="27"/>
      <c r="I568" s="24"/>
      <c r="J568" s="24"/>
      <c r="K568" s="28"/>
      <c r="L568" s="29"/>
      <c r="M568" s="29"/>
      <c r="N568" s="29"/>
      <c r="O568" s="27"/>
      <c r="P568" s="30"/>
      <c r="Q568" s="31"/>
      <c r="R568" s="31"/>
      <c r="S568" s="32"/>
      <c r="T568" s="32"/>
      <c r="U568" s="32"/>
      <c r="V568" s="32"/>
      <c r="W568" s="32"/>
      <c r="X568" s="32"/>
      <c r="Y568" s="32"/>
      <c r="Z568" s="32"/>
      <c r="AA568" s="32"/>
      <c r="AB568" s="32"/>
    </row>
    <row r="569" spans="1:28" ht="15.6" customHeight="1" x14ac:dyDescent="0.25">
      <c r="A569" s="24"/>
      <c r="B569" s="24"/>
      <c r="C569" s="25"/>
      <c r="D569" s="25"/>
      <c r="E569" s="25"/>
      <c r="F569" s="25"/>
      <c r="G569" s="26"/>
      <c r="H569" s="27"/>
      <c r="I569" s="24"/>
      <c r="J569" s="24"/>
      <c r="K569" s="28"/>
      <c r="L569" s="29"/>
      <c r="M569" s="29"/>
      <c r="N569" s="29"/>
      <c r="O569" s="27"/>
      <c r="P569" s="30"/>
      <c r="Q569" s="31"/>
      <c r="R569" s="31"/>
      <c r="S569" s="32"/>
      <c r="T569" s="32"/>
      <c r="U569" s="32"/>
      <c r="V569" s="32"/>
      <c r="W569" s="32"/>
      <c r="X569" s="32"/>
      <c r="Y569" s="32"/>
      <c r="Z569" s="32"/>
      <c r="AA569" s="32"/>
      <c r="AB569" s="32"/>
    </row>
    <row r="570" spans="1:28" ht="15.6" customHeight="1" x14ac:dyDescent="0.25">
      <c r="A570" s="24"/>
      <c r="B570" s="24"/>
      <c r="C570" s="25"/>
      <c r="D570" s="25"/>
      <c r="E570" s="25"/>
      <c r="F570" s="25"/>
      <c r="G570" s="26"/>
      <c r="H570" s="27"/>
      <c r="I570" s="24"/>
      <c r="J570" s="24"/>
      <c r="K570" s="28"/>
      <c r="L570" s="29"/>
      <c r="M570" s="29"/>
      <c r="N570" s="29"/>
      <c r="O570" s="27"/>
      <c r="P570" s="30"/>
      <c r="Q570" s="31"/>
      <c r="R570" s="31"/>
      <c r="S570" s="32"/>
      <c r="T570" s="32"/>
      <c r="U570" s="32"/>
      <c r="V570" s="32"/>
      <c r="W570" s="32"/>
      <c r="X570" s="32"/>
      <c r="Y570" s="32"/>
      <c r="Z570" s="32"/>
      <c r="AA570" s="32"/>
      <c r="AB570" s="32"/>
    </row>
    <row r="571" spans="1:28" ht="15.6" customHeight="1" x14ac:dyDescent="0.25">
      <c r="A571" s="24"/>
      <c r="B571" s="24"/>
      <c r="C571" s="25"/>
      <c r="D571" s="25"/>
      <c r="E571" s="25"/>
      <c r="F571" s="25"/>
      <c r="G571" s="26"/>
      <c r="H571" s="27"/>
      <c r="I571" s="24"/>
      <c r="J571" s="24"/>
      <c r="K571" s="28"/>
      <c r="L571" s="29"/>
      <c r="M571" s="29"/>
      <c r="N571" s="29"/>
      <c r="O571" s="27"/>
      <c r="P571" s="30"/>
      <c r="Q571" s="31"/>
      <c r="R571" s="31"/>
      <c r="S571" s="32"/>
      <c r="T571" s="32"/>
      <c r="U571" s="32"/>
      <c r="V571" s="32"/>
      <c r="W571" s="32"/>
      <c r="X571" s="32"/>
      <c r="Y571" s="32"/>
      <c r="Z571" s="32"/>
      <c r="AA571" s="32"/>
      <c r="AB571" s="32"/>
    </row>
    <row r="572" spans="1:28" ht="15.6" customHeight="1" x14ac:dyDescent="0.25">
      <c r="A572" s="24"/>
      <c r="B572" s="24"/>
      <c r="C572" s="25"/>
      <c r="D572" s="25"/>
      <c r="E572" s="25"/>
      <c r="F572" s="25"/>
      <c r="G572" s="26"/>
      <c r="H572" s="27"/>
      <c r="I572" s="24"/>
      <c r="J572" s="24"/>
      <c r="K572" s="28"/>
      <c r="L572" s="29"/>
      <c r="M572" s="29"/>
      <c r="N572" s="29"/>
      <c r="O572" s="27"/>
      <c r="P572" s="30"/>
      <c r="Q572" s="31"/>
      <c r="R572" s="31"/>
      <c r="S572" s="32"/>
      <c r="T572" s="32"/>
      <c r="U572" s="32"/>
      <c r="V572" s="32"/>
      <c r="W572" s="32"/>
      <c r="X572" s="32"/>
      <c r="Y572" s="32"/>
      <c r="Z572" s="32"/>
      <c r="AA572" s="32"/>
      <c r="AB572" s="32"/>
    </row>
    <row r="573" spans="1:28" ht="15.6" customHeight="1" x14ac:dyDescent="0.25">
      <c r="A573" s="24"/>
      <c r="B573" s="24"/>
      <c r="C573" s="25"/>
      <c r="D573" s="25"/>
      <c r="E573" s="25"/>
      <c r="F573" s="25"/>
      <c r="G573" s="26"/>
      <c r="H573" s="27"/>
      <c r="I573" s="24"/>
      <c r="J573" s="24"/>
      <c r="K573" s="28"/>
      <c r="L573" s="29"/>
      <c r="M573" s="29"/>
      <c r="N573" s="29"/>
      <c r="O573" s="27"/>
      <c r="P573" s="30"/>
      <c r="Q573" s="31"/>
      <c r="R573" s="31"/>
      <c r="S573" s="32"/>
      <c r="T573" s="32"/>
      <c r="U573" s="32"/>
      <c r="V573" s="32"/>
      <c r="W573" s="32"/>
      <c r="X573" s="32"/>
      <c r="Y573" s="32"/>
      <c r="Z573" s="32"/>
      <c r="AA573" s="32"/>
      <c r="AB573" s="32"/>
    </row>
    <row r="574" spans="1:28" ht="15.6" customHeight="1" x14ac:dyDescent="0.25">
      <c r="A574" s="24"/>
      <c r="B574" s="24"/>
      <c r="C574" s="25"/>
      <c r="D574" s="25"/>
      <c r="E574" s="25"/>
      <c r="F574" s="25"/>
      <c r="G574" s="26"/>
      <c r="H574" s="27"/>
      <c r="I574" s="24"/>
      <c r="J574" s="24"/>
      <c r="K574" s="28"/>
      <c r="L574" s="29"/>
      <c r="M574" s="29"/>
      <c r="N574" s="29"/>
      <c r="O574" s="27"/>
      <c r="P574" s="30"/>
      <c r="Q574" s="31"/>
      <c r="R574" s="31"/>
      <c r="S574" s="32"/>
      <c r="T574" s="32"/>
      <c r="U574" s="32"/>
      <c r="V574" s="32"/>
      <c r="W574" s="32"/>
      <c r="X574" s="32"/>
      <c r="Y574" s="32"/>
      <c r="Z574" s="32"/>
      <c r="AA574" s="32"/>
      <c r="AB574" s="32"/>
    </row>
    <row r="575" spans="1:28" ht="15.6" customHeight="1" x14ac:dyDescent="0.25">
      <c r="A575" s="24"/>
      <c r="B575" s="24"/>
      <c r="C575" s="25"/>
      <c r="D575" s="25"/>
      <c r="E575" s="25"/>
      <c r="F575" s="25"/>
      <c r="G575" s="26"/>
      <c r="H575" s="27"/>
      <c r="I575" s="24"/>
      <c r="J575" s="24"/>
      <c r="K575" s="28"/>
      <c r="L575" s="29"/>
      <c r="M575" s="29"/>
      <c r="N575" s="29"/>
      <c r="O575" s="27"/>
      <c r="P575" s="30"/>
      <c r="Q575" s="31"/>
      <c r="R575" s="31"/>
      <c r="S575" s="32"/>
      <c r="T575" s="32"/>
      <c r="U575" s="32"/>
      <c r="V575" s="32"/>
      <c r="W575" s="32"/>
      <c r="X575" s="32"/>
      <c r="Y575" s="32"/>
      <c r="Z575" s="32"/>
      <c r="AA575" s="32"/>
      <c r="AB575" s="32"/>
    </row>
    <row r="576" spans="1:28" ht="15.6" customHeight="1" x14ac:dyDescent="0.25">
      <c r="A576" s="24"/>
      <c r="B576" s="24"/>
      <c r="C576" s="25"/>
      <c r="D576" s="25"/>
      <c r="E576" s="25"/>
      <c r="F576" s="25"/>
      <c r="G576" s="26"/>
      <c r="H576" s="27"/>
      <c r="I576" s="24"/>
      <c r="J576" s="24"/>
      <c r="K576" s="28"/>
      <c r="L576" s="29"/>
      <c r="M576" s="29"/>
      <c r="N576" s="29"/>
      <c r="O576" s="27"/>
      <c r="P576" s="30"/>
      <c r="Q576" s="31"/>
      <c r="R576" s="31"/>
      <c r="S576" s="32"/>
      <c r="T576" s="32"/>
      <c r="U576" s="32"/>
      <c r="V576" s="32"/>
      <c r="W576" s="32"/>
      <c r="X576" s="32"/>
      <c r="Y576" s="32"/>
      <c r="Z576" s="32"/>
      <c r="AA576" s="32"/>
      <c r="AB576" s="32"/>
    </row>
    <row r="577" spans="1:28" ht="15.6" customHeight="1" x14ac:dyDescent="0.25">
      <c r="A577" s="24"/>
      <c r="B577" s="24"/>
      <c r="C577" s="25"/>
      <c r="D577" s="25"/>
      <c r="E577" s="25"/>
      <c r="F577" s="25"/>
      <c r="G577" s="26"/>
      <c r="H577" s="27"/>
      <c r="I577" s="24"/>
      <c r="J577" s="24"/>
      <c r="K577" s="28"/>
      <c r="L577" s="29"/>
      <c r="M577" s="29"/>
      <c r="N577" s="29"/>
      <c r="O577" s="27"/>
      <c r="P577" s="30"/>
      <c r="Q577" s="31"/>
      <c r="R577" s="31"/>
      <c r="S577" s="32"/>
      <c r="T577" s="32"/>
      <c r="U577" s="32"/>
      <c r="V577" s="32"/>
      <c r="W577" s="32"/>
      <c r="X577" s="32"/>
      <c r="Y577" s="32"/>
      <c r="Z577" s="32"/>
      <c r="AA577" s="32"/>
      <c r="AB577" s="32"/>
    </row>
    <row r="578" spans="1:28" ht="15.6" customHeight="1" x14ac:dyDescent="0.25">
      <c r="A578" s="24"/>
      <c r="B578" s="24"/>
      <c r="C578" s="25"/>
      <c r="D578" s="25"/>
      <c r="E578" s="25"/>
      <c r="F578" s="25"/>
      <c r="G578" s="26"/>
      <c r="H578" s="27"/>
      <c r="I578" s="24"/>
      <c r="J578" s="24"/>
      <c r="K578" s="28"/>
      <c r="L578" s="29"/>
      <c r="M578" s="29"/>
      <c r="N578" s="29"/>
      <c r="O578" s="27"/>
      <c r="P578" s="30"/>
      <c r="Q578" s="31"/>
      <c r="R578" s="31"/>
      <c r="S578" s="32"/>
      <c r="T578" s="32"/>
      <c r="U578" s="32"/>
      <c r="V578" s="32"/>
      <c r="W578" s="32"/>
      <c r="X578" s="32"/>
      <c r="Y578" s="32"/>
      <c r="Z578" s="32"/>
      <c r="AA578" s="32"/>
      <c r="AB578" s="32"/>
    </row>
    <row r="579" spans="1:28" ht="15.6" customHeight="1" x14ac:dyDescent="0.25">
      <c r="A579" s="24"/>
      <c r="B579" s="24"/>
      <c r="C579" s="25"/>
      <c r="D579" s="25"/>
      <c r="E579" s="25"/>
      <c r="F579" s="25"/>
      <c r="G579" s="26"/>
      <c r="H579" s="27"/>
      <c r="I579" s="24"/>
      <c r="J579" s="24"/>
      <c r="K579" s="28"/>
      <c r="L579" s="29"/>
      <c r="M579" s="29"/>
      <c r="N579" s="29"/>
      <c r="O579" s="27"/>
      <c r="P579" s="30"/>
      <c r="Q579" s="31"/>
      <c r="R579" s="31"/>
      <c r="S579" s="32"/>
      <c r="T579" s="32"/>
      <c r="U579" s="32"/>
      <c r="V579" s="32"/>
      <c r="W579" s="32"/>
      <c r="X579" s="32"/>
      <c r="Y579" s="32"/>
      <c r="Z579" s="32"/>
      <c r="AA579" s="32"/>
      <c r="AB579" s="32"/>
    </row>
    <row r="580" spans="1:28" ht="15.6" customHeight="1" x14ac:dyDescent="0.25">
      <c r="A580" s="24"/>
      <c r="B580" s="24"/>
      <c r="C580" s="25"/>
      <c r="D580" s="25"/>
      <c r="E580" s="25"/>
      <c r="F580" s="25"/>
      <c r="G580" s="26"/>
      <c r="H580" s="27"/>
      <c r="I580" s="24"/>
      <c r="J580" s="24"/>
      <c r="K580" s="28"/>
      <c r="L580" s="29"/>
      <c r="M580" s="29"/>
      <c r="N580" s="29"/>
      <c r="O580" s="27"/>
      <c r="P580" s="30"/>
      <c r="Q580" s="31"/>
      <c r="R580" s="31"/>
      <c r="S580" s="32"/>
      <c r="T580" s="32"/>
      <c r="U580" s="32"/>
      <c r="V580" s="32"/>
      <c r="W580" s="32"/>
      <c r="X580" s="32"/>
      <c r="Y580" s="32"/>
      <c r="Z580" s="32"/>
      <c r="AA580" s="32"/>
      <c r="AB580" s="32"/>
    </row>
    <row r="581" spans="1:28" ht="15.6" customHeight="1" x14ac:dyDescent="0.25">
      <c r="A581" s="24"/>
      <c r="B581" s="24"/>
      <c r="C581" s="25"/>
      <c r="D581" s="25"/>
      <c r="E581" s="25"/>
      <c r="F581" s="25"/>
      <c r="G581" s="26"/>
      <c r="H581" s="27"/>
      <c r="I581" s="24"/>
      <c r="J581" s="24"/>
      <c r="K581" s="28"/>
      <c r="L581" s="29"/>
      <c r="M581" s="29"/>
      <c r="N581" s="29"/>
      <c r="O581" s="27"/>
      <c r="P581" s="30"/>
      <c r="Q581" s="31"/>
      <c r="R581" s="31"/>
      <c r="S581" s="32"/>
      <c r="T581" s="32"/>
      <c r="U581" s="32"/>
      <c r="V581" s="32"/>
      <c r="W581" s="32"/>
      <c r="X581" s="32"/>
      <c r="Y581" s="32"/>
      <c r="Z581" s="32"/>
      <c r="AA581" s="32"/>
      <c r="AB581" s="32"/>
    </row>
    <row r="582" spans="1:28" ht="15.6" customHeight="1" x14ac:dyDescent="0.25">
      <c r="A582" s="24"/>
      <c r="B582" s="24"/>
      <c r="C582" s="25"/>
      <c r="D582" s="25"/>
      <c r="E582" s="25"/>
      <c r="F582" s="25"/>
      <c r="G582" s="26"/>
      <c r="H582" s="27"/>
      <c r="I582" s="24"/>
      <c r="J582" s="24"/>
      <c r="K582" s="28"/>
      <c r="L582" s="29"/>
      <c r="M582" s="29"/>
      <c r="N582" s="29"/>
      <c r="O582" s="27"/>
      <c r="P582" s="30"/>
      <c r="Q582" s="31"/>
      <c r="R582" s="31"/>
      <c r="S582" s="32"/>
      <c r="T582" s="32"/>
      <c r="U582" s="32"/>
      <c r="V582" s="32"/>
      <c r="W582" s="32"/>
      <c r="X582" s="32"/>
      <c r="Y582" s="32"/>
      <c r="Z582" s="32"/>
      <c r="AA582" s="32"/>
      <c r="AB582" s="32"/>
    </row>
    <row r="583" spans="1:28" ht="15.6" customHeight="1" x14ac:dyDescent="0.25">
      <c r="A583" s="24"/>
      <c r="B583" s="24"/>
      <c r="C583" s="25"/>
      <c r="D583" s="25"/>
      <c r="E583" s="25"/>
      <c r="F583" s="25"/>
      <c r="G583" s="26"/>
      <c r="H583" s="27"/>
      <c r="I583" s="24"/>
      <c r="J583" s="24"/>
      <c r="K583" s="28"/>
      <c r="L583" s="29"/>
      <c r="M583" s="29"/>
      <c r="N583" s="29"/>
      <c r="O583" s="27"/>
      <c r="P583" s="30"/>
      <c r="Q583" s="31"/>
      <c r="R583" s="31"/>
      <c r="S583" s="32"/>
      <c r="T583" s="32"/>
      <c r="U583" s="32"/>
      <c r="V583" s="32"/>
      <c r="W583" s="32"/>
      <c r="X583" s="32"/>
      <c r="Y583" s="32"/>
      <c r="Z583" s="32"/>
      <c r="AA583" s="32"/>
      <c r="AB583" s="32"/>
    </row>
    <row r="584" spans="1:28" ht="15.6" customHeight="1" x14ac:dyDescent="0.25">
      <c r="A584" s="24"/>
      <c r="B584" s="24"/>
      <c r="C584" s="25"/>
      <c r="D584" s="25"/>
      <c r="E584" s="25"/>
      <c r="F584" s="25"/>
      <c r="G584" s="26"/>
      <c r="H584" s="27"/>
      <c r="I584" s="24"/>
      <c r="J584" s="24"/>
      <c r="K584" s="28"/>
      <c r="L584" s="29"/>
      <c r="M584" s="29"/>
      <c r="N584" s="29"/>
      <c r="O584" s="27"/>
      <c r="P584" s="30"/>
      <c r="Q584" s="31"/>
      <c r="R584" s="31"/>
      <c r="S584" s="32"/>
      <c r="T584" s="32"/>
      <c r="U584" s="32"/>
      <c r="V584" s="32"/>
      <c r="W584" s="32"/>
      <c r="X584" s="32"/>
      <c r="Y584" s="32"/>
      <c r="Z584" s="32"/>
      <c r="AA584" s="32"/>
      <c r="AB584" s="32"/>
    </row>
    <row r="585" spans="1:28" ht="15.6" customHeight="1" x14ac:dyDescent="0.25">
      <c r="A585" s="24"/>
      <c r="B585" s="24"/>
      <c r="C585" s="25"/>
      <c r="D585" s="25"/>
      <c r="E585" s="25"/>
      <c r="F585" s="25"/>
      <c r="G585" s="26"/>
      <c r="H585" s="27"/>
      <c r="I585" s="24"/>
      <c r="J585" s="24"/>
      <c r="K585" s="28"/>
      <c r="L585" s="29"/>
      <c r="M585" s="29"/>
      <c r="N585" s="29"/>
      <c r="O585" s="27"/>
      <c r="P585" s="30"/>
      <c r="Q585" s="31"/>
      <c r="R585" s="31"/>
      <c r="S585" s="32"/>
      <c r="T585" s="32"/>
      <c r="U585" s="32"/>
      <c r="V585" s="32"/>
      <c r="W585" s="32"/>
      <c r="X585" s="32"/>
      <c r="Y585" s="32"/>
      <c r="Z585" s="32"/>
      <c r="AA585" s="32"/>
      <c r="AB585" s="32"/>
    </row>
    <row r="586" spans="1:28" ht="15.6" customHeight="1" x14ac:dyDescent="0.25">
      <c r="A586" s="24"/>
      <c r="B586" s="24"/>
      <c r="C586" s="25"/>
      <c r="D586" s="25"/>
      <c r="E586" s="25"/>
      <c r="F586" s="25"/>
      <c r="G586" s="26"/>
      <c r="H586" s="27"/>
      <c r="I586" s="24"/>
      <c r="J586" s="24"/>
      <c r="K586" s="28"/>
      <c r="L586" s="29"/>
      <c r="M586" s="29"/>
      <c r="N586" s="29"/>
      <c r="O586" s="27"/>
      <c r="P586" s="30"/>
      <c r="Q586" s="31"/>
      <c r="R586" s="31"/>
      <c r="S586" s="32"/>
      <c r="T586" s="32"/>
      <c r="U586" s="32"/>
      <c r="V586" s="32"/>
      <c r="W586" s="32"/>
      <c r="X586" s="32"/>
      <c r="Y586" s="32"/>
      <c r="Z586" s="32"/>
      <c r="AA586" s="32"/>
      <c r="AB586" s="32"/>
    </row>
    <row r="587" spans="1:28" ht="15.6" customHeight="1" x14ac:dyDescent="0.25">
      <c r="A587" s="24"/>
      <c r="B587" s="24"/>
      <c r="C587" s="25"/>
      <c r="D587" s="25"/>
      <c r="E587" s="25"/>
      <c r="F587" s="25"/>
      <c r="G587" s="26"/>
      <c r="H587" s="27"/>
      <c r="I587" s="24"/>
      <c r="J587" s="24"/>
      <c r="K587" s="28"/>
      <c r="L587" s="29"/>
      <c r="M587" s="29"/>
      <c r="N587" s="29"/>
      <c r="O587" s="27"/>
      <c r="P587" s="30"/>
      <c r="Q587" s="31"/>
      <c r="R587" s="31"/>
      <c r="S587" s="32"/>
      <c r="T587" s="32"/>
      <c r="U587" s="32"/>
      <c r="V587" s="32"/>
      <c r="W587" s="32"/>
      <c r="X587" s="32"/>
      <c r="Y587" s="32"/>
      <c r="Z587" s="32"/>
      <c r="AA587" s="32"/>
      <c r="AB587" s="32"/>
    </row>
    <row r="588" spans="1:28" ht="15.6" customHeight="1" x14ac:dyDescent="0.25">
      <c r="A588" s="24"/>
      <c r="B588" s="24"/>
      <c r="C588" s="25"/>
      <c r="D588" s="25"/>
      <c r="E588" s="25"/>
      <c r="F588" s="25"/>
      <c r="G588" s="26"/>
      <c r="H588" s="27"/>
      <c r="I588" s="24"/>
      <c r="J588" s="24"/>
      <c r="K588" s="28"/>
      <c r="L588" s="29"/>
      <c r="M588" s="29"/>
      <c r="N588" s="29"/>
      <c r="O588" s="27"/>
      <c r="P588" s="30"/>
      <c r="Q588" s="31"/>
      <c r="R588" s="31"/>
      <c r="S588" s="32"/>
      <c r="T588" s="32"/>
      <c r="U588" s="32"/>
      <c r="V588" s="32"/>
      <c r="W588" s="32"/>
      <c r="X588" s="32"/>
      <c r="Y588" s="32"/>
      <c r="Z588" s="32"/>
      <c r="AA588" s="32"/>
      <c r="AB588" s="32"/>
    </row>
    <row r="589" spans="1:28" ht="15.6" customHeight="1" x14ac:dyDescent="0.25">
      <c r="A589" s="24"/>
      <c r="B589" s="24"/>
      <c r="C589" s="25"/>
      <c r="D589" s="25"/>
      <c r="E589" s="25"/>
      <c r="F589" s="25"/>
      <c r="G589" s="26"/>
      <c r="H589" s="27"/>
      <c r="I589" s="24"/>
      <c r="J589" s="24"/>
      <c r="K589" s="28"/>
      <c r="L589" s="29"/>
      <c r="M589" s="29"/>
      <c r="N589" s="29"/>
      <c r="O589" s="27"/>
      <c r="P589" s="30"/>
      <c r="Q589" s="31"/>
      <c r="R589" s="31"/>
      <c r="S589" s="32"/>
      <c r="T589" s="32"/>
      <c r="U589" s="32"/>
      <c r="V589" s="32"/>
      <c r="W589" s="32"/>
      <c r="X589" s="32"/>
      <c r="Y589" s="32"/>
      <c r="Z589" s="32"/>
      <c r="AA589" s="32"/>
      <c r="AB589" s="32"/>
    </row>
    <row r="590" spans="1:28" ht="15.6" customHeight="1" x14ac:dyDescent="0.25">
      <c r="A590" s="24"/>
      <c r="B590" s="24"/>
      <c r="C590" s="25"/>
      <c r="D590" s="25"/>
      <c r="E590" s="25"/>
      <c r="F590" s="25"/>
      <c r="G590" s="26"/>
      <c r="H590" s="27"/>
      <c r="I590" s="24"/>
      <c r="J590" s="24"/>
      <c r="K590" s="28"/>
      <c r="L590" s="29"/>
      <c r="M590" s="29"/>
      <c r="N590" s="29"/>
      <c r="O590" s="27"/>
      <c r="P590" s="30"/>
      <c r="Q590" s="31"/>
      <c r="R590" s="31"/>
      <c r="S590" s="32"/>
      <c r="T590" s="32"/>
      <c r="U590" s="32"/>
      <c r="V590" s="32"/>
      <c r="W590" s="32"/>
      <c r="X590" s="32"/>
      <c r="Y590" s="32"/>
      <c r="Z590" s="32"/>
      <c r="AA590" s="32"/>
      <c r="AB590" s="32"/>
    </row>
    <row r="591" spans="1:28" ht="15.6" customHeight="1" x14ac:dyDescent="0.25">
      <c r="A591" s="24"/>
      <c r="B591" s="24"/>
      <c r="C591" s="25"/>
      <c r="D591" s="25"/>
      <c r="E591" s="25"/>
      <c r="F591" s="25"/>
      <c r="G591" s="26"/>
      <c r="H591" s="27"/>
      <c r="I591" s="24"/>
      <c r="J591" s="24"/>
      <c r="K591" s="28"/>
      <c r="L591" s="29"/>
      <c r="M591" s="29"/>
      <c r="N591" s="29"/>
      <c r="O591" s="27"/>
      <c r="P591" s="30"/>
      <c r="Q591" s="31"/>
      <c r="R591" s="31"/>
      <c r="S591" s="32"/>
      <c r="T591" s="32"/>
      <c r="U591" s="32"/>
      <c r="V591" s="32"/>
      <c r="W591" s="32"/>
      <c r="X591" s="32"/>
      <c r="Y591" s="32"/>
      <c r="Z591" s="32"/>
      <c r="AA591" s="32"/>
      <c r="AB591" s="32"/>
    </row>
    <row r="592" spans="1:28" ht="15.6" customHeight="1" x14ac:dyDescent="0.25">
      <c r="A592" s="24"/>
      <c r="B592" s="24"/>
      <c r="C592" s="25"/>
      <c r="D592" s="25"/>
      <c r="E592" s="25"/>
      <c r="F592" s="25"/>
      <c r="G592" s="26"/>
      <c r="H592" s="27"/>
      <c r="I592" s="24"/>
      <c r="J592" s="24"/>
      <c r="K592" s="28"/>
      <c r="L592" s="29"/>
      <c r="M592" s="29"/>
      <c r="N592" s="29"/>
      <c r="O592" s="27"/>
      <c r="P592" s="30"/>
      <c r="Q592" s="31"/>
      <c r="R592" s="31"/>
      <c r="S592" s="32"/>
      <c r="T592" s="32"/>
      <c r="U592" s="32"/>
      <c r="V592" s="32"/>
      <c r="W592" s="32"/>
      <c r="X592" s="32"/>
      <c r="Y592" s="32"/>
      <c r="Z592" s="32"/>
      <c r="AA592" s="32"/>
      <c r="AB592" s="32"/>
    </row>
    <row r="593" spans="1:28" ht="15.6" customHeight="1" x14ac:dyDescent="0.25">
      <c r="A593" s="24"/>
      <c r="B593" s="24"/>
      <c r="C593" s="25"/>
      <c r="D593" s="25"/>
      <c r="E593" s="25"/>
      <c r="F593" s="25"/>
      <c r="G593" s="26"/>
      <c r="H593" s="27"/>
      <c r="I593" s="24"/>
      <c r="J593" s="24"/>
      <c r="K593" s="28"/>
      <c r="L593" s="29"/>
      <c r="M593" s="29"/>
      <c r="N593" s="29"/>
      <c r="O593" s="27"/>
      <c r="P593" s="30"/>
      <c r="Q593" s="31"/>
      <c r="R593" s="31"/>
      <c r="S593" s="32"/>
      <c r="T593" s="32"/>
      <c r="U593" s="32"/>
      <c r="V593" s="32"/>
      <c r="W593" s="32"/>
      <c r="X593" s="32"/>
      <c r="Y593" s="32"/>
      <c r="Z593" s="32"/>
      <c r="AA593" s="32"/>
      <c r="AB593" s="32"/>
    </row>
    <row r="594" spans="1:28" ht="15.6" customHeight="1" x14ac:dyDescent="0.25">
      <c r="A594" s="24"/>
      <c r="B594" s="24"/>
      <c r="C594" s="25"/>
      <c r="D594" s="25"/>
      <c r="E594" s="25"/>
      <c r="F594" s="25"/>
      <c r="G594" s="26"/>
      <c r="H594" s="27"/>
      <c r="I594" s="24"/>
      <c r="J594" s="24"/>
      <c r="K594" s="28"/>
      <c r="L594" s="29"/>
      <c r="M594" s="29"/>
      <c r="N594" s="29"/>
      <c r="O594" s="27"/>
      <c r="P594" s="30"/>
      <c r="Q594" s="31"/>
      <c r="R594" s="31"/>
      <c r="S594" s="32"/>
      <c r="T594" s="32"/>
      <c r="U594" s="32"/>
      <c r="V594" s="32"/>
      <c r="W594" s="32"/>
      <c r="X594" s="32"/>
      <c r="Y594" s="32"/>
      <c r="Z594" s="32"/>
      <c r="AA594" s="32"/>
      <c r="AB594" s="32"/>
    </row>
    <row r="595" spans="1:28" ht="15.6" customHeight="1" x14ac:dyDescent="0.25">
      <c r="A595" s="24"/>
      <c r="B595" s="24"/>
      <c r="C595" s="25"/>
      <c r="D595" s="25"/>
      <c r="E595" s="25"/>
      <c r="F595" s="25"/>
      <c r="G595" s="26"/>
      <c r="H595" s="27"/>
      <c r="I595" s="24"/>
      <c r="J595" s="24"/>
      <c r="K595" s="28"/>
      <c r="L595" s="29"/>
      <c r="M595" s="29"/>
      <c r="N595" s="29"/>
      <c r="O595" s="27"/>
      <c r="P595" s="30"/>
      <c r="Q595" s="31"/>
      <c r="R595" s="31"/>
      <c r="S595" s="32"/>
      <c r="T595" s="32"/>
      <c r="U595" s="32"/>
      <c r="V595" s="32"/>
      <c r="W595" s="32"/>
      <c r="X595" s="32"/>
      <c r="Y595" s="32"/>
      <c r="Z595" s="32"/>
      <c r="AA595" s="32"/>
      <c r="AB595" s="32"/>
    </row>
    <row r="596" spans="1:28" ht="15.6" customHeight="1" x14ac:dyDescent="0.25">
      <c r="A596" s="24"/>
      <c r="B596" s="24"/>
      <c r="C596" s="25"/>
      <c r="D596" s="25"/>
      <c r="E596" s="25"/>
      <c r="F596" s="25"/>
      <c r="G596" s="26"/>
      <c r="H596" s="27"/>
      <c r="I596" s="24"/>
      <c r="J596" s="24"/>
      <c r="K596" s="28"/>
      <c r="L596" s="29"/>
      <c r="M596" s="29"/>
      <c r="N596" s="29"/>
      <c r="O596" s="27"/>
      <c r="P596" s="30"/>
      <c r="Q596" s="31"/>
      <c r="R596" s="31"/>
      <c r="S596" s="32"/>
      <c r="T596" s="32"/>
      <c r="U596" s="32"/>
      <c r="V596" s="32"/>
      <c r="W596" s="32"/>
      <c r="X596" s="32"/>
      <c r="Y596" s="32"/>
      <c r="Z596" s="32"/>
      <c r="AA596" s="32"/>
      <c r="AB596" s="32"/>
    </row>
    <row r="597" spans="1:28" ht="15.6" customHeight="1" x14ac:dyDescent="0.25">
      <c r="A597" s="24"/>
      <c r="B597" s="24"/>
      <c r="C597" s="25"/>
      <c r="D597" s="25"/>
      <c r="E597" s="25"/>
      <c r="F597" s="25"/>
      <c r="G597" s="26"/>
      <c r="H597" s="27"/>
      <c r="I597" s="24"/>
      <c r="J597" s="24"/>
      <c r="K597" s="28"/>
      <c r="L597" s="29"/>
      <c r="M597" s="29"/>
      <c r="N597" s="29"/>
      <c r="O597" s="27"/>
      <c r="P597" s="30"/>
      <c r="Q597" s="31"/>
      <c r="R597" s="31"/>
      <c r="S597" s="32"/>
      <c r="T597" s="32"/>
      <c r="U597" s="32"/>
      <c r="V597" s="32"/>
      <c r="W597" s="32"/>
      <c r="X597" s="32"/>
      <c r="Y597" s="32"/>
      <c r="Z597" s="32"/>
      <c r="AA597" s="32"/>
      <c r="AB597" s="32"/>
    </row>
    <row r="598" spans="1:28" ht="15.6" customHeight="1" x14ac:dyDescent="0.25">
      <c r="A598" s="24"/>
      <c r="B598" s="24"/>
      <c r="C598" s="25"/>
      <c r="D598" s="25"/>
      <c r="E598" s="25"/>
      <c r="F598" s="25"/>
      <c r="G598" s="26"/>
      <c r="H598" s="27"/>
      <c r="I598" s="24"/>
      <c r="J598" s="24"/>
      <c r="K598" s="28"/>
      <c r="L598" s="29"/>
      <c r="M598" s="29"/>
      <c r="N598" s="29"/>
      <c r="O598" s="27"/>
      <c r="P598" s="30"/>
      <c r="Q598" s="31"/>
      <c r="R598" s="31"/>
      <c r="S598" s="32"/>
      <c r="T598" s="32"/>
      <c r="U598" s="32"/>
      <c r="V598" s="32"/>
      <c r="W598" s="32"/>
      <c r="X598" s="32"/>
      <c r="Y598" s="32"/>
      <c r="Z598" s="32"/>
      <c r="AA598" s="32"/>
      <c r="AB598" s="32"/>
    </row>
    <row r="599" spans="1:28" ht="15.6" customHeight="1" x14ac:dyDescent="0.25">
      <c r="A599" s="24"/>
      <c r="B599" s="24"/>
      <c r="C599" s="25"/>
      <c r="D599" s="25"/>
      <c r="E599" s="25"/>
      <c r="F599" s="25"/>
      <c r="G599" s="26"/>
      <c r="H599" s="27"/>
      <c r="I599" s="24"/>
      <c r="J599" s="24"/>
      <c r="K599" s="28"/>
      <c r="L599" s="29"/>
      <c r="M599" s="29"/>
      <c r="N599" s="29"/>
      <c r="O599" s="27"/>
      <c r="P599" s="30"/>
      <c r="Q599" s="31"/>
      <c r="R599" s="31"/>
      <c r="S599" s="32"/>
      <c r="T599" s="32"/>
      <c r="U599" s="32"/>
      <c r="V599" s="32"/>
      <c r="W599" s="32"/>
      <c r="X599" s="32"/>
      <c r="Y599" s="32"/>
      <c r="Z599" s="32"/>
      <c r="AA599" s="32"/>
      <c r="AB599" s="32"/>
    </row>
    <row r="600" spans="1:28" ht="15.6" customHeight="1" x14ac:dyDescent="0.25">
      <c r="A600" s="24"/>
      <c r="B600" s="24"/>
      <c r="C600" s="25"/>
      <c r="D600" s="25"/>
      <c r="E600" s="25"/>
      <c r="F600" s="25"/>
      <c r="G600" s="26"/>
      <c r="H600" s="27"/>
      <c r="I600" s="24"/>
      <c r="J600" s="24"/>
      <c r="K600" s="28"/>
      <c r="L600" s="29"/>
      <c r="M600" s="29"/>
      <c r="N600" s="29"/>
      <c r="O600" s="27"/>
      <c r="P600" s="30"/>
      <c r="Q600" s="31"/>
      <c r="R600" s="31"/>
      <c r="S600" s="32"/>
      <c r="T600" s="32"/>
      <c r="U600" s="32"/>
      <c r="V600" s="32"/>
      <c r="W600" s="32"/>
      <c r="X600" s="32"/>
      <c r="Y600" s="32"/>
      <c r="Z600" s="32"/>
      <c r="AA600" s="32"/>
      <c r="AB600" s="32"/>
    </row>
    <row r="601" spans="1:28" ht="15.6" customHeight="1" x14ac:dyDescent="0.25">
      <c r="A601" s="24"/>
      <c r="B601" s="24"/>
      <c r="C601" s="25"/>
      <c r="D601" s="25"/>
      <c r="E601" s="25"/>
      <c r="F601" s="25"/>
      <c r="G601" s="26"/>
      <c r="H601" s="27"/>
      <c r="I601" s="24"/>
      <c r="J601" s="24"/>
      <c r="K601" s="28"/>
      <c r="L601" s="29"/>
      <c r="M601" s="29"/>
      <c r="N601" s="29"/>
      <c r="O601" s="27"/>
      <c r="P601" s="30"/>
      <c r="Q601" s="31"/>
      <c r="R601" s="31"/>
      <c r="S601" s="32"/>
      <c r="T601" s="32"/>
      <c r="U601" s="32"/>
      <c r="V601" s="32"/>
      <c r="W601" s="32"/>
      <c r="X601" s="32"/>
      <c r="Y601" s="32"/>
      <c r="Z601" s="32"/>
      <c r="AA601" s="32"/>
      <c r="AB601" s="32"/>
    </row>
    <row r="602" spans="1:28" ht="15.6" customHeight="1" x14ac:dyDescent="0.25">
      <c r="A602" s="24"/>
      <c r="B602" s="24"/>
      <c r="C602" s="25"/>
      <c r="D602" s="25"/>
      <c r="E602" s="25"/>
      <c r="F602" s="25"/>
      <c r="G602" s="26"/>
      <c r="H602" s="27"/>
      <c r="I602" s="24"/>
      <c r="J602" s="24"/>
      <c r="K602" s="28"/>
      <c r="L602" s="29"/>
      <c r="M602" s="29"/>
      <c r="N602" s="29"/>
      <c r="O602" s="27"/>
      <c r="P602" s="30"/>
      <c r="Q602" s="31"/>
      <c r="R602" s="31"/>
      <c r="S602" s="32"/>
      <c r="T602" s="32"/>
      <c r="U602" s="32"/>
      <c r="V602" s="32"/>
      <c r="W602" s="32"/>
      <c r="X602" s="32"/>
      <c r="Y602" s="32"/>
      <c r="Z602" s="32"/>
      <c r="AA602" s="32"/>
      <c r="AB602" s="32"/>
    </row>
    <row r="603" spans="1:28" ht="15.6" customHeight="1" x14ac:dyDescent="0.25">
      <c r="A603" s="24"/>
      <c r="B603" s="24"/>
      <c r="C603" s="25"/>
      <c r="D603" s="25"/>
      <c r="E603" s="25"/>
      <c r="F603" s="25"/>
      <c r="G603" s="26"/>
      <c r="H603" s="27"/>
      <c r="I603" s="24"/>
      <c r="J603" s="24"/>
      <c r="K603" s="28"/>
      <c r="L603" s="29"/>
      <c r="M603" s="29"/>
      <c r="N603" s="29"/>
      <c r="O603" s="27"/>
      <c r="P603" s="30"/>
      <c r="Q603" s="31"/>
      <c r="R603" s="31"/>
      <c r="S603" s="32"/>
      <c r="T603" s="32"/>
      <c r="U603" s="32"/>
      <c r="V603" s="32"/>
      <c r="W603" s="32"/>
      <c r="X603" s="32"/>
      <c r="Y603" s="32"/>
      <c r="Z603" s="32"/>
      <c r="AA603" s="32"/>
      <c r="AB603" s="32"/>
    </row>
    <row r="604" spans="1:28" ht="15.6" customHeight="1" x14ac:dyDescent="0.25">
      <c r="A604" s="24"/>
      <c r="B604" s="24"/>
      <c r="C604" s="25"/>
      <c r="D604" s="25"/>
      <c r="E604" s="25"/>
      <c r="F604" s="25"/>
      <c r="G604" s="26"/>
      <c r="H604" s="27"/>
      <c r="I604" s="24"/>
      <c r="J604" s="24"/>
      <c r="K604" s="28"/>
      <c r="L604" s="29"/>
      <c r="M604" s="29"/>
      <c r="N604" s="29"/>
      <c r="O604" s="27"/>
      <c r="P604" s="30"/>
      <c r="Q604" s="31"/>
      <c r="R604" s="31"/>
      <c r="S604" s="32"/>
      <c r="T604" s="32"/>
      <c r="U604" s="32"/>
      <c r="V604" s="32"/>
      <c r="W604" s="32"/>
      <c r="X604" s="32"/>
      <c r="Y604" s="32"/>
      <c r="Z604" s="32"/>
      <c r="AA604" s="32"/>
      <c r="AB604" s="32"/>
    </row>
    <row r="605" spans="1:28" ht="15.6" customHeight="1" x14ac:dyDescent="0.25">
      <c r="A605" s="24"/>
      <c r="B605" s="24"/>
      <c r="C605" s="25"/>
      <c r="D605" s="25"/>
      <c r="E605" s="25"/>
      <c r="F605" s="25"/>
      <c r="G605" s="26"/>
      <c r="H605" s="27"/>
      <c r="I605" s="24"/>
      <c r="J605" s="24"/>
      <c r="K605" s="28"/>
      <c r="L605" s="29"/>
      <c r="M605" s="29"/>
      <c r="N605" s="29"/>
      <c r="O605" s="27"/>
      <c r="P605" s="30"/>
      <c r="Q605" s="31"/>
      <c r="R605" s="31"/>
      <c r="S605" s="32"/>
      <c r="T605" s="32"/>
      <c r="U605" s="32"/>
      <c r="V605" s="32"/>
      <c r="W605" s="32"/>
      <c r="X605" s="32"/>
      <c r="Y605" s="32"/>
      <c r="Z605" s="32"/>
      <c r="AA605" s="32"/>
      <c r="AB605" s="32"/>
    </row>
    <row r="606" spans="1:28" ht="15.6" customHeight="1" x14ac:dyDescent="0.25">
      <c r="A606" s="24"/>
      <c r="B606" s="24"/>
      <c r="C606" s="25"/>
      <c r="D606" s="25"/>
      <c r="E606" s="25"/>
      <c r="F606" s="25"/>
      <c r="G606" s="26"/>
      <c r="H606" s="27"/>
      <c r="I606" s="24"/>
      <c r="J606" s="24"/>
      <c r="K606" s="28"/>
      <c r="L606" s="29"/>
      <c r="M606" s="29"/>
      <c r="N606" s="29"/>
      <c r="O606" s="27"/>
      <c r="P606" s="30"/>
      <c r="Q606" s="31"/>
      <c r="R606" s="31"/>
      <c r="S606" s="32"/>
      <c r="T606" s="32"/>
      <c r="U606" s="32"/>
      <c r="V606" s="32"/>
      <c r="W606" s="32"/>
      <c r="X606" s="32"/>
      <c r="Y606" s="32"/>
      <c r="Z606" s="32"/>
      <c r="AA606" s="32"/>
      <c r="AB606" s="32"/>
    </row>
    <row r="607" spans="1:28" ht="15.6" customHeight="1" x14ac:dyDescent="0.25">
      <c r="A607" s="24"/>
      <c r="B607" s="24"/>
      <c r="C607" s="25"/>
      <c r="D607" s="25"/>
      <c r="E607" s="25"/>
      <c r="F607" s="25"/>
      <c r="G607" s="26"/>
      <c r="H607" s="27"/>
      <c r="I607" s="24"/>
      <c r="J607" s="24"/>
      <c r="K607" s="28"/>
      <c r="L607" s="29"/>
      <c r="M607" s="29"/>
      <c r="N607" s="29"/>
      <c r="O607" s="27"/>
      <c r="P607" s="30"/>
      <c r="Q607" s="31"/>
      <c r="R607" s="31"/>
      <c r="S607" s="32"/>
      <c r="T607" s="32"/>
      <c r="U607" s="32"/>
      <c r="V607" s="32"/>
      <c r="W607" s="32"/>
      <c r="X607" s="32"/>
      <c r="Y607" s="32"/>
      <c r="Z607" s="32"/>
      <c r="AA607" s="32"/>
      <c r="AB607" s="32"/>
    </row>
    <row r="608" spans="1:28" ht="15.6" customHeight="1" x14ac:dyDescent="0.25">
      <c r="A608" s="24"/>
      <c r="B608" s="24"/>
      <c r="C608" s="25"/>
      <c r="D608" s="25"/>
      <c r="E608" s="25"/>
      <c r="F608" s="25"/>
      <c r="G608" s="26"/>
      <c r="H608" s="27"/>
      <c r="I608" s="24"/>
      <c r="J608" s="24"/>
      <c r="K608" s="28"/>
      <c r="L608" s="29"/>
      <c r="M608" s="29"/>
      <c r="N608" s="29"/>
      <c r="O608" s="27"/>
      <c r="P608" s="30"/>
      <c r="Q608" s="31"/>
      <c r="R608" s="31"/>
      <c r="S608" s="32"/>
      <c r="T608" s="32"/>
      <c r="U608" s="32"/>
      <c r="V608" s="32"/>
      <c r="W608" s="32"/>
      <c r="X608" s="32"/>
      <c r="Y608" s="32"/>
      <c r="Z608" s="32"/>
      <c r="AA608" s="32"/>
      <c r="AB608" s="32"/>
    </row>
    <row r="609" spans="1:28" ht="15.6" customHeight="1" x14ac:dyDescent="0.25">
      <c r="A609" s="24"/>
      <c r="B609" s="24"/>
      <c r="C609" s="25"/>
      <c r="D609" s="25"/>
      <c r="E609" s="25"/>
      <c r="F609" s="25"/>
      <c r="G609" s="26"/>
      <c r="H609" s="27"/>
      <c r="I609" s="24"/>
      <c r="J609" s="24"/>
      <c r="K609" s="28"/>
      <c r="L609" s="29"/>
      <c r="M609" s="29"/>
      <c r="N609" s="29"/>
      <c r="O609" s="27"/>
      <c r="P609" s="30"/>
      <c r="Q609" s="31"/>
      <c r="R609" s="31"/>
      <c r="S609" s="32"/>
      <c r="T609" s="32"/>
      <c r="U609" s="32"/>
      <c r="V609" s="32"/>
      <c r="W609" s="32"/>
      <c r="X609" s="32"/>
      <c r="Y609" s="32"/>
      <c r="Z609" s="32"/>
      <c r="AA609" s="32"/>
      <c r="AB609" s="32"/>
    </row>
    <row r="610" spans="1:28" ht="15.6" customHeight="1" x14ac:dyDescent="0.25">
      <c r="A610" s="24"/>
      <c r="B610" s="24"/>
      <c r="C610" s="25"/>
      <c r="D610" s="25"/>
      <c r="E610" s="25"/>
      <c r="F610" s="25"/>
      <c r="G610" s="26"/>
      <c r="H610" s="27"/>
      <c r="I610" s="24"/>
      <c r="J610" s="24"/>
      <c r="K610" s="28"/>
      <c r="L610" s="29"/>
      <c r="M610" s="29"/>
      <c r="N610" s="29"/>
      <c r="O610" s="27"/>
      <c r="P610" s="30"/>
      <c r="Q610" s="31"/>
      <c r="R610" s="31"/>
      <c r="S610" s="32"/>
      <c r="T610" s="32"/>
      <c r="U610" s="32"/>
      <c r="V610" s="32"/>
      <c r="W610" s="32"/>
      <c r="X610" s="32"/>
      <c r="Y610" s="32"/>
      <c r="Z610" s="32"/>
      <c r="AA610" s="32"/>
      <c r="AB610" s="32"/>
    </row>
    <row r="611" spans="1:28" ht="15.6" customHeight="1" x14ac:dyDescent="0.25">
      <c r="A611" s="24"/>
      <c r="B611" s="24"/>
      <c r="C611" s="25"/>
      <c r="D611" s="25"/>
      <c r="E611" s="25"/>
      <c r="F611" s="25"/>
      <c r="G611" s="26"/>
      <c r="H611" s="27"/>
      <c r="I611" s="24"/>
      <c r="J611" s="24"/>
      <c r="K611" s="28"/>
      <c r="L611" s="29"/>
      <c r="M611" s="29"/>
      <c r="N611" s="29"/>
      <c r="O611" s="27"/>
      <c r="P611" s="30"/>
      <c r="Q611" s="31"/>
      <c r="R611" s="31"/>
      <c r="S611" s="32"/>
      <c r="T611" s="32"/>
      <c r="U611" s="32"/>
      <c r="V611" s="32"/>
      <c r="W611" s="32"/>
      <c r="X611" s="32"/>
      <c r="Y611" s="32"/>
      <c r="Z611" s="32"/>
      <c r="AA611" s="32"/>
      <c r="AB611" s="32"/>
    </row>
    <row r="612" spans="1:28" ht="15.6" customHeight="1" x14ac:dyDescent="0.25">
      <c r="A612" s="24"/>
      <c r="B612" s="24"/>
      <c r="C612" s="25"/>
      <c r="D612" s="25"/>
      <c r="E612" s="25"/>
      <c r="F612" s="25"/>
      <c r="G612" s="26"/>
      <c r="H612" s="27"/>
      <c r="I612" s="24"/>
      <c r="J612" s="24"/>
      <c r="K612" s="28"/>
      <c r="L612" s="29"/>
      <c r="M612" s="29"/>
      <c r="N612" s="29"/>
      <c r="O612" s="27"/>
      <c r="P612" s="30"/>
      <c r="Q612" s="31"/>
      <c r="R612" s="31"/>
      <c r="S612" s="32"/>
      <c r="T612" s="32"/>
      <c r="U612" s="32"/>
      <c r="V612" s="32"/>
      <c r="W612" s="32"/>
      <c r="X612" s="32"/>
      <c r="Y612" s="32"/>
      <c r="Z612" s="32"/>
      <c r="AA612" s="32"/>
      <c r="AB612" s="32"/>
    </row>
    <row r="613" spans="1:28" ht="15.6" customHeight="1" x14ac:dyDescent="0.25">
      <c r="A613" s="24"/>
      <c r="B613" s="24"/>
      <c r="C613" s="25"/>
      <c r="D613" s="25"/>
      <c r="E613" s="25"/>
      <c r="F613" s="25"/>
      <c r="G613" s="26"/>
      <c r="H613" s="27"/>
      <c r="I613" s="24"/>
      <c r="J613" s="24"/>
      <c r="K613" s="28"/>
      <c r="L613" s="29"/>
      <c r="M613" s="29"/>
      <c r="N613" s="29"/>
      <c r="O613" s="27"/>
      <c r="P613" s="30"/>
      <c r="Q613" s="31"/>
      <c r="R613" s="31"/>
      <c r="S613" s="32"/>
      <c r="T613" s="32"/>
      <c r="U613" s="32"/>
      <c r="V613" s="32"/>
      <c r="W613" s="32"/>
      <c r="X613" s="32"/>
      <c r="Y613" s="32"/>
      <c r="Z613" s="32"/>
      <c r="AA613" s="32"/>
      <c r="AB613" s="32"/>
    </row>
    <row r="614" spans="1:28" ht="15.6" customHeight="1" x14ac:dyDescent="0.25">
      <c r="A614" s="24"/>
      <c r="B614" s="24"/>
      <c r="C614" s="25"/>
      <c r="D614" s="25"/>
      <c r="E614" s="25"/>
      <c r="F614" s="25"/>
      <c r="G614" s="26"/>
      <c r="H614" s="27"/>
      <c r="I614" s="24"/>
      <c r="J614" s="24"/>
      <c r="K614" s="28"/>
      <c r="L614" s="29"/>
      <c r="M614" s="29"/>
      <c r="N614" s="29"/>
      <c r="O614" s="27"/>
      <c r="P614" s="30"/>
      <c r="Q614" s="31"/>
      <c r="R614" s="31"/>
      <c r="S614" s="32"/>
      <c r="T614" s="32"/>
      <c r="U614" s="32"/>
      <c r="V614" s="32"/>
      <c r="W614" s="32"/>
      <c r="X614" s="32"/>
      <c r="Y614" s="32"/>
      <c r="Z614" s="32"/>
      <c r="AA614" s="32"/>
      <c r="AB614" s="32"/>
    </row>
    <row r="615" spans="1:28" ht="15.6" customHeight="1" x14ac:dyDescent="0.25">
      <c r="A615" s="24"/>
      <c r="B615" s="24"/>
      <c r="C615" s="25"/>
      <c r="D615" s="25"/>
      <c r="E615" s="25"/>
      <c r="F615" s="25"/>
      <c r="G615" s="26"/>
      <c r="H615" s="27"/>
      <c r="I615" s="24"/>
      <c r="J615" s="24"/>
      <c r="K615" s="28"/>
      <c r="L615" s="29"/>
      <c r="M615" s="29"/>
      <c r="N615" s="29"/>
      <c r="O615" s="27"/>
      <c r="P615" s="30"/>
      <c r="Q615" s="31"/>
      <c r="R615" s="31"/>
      <c r="S615" s="32"/>
      <c r="T615" s="32"/>
      <c r="U615" s="32"/>
      <c r="V615" s="32"/>
      <c r="W615" s="32"/>
      <c r="X615" s="32"/>
      <c r="Y615" s="32"/>
      <c r="Z615" s="32"/>
      <c r="AA615" s="32"/>
      <c r="AB615" s="32"/>
    </row>
    <row r="616" spans="1:28" ht="15.6" customHeight="1" x14ac:dyDescent="0.25">
      <c r="A616" s="24"/>
      <c r="B616" s="24"/>
      <c r="C616" s="25"/>
      <c r="D616" s="25"/>
      <c r="E616" s="25"/>
      <c r="F616" s="25"/>
      <c r="G616" s="26"/>
      <c r="H616" s="27"/>
      <c r="I616" s="24"/>
      <c r="J616" s="24"/>
      <c r="K616" s="28"/>
      <c r="L616" s="29"/>
      <c r="M616" s="29"/>
      <c r="N616" s="29"/>
      <c r="O616" s="27"/>
      <c r="P616" s="30"/>
      <c r="Q616" s="31"/>
      <c r="R616" s="31"/>
      <c r="S616" s="32"/>
      <c r="T616" s="32"/>
      <c r="U616" s="32"/>
      <c r="V616" s="32"/>
      <c r="W616" s="32"/>
      <c r="X616" s="32"/>
      <c r="Y616" s="32"/>
      <c r="Z616" s="32"/>
      <c r="AA616" s="32"/>
      <c r="AB616" s="32"/>
    </row>
    <row r="617" spans="1:28" ht="15.6" customHeight="1" x14ac:dyDescent="0.25">
      <c r="A617" s="24"/>
      <c r="B617" s="24"/>
      <c r="C617" s="25"/>
      <c r="D617" s="25"/>
      <c r="E617" s="25"/>
      <c r="F617" s="25"/>
      <c r="G617" s="26"/>
      <c r="H617" s="27"/>
      <c r="I617" s="24"/>
      <c r="J617" s="24"/>
      <c r="K617" s="28"/>
      <c r="L617" s="29"/>
      <c r="M617" s="29"/>
      <c r="N617" s="29"/>
      <c r="O617" s="27"/>
      <c r="P617" s="30"/>
      <c r="Q617" s="31"/>
      <c r="R617" s="31"/>
      <c r="S617" s="32"/>
      <c r="T617" s="32"/>
      <c r="U617" s="32"/>
      <c r="V617" s="32"/>
      <c r="W617" s="32"/>
      <c r="X617" s="32"/>
      <c r="Y617" s="32"/>
      <c r="Z617" s="32"/>
      <c r="AA617" s="32"/>
      <c r="AB617" s="32"/>
    </row>
    <row r="618" spans="1:28" ht="15.6" customHeight="1" x14ac:dyDescent="0.25">
      <c r="A618" s="24"/>
      <c r="B618" s="24"/>
      <c r="C618" s="25"/>
      <c r="D618" s="25"/>
      <c r="E618" s="25"/>
      <c r="F618" s="25"/>
      <c r="G618" s="26"/>
      <c r="H618" s="27"/>
      <c r="I618" s="24"/>
      <c r="J618" s="24"/>
      <c r="K618" s="28"/>
      <c r="L618" s="29"/>
      <c r="M618" s="29"/>
      <c r="N618" s="29"/>
      <c r="O618" s="27"/>
      <c r="P618" s="30"/>
      <c r="Q618" s="31"/>
      <c r="R618" s="31"/>
      <c r="S618" s="32"/>
      <c r="T618" s="32"/>
      <c r="U618" s="32"/>
      <c r="V618" s="32"/>
      <c r="W618" s="32"/>
      <c r="X618" s="32"/>
      <c r="Y618" s="32"/>
      <c r="Z618" s="32"/>
      <c r="AA618" s="32"/>
      <c r="AB618" s="32"/>
    </row>
    <row r="619" spans="1:28" ht="15.6" customHeight="1" x14ac:dyDescent="0.25">
      <c r="A619" s="24"/>
      <c r="B619" s="24"/>
      <c r="C619" s="25"/>
      <c r="D619" s="25"/>
      <c r="E619" s="25"/>
      <c r="F619" s="25"/>
      <c r="G619" s="26"/>
      <c r="H619" s="27"/>
      <c r="I619" s="24"/>
      <c r="J619" s="24"/>
      <c r="K619" s="28"/>
      <c r="L619" s="29"/>
      <c r="M619" s="29"/>
      <c r="N619" s="29"/>
      <c r="O619" s="27"/>
      <c r="P619" s="30"/>
      <c r="Q619" s="31"/>
      <c r="R619" s="31"/>
      <c r="S619" s="32"/>
      <c r="T619" s="32"/>
      <c r="U619" s="32"/>
      <c r="V619" s="32"/>
      <c r="W619" s="32"/>
      <c r="X619" s="32"/>
      <c r="Y619" s="32"/>
      <c r="Z619" s="32"/>
      <c r="AA619" s="32"/>
      <c r="AB619" s="32"/>
    </row>
    <row r="620" spans="1:28" ht="15.6" customHeight="1" x14ac:dyDescent="0.25">
      <c r="A620" s="24"/>
      <c r="B620" s="24"/>
      <c r="C620" s="25"/>
      <c r="D620" s="25"/>
      <c r="E620" s="25"/>
      <c r="F620" s="25"/>
      <c r="G620" s="26"/>
      <c r="H620" s="27"/>
      <c r="I620" s="24"/>
      <c r="J620" s="24"/>
      <c r="K620" s="28"/>
      <c r="L620" s="29"/>
      <c r="M620" s="29"/>
      <c r="N620" s="29"/>
      <c r="O620" s="27"/>
      <c r="P620" s="30"/>
      <c r="Q620" s="31"/>
      <c r="R620" s="31"/>
      <c r="S620" s="32"/>
      <c r="T620" s="32"/>
      <c r="U620" s="32"/>
      <c r="V620" s="32"/>
      <c r="W620" s="32"/>
      <c r="X620" s="32"/>
      <c r="Y620" s="32"/>
      <c r="Z620" s="32"/>
      <c r="AA620" s="32"/>
      <c r="AB620" s="32"/>
    </row>
    <row r="621" spans="1:28" ht="15.6" customHeight="1" x14ac:dyDescent="0.25">
      <c r="A621" s="24"/>
      <c r="B621" s="24"/>
      <c r="C621" s="25"/>
      <c r="D621" s="25"/>
      <c r="E621" s="25"/>
      <c r="F621" s="25"/>
      <c r="G621" s="26"/>
      <c r="H621" s="27"/>
      <c r="I621" s="24"/>
      <c r="J621" s="24"/>
      <c r="K621" s="28"/>
      <c r="L621" s="29"/>
      <c r="M621" s="29"/>
      <c r="N621" s="29"/>
      <c r="O621" s="27"/>
      <c r="P621" s="30"/>
      <c r="Q621" s="31"/>
      <c r="R621" s="31"/>
      <c r="S621" s="32"/>
      <c r="T621" s="32"/>
      <c r="U621" s="32"/>
      <c r="V621" s="32"/>
      <c r="W621" s="32"/>
      <c r="X621" s="32"/>
      <c r="Y621" s="32"/>
      <c r="Z621" s="32"/>
      <c r="AA621" s="32"/>
      <c r="AB621" s="32"/>
    </row>
    <row r="622" spans="1:28" ht="15.6" customHeight="1" x14ac:dyDescent="0.25">
      <c r="A622" s="24"/>
      <c r="B622" s="24"/>
      <c r="C622" s="25"/>
      <c r="D622" s="25"/>
      <c r="E622" s="25"/>
      <c r="F622" s="25"/>
      <c r="G622" s="26"/>
      <c r="H622" s="27"/>
      <c r="I622" s="24"/>
      <c r="J622" s="24"/>
      <c r="K622" s="28"/>
      <c r="L622" s="29"/>
      <c r="M622" s="29"/>
      <c r="N622" s="29"/>
      <c r="O622" s="27"/>
      <c r="P622" s="30"/>
      <c r="Q622" s="31"/>
      <c r="R622" s="31"/>
      <c r="S622" s="32"/>
      <c r="T622" s="32"/>
      <c r="U622" s="32"/>
      <c r="V622" s="32"/>
      <c r="W622" s="32"/>
      <c r="X622" s="32"/>
      <c r="Y622" s="32"/>
      <c r="Z622" s="32"/>
      <c r="AA622" s="32"/>
      <c r="AB622" s="32"/>
    </row>
    <row r="623" spans="1:28" ht="15.6" customHeight="1" x14ac:dyDescent="0.25">
      <c r="A623" s="24"/>
      <c r="B623" s="24"/>
      <c r="C623" s="25"/>
      <c r="D623" s="25"/>
      <c r="E623" s="25"/>
      <c r="F623" s="25"/>
      <c r="G623" s="26"/>
      <c r="H623" s="27"/>
      <c r="I623" s="24"/>
      <c r="J623" s="24"/>
      <c r="K623" s="28"/>
      <c r="L623" s="29"/>
      <c r="M623" s="29"/>
      <c r="N623" s="29"/>
      <c r="O623" s="27"/>
      <c r="P623" s="30"/>
      <c r="Q623" s="31"/>
      <c r="R623" s="31"/>
      <c r="S623" s="32"/>
      <c r="T623" s="32"/>
      <c r="U623" s="32"/>
      <c r="V623" s="32"/>
      <c r="W623" s="32"/>
      <c r="X623" s="32"/>
      <c r="Y623" s="32"/>
      <c r="Z623" s="32"/>
      <c r="AA623" s="32"/>
      <c r="AB623" s="32"/>
    </row>
    <row r="624" spans="1:28" ht="15.6" customHeight="1" x14ac:dyDescent="0.25">
      <c r="A624" s="24"/>
      <c r="B624" s="24"/>
      <c r="C624" s="25"/>
      <c r="D624" s="25"/>
      <c r="E624" s="25"/>
      <c r="F624" s="25"/>
      <c r="G624" s="26"/>
      <c r="H624" s="27"/>
      <c r="I624" s="24"/>
      <c r="J624" s="24"/>
      <c r="K624" s="28"/>
      <c r="L624" s="29"/>
      <c r="M624" s="29"/>
      <c r="N624" s="29"/>
      <c r="O624" s="27"/>
      <c r="P624" s="30"/>
      <c r="Q624" s="31"/>
      <c r="R624" s="31"/>
      <c r="S624" s="32"/>
      <c r="T624" s="32"/>
      <c r="U624" s="32"/>
      <c r="V624" s="32"/>
      <c r="W624" s="32"/>
      <c r="X624" s="32"/>
      <c r="Y624" s="32"/>
      <c r="Z624" s="32"/>
      <c r="AA624" s="32"/>
      <c r="AB624" s="32"/>
    </row>
    <row r="625" spans="1:28" ht="15.6" customHeight="1" x14ac:dyDescent="0.25">
      <c r="A625" s="24"/>
      <c r="B625" s="24"/>
      <c r="C625" s="25"/>
      <c r="D625" s="25"/>
      <c r="E625" s="25"/>
      <c r="F625" s="25"/>
      <c r="G625" s="26"/>
      <c r="H625" s="27"/>
      <c r="I625" s="24"/>
      <c r="J625" s="24"/>
      <c r="K625" s="28"/>
      <c r="L625" s="29"/>
      <c r="M625" s="29"/>
      <c r="N625" s="29"/>
      <c r="O625" s="27"/>
      <c r="P625" s="30"/>
      <c r="Q625" s="31"/>
      <c r="R625" s="31"/>
      <c r="S625" s="32"/>
      <c r="T625" s="32"/>
      <c r="U625" s="32"/>
      <c r="V625" s="32"/>
      <c r="W625" s="32"/>
      <c r="X625" s="32"/>
      <c r="Y625" s="32"/>
      <c r="Z625" s="32"/>
      <c r="AA625" s="32"/>
      <c r="AB625" s="32"/>
    </row>
    <row r="626" spans="1:28" ht="15.6" customHeight="1" x14ac:dyDescent="0.25">
      <c r="A626" s="24"/>
      <c r="B626" s="24"/>
      <c r="C626" s="25"/>
      <c r="D626" s="25"/>
      <c r="E626" s="25"/>
      <c r="F626" s="25"/>
      <c r="G626" s="26"/>
      <c r="H626" s="27"/>
      <c r="I626" s="24"/>
      <c r="J626" s="24"/>
      <c r="K626" s="28"/>
      <c r="L626" s="29"/>
      <c r="M626" s="29"/>
      <c r="N626" s="29"/>
      <c r="O626" s="27"/>
      <c r="P626" s="30"/>
      <c r="Q626" s="31"/>
      <c r="R626" s="31"/>
      <c r="S626" s="32"/>
      <c r="T626" s="32"/>
      <c r="U626" s="32"/>
      <c r="V626" s="32"/>
      <c r="W626" s="32"/>
      <c r="X626" s="32"/>
      <c r="Y626" s="32"/>
      <c r="Z626" s="32"/>
      <c r="AA626" s="32"/>
      <c r="AB626" s="32"/>
    </row>
    <row r="627" spans="1:28" ht="15.6" customHeight="1" x14ac:dyDescent="0.25">
      <c r="A627" s="24"/>
      <c r="B627" s="24"/>
      <c r="C627" s="25"/>
      <c r="D627" s="25"/>
      <c r="E627" s="25"/>
      <c r="F627" s="25"/>
      <c r="G627" s="26"/>
      <c r="H627" s="27"/>
      <c r="I627" s="24"/>
      <c r="J627" s="24"/>
      <c r="K627" s="28"/>
      <c r="L627" s="29"/>
      <c r="M627" s="29"/>
      <c r="N627" s="29"/>
      <c r="O627" s="27"/>
      <c r="P627" s="30"/>
      <c r="Q627" s="31"/>
      <c r="R627" s="31"/>
      <c r="S627" s="32"/>
      <c r="T627" s="32"/>
      <c r="U627" s="32"/>
      <c r="V627" s="32"/>
      <c r="W627" s="32"/>
      <c r="X627" s="32"/>
      <c r="Y627" s="32"/>
      <c r="Z627" s="32"/>
      <c r="AA627" s="32"/>
      <c r="AB627" s="32"/>
    </row>
    <row r="628" spans="1:28" ht="15.6" customHeight="1" x14ac:dyDescent="0.25">
      <c r="A628" s="24"/>
      <c r="B628" s="24"/>
      <c r="C628" s="25"/>
      <c r="D628" s="25"/>
      <c r="E628" s="25"/>
      <c r="F628" s="25"/>
      <c r="G628" s="26"/>
      <c r="H628" s="27"/>
      <c r="I628" s="24"/>
      <c r="J628" s="24"/>
      <c r="K628" s="28"/>
      <c r="L628" s="29"/>
      <c r="M628" s="29"/>
      <c r="N628" s="29"/>
      <c r="O628" s="27"/>
      <c r="P628" s="30"/>
      <c r="Q628" s="31"/>
      <c r="R628" s="31"/>
      <c r="S628" s="32"/>
      <c r="T628" s="32"/>
      <c r="U628" s="32"/>
      <c r="V628" s="32"/>
      <c r="W628" s="32"/>
      <c r="X628" s="32"/>
      <c r="Y628" s="32"/>
      <c r="Z628" s="32"/>
      <c r="AA628" s="32"/>
      <c r="AB628" s="32"/>
    </row>
    <row r="629" spans="1:28" ht="15.6" customHeight="1" x14ac:dyDescent="0.25">
      <c r="A629" s="24"/>
      <c r="B629" s="24"/>
      <c r="C629" s="25"/>
      <c r="D629" s="25"/>
      <c r="E629" s="25"/>
      <c r="F629" s="25"/>
      <c r="G629" s="26"/>
      <c r="H629" s="27"/>
      <c r="I629" s="24"/>
      <c r="J629" s="24"/>
      <c r="K629" s="28"/>
      <c r="L629" s="29"/>
      <c r="M629" s="29"/>
      <c r="N629" s="29"/>
      <c r="O629" s="27"/>
      <c r="P629" s="30"/>
      <c r="Q629" s="31"/>
      <c r="R629" s="31"/>
      <c r="S629" s="32"/>
      <c r="T629" s="32"/>
      <c r="U629" s="32"/>
      <c r="V629" s="32"/>
      <c r="W629" s="32"/>
      <c r="X629" s="32"/>
      <c r="Y629" s="32"/>
      <c r="Z629" s="32"/>
      <c r="AA629" s="32"/>
      <c r="AB629" s="32"/>
    </row>
    <row r="630" spans="1:28" ht="15.6" customHeight="1" x14ac:dyDescent="0.25">
      <c r="A630" s="24"/>
      <c r="B630" s="24"/>
      <c r="C630" s="25"/>
      <c r="D630" s="25"/>
      <c r="E630" s="25"/>
      <c r="F630" s="25"/>
      <c r="G630" s="26"/>
      <c r="H630" s="27"/>
      <c r="I630" s="24"/>
      <c r="J630" s="24"/>
      <c r="K630" s="28"/>
      <c r="L630" s="29"/>
      <c r="M630" s="29"/>
      <c r="N630" s="29"/>
      <c r="O630" s="27"/>
      <c r="P630" s="30"/>
      <c r="Q630" s="31"/>
      <c r="R630" s="31"/>
      <c r="S630" s="32"/>
      <c r="T630" s="32"/>
      <c r="U630" s="32"/>
      <c r="V630" s="32"/>
      <c r="W630" s="32"/>
      <c r="X630" s="32"/>
      <c r="Y630" s="32"/>
      <c r="Z630" s="32"/>
      <c r="AA630" s="32"/>
      <c r="AB630" s="32"/>
    </row>
    <row r="631" spans="1:28" ht="15.6" customHeight="1" x14ac:dyDescent="0.25">
      <c r="A631" s="24"/>
      <c r="B631" s="24"/>
      <c r="C631" s="25"/>
      <c r="D631" s="25"/>
      <c r="E631" s="25"/>
      <c r="F631" s="25"/>
      <c r="G631" s="26"/>
      <c r="H631" s="27"/>
      <c r="I631" s="24"/>
      <c r="J631" s="24"/>
      <c r="K631" s="28"/>
      <c r="L631" s="29"/>
      <c r="M631" s="29"/>
      <c r="N631" s="29"/>
      <c r="O631" s="27"/>
      <c r="P631" s="30"/>
      <c r="Q631" s="31"/>
      <c r="R631" s="31"/>
      <c r="S631" s="32"/>
      <c r="T631" s="32"/>
      <c r="U631" s="32"/>
      <c r="V631" s="32"/>
      <c r="W631" s="32"/>
      <c r="X631" s="32"/>
      <c r="Y631" s="32"/>
      <c r="Z631" s="32"/>
      <c r="AA631" s="32"/>
      <c r="AB631" s="32"/>
    </row>
    <row r="632" spans="1:28" ht="15.6" customHeight="1" x14ac:dyDescent="0.25">
      <c r="A632" s="24"/>
      <c r="B632" s="24"/>
      <c r="C632" s="25"/>
      <c r="D632" s="25"/>
      <c r="E632" s="25"/>
      <c r="F632" s="25"/>
      <c r="G632" s="26"/>
      <c r="H632" s="27"/>
      <c r="I632" s="24"/>
      <c r="J632" s="24"/>
      <c r="K632" s="28"/>
      <c r="L632" s="29"/>
      <c r="M632" s="29"/>
      <c r="N632" s="29"/>
      <c r="O632" s="27"/>
      <c r="P632" s="30"/>
      <c r="Q632" s="31"/>
      <c r="R632" s="31"/>
      <c r="S632" s="32"/>
      <c r="T632" s="32"/>
      <c r="U632" s="32"/>
      <c r="V632" s="32"/>
      <c r="W632" s="32"/>
      <c r="X632" s="32"/>
      <c r="Y632" s="32"/>
      <c r="Z632" s="32"/>
      <c r="AA632" s="32"/>
      <c r="AB632" s="32"/>
    </row>
    <row r="633" spans="1:28" ht="15.6" customHeight="1" x14ac:dyDescent="0.25">
      <c r="A633" s="24"/>
      <c r="B633" s="24"/>
      <c r="C633" s="25"/>
      <c r="D633" s="25"/>
      <c r="E633" s="25"/>
      <c r="F633" s="25"/>
      <c r="G633" s="26"/>
      <c r="H633" s="27"/>
      <c r="I633" s="24"/>
      <c r="J633" s="24"/>
      <c r="K633" s="28"/>
      <c r="L633" s="29"/>
      <c r="M633" s="29"/>
      <c r="N633" s="29"/>
      <c r="O633" s="27"/>
      <c r="P633" s="30"/>
      <c r="Q633" s="31"/>
      <c r="R633" s="31"/>
      <c r="S633" s="32"/>
      <c r="T633" s="32"/>
      <c r="U633" s="32"/>
      <c r="V633" s="32"/>
      <c r="W633" s="32"/>
      <c r="X633" s="32"/>
      <c r="Y633" s="32"/>
      <c r="Z633" s="32"/>
      <c r="AA633" s="32"/>
      <c r="AB633" s="32"/>
    </row>
    <row r="634" spans="1:28" ht="15.6" customHeight="1" x14ac:dyDescent="0.25">
      <c r="A634" s="24"/>
      <c r="B634" s="24"/>
      <c r="C634" s="25"/>
      <c r="D634" s="25"/>
      <c r="E634" s="25"/>
      <c r="F634" s="25"/>
      <c r="G634" s="26"/>
      <c r="H634" s="27"/>
      <c r="I634" s="24"/>
      <c r="J634" s="24"/>
      <c r="K634" s="28"/>
      <c r="L634" s="29"/>
      <c r="M634" s="29"/>
      <c r="N634" s="29"/>
      <c r="O634" s="27"/>
      <c r="P634" s="30"/>
      <c r="Q634" s="31"/>
      <c r="R634" s="31"/>
      <c r="S634" s="32"/>
      <c r="T634" s="32"/>
      <c r="U634" s="32"/>
      <c r="V634" s="32"/>
      <c r="W634" s="32"/>
      <c r="X634" s="32"/>
      <c r="Y634" s="32"/>
      <c r="Z634" s="32"/>
      <c r="AA634" s="32"/>
      <c r="AB634" s="32"/>
    </row>
    <row r="635" spans="1:28" ht="15.6" customHeight="1" x14ac:dyDescent="0.25">
      <c r="A635" s="24"/>
      <c r="B635" s="24"/>
      <c r="C635" s="25"/>
      <c r="D635" s="25"/>
      <c r="E635" s="25"/>
      <c r="F635" s="25"/>
      <c r="G635" s="26"/>
      <c r="H635" s="27"/>
      <c r="I635" s="24"/>
      <c r="J635" s="24"/>
      <c r="K635" s="28"/>
      <c r="L635" s="29"/>
      <c r="M635" s="29"/>
      <c r="N635" s="29"/>
      <c r="O635" s="27"/>
      <c r="P635" s="30"/>
      <c r="Q635" s="31"/>
      <c r="R635" s="31"/>
      <c r="S635" s="32"/>
      <c r="T635" s="32"/>
      <c r="U635" s="32"/>
      <c r="V635" s="32"/>
      <c r="W635" s="32"/>
      <c r="X635" s="32"/>
      <c r="Y635" s="32"/>
      <c r="Z635" s="32"/>
      <c r="AA635" s="32"/>
      <c r="AB635" s="32"/>
    </row>
    <row r="636" spans="1:28" ht="15.6" customHeight="1" x14ac:dyDescent="0.25">
      <c r="A636" s="24"/>
      <c r="B636" s="24"/>
      <c r="C636" s="25"/>
      <c r="D636" s="25"/>
      <c r="E636" s="25"/>
      <c r="F636" s="25"/>
      <c r="G636" s="26"/>
      <c r="H636" s="27"/>
      <c r="I636" s="24"/>
      <c r="J636" s="24"/>
      <c r="K636" s="28"/>
      <c r="L636" s="29"/>
      <c r="M636" s="29"/>
      <c r="N636" s="29"/>
      <c r="O636" s="27"/>
      <c r="P636" s="30"/>
      <c r="Q636" s="31"/>
      <c r="R636" s="31"/>
      <c r="S636" s="32"/>
      <c r="T636" s="32"/>
      <c r="U636" s="32"/>
      <c r="V636" s="32"/>
      <c r="W636" s="32"/>
      <c r="X636" s="32"/>
      <c r="Y636" s="32"/>
      <c r="Z636" s="32"/>
      <c r="AA636" s="32"/>
      <c r="AB636" s="32"/>
    </row>
    <row r="637" spans="1:28" ht="15.6" customHeight="1" x14ac:dyDescent="0.25">
      <c r="A637" s="24"/>
      <c r="B637" s="24"/>
      <c r="C637" s="25"/>
      <c r="D637" s="25"/>
      <c r="E637" s="25"/>
      <c r="F637" s="25"/>
      <c r="G637" s="26"/>
      <c r="H637" s="27"/>
      <c r="I637" s="24"/>
      <c r="J637" s="24"/>
      <c r="K637" s="28"/>
      <c r="L637" s="29"/>
      <c r="M637" s="29"/>
      <c r="N637" s="29"/>
      <c r="O637" s="27"/>
      <c r="P637" s="30"/>
      <c r="Q637" s="31"/>
      <c r="R637" s="31"/>
      <c r="S637" s="32"/>
      <c r="T637" s="32"/>
      <c r="U637" s="32"/>
      <c r="V637" s="32"/>
      <c r="W637" s="32"/>
      <c r="X637" s="32"/>
      <c r="Y637" s="32"/>
      <c r="Z637" s="32"/>
      <c r="AA637" s="32"/>
      <c r="AB637" s="32"/>
    </row>
    <row r="638" spans="1:28" ht="15.6" customHeight="1" x14ac:dyDescent="0.25">
      <c r="A638" s="24"/>
      <c r="B638" s="24"/>
      <c r="C638" s="25"/>
      <c r="D638" s="25"/>
      <c r="E638" s="25"/>
      <c r="F638" s="25"/>
      <c r="G638" s="26"/>
      <c r="H638" s="27"/>
      <c r="I638" s="24"/>
      <c r="J638" s="24"/>
      <c r="K638" s="28"/>
      <c r="L638" s="29"/>
      <c r="M638" s="29"/>
      <c r="N638" s="29"/>
      <c r="O638" s="27"/>
      <c r="P638" s="30"/>
      <c r="Q638" s="31"/>
      <c r="R638" s="31"/>
      <c r="S638" s="32"/>
      <c r="T638" s="32"/>
      <c r="U638" s="32"/>
      <c r="V638" s="32"/>
      <c r="W638" s="32"/>
      <c r="X638" s="32"/>
      <c r="Y638" s="32"/>
      <c r="Z638" s="32"/>
      <c r="AA638" s="32"/>
      <c r="AB638" s="32"/>
    </row>
    <row r="639" spans="1:28" ht="15.6" customHeight="1" x14ac:dyDescent="0.25">
      <c r="A639" s="24"/>
      <c r="B639" s="24"/>
      <c r="C639" s="25"/>
      <c r="D639" s="25"/>
      <c r="E639" s="25"/>
      <c r="F639" s="25"/>
      <c r="G639" s="26"/>
      <c r="H639" s="27"/>
      <c r="I639" s="24"/>
      <c r="J639" s="24"/>
      <c r="K639" s="28"/>
      <c r="L639" s="29"/>
      <c r="M639" s="29"/>
      <c r="N639" s="29"/>
      <c r="O639" s="27"/>
      <c r="P639" s="30"/>
      <c r="Q639" s="31"/>
      <c r="R639" s="31"/>
      <c r="S639" s="32"/>
      <c r="T639" s="32"/>
      <c r="U639" s="32"/>
      <c r="V639" s="32"/>
      <c r="W639" s="32"/>
      <c r="X639" s="32"/>
      <c r="Y639" s="32"/>
      <c r="Z639" s="32"/>
      <c r="AA639" s="32"/>
      <c r="AB639" s="32"/>
    </row>
    <row r="640" spans="1:28" ht="15.6" customHeight="1" x14ac:dyDescent="0.25">
      <c r="A640" s="24"/>
      <c r="B640" s="24"/>
      <c r="C640" s="25"/>
      <c r="D640" s="25"/>
      <c r="E640" s="25"/>
      <c r="F640" s="25"/>
      <c r="G640" s="26"/>
      <c r="H640" s="27"/>
      <c r="I640" s="24"/>
      <c r="J640" s="24"/>
      <c r="K640" s="28"/>
      <c r="L640" s="29"/>
      <c r="M640" s="29"/>
      <c r="N640" s="29"/>
      <c r="O640" s="27"/>
      <c r="P640" s="30"/>
      <c r="Q640" s="31"/>
      <c r="R640" s="31"/>
      <c r="S640" s="32"/>
      <c r="T640" s="32"/>
      <c r="U640" s="32"/>
      <c r="V640" s="32"/>
      <c r="W640" s="32"/>
      <c r="X640" s="32"/>
      <c r="Y640" s="32"/>
      <c r="Z640" s="32"/>
      <c r="AA640" s="32"/>
      <c r="AB640" s="32"/>
    </row>
    <row r="641" spans="1:28" ht="15.6" customHeight="1" x14ac:dyDescent="0.25">
      <c r="A641" s="24"/>
      <c r="B641" s="24"/>
      <c r="C641" s="25"/>
      <c r="D641" s="25"/>
      <c r="E641" s="25"/>
      <c r="F641" s="25"/>
      <c r="G641" s="26"/>
      <c r="H641" s="27"/>
      <c r="I641" s="24"/>
      <c r="J641" s="24"/>
      <c r="K641" s="28"/>
      <c r="L641" s="29"/>
      <c r="M641" s="29"/>
      <c r="N641" s="29"/>
      <c r="O641" s="27"/>
      <c r="P641" s="30"/>
      <c r="Q641" s="31"/>
      <c r="R641" s="31"/>
      <c r="S641" s="32"/>
      <c r="T641" s="32"/>
      <c r="U641" s="32"/>
      <c r="V641" s="32"/>
      <c r="W641" s="32"/>
      <c r="X641" s="32"/>
      <c r="Y641" s="32"/>
      <c r="Z641" s="32"/>
      <c r="AA641" s="32"/>
      <c r="AB641" s="32"/>
    </row>
    <row r="642" spans="1:28" ht="15.6" customHeight="1" x14ac:dyDescent="0.25">
      <c r="A642" s="24"/>
      <c r="B642" s="24"/>
      <c r="C642" s="25"/>
      <c r="D642" s="25"/>
      <c r="E642" s="25"/>
      <c r="F642" s="25"/>
      <c r="G642" s="26"/>
      <c r="H642" s="27"/>
      <c r="I642" s="24"/>
      <c r="J642" s="24"/>
      <c r="K642" s="28"/>
      <c r="L642" s="29"/>
      <c r="M642" s="29"/>
      <c r="N642" s="29"/>
      <c r="O642" s="27"/>
      <c r="P642" s="30"/>
      <c r="Q642" s="31"/>
      <c r="R642" s="31"/>
      <c r="S642" s="32"/>
      <c r="T642" s="32"/>
      <c r="U642" s="32"/>
      <c r="V642" s="32"/>
      <c r="W642" s="32"/>
      <c r="X642" s="32"/>
      <c r="Y642" s="32"/>
      <c r="Z642" s="32"/>
      <c r="AA642" s="32"/>
      <c r="AB642" s="32"/>
    </row>
    <row r="643" spans="1:28" ht="15.6" customHeight="1" x14ac:dyDescent="0.25">
      <c r="A643" s="24"/>
      <c r="B643" s="24"/>
      <c r="C643" s="25"/>
      <c r="D643" s="25"/>
      <c r="E643" s="25"/>
      <c r="F643" s="25"/>
      <c r="G643" s="26"/>
      <c r="H643" s="27"/>
      <c r="I643" s="24"/>
      <c r="J643" s="24"/>
      <c r="K643" s="28"/>
      <c r="L643" s="29"/>
      <c r="M643" s="29"/>
      <c r="N643" s="29"/>
      <c r="O643" s="27"/>
      <c r="P643" s="30"/>
      <c r="Q643" s="31"/>
      <c r="R643" s="31"/>
      <c r="S643" s="32"/>
      <c r="T643" s="32"/>
      <c r="U643" s="32"/>
      <c r="V643" s="32"/>
      <c r="W643" s="32"/>
      <c r="X643" s="32"/>
      <c r="Y643" s="32"/>
      <c r="Z643" s="32"/>
      <c r="AA643" s="32"/>
      <c r="AB643" s="32"/>
    </row>
    <row r="644" spans="1:28" ht="15.6" customHeight="1" x14ac:dyDescent="0.25">
      <c r="A644" s="24"/>
      <c r="B644" s="24"/>
      <c r="C644" s="25"/>
      <c r="D644" s="25"/>
      <c r="E644" s="25"/>
      <c r="F644" s="25"/>
      <c r="G644" s="26"/>
      <c r="H644" s="27"/>
      <c r="I644" s="24"/>
      <c r="J644" s="24"/>
      <c r="K644" s="28"/>
      <c r="L644" s="29"/>
      <c r="M644" s="29"/>
      <c r="N644" s="29"/>
      <c r="O644" s="27"/>
      <c r="P644" s="30"/>
      <c r="Q644" s="31"/>
      <c r="R644" s="31"/>
      <c r="S644" s="32"/>
      <c r="T644" s="32"/>
      <c r="U644" s="32"/>
      <c r="V644" s="32"/>
      <c r="W644" s="32"/>
      <c r="X644" s="32"/>
      <c r="Y644" s="32"/>
      <c r="Z644" s="32"/>
      <c r="AA644" s="32"/>
      <c r="AB644" s="32"/>
    </row>
    <row r="645" spans="1:28" ht="15.6" customHeight="1" x14ac:dyDescent="0.25">
      <c r="A645" s="24"/>
      <c r="B645" s="24"/>
      <c r="C645" s="25"/>
      <c r="D645" s="25"/>
      <c r="E645" s="25"/>
      <c r="F645" s="25"/>
      <c r="G645" s="26"/>
      <c r="H645" s="27"/>
      <c r="I645" s="24"/>
      <c r="J645" s="24"/>
      <c r="K645" s="28"/>
      <c r="L645" s="29"/>
      <c r="M645" s="29"/>
      <c r="N645" s="29"/>
      <c r="O645" s="27"/>
      <c r="P645" s="30"/>
      <c r="Q645" s="31"/>
      <c r="R645" s="31"/>
      <c r="S645" s="32"/>
      <c r="T645" s="32"/>
      <c r="U645" s="32"/>
      <c r="V645" s="32"/>
      <c r="W645" s="32"/>
      <c r="X645" s="32"/>
      <c r="Y645" s="32"/>
      <c r="Z645" s="32"/>
      <c r="AA645" s="32"/>
      <c r="AB645" s="32"/>
    </row>
    <row r="646" spans="1:28" ht="15.6" customHeight="1" x14ac:dyDescent="0.25">
      <c r="A646" s="24"/>
      <c r="B646" s="24"/>
      <c r="C646" s="25"/>
      <c r="D646" s="25"/>
      <c r="E646" s="25"/>
      <c r="F646" s="25"/>
      <c r="G646" s="26"/>
      <c r="H646" s="27"/>
      <c r="I646" s="24"/>
      <c r="J646" s="24"/>
      <c r="K646" s="28"/>
      <c r="L646" s="29"/>
      <c r="M646" s="29"/>
      <c r="N646" s="29"/>
      <c r="O646" s="27"/>
      <c r="P646" s="30"/>
      <c r="Q646" s="31"/>
      <c r="R646" s="31"/>
      <c r="S646" s="32"/>
      <c r="T646" s="32"/>
      <c r="U646" s="32"/>
      <c r="V646" s="32"/>
      <c r="W646" s="32"/>
      <c r="X646" s="32"/>
      <c r="Y646" s="32"/>
      <c r="Z646" s="32"/>
      <c r="AA646" s="32"/>
      <c r="AB646" s="32"/>
    </row>
    <row r="647" spans="1:28" ht="15.6" customHeight="1" x14ac:dyDescent="0.25">
      <c r="A647" s="24"/>
      <c r="B647" s="24"/>
      <c r="C647" s="25"/>
      <c r="D647" s="25"/>
      <c r="E647" s="25"/>
      <c r="F647" s="25"/>
      <c r="G647" s="26"/>
      <c r="H647" s="27"/>
      <c r="I647" s="24"/>
      <c r="J647" s="24"/>
      <c r="K647" s="28"/>
      <c r="L647" s="29"/>
      <c r="M647" s="29"/>
      <c r="N647" s="29"/>
      <c r="O647" s="27"/>
      <c r="P647" s="30"/>
      <c r="Q647" s="31"/>
      <c r="R647" s="31"/>
      <c r="S647" s="32"/>
      <c r="T647" s="32"/>
      <c r="U647" s="32"/>
      <c r="V647" s="32"/>
      <c r="W647" s="32"/>
      <c r="X647" s="32"/>
      <c r="Y647" s="32"/>
      <c r="Z647" s="32"/>
      <c r="AA647" s="32"/>
      <c r="AB647" s="32"/>
    </row>
    <row r="648" spans="1:28" ht="15.6" customHeight="1" x14ac:dyDescent="0.25">
      <c r="A648" s="24"/>
      <c r="B648" s="24"/>
      <c r="C648" s="25"/>
      <c r="D648" s="25"/>
      <c r="E648" s="25"/>
      <c r="F648" s="25"/>
      <c r="G648" s="26"/>
      <c r="H648" s="27"/>
      <c r="I648" s="24"/>
      <c r="J648" s="24"/>
      <c r="K648" s="28"/>
      <c r="L648" s="29"/>
      <c r="M648" s="29"/>
      <c r="N648" s="29"/>
      <c r="O648" s="27"/>
      <c r="P648" s="30"/>
      <c r="Q648" s="31"/>
      <c r="R648" s="31"/>
      <c r="S648" s="32"/>
      <c r="T648" s="32"/>
      <c r="U648" s="32"/>
      <c r="V648" s="32"/>
      <c r="W648" s="32"/>
      <c r="X648" s="32"/>
      <c r="Y648" s="32"/>
      <c r="Z648" s="32"/>
      <c r="AA648" s="32"/>
      <c r="AB648" s="32"/>
    </row>
    <row r="649" spans="1:28" ht="15.6" customHeight="1" x14ac:dyDescent="0.25">
      <c r="A649" s="24"/>
      <c r="B649" s="24"/>
      <c r="C649" s="25"/>
      <c r="D649" s="25"/>
      <c r="E649" s="25"/>
      <c r="F649" s="25"/>
      <c r="G649" s="26"/>
      <c r="H649" s="27"/>
      <c r="I649" s="24"/>
      <c r="J649" s="24"/>
      <c r="K649" s="28"/>
      <c r="L649" s="29"/>
      <c r="M649" s="29"/>
      <c r="N649" s="29"/>
      <c r="O649" s="27"/>
      <c r="P649" s="30"/>
      <c r="Q649" s="31"/>
      <c r="R649" s="31"/>
      <c r="S649" s="32"/>
      <c r="T649" s="32"/>
      <c r="U649" s="32"/>
      <c r="V649" s="32"/>
      <c r="W649" s="32"/>
      <c r="X649" s="32"/>
      <c r="Y649" s="32"/>
      <c r="Z649" s="32"/>
      <c r="AA649" s="32"/>
      <c r="AB649" s="32"/>
    </row>
    <row r="650" spans="1:28" ht="15.6" customHeight="1" x14ac:dyDescent="0.25">
      <c r="A650" s="24"/>
      <c r="B650" s="24"/>
      <c r="C650" s="25"/>
      <c r="D650" s="25"/>
      <c r="E650" s="25"/>
      <c r="F650" s="25"/>
      <c r="G650" s="26"/>
      <c r="H650" s="27"/>
      <c r="I650" s="24"/>
      <c r="J650" s="24"/>
      <c r="K650" s="28"/>
      <c r="L650" s="29"/>
      <c r="M650" s="29"/>
      <c r="N650" s="29"/>
      <c r="O650" s="27"/>
      <c r="P650" s="30"/>
      <c r="Q650" s="31"/>
      <c r="R650" s="31"/>
      <c r="S650" s="32"/>
      <c r="T650" s="32"/>
      <c r="U650" s="32"/>
      <c r="V650" s="32"/>
      <c r="W650" s="32"/>
      <c r="X650" s="32"/>
      <c r="Y650" s="32"/>
      <c r="Z650" s="32"/>
      <c r="AA650" s="32"/>
      <c r="AB650" s="32"/>
    </row>
    <row r="651" spans="1:28" ht="15.6" customHeight="1" x14ac:dyDescent="0.25">
      <c r="A651" s="24"/>
      <c r="B651" s="24"/>
      <c r="C651" s="25"/>
      <c r="D651" s="25"/>
      <c r="E651" s="25"/>
      <c r="F651" s="25"/>
      <c r="G651" s="26"/>
      <c r="H651" s="27"/>
      <c r="I651" s="24"/>
      <c r="J651" s="24"/>
      <c r="K651" s="28"/>
      <c r="L651" s="29"/>
      <c r="M651" s="29"/>
      <c r="N651" s="29"/>
      <c r="O651" s="27"/>
      <c r="P651" s="30"/>
      <c r="Q651" s="31"/>
      <c r="R651" s="31"/>
      <c r="S651" s="32"/>
      <c r="T651" s="32"/>
      <c r="U651" s="32"/>
      <c r="V651" s="32"/>
      <c r="W651" s="32"/>
      <c r="X651" s="32"/>
      <c r="Y651" s="32"/>
      <c r="Z651" s="32"/>
      <c r="AA651" s="32"/>
      <c r="AB651" s="32"/>
    </row>
    <row r="652" spans="1:28" ht="15.6" customHeight="1" x14ac:dyDescent="0.25">
      <c r="A652" s="24"/>
      <c r="B652" s="24"/>
      <c r="C652" s="25"/>
      <c r="D652" s="25"/>
      <c r="E652" s="25"/>
      <c r="F652" s="25"/>
      <c r="G652" s="26"/>
      <c r="H652" s="27"/>
      <c r="I652" s="24"/>
      <c r="J652" s="24"/>
      <c r="K652" s="28"/>
      <c r="L652" s="29"/>
      <c r="M652" s="29"/>
      <c r="N652" s="29"/>
      <c r="O652" s="27"/>
      <c r="P652" s="30"/>
      <c r="Q652" s="31"/>
      <c r="R652" s="31"/>
      <c r="S652" s="32"/>
      <c r="T652" s="32"/>
      <c r="U652" s="32"/>
      <c r="V652" s="32"/>
      <c r="W652" s="32"/>
      <c r="X652" s="32"/>
      <c r="Y652" s="32"/>
      <c r="Z652" s="32"/>
      <c r="AA652" s="32"/>
      <c r="AB652" s="32"/>
    </row>
    <row r="653" spans="1:28" ht="15.6" customHeight="1" x14ac:dyDescent="0.25">
      <c r="A653" s="24"/>
      <c r="B653" s="24"/>
      <c r="C653" s="25"/>
      <c r="D653" s="25"/>
      <c r="E653" s="25"/>
      <c r="F653" s="25"/>
      <c r="G653" s="26"/>
      <c r="H653" s="27"/>
      <c r="I653" s="24"/>
      <c r="J653" s="24"/>
      <c r="K653" s="28"/>
      <c r="L653" s="29"/>
      <c r="M653" s="29"/>
      <c r="N653" s="29"/>
      <c r="O653" s="27"/>
      <c r="P653" s="30"/>
      <c r="Q653" s="31"/>
      <c r="R653" s="31"/>
      <c r="S653" s="32"/>
      <c r="T653" s="32"/>
      <c r="U653" s="32"/>
      <c r="V653" s="32"/>
      <c r="W653" s="32"/>
      <c r="X653" s="32"/>
      <c r="Y653" s="32"/>
      <c r="Z653" s="32"/>
      <c r="AA653" s="32"/>
      <c r="AB653" s="32"/>
    </row>
    <row r="654" spans="1:28" ht="15.6" customHeight="1" x14ac:dyDescent="0.25">
      <c r="A654" s="24"/>
      <c r="B654" s="24"/>
      <c r="C654" s="25"/>
      <c r="D654" s="25"/>
      <c r="E654" s="25"/>
      <c r="F654" s="25"/>
      <c r="G654" s="26"/>
      <c r="H654" s="27"/>
      <c r="I654" s="24"/>
      <c r="J654" s="24"/>
      <c r="K654" s="28"/>
      <c r="L654" s="29"/>
      <c r="M654" s="29"/>
      <c r="N654" s="29"/>
      <c r="O654" s="27"/>
      <c r="P654" s="30"/>
      <c r="Q654" s="31"/>
      <c r="R654" s="31"/>
      <c r="S654" s="32"/>
      <c r="T654" s="32"/>
      <c r="U654" s="32"/>
      <c r="V654" s="32"/>
      <c r="W654" s="32"/>
      <c r="X654" s="32"/>
      <c r="Y654" s="32"/>
      <c r="Z654" s="32"/>
      <c r="AA654" s="32"/>
      <c r="AB654" s="32"/>
    </row>
    <row r="655" spans="1:28" ht="15.6" customHeight="1" x14ac:dyDescent="0.25">
      <c r="A655" s="24"/>
      <c r="B655" s="24"/>
      <c r="C655" s="25"/>
      <c r="D655" s="25"/>
      <c r="E655" s="25"/>
      <c r="F655" s="25"/>
      <c r="G655" s="26"/>
      <c r="H655" s="27"/>
      <c r="I655" s="24"/>
      <c r="J655" s="24"/>
      <c r="K655" s="28"/>
      <c r="L655" s="29"/>
      <c r="M655" s="29"/>
      <c r="N655" s="29"/>
      <c r="O655" s="27"/>
      <c r="P655" s="30"/>
      <c r="Q655" s="31"/>
      <c r="R655" s="31"/>
      <c r="S655" s="32"/>
      <c r="T655" s="32"/>
      <c r="U655" s="32"/>
      <c r="V655" s="32"/>
      <c r="W655" s="32"/>
      <c r="X655" s="32"/>
      <c r="Y655" s="32"/>
      <c r="Z655" s="32"/>
      <c r="AA655" s="32"/>
      <c r="AB655" s="32"/>
    </row>
    <row r="656" spans="1:28" ht="15.6" customHeight="1" x14ac:dyDescent="0.25">
      <c r="A656" s="24"/>
      <c r="B656" s="24"/>
      <c r="C656" s="25"/>
      <c r="D656" s="25"/>
      <c r="E656" s="25"/>
      <c r="F656" s="25"/>
      <c r="G656" s="26"/>
      <c r="H656" s="27"/>
      <c r="I656" s="24"/>
      <c r="J656" s="24"/>
      <c r="K656" s="28"/>
      <c r="L656" s="29"/>
      <c r="M656" s="29"/>
      <c r="N656" s="29"/>
      <c r="O656" s="27"/>
      <c r="P656" s="30"/>
      <c r="Q656" s="31"/>
      <c r="R656" s="31"/>
      <c r="S656" s="32"/>
      <c r="T656" s="32"/>
      <c r="U656" s="32"/>
      <c r="V656" s="32"/>
      <c r="W656" s="32"/>
      <c r="X656" s="32"/>
      <c r="Y656" s="32"/>
      <c r="Z656" s="32"/>
      <c r="AA656" s="32"/>
      <c r="AB656" s="32"/>
    </row>
    <row r="657" spans="1:28" ht="15.6" customHeight="1" x14ac:dyDescent="0.25">
      <c r="A657" s="24"/>
      <c r="B657" s="24"/>
      <c r="C657" s="25"/>
      <c r="D657" s="25"/>
      <c r="E657" s="25"/>
      <c r="F657" s="25"/>
      <c r="G657" s="26"/>
      <c r="H657" s="27"/>
      <c r="I657" s="24"/>
      <c r="J657" s="24"/>
      <c r="K657" s="28"/>
      <c r="L657" s="29"/>
      <c r="M657" s="29"/>
      <c r="N657" s="29"/>
      <c r="O657" s="27"/>
      <c r="P657" s="30"/>
      <c r="Q657" s="31"/>
      <c r="R657" s="31"/>
      <c r="S657" s="32"/>
      <c r="T657" s="32"/>
      <c r="U657" s="32"/>
      <c r="V657" s="32"/>
      <c r="W657" s="32"/>
      <c r="X657" s="32"/>
      <c r="Y657" s="32"/>
      <c r="Z657" s="32"/>
      <c r="AA657" s="32"/>
      <c r="AB657" s="32"/>
    </row>
    <row r="658" spans="1:28" ht="15.6" customHeight="1" x14ac:dyDescent="0.25">
      <c r="A658" s="24"/>
      <c r="B658" s="24"/>
      <c r="C658" s="25"/>
      <c r="D658" s="25"/>
      <c r="E658" s="25"/>
      <c r="F658" s="25"/>
      <c r="G658" s="26"/>
      <c r="H658" s="27"/>
      <c r="I658" s="24"/>
      <c r="J658" s="24"/>
      <c r="K658" s="28"/>
      <c r="L658" s="29"/>
      <c r="M658" s="29"/>
      <c r="N658" s="29"/>
      <c r="O658" s="27"/>
      <c r="P658" s="30"/>
      <c r="Q658" s="31"/>
      <c r="R658" s="31"/>
      <c r="S658" s="32"/>
      <c r="T658" s="32"/>
      <c r="U658" s="32"/>
      <c r="V658" s="32"/>
      <c r="W658" s="32"/>
      <c r="X658" s="32"/>
      <c r="Y658" s="32"/>
      <c r="Z658" s="32"/>
      <c r="AA658" s="32"/>
      <c r="AB658" s="32"/>
    </row>
    <row r="659" spans="1:28" ht="15.6" customHeight="1" x14ac:dyDescent="0.25">
      <c r="A659" s="24"/>
      <c r="B659" s="24"/>
      <c r="C659" s="25"/>
      <c r="D659" s="25"/>
      <c r="E659" s="25"/>
      <c r="F659" s="25"/>
      <c r="G659" s="26"/>
      <c r="H659" s="27"/>
      <c r="I659" s="24"/>
      <c r="J659" s="24"/>
      <c r="K659" s="28"/>
      <c r="L659" s="29"/>
      <c r="M659" s="29"/>
      <c r="N659" s="29"/>
      <c r="O659" s="27"/>
      <c r="P659" s="30"/>
      <c r="Q659" s="31"/>
      <c r="R659" s="31"/>
      <c r="S659" s="32"/>
      <c r="T659" s="32"/>
      <c r="U659" s="32"/>
      <c r="V659" s="32"/>
      <c r="W659" s="32"/>
      <c r="X659" s="32"/>
      <c r="Y659" s="32"/>
      <c r="Z659" s="32"/>
      <c r="AA659" s="32"/>
      <c r="AB659" s="32"/>
    </row>
    <row r="660" spans="1:28" ht="15.6" customHeight="1" x14ac:dyDescent="0.25">
      <c r="A660" s="24"/>
      <c r="B660" s="24"/>
      <c r="C660" s="25"/>
      <c r="D660" s="25"/>
      <c r="E660" s="25"/>
      <c r="F660" s="25"/>
      <c r="G660" s="26"/>
      <c r="H660" s="27"/>
      <c r="I660" s="24"/>
      <c r="J660" s="24"/>
      <c r="K660" s="28"/>
      <c r="L660" s="29"/>
      <c r="M660" s="29"/>
      <c r="N660" s="29"/>
      <c r="O660" s="27"/>
      <c r="P660" s="30"/>
      <c r="Q660" s="31"/>
      <c r="R660" s="31"/>
      <c r="S660" s="32"/>
      <c r="T660" s="32"/>
      <c r="U660" s="32"/>
      <c r="V660" s="32"/>
      <c r="W660" s="32"/>
      <c r="X660" s="32"/>
      <c r="Y660" s="32"/>
      <c r="Z660" s="32"/>
      <c r="AA660" s="32"/>
      <c r="AB660" s="32"/>
    </row>
    <row r="661" spans="1:28" ht="15.6" customHeight="1" x14ac:dyDescent="0.25">
      <c r="A661" s="24"/>
      <c r="B661" s="24"/>
      <c r="C661" s="25"/>
      <c r="D661" s="25"/>
      <c r="E661" s="25"/>
      <c r="F661" s="25"/>
      <c r="G661" s="26"/>
      <c r="H661" s="27"/>
      <c r="I661" s="24"/>
      <c r="J661" s="24"/>
      <c r="K661" s="28"/>
      <c r="L661" s="29"/>
      <c r="M661" s="29"/>
      <c r="N661" s="29"/>
      <c r="O661" s="27"/>
      <c r="P661" s="30"/>
      <c r="Q661" s="31"/>
      <c r="R661" s="31"/>
      <c r="S661" s="32"/>
      <c r="T661" s="32"/>
      <c r="U661" s="32"/>
      <c r="V661" s="32"/>
      <c r="W661" s="32"/>
      <c r="X661" s="32"/>
      <c r="Y661" s="32"/>
      <c r="Z661" s="32"/>
      <c r="AA661" s="32"/>
      <c r="AB661" s="32"/>
    </row>
    <row r="662" spans="1:28" ht="15.6" customHeight="1" x14ac:dyDescent="0.25">
      <c r="A662" s="24"/>
      <c r="B662" s="24"/>
      <c r="C662" s="25"/>
      <c r="D662" s="25"/>
      <c r="E662" s="25"/>
      <c r="F662" s="25"/>
      <c r="G662" s="26"/>
      <c r="H662" s="27"/>
      <c r="I662" s="24"/>
      <c r="J662" s="24"/>
      <c r="K662" s="28"/>
      <c r="L662" s="29"/>
      <c r="M662" s="29"/>
      <c r="N662" s="29"/>
      <c r="O662" s="27"/>
      <c r="P662" s="30"/>
      <c r="Q662" s="31"/>
      <c r="R662" s="31"/>
      <c r="S662" s="32"/>
      <c r="T662" s="32"/>
      <c r="U662" s="32"/>
      <c r="V662" s="32"/>
      <c r="W662" s="32"/>
      <c r="X662" s="32"/>
      <c r="Y662" s="32"/>
      <c r="Z662" s="32"/>
      <c r="AA662" s="32"/>
      <c r="AB662" s="32"/>
    </row>
    <row r="663" spans="1:28" ht="15.6" customHeight="1" x14ac:dyDescent="0.25">
      <c r="A663" s="24"/>
      <c r="B663" s="24"/>
      <c r="C663" s="25"/>
      <c r="D663" s="25"/>
      <c r="E663" s="25"/>
      <c r="F663" s="25"/>
      <c r="G663" s="26"/>
      <c r="H663" s="27"/>
      <c r="I663" s="24"/>
      <c r="J663" s="24"/>
      <c r="K663" s="28"/>
      <c r="L663" s="29"/>
      <c r="M663" s="29"/>
      <c r="N663" s="29"/>
      <c r="O663" s="27"/>
      <c r="P663" s="30"/>
      <c r="Q663" s="31"/>
      <c r="R663" s="31"/>
      <c r="S663" s="32"/>
      <c r="T663" s="32"/>
      <c r="U663" s="32"/>
      <c r="V663" s="32"/>
      <c r="W663" s="32"/>
      <c r="X663" s="32"/>
      <c r="Y663" s="32"/>
      <c r="Z663" s="32"/>
      <c r="AA663" s="32"/>
      <c r="AB663" s="32"/>
    </row>
    <row r="664" spans="1:28" ht="15.6" customHeight="1" x14ac:dyDescent="0.25">
      <c r="A664" s="24"/>
      <c r="B664" s="24"/>
      <c r="C664" s="25"/>
      <c r="D664" s="25"/>
      <c r="E664" s="25"/>
      <c r="F664" s="25"/>
      <c r="G664" s="26"/>
      <c r="H664" s="27"/>
      <c r="I664" s="24"/>
      <c r="J664" s="24"/>
      <c r="K664" s="28"/>
      <c r="L664" s="29"/>
      <c r="M664" s="29"/>
      <c r="N664" s="29"/>
      <c r="O664" s="27"/>
      <c r="P664" s="30"/>
      <c r="Q664" s="31"/>
      <c r="R664" s="31"/>
      <c r="S664" s="32"/>
      <c r="T664" s="32"/>
      <c r="U664" s="32"/>
      <c r="V664" s="32"/>
      <c r="W664" s="32"/>
      <c r="X664" s="32"/>
      <c r="Y664" s="32"/>
      <c r="Z664" s="32"/>
      <c r="AA664" s="32"/>
      <c r="AB664" s="32"/>
    </row>
    <row r="665" spans="1:28" ht="15.6" customHeight="1" x14ac:dyDescent="0.25">
      <c r="A665" s="24"/>
      <c r="B665" s="24"/>
      <c r="C665" s="25"/>
      <c r="D665" s="25"/>
      <c r="E665" s="25"/>
      <c r="F665" s="25"/>
      <c r="G665" s="26"/>
      <c r="H665" s="27"/>
      <c r="I665" s="24"/>
      <c r="J665" s="24"/>
      <c r="K665" s="28"/>
      <c r="L665" s="29"/>
      <c r="M665" s="29"/>
      <c r="N665" s="29"/>
      <c r="O665" s="27"/>
      <c r="P665" s="30"/>
      <c r="Q665" s="31"/>
      <c r="R665" s="31"/>
      <c r="S665" s="32"/>
      <c r="T665" s="32"/>
      <c r="U665" s="32"/>
      <c r="V665" s="32"/>
      <c r="W665" s="32"/>
      <c r="X665" s="32"/>
      <c r="Y665" s="32"/>
      <c r="Z665" s="32"/>
      <c r="AA665" s="32"/>
      <c r="AB665" s="32"/>
    </row>
    <row r="666" spans="1:28" ht="15.6" customHeight="1" x14ac:dyDescent="0.25">
      <c r="A666" s="24"/>
      <c r="B666" s="24"/>
      <c r="C666" s="25"/>
      <c r="D666" s="25"/>
      <c r="E666" s="25"/>
      <c r="F666" s="25"/>
      <c r="G666" s="26"/>
      <c r="H666" s="27"/>
      <c r="I666" s="24"/>
      <c r="J666" s="24"/>
      <c r="K666" s="28"/>
      <c r="L666" s="29"/>
      <c r="M666" s="29"/>
      <c r="N666" s="29"/>
      <c r="O666" s="27"/>
      <c r="P666" s="30"/>
      <c r="Q666" s="31"/>
      <c r="R666" s="31"/>
      <c r="S666" s="32"/>
      <c r="T666" s="32"/>
      <c r="U666" s="32"/>
      <c r="V666" s="32"/>
      <c r="W666" s="32"/>
      <c r="X666" s="32"/>
      <c r="Y666" s="32"/>
      <c r="Z666" s="32"/>
      <c r="AA666" s="32"/>
      <c r="AB666" s="32"/>
    </row>
    <row r="667" spans="1:28" ht="15.6" customHeight="1" x14ac:dyDescent="0.25">
      <c r="A667" s="24"/>
      <c r="B667" s="24"/>
      <c r="C667" s="25"/>
      <c r="D667" s="25"/>
      <c r="E667" s="25"/>
      <c r="F667" s="25"/>
      <c r="G667" s="26"/>
      <c r="H667" s="27"/>
      <c r="I667" s="24"/>
      <c r="J667" s="24"/>
      <c r="K667" s="28"/>
      <c r="L667" s="29"/>
      <c r="M667" s="29"/>
      <c r="N667" s="29"/>
      <c r="O667" s="27"/>
      <c r="P667" s="30"/>
      <c r="Q667" s="31"/>
      <c r="R667" s="31"/>
      <c r="S667" s="32"/>
      <c r="T667" s="32"/>
      <c r="U667" s="32"/>
      <c r="V667" s="32"/>
      <c r="W667" s="32"/>
      <c r="X667" s="32"/>
      <c r="Y667" s="32"/>
      <c r="Z667" s="32"/>
      <c r="AA667" s="32"/>
      <c r="AB667" s="32"/>
    </row>
    <row r="668" spans="1:28" ht="15.6" customHeight="1" x14ac:dyDescent="0.25">
      <c r="A668" s="24"/>
      <c r="B668" s="24"/>
      <c r="C668" s="25"/>
      <c r="D668" s="25"/>
      <c r="E668" s="25"/>
      <c r="F668" s="25"/>
      <c r="G668" s="26"/>
      <c r="H668" s="27"/>
      <c r="I668" s="24"/>
      <c r="J668" s="24"/>
      <c r="K668" s="28"/>
      <c r="L668" s="29"/>
      <c r="M668" s="29"/>
      <c r="N668" s="29"/>
      <c r="O668" s="27"/>
      <c r="P668" s="30"/>
      <c r="Q668" s="31"/>
      <c r="R668" s="31"/>
      <c r="S668" s="32"/>
      <c r="T668" s="32"/>
      <c r="U668" s="32"/>
      <c r="V668" s="32"/>
      <c r="W668" s="32"/>
      <c r="X668" s="32"/>
      <c r="Y668" s="32"/>
      <c r="Z668" s="32"/>
      <c r="AA668" s="32"/>
      <c r="AB668" s="32"/>
    </row>
    <row r="669" spans="1:28" ht="15.6" customHeight="1" x14ac:dyDescent="0.25">
      <c r="A669" s="24"/>
      <c r="B669" s="24"/>
      <c r="C669" s="25"/>
      <c r="D669" s="25"/>
      <c r="E669" s="25"/>
      <c r="F669" s="25"/>
      <c r="G669" s="26"/>
      <c r="H669" s="27"/>
      <c r="I669" s="24"/>
      <c r="J669" s="24"/>
      <c r="K669" s="28"/>
      <c r="L669" s="29"/>
      <c r="M669" s="29"/>
      <c r="N669" s="29"/>
      <c r="O669" s="27"/>
      <c r="P669" s="30"/>
      <c r="Q669" s="31"/>
      <c r="R669" s="31"/>
      <c r="S669" s="32"/>
      <c r="T669" s="32"/>
      <c r="U669" s="32"/>
      <c r="V669" s="32"/>
      <c r="W669" s="32"/>
      <c r="X669" s="32"/>
      <c r="Y669" s="32"/>
      <c r="Z669" s="32"/>
      <c r="AA669" s="32"/>
      <c r="AB669" s="32"/>
    </row>
    <row r="670" spans="1:28" ht="15.6" customHeight="1" x14ac:dyDescent="0.25">
      <c r="A670" s="24"/>
      <c r="B670" s="24"/>
      <c r="C670" s="25"/>
      <c r="D670" s="25"/>
      <c r="E670" s="25"/>
      <c r="F670" s="25"/>
      <c r="G670" s="26"/>
      <c r="H670" s="27"/>
      <c r="I670" s="24"/>
      <c r="J670" s="24"/>
      <c r="K670" s="28"/>
      <c r="L670" s="29"/>
      <c r="M670" s="29"/>
      <c r="N670" s="29"/>
      <c r="O670" s="27"/>
      <c r="P670" s="30"/>
      <c r="Q670" s="31"/>
      <c r="R670" s="31"/>
      <c r="S670" s="32"/>
      <c r="T670" s="32"/>
      <c r="U670" s="32"/>
      <c r="V670" s="32"/>
      <c r="W670" s="32"/>
      <c r="X670" s="32"/>
      <c r="Y670" s="32"/>
      <c r="Z670" s="32"/>
      <c r="AA670" s="32"/>
      <c r="AB670" s="32"/>
    </row>
    <row r="671" spans="1:28" ht="15.6" customHeight="1" x14ac:dyDescent="0.25">
      <c r="A671" s="24"/>
      <c r="B671" s="24"/>
      <c r="C671" s="25"/>
      <c r="D671" s="25"/>
      <c r="E671" s="25"/>
      <c r="F671" s="25"/>
      <c r="G671" s="26"/>
      <c r="H671" s="27"/>
      <c r="I671" s="24"/>
      <c r="J671" s="24"/>
      <c r="K671" s="28"/>
      <c r="L671" s="29"/>
      <c r="M671" s="29"/>
      <c r="N671" s="29"/>
      <c r="O671" s="27"/>
      <c r="P671" s="30"/>
      <c r="Q671" s="31"/>
      <c r="R671" s="31"/>
      <c r="S671" s="32"/>
      <c r="T671" s="32"/>
      <c r="U671" s="32"/>
      <c r="V671" s="32"/>
      <c r="W671" s="32"/>
      <c r="X671" s="32"/>
      <c r="Y671" s="32"/>
      <c r="Z671" s="32"/>
      <c r="AA671" s="32"/>
      <c r="AB671" s="32"/>
    </row>
    <row r="672" spans="1:28" ht="15.6" customHeight="1" x14ac:dyDescent="0.25">
      <c r="A672" s="24"/>
      <c r="B672" s="24"/>
      <c r="C672" s="25"/>
      <c r="D672" s="25"/>
      <c r="E672" s="25"/>
      <c r="F672" s="25"/>
      <c r="G672" s="26"/>
      <c r="H672" s="27"/>
      <c r="I672" s="24"/>
      <c r="J672" s="24"/>
      <c r="K672" s="28"/>
      <c r="L672" s="29"/>
      <c r="M672" s="29"/>
      <c r="N672" s="29"/>
      <c r="O672" s="27"/>
      <c r="P672" s="30"/>
      <c r="Q672" s="31"/>
      <c r="R672" s="31"/>
      <c r="S672" s="32"/>
      <c r="T672" s="32"/>
      <c r="U672" s="32"/>
      <c r="V672" s="32"/>
      <c r="W672" s="32"/>
      <c r="X672" s="32"/>
      <c r="Y672" s="32"/>
      <c r="Z672" s="32"/>
      <c r="AA672" s="32"/>
      <c r="AB672" s="32"/>
    </row>
    <row r="673" spans="1:28" ht="15.6" customHeight="1" x14ac:dyDescent="0.25">
      <c r="A673" s="24"/>
      <c r="B673" s="24"/>
      <c r="C673" s="25"/>
      <c r="D673" s="25"/>
      <c r="E673" s="25"/>
      <c r="F673" s="25"/>
      <c r="G673" s="26"/>
      <c r="H673" s="27"/>
      <c r="I673" s="24"/>
      <c r="J673" s="24"/>
      <c r="K673" s="28"/>
      <c r="L673" s="29"/>
      <c r="M673" s="29"/>
      <c r="N673" s="29"/>
      <c r="O673" s="27"/>
      <c r="P673" s="30"/>
      <c r="Q673" s="31"/>
      <c r="R673" s="31"/>
      <c r="S673" s="32"/>
      <c r="T673" s="32"/>
      <c r="U673" s="32"/>
      <c r="V673" s="32"/>
      <c r="W673" s="32"/>
      <c r="X673" s="32"/>
      <c r="Y673" s="32"/>
      <c r="Z673" s="32"/>
      <c r="AA673" s="32"/>
      <c r="AB673" s="32"/>
    </row>
    <row r="674" spans="1:28" ht="15.6" customHeight="1" x14ac:dyDescent="0.25">
      <c r="A674" s="24"/>
      <c r="B674" s="24"/>
      <c r="C674" s="25"/>
      <c r="D674" s="25"/>
      <c r="E674" s="25"/>
      <c r="F674" s="25"/>
      <c r="G674" s="26"/>
      <c r="H674" s="27"/>
      <c r="I674" s="24"/>
      <c r="J674" s="24"/>
      <c r="K674" s="28"/>
      <c r="L674" s="29"/>
      <c r="M674" s="29"/>
      <c r="N674" s="29"/>
      <c r="O674" s="27"/>
      <c r="P674" s="30"/>
      <c r="Q674" s="31"/>
      <c r="R674" s="31"/>
      <c r="S674" s="32"/>
      <c r="T674" s="32"/>
      <c r="U674" s="32"/>
      <c r="V674" s="32"/>
      <c r="W674" s="32"/>
      <c r="X674" s="32"/>
      <c r="Y674" s="32"/>
      <c r="Z674" s="32"/>
      <c r="AA674" s="32"/>
      <c r="AB674" s="32"/>
    </row>
    <row r="675" spans="1:28" ht="15.6" customHeight="1" x14ac:dyDescent="0.25">
      <c r="A675" s="24"/>
      <c r="B675" s="24"/>
      <c r="C675" s="25"/>
      <c r="D675" s="25"/>
      <c r="E675" s="25"/>
      <c r="F675" s="25"/>
      <c r="G675" s="26"/>
      <c r="H675" s="27"/>
      <c r="I675" s="24"/>
      <c r="J675" s="24"/>
      <c r="K675" s="28"/>
      <c r="L675" s="29"/>
      <c r="M675" s="29"/>
      <c r="N675" s="29"/>
      <c r="O675" s="27"/>
      <c r="P675" s="30"/>
      <c r="Q675" s="31"/>
      <c r="R675" s="31"/>
      <c r="S675" s="32"/>
      <c r="T675" s="32"/>
      <c r="U675" s="32"/>
      <c r="V675" s="32"/>
      <c r="W675" s="32"/>
      <c r="X675" s="32"/>
      <c r="Y675" s="32"/>
      <c r="Z675" s="32"/>
      <c r="AA675" s="32"/>
      <c r="AB675" s="32"/>
    </row>
    <row r="676" spans="1:28" ht="15.6" customHeight="1" x14ac:dyDescent="0.25">
      <c r="A676" s="24"/>
      <c r="B676" s="24"/>
      <c r="C676" s="25"/>
      <c r="D676" s="25"/>
      <c r="E676" s="25"/>
      <c r="F676" s="25"/>
      <c r="G676" s="26"/>
      <c r="H676" s="27"/>
      <c r="I676" s="24"/>
      <c r="J676" s="24"/>
      <c r="K676" s="28"/>
      <c r="L676" s="29"/>
      <c r="M676" s="29"/>
      <c r="N676" s="29"/>
      <c r="O676" s="27"/>
      <c r="P676" s="30"/>
      <c r="Q676" s="31"/>
      <c r="R676" s="31"/>
      <c r="S676" s="32"/>
      <c r="T676" s="32"/>
      <c r="U676" s="32"/>
      <c r="V676" s="32"/>
      <c r="W676" s="32"/>
      <c r="X676" s="32"/>
      <c r="Y676" s="32"/>
      <c r="Z676" s="32"/>
      <c r="AA676" s="32"/>
      <c r="AB676" s="32"/>
    </row>
    <row r="677" spans="1:28" ht="15.6" customHeight="1" x14ac:dyDescent="0.25">
      <c r="A677" s="24"/>
      <c r="B677" s="24"/>
      <c r="C677" s="25"/>
      <c r="D677" s="25"/>
      <c r="E677" s="25"/>
      <c r="F677" s="25"/>
      <c r="G677" s="26"/>
      <c r="H677" s="27"/>
      <c r="I677" s="24"/>
      <c r="J677" s="24"/>
      <c r="K677" s="28"/>
      <c r="L677" s="29"/>
      <c r="M677" s="29"/>
      <c r="N677" s="29"/>
      <c r="O677" s="27"/>
      <c r="P677" s="30"/>
      <c r="Q677" s="31"/>
      <c r="R677" s="31"/>
      <c r="S677" s="32"/>
      <c r="T677" s="32"/>
      <c r="U677" s="32"/>
      <c r="V677" s="32"/>
      <c r="W677" s="32"/>
      <c r="X677" s="32"/>
      <c r="Y677" s="32"/>
      <c r="Z677" s="32"/>
      <c r="AA677" s="32"/>
      <c r="AB677" s="32"/>
    </row>
    <row r="678" spans="1:28" ht="15.6" customHeight="1" x14ac:dyDescent="0.25">
      <c r="A678" s="24"/>
      <c r="B678" s="24"/>
      <c r="C678" s="25"/>
      <c r="D678" s="25"/>
      <c r="E678" s="25"/>
      <c r="F678" s="25"/>
      <c r="G678" s="26"/>
      <c r="H678" s="27"/>
      <c r="I678" s="24"/>
      <c r="J678" s="24"/>
      <c r="K678" s="28"/>
      <c r="L678" s="29"/>
      <c r="M678" s="29"/>
      <c r="N678" s="29"/>
      <c r="O678" s="27"/>
      <c r="P678" s="30"/>
      <c r="Q678" s="31"/>
      <c r="R678" s="31"/>
      <c r="S678" s="32"/>
      <c r="T678" s="32"/>
      <c r="U678" s="32"/>
      <c r="V678" s="32"/>
      <c r="W678" s="32"/>
      <c r="X678" s="32"/>
      <c r="Y678" s="32"/>
      <c r="Z678" s="32"/>
      <c r="AA678" s="32"/>
      <c r="AB678" s="32"/>
    </row>
    <row r="679" spans="1:28" ht="15.6" customHeight="1" x14ac:dyDescent="0.25">
      <c r="A679" s="24"/>
      <c r="B679" s="24"/>
      <c r="C679" s="25"/>
      <c r="D679" s="25"/>
      <c r="E679" s="25"/>
      <c r="F679" s="25"/>
      <c r="G679" s="26"/>
      <c r="H679" s="27"/>
      <c r="I679" s="24"/>
      <c r="J679" s="24"/>
      <c r="K679" s="28"/>
      <c r="L679" s="29"/>
      <c r="M679" s="29"/>
      <c r="N679" s="29"/>
      <c r="O679" s="27"/>
      <c r="P679" s="30"/>
      <c r="Q679" s="31"/>
      <c r="R679" s="31"/>
      <c r="S679" s="32"/>
      <c r="T679" s="32"/>
      <c r="U679" s="32"/>
      <c r="V679" s="32"/>
      <c r="W679" s="32"/>
      <c r="X679" s="32"/>
      <c r="Y679" s="32"/>
      <c r="Z679" s="32"/>
      <c r="AA679" s="32"/>
      <c r="AB679" s="32"/>
    </row>
    <row r="680" spans="1:28" ht="15.6" customHeight="1" x14ac:dyDescent="0.25">
      <c r="A680" s="24"/>
      <c r="B680" s="24"/>
      <c r="C680" s="25"/>
      <c r="D680" s="25"/>
      <c r="E680" s="25"/>
      <c r="F680" s="25"/>
      <c r="G680" s="26"/>
      <c r="H680" s="27"/>
      <c r="I680" s="24"/>
      <c r="J680" s="24"/>
      <c r="K680" s="28"/>
      <c r="L680" s="29"/>
      <c r="M680" s="29"/>
      <c r="N680" s="29"/>
      <c r="O680" s="27"/>
      <c r="P680" s="30"/>
      <c r="Q680" s="31"/>
      <c r="R680" s="31"/>
      <c r="S680" s="32"/>
      <c r="T680" s="32"/>
      <c r="U680" s="32"/>
      <c r="V680" s="32"/>
      <c r="W680" s="32"/>
      <c r="X680" s="32"/>
      <c r="Y680" s="32"/>
      <c r="Z680" s="32"/>
      <c r="AA680" s="32"/>
      <c r="AB680" s="32"/>
    </row>
    <row r="681" spans="1:28" ht="15.6" customHeight="1" x14ac:dyDescent="0.25">
      <c r="A681" s="24"/>
      <c r="B681" s="24"/>
      <c r="C681" s="25"/>
      <c r="D681" s="25"/>
      <c r="E681" s="25"/>
      <c r="F681" s="25"/>
      <c r="G681" s="26"/>
      <c r="H681" s="27"/>
      <c r="I681" s="24"/>
      <c r="J681" s="24"/>
      <c r="K681" s="28"/>
      <c r="L681" s="29"/>
      <c r="M681" s="29"/>
      <c r="N681" s="29"/>
      <c r="O681" s="27"/>
      <c r="P681" s="30"/>
      <c r="Q681" s="31"/>
      <c r="R681" s="31"/>
      <c r="S681" s="32"/>
      <c r="T681" s="32"/>
      <c r="U681" s="32"/>
      <c r="V681" s="32"/>
      <c r="W681" s="32"/>
      <c r="X681" s="32"/>
      <c r="Y681" s="32"/>
      <c r="Z681" s="32"/>
      <c r="AA681" s="32"/>
      <c r="AB681" s="32"/>
    </row>
    <row r="682" spans="1:28" ht="15.6" customHeight="1" x14ac:dyDescent="0.25">
      <c r="A682" s="24"/>
      <c r="B682" s="24"/>
      <c r="C682" s="25"/>
      <c r="D682" s="25"/>
      <c r="E682" s="25"/>
      <c r="F682" s="25"/>
      <c r="G682" s="26"/>
      <c r="H682" s="27"/>
      <c r="I682" s="24"/>
      <c r="J682" s="24"/>
      <c r="K682" s="28"/>
      <c r="L682" s="29"/>
      <c r="M682" s="29"/>
      <c r="N682" s="29"/>
      <c r="O682" s="27"/>
      <c r="P682" s="30"/>
      <c r="Q682" s="31"/>
      <c r="R682" s="31"/>
      <c r="S682" s="32"/>
      <c r="T682" s="32"/>
      <c r="U682" s="32"/>
      <c r="V682" s="32"/>
      <c r="W682" s="32"/>
      <c r="X682" s="32"/>
      <c r="Y682" s="32"/>
      <c r="Z682" s="32"/>
      <c r="AA682" s="32"/>
      <c r="AB682" s="32"/>
    </row>
    <row r="683" spans="1:28" ht="15.6" customHeight="1" x14ac:dyDescent="0.25">
      <c r="A683" s="24"/>
      <c r="B683" s="24"/>
      <c r="C683" s="25"/>
      <c r="D683" s="25"/>
      <c r="E683" s="25"/>
      <c r="F683" s="25"/>
      <c r="G683" s="26"/>
      <c r="H683" s="27"/>
      <c r="I683" s="24"/>
      <c r="J683" s="24"/>
      <c r="K683" s="28"/>
      <c r="L683" s="29"/>
      <c r="M683" s="29"/>
      <c r="N683" s="29"/>
      <c r="O683" s="27"/>
      <c r="P683" s="30"/>
      <c r="Q683" s="31"/>
      <c r="R683" s="31"/>
      <c r="S683" s="32"/>
      <c r="T683" s="32"/>
      <c r="U683" s="32"/>
      <c r="V683" s="32"/>
      <c r="W683" s="32"/>
      <c r="X683" s="32"/>
      <c r="Y683" s="32"/>
      <c r="Z683" s="32"/>
      <c r="AA683" s="32"/>
      <c r="AB683" s="32"/>
    </row>
    <row r="684" spans="1:28" ht="15.6" customHeight="1" x14ac:dyDescent="0.25">
      <c r="A684" s="24"/>
      <c r="B684" s="24"/>
      <c r="C684" s="25"/>
      <c r="D684" s="25"/>
      <c r="E684" s="25"/>
      <c r="F684" s="25"/>
      <c r="G684" s="26"/>
      <c r="H684" s="27"/>
      <c r="I684" s="24"/>
      <c r="J684" s="24"/>
      <c r="K684" s="28"/>
      <c r="L684" s="29"/>
      <c r="M684" s="29"/>
      <c r="N684" s="29"/>
      <c r="O684" s="27"/>
      <c r="P684" s="30"/>
      <c r="Q684" s="31"/>
      <c r="R684" s="31"/>
      <c r="S684" s="32"/>
      <c r="T684" s="32"/>
      <c r="U684" s="32"/>
      <c r="V684" s="32"/>
      <c r="W684" s="32"/>
      <c r="X684" s="32"/>
      <c r="Y684" s="32"/>
      <c r="Z684" s="32"/>
      <c r="AA684" s="32"/>
      <c r="AB684" s="32"/>
    </row>
    <row r="685" spans="1:28" ht="15.6" customHeight="1" x14ac:dyDescent="0.25">
      <c r="A685" s="24"/>
      <c r="B685" s="24"/>
      <c r="C685" s="25"/>
      <c r="D685" s="25"/>
      <c r="E685" s="25"/>
      <c r="F685" s="25"/>
      <c r="G685" s="26"/>
      <c r="H685" s="27"/>
      <c r="I685" s="24"/>
      <c r="J685" s="24"/>
      <c r="K685" s="28"/>
      <c r="L685" s="29"/>
      <c r="M685" s="29"/>
      <c r="N685" s="29"/>
      <c r="O685" s="27"/>
      <c r="P685" s="30"/>
      <c r="Q685" s="31"/>
      <c r="R685" s="31"/>
      <c r="S685" s="32"/>
      <c r="T685" s="32"/>
      <c r="U685" s="32"/>
      <c r="V685" s="32"/>
      <c r="W685" s="32"/>
      <c r="X685" s="32"/>
      <c r="Y685" s="32"/>
      <c r="Z685" s="32"/>
      <c r="AA685" s="32"/>
      <c r="AB685" s="32"/>
    </row>
    <row r="686" spans="1:28" ht="15.6" customHeight="1" x14ac:dyDescent="0.25">
      <c r="A686" s="24"/>
      <c r="B686" s="24"/>
      <c r="C686" s="25"/>
      <c r="D686" s="25"/>
      <c r="E686" s="25"/>
      <c r="F686" s="25"/>
      <c r="G686" s="26"/>
      <c r="H686" s="27"/>
      <c r="I686" s="24"/>
      <c r="J686" s="24"/>
      <c r="K686" s="28"/>
      <c r="L686" s="29"/>
      <c r="M686" s="29"/>
      <c r="N686" s="29"/>
      <c r="O686" s="27"/>
      <c r="P686" s="30"/>
      <c r="Q686" s="31"/>
      <c r="R686" s="31"/>
      <c r="S686" s="32"/>
      <c r="T686" s="32"/>
      <c r="U686" s="32"/>
      <c r="V686" s="32"/>
      <c r="W686" s="32"/>
      <c r="X686" s="32"/>
      <c r="Y686" s="32"/>
      <c r="Z686" s="32"/>
      <c r="AA686" s="32"/>
      <c r="AB686" s="32"/>
    </row>
    <row r="687" spans="1:28" ht="15.6" customHeight="1" x14ac:dyDescent="0.25">
      <c r="A687" s="24"/>
      <c r="B687" s="24"/>
      <c r="C687" s="25"/>
      <c r="D687" s="25"/>
      <c r="E687" s="25"/>
      <c r="F687" s="25"/>
      <c r="G687" s="26"/>
      <c r="H687" s="27"/>
      <c r="I687" s="24"/>
      <c r="J687" s="24"/>
      <c r="K687" s="28"/>
      <c r="L687" s="29"/>
      <c r="M687" s="29"/>
      <c r="N687" s="29"/>
      <c r="O687" s="27"/>
      <c r="P687" s="30"/>
      <c r="Q687" s="31"/>
      <c r="R687" s="31"/>
      <c r="S687" s="32"/>
      <c r="T687" s="32"/>
      <c r="U687" s="32"/>
      <c r="V687" s="32"/>
      <c r="W687" s="32"/>
      <c r="X687" s="32"/>
      <c r="Y687" s="32"/>
      <c r="Z687" s="32"/>
      <c r="AA687" s="32"/>
      <c r="AB687" s="32"/>
    </row>
    <row r="688" spans="1:28" ht="15.6" customHeight="1" x14ac:dyDescent="0.25">
      <c r="A688" s="24"/>
      <c r="B688" s="24"/>
      <c r="C688" s="25"/>
      <c r="D688" s="25"/>
      <c r="E688" s="25"/>
      <c r="F688" s="25"/>
      <c r="G688" s="26"/>
      <c r="H688" s="27"/>
      <c r="I688" s="24"/>
      <c r="J688" s="24"/>
      <c r="K688" s="28"/>
      <c r="L688" s="29"/>
      <c r="M688" s="29"/>
      <c r="N688" s="29"/>
      <c r="O688" s="27"/>
      <c r="P688" s="30"/>
      <c r="Q688" s="31"/>
      <c r="R688" s="31"/>
      <c r="S688" s="32"/>
      <c r="T688" s="32"/>
      <c r="U688" s="32"/>
      <c r="V688" s="32"/>
      <c r="W688" s="32"/>
      <c r="X688" s="32"/>
      <c r="Y688" s="32"/>
      <c r="Z688" s="32"/>
      <c r="AA688" s="32"/>
      <c r="AB688" s="32"/>
    </row>
    <row r="689" spans="1:28" ht="15.6" customHeight="1" x14ac:dyDescent="0.25">
      <c r="A689" s="24"/>
      <c r="B689" s="24"/>
      <c r="C689" s="25"/>
      <c r="D689" s="25"/>
      <c r="E689" s="25"/>
      <c r="F689" s="25"/>
      <c r="G689" s="26"/>
      <c r="H689" s="27"/>
      <c r="I689" s="24"/>
      <c r="J689" s="24"/>
      <c r="K689" s="28"/>
      <c r="L689" s="29"/>
      <c r="M689" s="29"/>
      <c r="N689" s="29"/>
      <c r="O689" s="27"/>
      <c r="P689" s="30"/>
      <c r="Q689" s="31"/>
      <c r="R689" s="31"/>
      <c r="S689" s="32"/>
      <c r="T689" s="32"/>
      <c r="U689" s="32"/>
      <c r="V689" s="32"/>
      <c r="W689" s="32"/>
      <c r="X689" s="32"/>
      <c r="Y689" s="32"/>
      <c r="Z689" s="32"/>
      <c r="AA689" s="32"/>
      <c r="AB689" s="32"/>
    </row>
    <row r="690" spans="1:28" ht="15.6" customHeight="1" x14ac:dyDescent="0.25">
      <c r="A690" s="24"/>
      <c r="B690" s="24"/>
      <c r="C690" s="25"/>
      <c r="D690" s="25"/>
      <c r="E690" s="25"/>
      <c r="F690" s="25"/>
      <c r="G690" s="26"/>
      <c r="H690" s="27"/>
      <c r="I690" s="24"/>
      <c r="J690" s="24"/>
      <c r="K690" s="28"/>
      <c r="L690" s="29"/>
      <c r="M690" s="29"/>
      <c r="N690" s="29"/>
      <c r="O690" s="27"/>
      <c r="P690" s="30"/>
      <c r="Q690" s="31"/>
      <c r="R690" s="31"/>
      <c r="S690" s="32"/>
      <c r="T690" s="32"/>
      <c r="U690" s="32"/>
      <c r="V690" s="32"/>
      <c r="W690" s="32"/>
      <c r="X690" s="32"/>
      <c r="Y690" s="32"/>
      <c r="Z690" s="32"/>
      <c r="AA690" s="32"/>
      <c r="AB690" s="32"/>
    </row>
    <row r="691" spans="1:28" ht="15.6" customHeight="1" x14ac:dyDescent="0.25">
      <c r="A691" s="24"/>
      <c r="B691" s="24"/>
      <c r="C691" s="25"/>
      <c r="D691" s="25"/>
      <c r="E691" s="25"/>
      <c r="F691" s="25"/>
      <c r="G691" s="26"/>
      <c r="H691" s="27"/>
      <c r="I691" s="24"/>
      <c r="J691" s="24"/>
      <c r="K691" s="28"/>
      <c r="L691" s="29"/>
      <c r="M691" s="29"/>
      <c r="N691" s="29"/>
      <c r="O691" s="27"/>
      <c r="P691" s="30"/>
      <c r="Q691" s="31"/>
      <c r="R691" s="31"/>
      <c r="S691" s="32"/>
      <c r="T691" s="32"/>
      <c r="U691" s="32"/>
      <c r="V691" s="32"/>
      <c r="W691" s="32"/>
      <c r="X691" s="32"/>
      <c r="Y691" s="32"/>
      <c r="Z691" s="32"/>
      <c r="AA691" s="32"/>
      <c r="AB691" s="32"/>
    </row>
    <row r="692" spans="1:28" ht="15.6" customHeight="1" x14ac:dyDescent="0.25">
      <c r="A692" s="24"/>
      <c r="B692" s="24"/>
      <c r="C692" s="25"/>
      <c r="D692" s="25"/>
      <c r="E692" s="25"/>
      <c r="F692" s="25"/>
      <c r="G692" s="26"/>
      <c r="H692" s="27"/>
      <c r="I692" s="24"/>
      <c r="J692" s="24"/>
      <c r="K692" s="28"/>
      <c r="L692" s="29"/>
      <c r="M692" s="29"/>
      <c r="N692" s="29"/>
      <c r="O692" s="27"/>
      <c r="P692" s="30"/>
      <c r="Q692" s="31"/>
      <c r="R692" s="31"/>
      <c r="S692" s="32"/>
      <c r="T692" s="32"/>
      <c r="U692" s="32"/>
      <c r="V692" s="32"/>
      <c r="W692" s="32"/>
      <c r="X692" s="32"/>
      <c r="Y692" s="32"/>
      <c r="Z692" s="32"/>
      <c r="AA692" s="32"/>
      <c r="AB692" s="32"/>
    </row>
    <row r="693" spans="1:28" ht="15.6" customHeight="1" x14ac:dyDescent="0.25">
      <c r="A693" s="24"/>
      <c r="B693" s="24"/>
      <c r="C693" s="25"/>
      <c r="D693" s="25"/>
      <c r="E693" s="25"/>
      <c r="F693" s="25"/>
      <c r="G693" s="26"/>
      <c r="H693" s="27"/>
      <c r="I693" s="24"/>
      <c r="J693" s="24"/>
      <c r="K693" s="28"/>
      <c r="L693" s="29"/>
      <c r="M693" s="29"/>
      <c r="N693" s="29"/>
      <c r="O693" s="27"/>
      <c r="P693" s="30"/>
      <c r="Q693" s="31"/>
      <c r="R693" s="31"/>
      <c r="S693" s="32"/>
      <c r="T693" s="32"/>
      <c r="U693" s="32"/>
      <c r="V693" s="32"/>
      <c r="W693" s="32"/>
      <c r="X693" s="32"/>
      <c r="Y693" s="32"/>
      <c r="Z693" s="32"/>
      <c r="AA693" s="32"/>
      <c r="AB693" s="32"/>
    </row>
    <row r="694" spans="1:28" ht="15.6" customHeight="1" x14ac:dyDescent="0.25">
      <c r="A694" s="24"/>
      <c r="B694" s="24"/>
      <c r="C694" s="25"/>
      <c r="D694" s="25"/>
      <c r="E694" s="25"/>
      <c r="F694" s="25"/>
      <c r="G694" s="26"/>
      <c r="H694" s="27"/>
      <c r="I694" s="24"/>
      <c r="J694" s="24"/>
      <c r="K694" s="28"/>
      <c r="L694" s="29"/>
      <c r="M694" s="29"/>
      <c r="N694" s="29"/>
      <c r="O694" s="27"/>
      <c r="P694" s="30"/>
      <c r="Q694" s="31"/>
      <c r="R694" s="31"/>
      <c r="S694" s="32"/>
      <c r="T694" s="32"/>
      <c r="U694" s="32"/>
      <c r="V694" s="32"/>
      <c r="W694" s="32"/>
      <c r="X694" s="32"/>
      <c r="Y694" s="32"/>
      <c r="Z694" s="32"/>
      <c r="AA694" s="32"/>
      <c r="AB694" s="32"/>
    </row>
    <row r="695" spans="1:28" ht="15.6" customHeight="1" x14ac:dyDescent="0.25">
      <c r="A695" s="24"/>
      <c r="B695" s="24"/>
      <c r="C695" s="25"/>
      <c r="D695" s="25"/>
      <c r="E695" s="25"/>
      <c r="F695" s="25"/>
      <c r="G695" s="26"/>
      <c r="H695" s="27"/>
      <c r="I695" s="24"/>
      <c r="J695" s="24"/>
      <c r="K695" s="28"/>
      <c r="L695" s="29"/>
      <c r="M695" s="29"/>
      <c r="N695" s="29"/>
      <c r="O695" s="27"/>
      <c r="P695" s="30"/>
      <c r="Q695" s="31"/>
      <c r="R695" s="31"/>
      <c r="S695" s="32"/>
      <c r="T695" s="32"/>
      <c r="U695" s="32"/>
      <c r="V695" s="32"/>
      <c r="W695" s="32"/>
      <c r="X695" s="32"/>
      <c r="Y695" s="32"/>
      <c r="Z695" s="32"/>
      <c r="AA695" s="32"/>
      <c r="AB695" s="32"/>
    </row>
    <row r="696" spans="1:28" ht="15.6" customHeight="1" x14ac:dyDescent="0.25">
      <c r="A696" s="24"/>
      <c r="B696" s="24"/>
      <c r="C696" s="25"/>
      <c r="D696" s="25"/>
      <c r="E696" s="25"/>
      <c r="F696" s="25"/>
      <c r="G696" s="26"/>
      <c r="H696" s="27"/>
      <c r="I696" s="24"/>
      <c r="J696" s="24"/>
      <c r="K696" s="28"/>
      <c r="L696" s="29"/>
      <c r="M696" s="29"/>
      <c r="N696" s="29"/>
      <c r="O696" s="27"/>
      <c r="P696" s="30"/>
      <c r="Q696" s="31"/>
      <c r="R696" s="31"/>
      <c r="S696" s="32"/>
      <c r="T696" s="32"/>
      <c r="U696" s="32"/>
      <c r="V696" s="32"/>
      <c r="W696" s="32"/>
      <c r="X696" s="32"/>
      <c r="Y696" s="32"/>
      <c r="Z696" s="32"/>
      <c r="AA696" s="32"/>
      <c r="AB696" s="32"/>
    </row>
    <row r="697" spans="1:28" ht="15.6" customHeight="1" x14ac:dyDescent="0.25">
      <c r="A697" s="24"/>
      <c r="B697" s="24"/>
      <c r="C697" s="25"/>
      <c r="D697" s="25"/>
      <c r="E697" s="25"/>
      <c r="F697" s="25"/>
      <c r="G697" s="26"/>
      <c r="H697" s="27"/>
      <c r="I697" s="24"/>
      <c r="J697" s="24"/>
      <c r="K697" s="28"/>
      <c r="L697" s="29"/>
      <c r="M697" s="29"/>
      <c r="N697" s="29"/>
      <c r="O697" s="27"/>
      <c r="P697" s="30"/>
      <c r="Q697" s="31"/>
      <c r="R697" s="31"/>
      <c r="S697" s="32"/>
      <c r="T697" s="32"/>
      <c r="U697" s="32"/>
      <c r="V697" s="32"/>
      <c r="W697" s="32"/>
      <c r="X697" s="32"/>
      <c r="Y697" s="32"/>
      <c r="Z697" s="32"/>
      <c r="AA697" s="32"/>
      <c r="AB697" s="32"/>
    </row>
    <row r="698" spans="1:28" ht="15.6" customHeight="1" x14ac:dyDescent="0.25">
      <c r="A698" s="24"/>
      <c r="B698" s="24"/>
      <c r="C698" s="25"/>
      <c r="D698" s="25"/>
      <c r="E698" s="25"/>
      <c r="F698" s="25"/>
      <c r="G698" s="26"/>
      <c r="H698" s="27"/>
      <c r="I698" s="24"/>
      <c r="J698" s="24"/>
      <c r="K698" s="28"/>
      <c r="L698" s="29"/>
      <c r="M698" s="29"/>
      <c r="N698" s="29"/>
      <c r="O698" s="27"/>
      <c r="P698" s="30"/>
      <c r="Q698" s="31"/>
      <c r="R698" s="31"/>
      <c r="S698" s="32"/>
      <c r="T698" s="32"/>
      <c r="U698" s="32"/>
      <c r="V698" s="32"/>
      <c r="W698" s="32"/>
      <c r="X698" s="32"/>
      <c r="Y698" s="32"/>
      <c r="Z698" s="32"/>
      <c r="AA698" s="32"/>
      <c r="AB698" s="32"/>
    </row>
    <row r="699" spans="1:28" ht="15.6" customHeight="1" x14ac:dyDescent="0.25">
      <c r="A699" s="24"/>
      <c r="B699" s="24"/>
      <c r="C699" s="25"/>
      <c r="D699" s="25"/>
      <c r="E699" s="25"/>
      <c r="F699" s="25"/>
      <c r="G699" s="26"/>
      <c r="H699" s="27"/>
      <c r="I699" s="24"/>
      <c r="J699" s="24"/>
      <c r="K699" s="28"/>
      <c r="L699" s="29"/>
      <c r="M699" s="29"/>
      <c r="N699" s="29"/>
      <c r="O699" s="27"/>
      <c r="P699" s="30"/>
      <c r="Q699" s="31"/>
      <c r="R699" s="31"/>
      <c r="S699" s="32"/>
      <c r="T699" s="32"/>
      <c r="U699" s="32"/>
      <c r="V699" s="32"/>
      <c r="W699" s="32"/>
      <c r="X699" s="32"/>
      <c r="Y699" s="32"/>
      <c r="Z699" s="32"/>
      <c r="AA699" s="32"/>
      <c r="AB699" s="32"/>
    </row>
    <row r="700" spans="1:28" ht="15.6" customHeight="1" x14ac:dyDescent="0.25">
      <c r="A700" s="24"/>
      <c r="B700" s="24"/>
      <c r="C700" s="25"/>
      <c r="D700" s="25"/>
      <c r="E700" s="25"/>
      <c r="F700" s="25"/>
      <c r="G700" s="26"/>
      <c r="H700" s="27"/>
      <c r="I700" s="24"/>
      <c r="J700" s="24"/>
      <c r="K700" s="28"/>
      <c r="L700" s="29"/>
      <c r="M700" s="29"/>
      <c r="N700" s="29"/>
      <c r="O700" s="27"/>
      <c r="P700" s="30"/>
      <c r="Q700" s="31"/>
      <c r="R700" s="31"/>
      <c r="S700" s="32"/>
      <c r="T700" s="32"/>
      <c r="U700" s="32"/>
      <c r="V700" s="32"/>
      <c r="W700" s="32"/>
      <c r="X700" s="32"/>
      <c r="Y700" s="32"/>
      <c r="Z700" s="32"/>
      <c r="AA700" s="32"/>
      <c r="AB700" s="32"/>
    </row>
    <row r="701" spans="1:28" ht="15.6" customHeight="1" x14ac:dyDescent="0.25">
      <c r="A701" s="24"/>
      <c r="B701" s="24"/>
      <c r="C701" s="25"/>
      <c r="D701" s="25"/>
      <c r="E701" s="25"/>
      <c r="F701" s="25"/>
      <c r="G701" s="26"/>
      <c r="H701" s="27"/>
      <c r="I701" s="24"/>
      <c r="J701" s="24"/>
      <c r="K701" s="28"/>
      <c r="L701" s="29"/>
      <c r="M701" s="29"/>
      <c r="N701" s="29"/>
      <c r="O701" s="27"/>
      <c r="P701" s="30"/>
      <c r="Q701" s="31"/>
      <c r="R701" s="31"/>
      <c r="S701" s="32"/>
      <c r="T701" s="32"/>
      <c r="U701" s="32"/>
      <c r="V701" s="32"/>
      <c r="W701" s="32"/>
      <c r="X701" s="32"/>
      <c r="Y701" s="32"/>
      <c r="Z701" s="32"/>
      <c r="AA701" s="32"/>
      <c r="AB701" s="32"/>
    </row>
    <row r="702" spans="1:28" ht="15.6" customHeight="1" x14ac:dyDescent="0.25">
      <c r="A702" s="24"/>
      <c r="B702" s="24"/>
      <c r="C702" s="25"/>
      <c r="D702" s="25"/>
      <c r="E702" s="25"/>
      <c r="F702" s="25"/>
      <c r="G702" s="26"/>
      <c r="H702" s="27"/>
      <c r="I702" s="24"/>
      <c r="J702" s="24"/>
      <c r="K702" s="28"/>
      <c r="L702" s="29"/>
      <c r="M702" s="29"/>
      <c r="N702" s="29"/>
      <c r="O702" s="27"/>
      <c r="P702" s="30"/>
      <c r="Q702" s="31"/>
      <c r="R702" s="31"/>
      <c r="S702" s="32"/>
      <c r="T702" s="32"/>
      <c r="U702" s="32"/>
      <c r="V702" s="32"/>
      <c r="W702" s="32"/>
      <c r="X702" s="32"/>
      <c r="Y702" s="32"/>
      <c r="Z702" s="32"/>
      <c r="AA702" s="32"/>
      <c r="AB702" s="32"/>
    </row>
    <row r="703" spans="1:28" ht="15.6" customHeight="1" x14ac:dyDescent="0.25">
      <c r="A703" s="24"/>
      <c r="B703" s="24"/>
      <c r="C703" s="25"/>
      <c r="D703" s="25"/>
      <c r="E703" s="25"/>
      <c r="F703" s="25"/>
      <c r="G703" s="26"/>
      <c r="H703" s="27"/>
      <c r="I703" s="24"/>
      <c r="J703" s="24"/>
      <c r="K703" s="28"/>
      <c r="L703" s="29"/>
      <c r="M703" s="29"/>
      <c r="N703" s="29"/>
      <c r="O703" s="27"/>
      <c r="P703" s="30"/>
      <c r="Q703" s="31"/>
      <c r="R703" s="31"/>
      <c r="S703" s="32"/>
      <c r="T703" s="32"/>
      <c r="U703" s="32"/>
      <c r="V703" s="32"/>
      <c r="W703" s="32"/>
      <c r="X703" s="32"/>
      <c r="Y703" s="32"/>
      <c r="Z703" s="32"/>
      <c r="AA703" s="32"/>
      <c r="AB703" s="32"/>
    </row>
    <row r="704" spans="1:28" ht="15.6" customHeight="1" x14ac:dyDescent="0.25">
      <c r="A704" s="24"/>
      <c r="B704" s="24"/>
      <c r="C704" s="25"/>
      <c r="D704" s="25"/>
      <c r="E704" s="25"/>
      <c r="F704" s="25"/>
      <c r="G704" s="26"/>
      <c r="H704" s="27"/>
      <c r="I704" s="24"/>
      <c r="J704" s="24"/>
      <c r="K704" s="28"/>
      <c r="L704" s="29"/>
      <c r="M704" s="29"/>
      <c r="N704" s="29"/>
      <c r="O704" s="27"/>
      <c r="P704" s="30"/>
      <c r="Q704" s="31"/>
      <c r="R704" s="31"/>
      <c r="S704" s="32"/>
      <c r="T704" s="32"/>
      <c r="U704" s="32"/>
      <c r="V704" s="32"/>
      <c r="W704" s="32"/>
      <c r="X704" s="32"/>
      <c r="Y704" s="32"/>
      <c r="Z704" s="32"/>
      <c r="AA704" s="32"/>
      <c r="AB704" s="32"/>
    </row>
    <row r="705" spans="1:28" ht="15.6" customHeight="1" x14ac:dyDescent="0.25">
      <c r="A705" s="24"/>
      <c r="B705" s="24"/>
      <c r="C705" s="25"/>
      <c r="D705" s="25"/>
      <c r="E705" s="25"/>
      <c r="F705" s="25"/>
      <c r="G705" s="26"/>
      <c r="H705" s="27"/>
      <c r="I705" s="24"/>
      <c r="J705" s="24"/>
      <c r="K705" s="28"/>
      <c r="L705" s="29"/>
      <c r="M705" s="29"/>
      <c r="N705" s="29"/>
      <c r="O705" s="27"/>
      <c r="P705" s="30"/>
      <c r="Q705" s="31"/>
      <c r="R705" s="31"/>
      <c r="S705" s="32"/>
      <c r="T705" s="32"/>
      <c r="U705" s="32"/>
      <c r="V705" s="32"/>
      <c r="W705" s="32"/>
      <c r="X705" s="32"/>
      <c r="Y705" s="32"/>
      <c r="Z705" s="32"/>
      <c r="AA705" s="32"/>
      <c r="AB705" s="32"/>
    </row>
    <row r="706" spans="1:28" ht="15.6" customHeight="1" x14ac:dyDescent="0.25">
      <c r="A706" s="24"/>
      <c r="B706" s="24"/>
      <c r="C706" s="25"/>
      <c r="D706" s="25"/>
      <c r="E706" s="25"/>
      <c r="F706" s="25"/>
      <c r="G706" s="26"/>
      <c r="H706" s="27"/>
      <c r="I706" s="24"/>
      <c r="J706" s="24"/>
      <c r="K706" s="28"/>
      <c r="L706" s="29"/>
      <c r="M706" s="29"/>
      <c r="N706" s="29"/>
      <c r="O706" s="27"/>
      <c r="P706" s="30"/>
      <c r="Q706" s="31"/>
      <c r="R706" s="31"/>
      <c r="S706" s="32"/>
      <c r="T706" s="32"/>
      <c r="U706" s="32"/>
      <c r="V706" s="32"/>
      <c r="W706" s="32"/>
      <c r="X706" s="32"/>
      <c r="Y706" s="32"/>
      <c r="Z706" s="32"/>
      <c r="AA706" s="32"/>
      <c r="AB706" s="32"/>
    </row>
    <row r="707" spans="1:28" ht="15.6" customHeight="1" x14ac:dyDescent="0.25">
      <c r="A707" s="24"/>
      <c r="B707" s="24"/>
      <c r="C707" s="25"/>
      <c r="D707" s="25"/>
      <c r="E707" s="25"/>
      <c r="F707" s="25"/>
      <c r="G707" s="26"/>
      <c r="H707" s="27"/>
      <c r="I707" s="24"/>
      <c r="J707" s="24"/>
      <c r="K707" s="28"/>
      <c r="L707" s="29"/>
      <c r="M707" s="29"/>
      <c r="N707" s="29"/>
      <c r="O707" s="27"/>
      <c r="P707" s="30"/>
      <c r="Q707" s="31"/>
      <c r="R707" s="31"/>
      <c r="S707" s="32"/>
      <c r="T707" s="32"/>
      <c r="U707" s="32"/>
      <c r="V707" s="32"/>
      <c r="W707" s="32"/>
      <c r="X707" s="32"/>
      <c r="Y707" s="32"/>
      <c r="Z707" s="32"/>
      <c r="AA707" s="32"/>
      <c r="AB707" s="32"/>
    </row>
    <row r="708" spans="1:28" ht="15.6" customHeight="1" x14ac:dyDescent="0.25">
      <c r="A708" s="24"/>
      <c r="B708" s="24"/>
      <c r="C708" s="25"/>
      <c r="D708" s="25"/>
      <c r="E708" s="25"/>
      <c r="F708" s="25"/>
      <c r="G708" s="26"/>
      <c r="H708" s="27"/>
      <c r="I708" s="24"/>
      <c r="J708" s="24"/>
      <c r="K708" s="28"/>
      <c r="L708" s="29"/>
      <c r="M708" s="29"/>
      <c r="N708" s="29"/>
      <c r="O708" s="27"/>
      <c r="P708" s="30"/>
      <c r="Q708" s="31"/>
      <c r="R708" s="31"/>
      <c r="S708" s="32"/>
      <c r="T708" s="32"/>
      <c r="U708" s="32"/>
      <c r="V708" s="32"/>
      <c r="W708" s="32"/>
      <c r="X708" s="32"/>
      <c r="Y708" s="32"/>
      <c r="Z708" s="32"/>
      <c r="AA708" s="32"/>
      <c r="AB708" s="32"/>
    </row>
    <row r="709" spans="1:28" ht="15.6" customHeight="1" x14ac:dyDescent="0.25">
      <c r="A709" s="24"/>
      <c r="B709" s="24"/>
      <c r="C709" s="25"/>
      <c r="D709" s="25"/>
      <c r="E709" s="25"/>
      <c r="F709" s="25"/>
      <c r="G709" s="26"/>
      <c r="H709" s="27"/>
      <c r="I709" s="24"/>
      <c r="J709" s="24"/>
      <c r="K709" s="28"/>
      <c r="L709" s="29"/>
      <c r="M709" s="29"/>
      <c r="N709" s="29"/>
      <c r="O709" s="27"/>
      <c r="P709" s="30"/>
      <c r="Q709" s="31"/>
      <c r="R709" s="31"/>
      <c r="S709" s="32"/>
      <c r="T709" s="32"/>
      <c r="U709" s="32"/>
      <c r="V709" s="32"/>
      <c r="W709" s="32"/>
      <c r="X709" s="32"/>
      <c r="Y709" s="32"/>
      <c r="Z709" s="32"/>
      <c r="AA709" s="32"/>
      <c r="AB709" s="32"/>
    </row>
    <row r="710" spans="1:28" ht="15.6" customHeight="1" x14ac:dyDescent="0.25">
      <c r="A710" s="24"/>
      <c r="B710" s="24"/>
      <c r="C710" s="25"/>
      <c r="D710" s="25"/>
      <c r="E710" s="25"/>
      <c r="F710" s="25"/>
      <c r="G710" s="26"/>
      <c r="H710" s="27"/>
      <c r="I710" s="24"/>
      <c r="J710" s="24"/>
      <c r="K710" s="28"/>
      <c r="L710" s="29"/>
      <c r="M710" s="29"/>
      <c r="N710" s="29"/>
      <c r="O710" s="27"/>
      <c r="P710" s="30"/>
      <c r="Q710" s="31"/>
      <c r="R710" s="31"/>
      <c r="S710" s="32"/>
      <c r="T710" s="32"/>
      <c r="U710" s="32"/>
      <c r="V710" s="32"/>
      <c r="W710" s="32"/>
      <c r="X710" s="32"/>
      <c r="Y710" s="32"/>
      <c r="Z710" s="32"/>
      <c r="AA710" s="32"/>
      <c r="AB710" s="32"/>
    </row>
    <row r="711" spans="1:28" ht="15.6" customHeight="1" x14ac:dyDescent="0.25">
      <c r="A711" s="24"/>
      <c r="B711" s="24"/>
      <c r="C711" s="25"/>
      <c r="D711" s="25"/>
      <c r="E711" s="25"/>
      <c r="F711" s="25"/>
      <c r="G711" s="26"/>
      <c r="H711" s="27"/>
      <c r="I711" s="24"/>
      <c r="J711" s="24"/>
      <c r="K711" s="28"/>
      <c r="L711" s="29"/>
      <c r="M711" s="29"/>
      <c r="N711" s="29"/>
      <c r="O711" s="27"/>
      <c r="P711" s="30"/>
      <c r="Q711" s="31"/>
      <c r="R711" s="31"/>
      <c r="S711" s="32"/>
      <c r="T711" s="32"/>
      <c r="U711" s="32"/>
      <c r="V711" s="32"/>
      <c r="W711" s="32"/>
      <c r="X711" s="32"/>
      <c r="Y711" s="32"/>
      <c r="Z711" s="32"/>
      <c r="AA711" s="32"/>
      <c r="AB711" s="32"/>
    </row>
    <row r="712" spans="1:28" ht="15.6" customHeight="1" x14ac:dyDescent="0.25">
      <c r="A712" s="24"/>
      <c r="B712" s="24"/>
      <c r="C712" s="25"/>
      <c r="D712" s="25"/>
      <c r="E712" s="25"/>
      <c r="F712" s="25"/>
      <c r="G712" s="26"/>
      <c r="H712" s="27"/>
      <c r="I712" s="24"/>
      <c r="J712" s="24"/>
      <c r="K712" s="28"/>
      <c r="L712" s="29"/>
      <c r="M712" s="29"/>
      <c r="N712" s="29"/>
      <c r="O712" s="27"/>
      <c r="P712" s="30"/>
      <c r="Q712" s="31"/>
      <c r="R712" s="31"/>
      <c r="S712" s="32"/>
      <c r="T712" s="32"/>
      <c r="U712" s="32"/>
      <c r="V712" s="32"/>
      <c r="W712" s="32"/>
      <c r="X712" s="32"/>
      <c r="Y712" s="32"/>
      <c r="Z712" s="32"/>
      <c r="AA712" s="32"/>
      <c r="AB712" s="32"/>
    </row>
    <row r="713" spans="1:28" ht="15.6" customHeight="1" x14ac:dyDescent="0.25">
      <c r="A713" s="24"/>
      <c r="B713" s="24"/>
      <c r="C713" s="25"/>
      <c r="D713" s="25"/>
      <c r="E713" s="25"/>
      <c r="F713" s="25"/>
      <c r="G713" s="26"/>
      <c r="H713" s="27"/>
      <c r="I713" s="24"/>
      <c r="J713" s="24"/>
      <c r="K713" s="28"/>
      <c r="L713" s="29"/>
      <c r="M713" s="29"/>
      <c r="N713" s="29"/>
      <c r="O713" s="27"/>
      <c r="P713" s="30"/>
      <c r="Q713" s="31"/>
      <c r="R713" s="31"/>
      <c r="S713" s="32"/>
      <c r="T713" s="32"/>
      <c r="U713" s="32"/>
      <c r="V713" s="32"/>
      <c r="W713" s="32"/>
      <c r="X713" s="32"/>
      <c r="Y713" s="32"/>
      <c r="Z713" s="32"/>
      <c r="AA713" s="32"/>
      <c r="AB713" s="32"/>
    </row>
    <row r="714" spans="1:28" ht="15.6" customHeight="1" x14ac:dyDescent="0.25">
      <c r="A714" s="24"/>
      <c r="B714" s="24"/>
      <c r="C714" s="25"/>
      <c r="D714" s="25"/>
      <c r="E714" s="25"/>
      <c r="F714" s="25"/>
      <c r="G714" s="26"/>
      <c r="H714" s="27"/>
      <c r="I714" s="24"/>
      <c r="J714" s="24"/>
      <c r="K714" s="28"/>
      <c r="L714" s="29"/>
      <c r="M714" s="29"/>
      <c r="N714" s="29"/>
      <c r="O714" s="27"/>
      <c r="P714" s="30"/>
      <c r="Q714" s="31"/>
      <c r="R714" s="31"/>
      <c r="S714" s="32"/>
      <c r="T714" s="32"/>
      <c r="U714" s="32"/>
      <c r="V714" s="32"/>
      <c r="W714" s="32"/>
      <c r="X714" s="32"/>
      <c r="Y714" s="32"/>
      <c r="Z714" s="32"/>
      <c r="AA714" s="32"/>
      <c r="AB714" s="32"/>
    </row>
    <row r="715" spans="1:28" ht="15.6" customHeight="1" x14ac:dyDescent="0.25">
      <c r="A715" s="24"/>
      <c r="B715" s="24"/>
      <c r="C715" s="25"/>
      <c r="D715" s="25"/>
      <c r="E715" s="25"/>
      <c r="F715" s="25"/>
      <c r="G715" s="26"/>
      <c r="H715" s="27"/>
      <c r="I715" s="24"/>
      <c r="J715" s="24"/>
      <c r="K715" s="28"/>
      <c r="L715" s="29"/>
      <c r="M715" s="29"/>
      <c r="N715" s="29"/>
      <c r="O715" s="27"/>
      <c r="P715" s="30"/>
      <c r="Q715" s="31"/>
      <c r="R715" s="31"/>
      <c r="S715" s="32"/>
      <c r="T715" s="32"/>
      <c r="U715" s="32"/>
      <c r="V715" s="32"/>
      <c r="W715" s="32"/>
      <c r="X715" s="32"/>
      <c r="Y715" s="32"/>
      <c r="Z715" s="32"/>
      <c r="AA715" s="32"/>
      <c r="AB715" s="32"/>
    </row>
    <row r="716" spans="1:28" ht="15.6" customHeight="1" x14ac:dyDescent="0.25">
      <c r="A716" s="24"/>
      <c r="B716" s="24"/>
      <c r="C716" s="25"/>
      <c r="D716" s="25"/>
      <c r="E716" s="25"/>
      <c r="F716" s="25"/>
      <c r="G716" s="26"/>
      <c r="H716" s="27"/>
      <c r="I716" s="24"/>
      <c r="J716" s="24"/>
      <c r="K716" s="28"/>
      <c r="L716" s="29"/>
      <c r="M716" s="29"/>
      <c r="N716" s="29"/>
      <c r="O716" s="27"/>
      <c r="P716" s="30"/>
      <c r="Q716" s="31"/>
      <c r="R716" s="31"/>
      <c r="S716" s="32"/>
      <c r="T716" s="32"/>
      <c r="U716" s="32"/>
      <c r="V716" s="32"/>
      <c r="W716" s="32"/>
      <c r="X716" s="32"/>
      <c r="Y716" s="32"/>
      <c r="Z716" s="32"/>
      <c r="AA716" s="32"/>
      <c r="AB716" s="32"/>
    </row>
    <row r="717" spans="1:28" ht="15.6" customHeight="1" x14ac:dyDescent="0.25">
      <c r="A717" s="24"/>
      <c r="B717" s="24"/>
      <c r="C717" s="25"/>
      <c r="D717" s="25"/>
      <c r="E717" s="25"/>
      <c r="F717" s="25"/>
      <c r="G717" s="26"/>
      <c r="H717" s="27"/>
      <c r="I717" s="24"/>
      <c r="J717" s="24"/>
      <c r="K717" s="28"/>
      <c r="L717" s="29"/>
      <c r="M717" s="29"/>
      <c r="N717" s="29"/>
      <c r="O717" s="27"/>
      <c r="P717" s="30"/>
      <c r="Q717" s="31"/>
      <c r="R717" s="31"/>
      <c r="S717" s="32"/>
      <c r="T717" s="32"/>
      <c r="U717" s="32"/>
      <c r="V717" s="32"/>
      <c r="W717" s="32"/>
      <c r="X717" s="32"/>
      <c r="Y717" s="32"/>
      <c r="Z717" s="32"/>
      <c r="AA717" s="32"/>
      <c r="AB717" s="32"/>
    </row>
    <row r="718" spans="1:28" ht="15.6" customHeight="1" x14ac:dyDescent="0.25">
      <c r="A718" s="24"/>
      <c r="B718" s="24"/>
      <c r="C718" s="25"/>
      <c r="D718" s="25"/>
      <c r="E718" s="25"/>
      <c r="F718" s="25"/>
      <c r="G718" s="26"/>
      <c r="H718" s="27"/>
      <c r="I718" s="24"/>
      <c r="J718" s="24"/>
      <c r="K718" s="28"/>
      <c r="L718" s="29"/>
      <c r="M718" s="29"/>
      <c r="N718" s="29"/>
      <c r="O718" s="27"/>
      <c r="P718" s="30"/>
      <c r="Q718" s="31"/>
      <c r="R718" s="31"/>
      <c r="S718" s="32"/>
      <c r="T718" s="32"/>
      <c r="U718" s="32"/>
      <c r="V718" s="32"/>
      <c r="W718" s="32"/>
      <c r="X718" s="32"/>
      <c r="Y718" s="32"/>
      <c r="Z718" s="32"/>
      <c r="AA718" s="32"/>
      <c r="AB718" s="32"/>
    </row>
    <row r="719" spans="1:28" ht="15.6" customHeight="1" x14ac:dyDescent="0.25">
      <c r="A719" s="24"/>
      <c r="B719" s="24"/>
      <c r="C719" s="25"/>
      <c r="D719" s="25"/>
      <c r="E719" s="25"/>
      <c r="F719" s="25"/>
      <c r="G719" s="26"/>
      <c r="H719" s="27"/>
      <c r="I719" s="24"/>
      <c r="J719" s="24"/>
      <c r="K719" s="28"/>
      <c r="L719" s="29"/>
      <c r="M719" s="29"/>
      <c r="N719" s="29"/>
      <c r="O719" s="27"/>
      <c r="P719" s="30"/>
      <c r="Q719" s="31"/>
      <c r="R719" s="31"/>
      <c r="S719" s="32"/>
      <c r="T719" s="32"/>
      <c r="U719" s="32"/>
      <c r="V719" s="32"/>
      <c r="W719" s="32"/>
      <c r="X719" s="32"/>
      <c r="Y719" s="32"/>
      <c r="Z719" s="32"/>
      <c r="AA719" s="32"/>
      <c r="AB719" s="32"/>
    </row>
    <row r="720" spans="1:28" ht="15.6" customHeight="1" x14ac:dyDescent="0.25">
      <c r="A720" s="24"/>
      <c r="B720" s="24"/>
      <c r="C720" s="25"/>
      <c r="D720" s="25"/>
      <c r="E720" s="25"/>
      <c r="F720" s="25"/>
      <c r="G720" s="26"/>
      <c r="H720" s="27"/>
      <c r="I720" s="24"/>
      <c r="J720" s="24"/>
      <c r="K720" s="28"/>
      <c r="L720" s="29"/>
      <c r="M720" s="29"/>
      <c r="N720" s="29"/>
      <c r="O720" s="27"/>
      <c r="P720" s="30"/>
      <c r="Q720" s="31"/>
      <c r="R720" s="31"/>
      <c r="S720" s="32"/>
      <c r="T720" s="32"/>
      <c r="U720" s="32"/>
      <c r="V720" s="32"/>
      <c r="W720" s="32"/>
      <c r="X720" s="32"/>
      <c r="Y720" s="32"/>
      <c r="Z720" s="32"/>
      <c r="AA720" s="32"/>
      <c r="AB720" s="32"/>
    </row>
    <row r="721" spans="1:28" ht="15.6" customHeight="1" x14ac:dyDescent="0.25">
      <c r="A721" s="24"/>
      <c r="B721" s="24"/>
      <c r="C721" s="25"/>
      <c r="D721" s="25"/>
      <c r="E721" s="25"/>
      <c r="F721" s="25"/>
      <c r="G721" s="26"/>
      <c r="H721" s="27"/>
      <c r="I721" s="24"/>
      <c r="J721" s="24"/>
      <c r="K721" s="28"/>
      <c r="L721" s="29"/>
      <c r="M721" s="29"/>
      <c r="N721" s="29"/>
      <c r="O721" s="27"/>
      <c r="P721" s="30"/>
      <c r="Q721" s="31"/>
      <c r="R721" s="31"/>
      <c r="S721" s="32"/>
      <c r="T721" s="32"/>
      <c r="U721" s="32"/>
      <c r="V721" s="32"/>
      <c r="W721" s="32"/>
      <c r="X721" s="32"/>
      <c r="Y721" s="32"/>
      <c r="Z721" s="32"/>
      <c r="AA721" s="32"/>
      <c r="AB721" s="32"/>
    </row>
    <row r="722" spans="1:28" ht="15.6" customHeight="1" x14ac:dyDescent="0.25">
      <c r="A722" s="24"/>
      <c r="B722" s="24"/>
      <c r="C722" s="25"/>
      <c r="D722" s="25"/>
      <c r="E722" s="25"/>
      <c r="F722" s="25"/>
      <c r="G722" s="26"/>
      <c r="H722" s="27"/>
      <c r="I722" s="24"/>
      <c r="J722" s="24"/>
      <c r="K722" s="28"/>
      <c r="L722" s="29"/>
      <c r="M722" s="29"/>
      <c r="N722" s="29"/>
      <c r="O722" s="27"/>
      <c r="P722" s="30"/>
      <c r="Q722" s="31"/>
      <c r="R722" s="31"/>
      <c r="S722" s="32"/>
      <c r="T722" s="32"/>
      <c r="U722" s="32"/>
      <c r="V722" s="32"/>
      <c r="W722" s="32"/>
      <c r="X722" s="32"/>
      <c r="Y722" s="32"/>
      <c r="Z722" s="32"/>
      <c r="AA722" s="32"/>
      <c r="AB722" s="32"/>
    </row>
    <row r="723" spans="1:28" ht="15.6" customHeight="1" x14ac:dyDescent="0.25">
      <c r="A723" s="24"/>
      <c r="B723" s="24"/>
      <c r="C723" s="25"/>
      <c r="D723" s="25"/>
      <c r="E723" s="25"/>
      <c r="F723" s="25"/>
      <c r="G723" s="26"/>
      <c r="H723" s="27"/>
      <c r="I723" s="24"/>
      <c r="J723" s="24"/>
      <c r="K723" s="28"/>
      <c r="L723" s="29"/>
      <c r="M723" s="29"/>
      <c r="N723" s="29"/>
      <c r="O723" s="27"/>
      <c r="P723" s="30"/>
      <c r="Q723" s="31"/>
      <c r="R723" s="31"/>
      <c r="S723" s="32"/>
      <c r="T723" s="32"/>
      <c r="U723" s="32"/>
      <c r="V723" s="32"/>
      <c r="W723" s="32"/>
      <c r="X723" s="32"/>
      <c r="Y723" s="32"/>
      <c r="Z723" s="32"/>
      <c r="AA723" s="32"/>
      <c r="AB723" s="32"/>
    </row>
    <row r="724" spans="1:28" ht="15.6" customHeight="1" x14ac:dyDescent="0.25">
      <c r="A724" s="24"/>
      <c r="B724" s="24"/>
      <c r="C724" s="25"/>
      <c r="D724" s="25"/>
      <c r="E724" s="25"/>
      <c r="F724" s="25"/>
      <c r="G724" s="26"/>
      <c r="H724" s="27"/>
      <c r="I724" s="24"/>
      <c r="J724" s="24"/>
      <c r="K724" s="28"/>
      <c r="L724" s="29"/>
      <c r="M724" s="29"/>
      <c r="N724" s="29"/>
      <c r="O724" s="27"/>
      <c r="P724" s="30"/>
      <c r="Q724" s="31"/>
      <c r="R724" s="31"/>
      <c r="S724" s="32"/>
      <c r="T724" s="32"/>
      <c r="U724" s="32"/>
      <c r="V724" s="32"/>
      <c r="W724" s="32"/>
      <c r="X724" s="32"/>
      <c r="Y724" s="32"/>
      <c r="Z724" s="32"/>
      <c r="AA724" s="32"/>
      <c r="AB724" s="32"/>
    </row>
    <row r="725" spans="1:28" ht="15.6" customHeight="1" x14ac:dyDescent="0.25">
      <c r="A725" s="24"/>
      <c r="B725" s="24"/>
      <c r="C725" s="25"/>
      <c r="D725" s="25"/>
      <c r="E725" s="25"/>
      <c r="F725" s="25"/>
      <c r="G725" s="26"/>
      <c r="H725" s="27"/>
      <c r="I725" s="24"/>
      <c r="J725" s="24"/>
      <c r="K725" s="28"/>
      <c r="L725" s="29"/>
      <c r="M725" s="29"/>
      <c r="N725" s="29"/>
      <c r="O725" s="27"/>
      <c r="P725" s="30"/>
      <c r="Q725" s="31"/>
      <c r="R725" s="31"/>
      <c r="S725" s="32"/>
      <c r="T725" s="32"/>
      <c r="U725" s="32"/>
      <c r="V725" s="32"/>
      <c r="W725" s="32"/>
      <c r="X725" s="32"/>
      <c r="Y725" s="32"/>
      <c r="Z725" s="32"/>
      <c r="AA725" s="32"/>
      <c r="AB725" s="32"/>
    </row>
    <row r="726" spans="1:28" ht="15.6" customHeight="1" x14ac:dyDescent="0.25">
      <c r="A726" s="24"/>
      <c r="B726" s="24"/>
      <c r="C726" s="25"/>
      <c r="D726" s="25"/>
      <c r="E726" s="25"/>
      <c r="F726" s="25"/>
      <c r="G726" s="26"/>
      <c r="H726" s="27"/>
      <c r="I726" s="24"/>
      <c r="J726" s="24"/>
      <c r="K726" s="28"/>
      <c r="L726" s="29"/>
      <c r="M726" s="29"/>
      <c r="N726" s="29"/>
      <c r="O726" s="27"/>
      <c r="P726" s="30"/>
      <c r="Q726" s="31"/>
      <c r="R726" s="31"/>
      <c r="S726" s="32"/>
      <c r="T726" s="32"/>
      <c r="U726" s="32"/>
      <c r="V726" s="32"/>
      <c r="W726" s="32"/>
      <c r="X726" s="32"/>
      <c r="Y726" s="32"/>
      <c r="Z726" s="32"/>
      <c r="AA726" s="32"/>
      <c r="AB726" s="32"/>
    </row>
    <row r="727" spans="1:28" ht="15.6" customHeight="1" x14ac:dyDescent="0.25">
      <c r="A727" s="24"/>
      <c r="B727" s="24"/>
      <c r="C727" s="25"/>
      <c r="D727" s="25"/>
      <c r="E727" s="25"/>
      <c r="F727" s="25"/>
      <c r="G727" s="26"/>
      <c r="H727" s="27"/>
      <c r="I727" s="24"/>
      <c r="J727" s="24"/>
      <c r="K727" s="28"/>
      <c r="L727" s="29"/>
      <c r="M727" s="29"/>
      <c r="N727" s="29"/>
      <c r="O727" s="27"/>
      <c r="P727" s="30"/>
      <c r="Q727" s="31"/>
      <c r="R727" s="31"/>
      <c r="S727" s="32"/>
      <c r="T727" s="32"/>
      <c r="U727" s="32"/>
      <c r="V727" s="32"/>
      <c r="W727" s="32"/>
      <c r="X727" s="32"/>
      <c r="Y727" s="32"/>
      <c r="Z727" s="32"/>
      <c r="AA727" s="32"/>
      <c r="AB727" s="32"/>
    </row>
    <row r="728" spans="1:28" ht="15.6" customHeight="1" x14ac:dyDescent="0.25">
      <c r="A728" s="24"/>
      <c r="B728" s="24"/>
      <c r="C728" s="25"/>
      <c r="D728" s="25"/>
      <c r="E728" s="25"/>
      <c r="F728" s="25"/>
      <c r="G728" s="26"/>
      <c r="H728" s="27"/>
      <c r="I728" s="24"/>
      <c r="J728" s="24"/>
      <c r="K728" s="28"/>
      <c r="L728" s="29"/>
      <c r="M728" s="29"/>
      <c r="N728" s="29"/>
      <c r="O728" s="27"/>
      <c r="P728" s="30"/>
      <c r="Q728" s="31"/>
      <c r="R728" s="31"/>
      <c r="S728" s="32"/>
      <c r="T728" s="32"/>
      <c r="U728" s="32"/>
      <c r="V728" s="32"/>
      <c r="W728" s="32"/>
      <c r="X728" s="32"/>
      <c r="Y728" s="32"/>
      <c r="Z728" s="32"/>
      <c r="AA728" s="32"/>
      <c r="AB728" s="32"/>
    </row>
    <row r="729" spans="1:28" ht="15.6" customHeight="1" x14ac:dyDescent="0.25">
      <c r="A729" s="24"/>
      <c r="B729" s="24"/>
      <c r="C729" s="25"/>
      <c r="D729" s="25"/>
      <c r="E729" s="25"/>
      <c r="F729" s="25"/>
      <c r="G729" s="26"/>
      <c r="H729" s="27"/>
      <c r="I729" s="24"/>
      <c r="J729" s="24"/>
      <c r="K729" s="28"/>
      <c r="L729" s="29"/>
      <c r="M729" s="29"/>
      <c r="N729" s="29"/>
      <c r="O729" s="27"/>
      <c r="P729" s="30"/>
      <c r="Q729" s="31"/>
      <c r="R729" s="31"/>
      <c r="S729" s="32"/>
      <c r="T729" s="32"/>
      <c r="U729" s="32"/>
      <c r="V729" s="32"/>
      <c r="W729" s="32"/>
      <c r="X729" s="32"/>
      <c r="Y729" s="32"/>
      <c r="Z729" s="32"/>
      <c r="AA729" s="32"/>
      <c r="AB729" s="32"/>
    </row>
    <row r="730" spans="1:28" ht="15.6" customHeight="1" x14ac:dyDescent="0.25">
      <c r="A730" s="24"/>
      <c r="B730" s="24"/>
      <c r="C730" s="25"/>
      <c r="D730" s="25"/>
      <c r="E730" s="25"/>
      <c r="F730" s="25"/>
      <c r="G730" s="26"/>
      <c r="H730" s="27"/>
      <c r="I730" s="24"/>
      <c r="J730" s="24"/>
      <c r="K730" s="28"/>
      <c r="L730" s="29"/>
      <c r="M730" s="29"/>
      <c r="N730" s="29"/>
      <c r="O730" s="27"/>
      <c r="P730" s="30"/>
      <c r="Q730" s="31"/>
      <c r="R730" s="31"/>
      <c r="S730" s="32"/>
      <c r="T730" s="32"/>
      <c r="U730" s="32"/>
      <c r="V730" s="32"/>
      <c r="W730" s="32"/>
      <c r="X730" s="32"/>
      <c r="Y730" s="32"/>
      <c r="Z730" s="32"/>
      <c r="AA730" s="32"/>
      <c r="AB730" s="32"/>
    </row>
    <row r="731" spans="1:28" ht="15.6" customHeight="1" x14ac:dyDescent="0.25">
      <c r="A731" s="24"/>
      <c r="B731" s="24"/>
      <c r="C731" s="25"/>
      <c r="D731" s="25"/>
      <c r="E731" s="25"/>
      <c r="F731" s="25"/>
      <c r="G731" s="26"/>
      <c r="H731" s="27"/>
      <c r="I731" s="24"/>
      <c r="J731" s="24"/>
      <c r="K731" s="28"/>
      <c r="L731" s="29"/>
      <c r="M731" s="29"/>
      <c r="N731" s="29"/>
      <c r="O731" s="27"/>
      <c r="P731" s="30"/>
      <c r="Q731" s="31"/>
      <c r="R731" s="31"/>
      <c r="S731" s="32"/>
      <c r="T731" s="32"/>
      <c r="U731" s="32"/>
      <c r="V731" s="32"/>
      <c r="W731" s="32"/>
      <c r="X731" s="32"/>
      <c r="Y731" s="32"/>
      <c r="Z731" s="32"/>
      <c r="AA731" s="32"/>
      <c r="AB731" s="32"/>
    </row>
    <row r="732" spans="1:28" ht="15.6" customHeight="1" x14ac:dyDescent="0.25">
      <c r="A732" s="24"/>
      <c r="B732" s="24"/>
      <c r="C732" s="25"/>
      <c r="D732" s="25"/>
      <c r="E732" s="25"/>
      <c r="F732" s="25"/>
      <c r="G732" s="26"/>
      <c r="H732" s="27"/>
      <c r="I732" s="24"/>
      <c r="J732" s="24"/>
      <c r="K732" s="28"/>
      <c r="L732" s="29"/>
      <c r="M732" s="29"/>
      <c r="N732" s="29"/>
      <c r="O732" s="27"/>
      <c r="P732" s="30"/>
      <c r="Q732" s="31"/>
      <c r="R732" s="31"/>
      <c r="S732" s="32"/>
      <c r="T732" s="32"/>
      <c r="U732" s="32"/>
      <c r="V732" s="32"/>
      <c r="W732" s="32"/>
      <c r="X732" s="32"/>
      <c r="Y732" s="32"/>
      <c r="Z732" s="32"/>
      <c r="AA732" s="32"/>
      <c r="AB732" s="32"/>
    </row>
    <row r="733" spans="1:28" ht="15.6" customHeight="1" x14ac:dyDescent="0.25">
      <c r="A733" s="24"/>
      <c r="B733" s="24"/>
      <c r="C733" s="25"/>
      <c r="D733" s="25"/>
      <c r="E733" s="25"/>
      <c r="F733" s="25"/>
      <c r="G733" s="26"/>
      <c r="H733" s="27"/>
      <c r="I733" s="24"/>
      <c r="J733" s="24"/>
      <c r="K733" s="28"/>
      <c r="L733" s="29"/>
      <c r="M733" s="29"/>
      <c r="N733" s="29"/>
      <c r="O733" s="27"/>
      <c r="P733" s="30"/>
      <c r="Q733" s="31"/>
      <c r="R733" s="31"/>
      <c r="S733" s="32"/>
      <c r="T733" s="32"/>
      <c r="U733" s="32"/>
      <c r="V733" s="32"/>
      <c r="W733" s="32"/>
      <c r="X733" s="32"/>
      <c r="Y733" s="32"/>
      <c r="Z733" s="32"/>
      <c r="AA733" s="32"/>
      <c r="AB733" s="32"/>
    </row>
    <row r="734" spans="1:28" ht="15.6" customHeight="1" x14ac:dyDescent="0.25">
      <c r="A734" s="24"/>
      <c r="B734" s="24"/>
      <c r="C734" s="25"/>
      <c r="D734" s="25"/>
      <c r="E734" s="25"/>
      <c r="F734" s="25"/>
      <c r="G734" s="26"/>
      <c r="H734" s="27"/>
      <c r="I734" s="24"/>
      <c r="J734" s="24"/>
      <c r="K734" s="28"/>
      <c r="L734" s="29"/>
      <c r="M734" s="29"/>
      <c r="N734" s="29"/>
      <c r="O734" s="27"/>
      <c r="P734" s="30"/>
      <c r="Q734" s="31"/>
      <c r="R734" s="31"/>
      <c r="S734" s="32"/>
      <c r="T734" s="32"/>
      <c r="U734" s="32"/>
      <c r="V734" s="32"/>
      <c r="W734" s="32"/>
      <c r="X734" s="32"/>
      <c r="Y734" s="32"/>
      <c r="Z734" s="32"/>
      <c r="AA734" s="32"/>
      <c r="AB734" s="32"/>
    </row>
    <row r="735" spans="1:28" ht="15.6" customHeight="1" x14ac:dyDescent="0.25">
      <c r="A735" s="24"/>
      <c r="B735" s="24"/>
      <c r="C735" s="25"/>
      <c r="D735" s="25"/>
      <c r="E735" s="25"/>
      <c r="F735" s="25"/>
      <c r="G735" s="26"/>
      <c r="H735" s="27"/>
      <c r="I735" s="24"/>
      <c r="J735" s="24"/>
      <c r="K735" s="28"/>
      <c r="L735" s="29"/>
      <c r="M735" s="29"/>
      <c r="N735" s="29"/>
      <c r="O735" s="27"/>
      <c r="P735" s="30"/>
      <c r="Q735" s="31"/>
      <c r="R735" s="31"/>
      <c r="S735" s="32"/>
      <c r="T735" s="32"/>
      <c r="U735" s="32"/>
      <c r="V735" s="32"/>
      <c r="W735" s="32"/>
      <c r="X735" s="32"/>
      <c r="Y735" s="32"/>
      <c r="Z735" s="32"/>
      <c r="AA735" s="32"/>
      <c r="AB735" s="32"/>
    </row>
    <row r="736" spans="1:28" ht="15.6" customHeight="1" x14ac:dyDescent="0.25">
      <c r="A736" s="24"/>
      <c r="B736" s="24"/>
      <c r="C736" s="25"/>
      <c r="D736" s="25"/>
      <c r="E736" s="25"/>
      <c r="F736" s="25"/>
      <c r="G736" s="26"/>
      <c r="H736" s="27"/>
      <c r="I736" s="24"/>
      <c r="J736" s="24"/>
      <c r="K736" s="28"/>
      <c r="L736" s="29"/>
      <c r="M736" s="29"/>
      <c r="N736" s="29"/>
      <c r="O736" s="27"/>
      <c r="P736" s="30"/>
      <c r="Q736" s="31"/>
      <c r="R736" s="31"/>
      <c r="S736" s="32"/>
      <c r="T736" s="32"/>
      <c r="U736" s="32"/>
      <c r="V736" s="32"/>
      <c r="W736" s="32"/>
      <c r="X736" s="32"/>
      <c r="Y736" s="32"/>
      <c r="Z736" s="32"/>
      <c r="AA736" s="32"/>
      <c r="AB736" s="32"/>
    </row>
    <row r="737" spans="1:28" ht="15.6" customHeight="1" x14ac:dyDescent="0.25">
      <c r="A737" s="24"/>
      <c r="B737" s="24"/>
      <c r="C737" s="25"/>
      <c r="D737" s="25"/>
      <c r="E737" s="25"/>
      <c r="F737" s="25"/>
      <c r="G737" s="26"/>
      <c r="H737" s="27"/>
      <c r="I737" s="24"/>
      <c r="J737" s="24"/>
      <c r="K737" s="28"/>
      <c r="L737" s="29"/>
      <c r="M737" s="29"/>
      <c r="N737" s="29"/>
      <c r="O737" s="27"/>
      <c r="P737" s="30"/>
      <c r="Q737" s="31"/>
      <c r="R737" s="31"/>
      <c r="S737" s="32"/>
      <c r="T737" s="32"/>
      <c r="U737" s="32"/>
      <c r="V737" s="32"/>
      <c r="W737" s="32"/>
      <c r="X737" s="32"/>
      <c r="Y737" s="32"/>
      <c r="Z737" s="32"/>
      <c r="AA737" s="32"/>
      <c r="AB737" s="32"/>
    </row>
    <row r="738" spans="1:28" ht="15.6" customHeight="1" x14ac:dyDescent="0.25">
      <c r="A738" s="24"/>
      <c r="B738" s="24"/>
      <c r="C738" s="25"/>
      <c r="D738" s="25"/>
      <c r="E738" s="25"/>
      <c r="F738" s="25"/>
      <c r="G738" s="26"/>
      <c r="H738" s="27"/>
      <c r="I738" s="24"/>
      <c r="J738" s="24"/>
      <c r="K738" s="28"/>
      <c r="L738" s="29"/>
      <c r="M738" s="29"/>
      <c r="N738" s="29"/>
      <c r="O738" s="27"/>
      <c r="P738" s="30"/>
      <c r="Q738" s="31"/>
      <c r="R738" s="31"/>
      <c r="S738" s="32"/>
      <c r="T738" s="32"/>
      <c r="U738" s="32"/>
      <c r="V738" s="32"/>
      <c r="W738" s="32"/>
      <c r="X738" s="32"/>
      <c r="Y738" s="32"/>
      <c r="Z738" s="32"/>
      <c r="AA738" s="32"/>
      <c r="AB738" s="32"/>
    </row>
    <row r="739" spans="1:28" ht="15.6" customHeight="1" x14ac:dyDescent="0.25">
      <c r="A739" s="24"/>
      <c r="B739" s="24"/>
      <c r="C739" s="25"/>
      <c r="D739" s="25"/>
      <c r="E739" s="25"/>
      <c r="F739" s="25"/>
      <c r="G739" s="26"/>
      <c r="H739" s="27"/>
      <c r="I739" s="24"/>
      <c r="J739" s="24"/>
      <c r="K739" s="28"/>
      <c r="L739" s="29"/>
      <c r="M739" s="29"/>
      <c r="N739" s="29"/>
      <c r="O739" s="27"/>
      <c r="P739" s="30"/>
      <c r="Q739" s="31"/>
      <c r="R739" s="31"/>
      <c r="S739" s="32"/>
      <c r="T739" s="32"/>
      <c r="U739" s="32"/>
      <c r="V739" s="32"/>
      <c r="W739" s="32"/>
      <c r="X739" s="32"/>
      <c r="Y739" s="32"/>
      <c r="Z739" s="32"/>
      <c r="AA739" s="32"/>
      <c r="AB739" s="32"/>
    </row>
    <row r="740" spans="1:28" ht="15.6" customHeight="1" x14ac:dyDescent="0.25">
      <c r="A740" s="24"/>
      <c r="B740" s="24"/>
      <c r="C740" s="25"/>
      <c r="D740" s="25"/>
      <c r="E740" s="25"/>
      <c r="F740" s="25"/>
      <c r="G740" s="26"/>
      <c r="H740" s="27"/>
      <c r="I740" s="24"/>
      <c r="J740" s="24"/>
      <c r="K740" s="28"/>
      <c r="L740" s="29"/>
      <c r="M740" s="29"/>
      <c r="N740" s="29"/>
      <c r="O740" s="27"/>
      <c r="P740" s="30"/>
      <c r="Q740" s="31"/>
      <c r="R740" s="31"/>
      <c r="S740" s="32"/>
      <c r="T740" s="32"/>
      <c r="U740" s="32"/>
      <c r="V740" s="32"/>
      <c r="W740" s="32"/>
      <c r="X740" s="32"/>
      <c r="Y740" s="32"/>
      <c r="Z740" s="32"/>
      <c r="AA740" s="32"/>
      <c r="AB740" s="32"/>
    </row>
    <row r="741" spans="1:28" ht="15.6" customHeight="1" x14ac:dyDescent="0.25">
      <c r="A741" s="24"/>
      <c r="B741" s="24"/>
      <c r="C741" s="25"/>
      <c r="D741" s="25"/>
      <c r="E741" s="25"/>
      <c r="F741" s="25"/>
      <c r="G741" s="26"/>
      <c r="H741" s="27"/>
      <c r="I741" s="24"/>
      <c r="J741" s="24"/>
      <c r="K741" s="28"/>
      <c r="L741" s="29"/>
      <c r="M741" s="29"/>
      <c r="N741" s="29"/>
      <c r="O741" s="27"/>
      <c r="P741" s="30"/>
      <c r="Q741" s="31"/>
      <c r="R741" s="31"/>
      <c r="S741" s="32"/>
      <c r="T741" s="32"/>
      <c r="U741" s="32"/>
      <c r="V741" s="32"/>
      <c r="W741" s="32"/>
      <c r="X741" s="32"/>
      <c r="Y741" s="32"/>
      <c r="Z741" s="32"/>
      <c r="AA741" s="32"/>
      <c r="AB741" s="32"/>
    </row>
    <row r="742" spans="1:28" ht="15.6" customHeight="1" x14ac:dyDescent="0.25">
      <c r="A742" s="24"/>
      <c r="B742" s="24"/>
      <c r="C742" s="25"/>
      <c r="D742" s="25"/>
      <c r="E742" s="25"/>
      <c r="F742" s="25"/>
      <c r="G742" s="26"/>
      <c r="H742" s="27"/>
      <c r="I742" s="24"/>
      <c r="J742" s="24"/>
      <c r="K742" s="28"/>
      <c r="L742" s="29"/>
      <c r="M742" s="29"/>
      <c r="N742" s="29"/>
      <c r="O742" s="27"/>
      <c r="P742" s="30"/>
      <c r="Q742" s="31"/>
      <c r="R742" s="31"/>
      <c r="S742" s="32"/>
      <c r="T742" s="32"/>
      <c r="U742" s="32"/>
      <c r="V742" s="32"/>
      <c r="W742" s="32"/>
      <c r="X742" s="32"/>
      <c r="Y742" s="32"/>
      <c r="Z742" s="32"/>
      <c r="AA742" s="32"/>
      <c r="AB742" s="32"/>
    </row>
    <row r="743" spans="1:28" ht="15.6" customHeight="1" x14ac:dyDescent="0.25">
      <c r="A743" s="24"/>
      <c r="B743" s="24"/>
      <c r="C743" s="25"/>
      <c r="D743" s="25"/>
      <c r="E743" s="25"/>
      <c r="F743" s="25"/>
      <c r="G743" s="26"/>
      <c r="H743" s="27"/>
      <c r="I743" s="24"/>
      <c r="J743" s="24"/>
      <c r="K743" s="28"/>
      <c r="L743" s="29"/>
      <c r="M743" s="29"/>
      <c r="N743" s="29"/>
      <c r="O743" s="27"/>
      <c r="P743" s="30"/>
      <c r="Q743" s="31"/>
      <c r="R743" s="31"/>
      <c r="S743" s="32"/>
      <c r="T743" s="32"/>
      <c r="U743" s="32"/>
      <c r="V743" s="32"/>
      <c r="W743" s="32"/>
      <c r="X743" s="32"/>
      <c r="Y743" s="32"/>
      <c r="Z743" s="32"/>
      <c r="AA743" s="32"/>
      <c r="AB743" s="32"/>
    </row>
    <row r="744" spans="1:28" ht="15.6" customHeight="1" x14ac:dyDescent="0.25">
      <c r="A744" s="24"/>
      <c r="B744" s="24"/>
      <c r="C744" s="25"/>
      <c r="D744" s="25"/>
      <c r="E744" s="25"/>
      <c r="F744" s="25"/>
      <c r="G744" s="26"/>
      <c r="H744" s="27"/>
      <c r="I744" s="24"/>
      <c r="J744" s="24"/>
      <c r="K744" s="28"/>
      <c r="L744" s="29"/>
      <c r="M744" s="29"/>
      <c r="N744" s="29"/>
      <c r="O744" s="27"/>
      <c r="P744" s="30"/>
      <c r="Q744" s="31"/>
      <c r="R744" s="31"/>
      <c r="S744" s="32"/>
      <c r="T744" s="32"/>
      <c r="U744" s="32"/>
      <c r="V744" s="32"/>
      <c r="W744" s="32"/>
      <c r="X744" s="32"/>
      <c r="Y744" s="32"/>
      <c r="Z744" s="32"/>
      <c r="AA744" s="32"/>
      <c r="AB744" s="32"/>
    </row>
    <row r="745" spans="1:28" ht="15.6" customHeight="1" x14ac:dyDescent="0.25">
      <c r="A745" s="24"/>
      <c r="B745" s="24"/>
      <c r="C745" s="25"/>
      <c r="D745" s="25"/>
      <c r="E745" s="25"/>
      <c r="F745" s="25"/>
      <c r="G745" s="26"/>
      <c r="H745" s="27"/>
      <c r="I745" s="24"/>
      <c r="J745" s="24"/>
      <c r="K745" s="28"/>
      <c r="L745" s="29"/>
      <c r="M745" s="29"/>
      <c r="N745" s="29"/>
      <c r="O745" s="27"/>
      <c r="P745" s="30"/>
      <c r="Q745" s="31"/>
      <c r="R745" s="31"/>
      <c r="S745" s="32"/>
      <c r="T745" s="32"/>
      <c r="U745" s="32"/>
      <c r="V745" s="32"/>
      <c r="W745" s="32"/>
      <c r="X745" s="32"/>
      <c r="Y745" s="32"/>
      <c r="Z745" s="32"/>
      <c r="AA745" s="32"/>
      <c r="AB745" s="32"/>
    </row>
    <row r="746" spans="1:28" ht="15.6" customHeight="1" x14ac:dyDescent="0.25">
      <c r="A746" s="24"/>
      <c r="B746" s="24"/>
      <c r="C746" s="25"/>
      <c r="D746" s="25"/>
      <c r="E746" s="25"/>
      <c r="F746" s="25"/>
      <c r="G746" s="26"/>
      <c r="H746" s="27"/>
      <c r="I746" s="24"/>
      <c r="J746" s="24"/>
      <c r="K746" s="28"/>
      <c r="L746" s="29"/>
      <c r="M746" s="29"/>
      <c r="N746" s="29"/>
      <c r="O746" s="27"/>
      <c r="P746" s="30"/>
      <c r="Q746" s="31"/>
      <c r="R746" s="31"/>
      <c r="S746" s="32"/>
      <c r="T746" s="32"/>
      <c r="U746" s="32"/>
      <c r="V746" s="32"/>
      <c r="W746" s="32"/>
      <c r="X746" s="32"/>
      <c r="Y746" s="32"/>
      <c r="Z746" s="32"/>
      <c r="AA746" s="32"/>
      <c r="AB746" s="32"/>
    </row>
    <row r="747" spans="1:28" ht="15.6" customHeight="1" x14ac:dyDescent="0.25">
      <c r="A747" s="24"/>
      <c r="B747" s="24"/>
      <c r="C747" s="25"/>
      <c r="D747" s="25"/>
      <c r="E747" s="25"/>
      <c r="F747" s="25"/>
      <c r="G747" s="26"/>
      <c r="H747" s="27"/>
      <c r="I747" s="24"/>
      <c r="J747" s="24"/>
      <c r="K747" s="28"/>
      <c r="L747" s="29"/>
      <c r="M747" s="29"/>
      <c r="N747" s="29"/>
      <c r="O747" s="27"/>
      <c r="P747" s="30"/>
      <c r="Q747" s="31"/>
      <c r="R747" s="31"/>
      <c r="S747" s="32"/>
      <c r="T747" s="32"/>
      <c r="U747" s="32"/>
      <c r="V747" s="32"/>
      <c r="W747" s="32"/>
      <c r="X747" s="32"/>
      <c r="Y747" s="32"/>
      <c r="Z747" s="32"/>
      <c r="AA747" s="32"/>
      <c r="AB747" s="32"/>
    </row>
    <row r="748" spans="1:28" ht="15.6" customHeight="1" x14ac:dyDescent="0.25">
      <c r="A748" s="24"/>
      <c r="B748" s="24"/>
      <c r="C748" s="25"/>
      <c r="D748" s="25"/>
      <c r="E748" s="25"/>
      <c r="F748" s="25"/>
      <c r="G748" s="26"/>
      <c r="H748" s="27"/>
      <c r="I748" s="24"/>
      <c r="J748" s="24"/>
      <c r="K748" s="28"/>
      <c r="L748" s="29"/>
      <c r="M748" s="29"/>
      <c r="N748" s="29"/>
      <c r="O748" s="27"/>
      <c r="P748" s="30"/>
      <c r="Q748" s="31"/>
      <c r="R748" s="31"/>
      <c r="S748" s="32"/>
      <c r="T748" s="32"/>
      <c r="U748" s="32"/>
      <c r="V748" s="32"/>
      <c r="W748" s="32"/>
      <c r="X748" s="32"/>
      <c r="Y748" s="32"/>
      <c r="Z748" s="32"/>
      <c r="AA748" s="32"/>
      <c r="AB748" s="32"/>
    </row>
    <row r="749" spans="1:28" ht="15.6" customHeight="1" x14ac:dyDescent="0.25">
      <c r="A749" s="24"/>
      <c r="B749" s="24"/>
      <c r="C749" s="25"/>
      <c r="D749" s="25"/>
      <c r="E749" s="25"/>
      <c r="F749" s="25"/>
      <c r="G749" s="26"/>
      <c r="H749" s="27"/>
      <c r="I749" s="24"/>
      <c r="J749" s="24"/>
      <c r="K749" s="28"/>
      <c r="L749" s="29"/>
      <c r="M749" s="29"/>
      <c r="N749" s="29"/>
      <c r="O749" s="27"/>
      <c r="P749" s="30"/>
      <c r="Q749" s="31"/>
      <c r="R749" s="31"/>
      <c r="S749" s="32"/>
      <c r="T749" s="32"/>
      <c r="U749" s="32"/>
      <c r="V749" s="32"/>
      <c r="W749" s="32"/>
      <c r="X749" s="32"/>
      <c r="Y749" s="32"/>
      <c r="Z749" s="32"/>
      <c r="AA749" s="32"/>
      <c r="AB749" s="32"/>
    </row>
    <row r="750" spans="1:28" ht="15.6" customHeight="1" x14ac:dyDescent="0.25">
      <c r="A750" s="24"/>
      <c r="B750" s="24"/>
      <c r="C750" s="25"/>
      <c r="D750" s="25"/>
      <c r="E750" s="25"/>
      <c r="F750" s="25"/>
      <c r="G750" s="26"/>
      <c r="H750" s="27"/>
      <c r="I750" s="24"/>
      <c r="J750" s="24"/>
      <c r="K750" s="28"/>
      <c r="L750" s="29"/>
      <c r="M750" s="29"/>
      <c r="N750" s="29"/>
      <c r="O750" s="27"/>
      <c r="P750" s="30"/>
      <c r="Q750" s="31"/>
      <c r="R750" s="31"/>
      <c r="S750" s="32"/>
      <c r="T750" s="32"/>
      <c r="U750" s="32"/>
      <c r="V750" s="32"/>
      <c r="W750" s="32"/>
      <c r="X750" s="32"/>
      <c r="Y750" s="32"/>
      <c r="Z750" s="32"/>
      <c r="AA750" s="32"/>
      <c r="AB750" s="32"/>
    </row>
    <row r="751" spans="1:28" ht="15.6" customHeight="1" x14ac:dyDescent="0.25">
      <c r="A751" s="24"/>
      <c r="B751" s="24"/>
      <c r="C751" s="25"/>
      <c r="D751" s="25"/>
      <c r="E751" s="25"/>
      <c r="F751" s="25"/>
      <c r="G751" s="26"/>
      <c r="H751" s="27"/>
      <c r="I751" s="24"/>
      <c r="J751" s="24"/>
      <c r="K751" s="28"/>
      <c r="L751" s="29"/>
      <c r="M751" s="29"/>
      <c r="N751" s="29"/>
      <c r="O751" s="27"/>
      <c r="P751" s="30"/>
      <c r="Q751" s="31"/>
      <c r="R751" s="31"/>
      <c r="S751" s="32"/>
      <c r="T751" s="32"/>
      <c r="U751" s="32"/>
      <c r="V751" s="32"/>
      <c r="W751" s="32"/>
      <c r="X751" s="32"/>
      <c r="Y751" s="32"/>
      <c r="Z751" s="32"/>
      <c r="AA751" s="32"/>
      <c r="AB751" s="32"/>
    </row>
    <row r="752" spans="1:28" ht="15.6" customHeight="1" x14ac:dyDescent="0.25">
      <c r="A752" s="24"/>
      <c r="B752" s="24"/>
      <c r="C752" s="25"/>
      <c r="D752" s="25"/>
      <c r="E752" s="25"/>
      <c r="F752" s="25"/>
      <c r="G752" s="26"/>
      <c r="H752" s="27"/>
      <c r="I752" s="24"/>
      <c r="J752" s="24"/>
      <c r="K752" s="28"/>
      <c r="L752" s="29"/>
      <c r="M752" s="29"/>
      <c r="N752" s="29"/>
      <c r="O752" s="27"/>
      <c r="P752" s="30"/>
      <c r="Q752" s="31"/>
      <c r="R752" s="31"/>
      <c r="S752" s="32"/>
      <c r="T752" s="32"/>
      <c r="U752" s="32"/>
      <c r="V752" s="32"/>
      <c r="W752" s="32"/>
      <c r="X752" s="32"/>
      <c r="Y752" s="32"/>
      <c r="Z752" s="32"/>
      <c r="AA752" s="32"/>
      <c r="AB752" s="32"/>
    </row>
    <row r="753" spans="1:28" ht="15.6" customHeight="1" x14ac:dyDescent="0.25">
      <c r="A753" s="24"/>
      <c r="B753" s="24"/>
      <c r="C753" s="25"/>
      <c r="D753" s="25"/>
      <c r="E753" s="25"/>
      <c r="F753" s="25"/>
      <c r="G753" s="26"/>
      <c r="H753" s="27"/>
      <c r="I753" s="24"/>
      <c r="J753" s="24"/>
      <c r="K753" s="28"/>
      <c r="L753" s="29"/>
      <c r="M753" s="29"/>
      <c r="N753" s="29"/>
      <c r="O753" s="27"/>
      <c r="P753" s="30"/>
      <c r="Q753" s="31"/>
      <c r="R753" s="31"/>
      <c r="S753" s="32"/>
      <c r="T753" s="32"/>
      <c r="U753" s="32"/>
      <c r="V753" s="32"/>
      <c r="W753" s="32"/>
      <c r="X753" s="32"/>
      <c r="Y753" s="32"/>
      <c r="Z753" s="32"/>
      <c r="AA753" s="32"/>
      <c r="AB753" s="32"/>
    </row>
    <row r="754" spans="1:28" ht="15.6" customHeight="1" x14ac:dyDescent="0.25">
      <c r="A754" s="24"/>
      <c r="B754" s="24"/>
      <c r="C754" s="25"/>
      <c r="D754" s="25"/>
      <c r="E754" s="25"/>
      <c r="F754" s="25"/>
      <c r="G754" s="26"/>
      <c r="H754" s="27"/>
      <c r="I754" s="24"/>
      <c r="J754" s="24"/>
      <c r="K754" s="28"/>
      <c r="L754" s="29"/>
      <c r="M754" s="29"/>
      <c r="N754" s="29"/>
      <c r="O754" s="27"/>
      <c r="P754" s="30"/>
      <c r="Q754" s="31"/>
      <c r="R754" s="31"/>
      <c r="S754" s="32"/>
      <c r="T754" s="32"/>
      <c r="U754" s="32"/>
      <c r="V754" s="32"/>
      <c r="W754" s="32"/>
      <c r="X754" s="32"/>
      <c r="Y754" s="32"/>
      <c r="Z754" s="32"/>
      <c r="AA754" s="32"/>
      <c r="AB754" s="32"/>
    </row>
    <row r="755" spans="1:28" ht="15.6" customHeight="1" x14ac:dyDescent="0.25">
      <c r="A755" s="24"/>
      <c r="B755" s="24"/>
      <c r="C755" s="25"/>
      <c r="D755" s="25"/>
      <c r="E755" s="25"/>
      <c r="F755" s="25"/>
      <c r="G755" s="26"/>
      <c r="H755" s="27"/>
      <c r="I755" s="24"/>
      <c r="J755" s="24"/>
      <c r="K755" s="28"/>
      <c r="L755" s="29"/>
      <c r="M755" s="29"/>
      <c r="N755" s="29"/>
      <c r="O755" s="27"/>
      <c r="P755" s="30"/>
      <c r="Q755" s="31"/>
      <c r="R755" s="31"/>
      <c r="S755" s="32"/>
      <c r="T755" s="32"/>
      <c r="U755" s="32"/>
      <c r="V755" s="32"/>
      <c r="W755" s="32"/>
      <c r="X755" s="32"/>
      <c r="Y755" s="32"/>
      <c r="Z755" s="32"/>
      <c r="AA755" s="32"/>
      <c r="AB755" s="32"/>
    </row>
    <row r="756" spans="1:28" ht="15.6" customHeight="1" x14ac:dyDescent="0.25">
      <c r="A756" s="24"/>
      <c r="B756" s="24"/>
      <c r="C756" s="25"/>
      <c r="D756" s="25"/>
      <c r="E756" s="25"/>
      <c r="F756" s="25"/>
      <c r="G756" s="26"/>
      <c r="H756" s="27"/>
      <c r="I756" s="24"/>
      <c r="J756" s="24"/>
      <c r="K756" s="28"/>
      <c r="L756" s="29"/>
      <c r="M756" s="29"/>
      <c r="N756" s="29"/>
      <c r="O756" s="27"/>
      <c r="P756" s="30"/>
      <c r="Q756" s="31"/>
      <c r="R756" s="31"/>
      <c r="S756" s="32"/>
      <c r="T756" s="32"/>
      <c r="U756" s="32"/>
      <c r="V756" s="32"/>
      <c r="W756" s="32"/>
      <c r="X756" s="32"/>
      <c r="Y756" s="32"/>
      <c r="Z756" s="32"/>
      <c r="AA756" s="32"/>
      <c r="AB756" s="32"/>
    </row>
    <row r="757" spans="1:28" ht="15.6" customHeight="1" x14ac:dyDescent="0.25">
      <c r="A757" s="24"/>
      <c r="B757" s="24"/>
      <c r="C757" s="25"/>
      <c r="D757" s="25"/>
      <c r="E757" s="25"/>
      <c r="F757" s="25"/>
      <c r="G757" s="26"/>
      <c r="H757" s="27"/>
      <c r="I757" s="24"/>
      <c r="J757" s="24"/>
      <c r="K757" s="28"/>
      <c r="L757" s="29"/>
      <c r="M757" s="29"/>
      <c r="N757" s="29"/>
      <c r="O757" s="27"/>
      <c r="P757" s="30"/>
      <c r="Q757" s="31"/>
      <c r="R757" s="31"/>
      <c r="S757" s="32"/>
      <c r="T757" s="32"/>
      <c r="U757" s="32"/>
      <c r="V757" s="32"/>
      <c r="W757" s="32"/>
      <c r="X757" s="32"/>
      <c r="Y757" s="32"/>
      <c r="Z757" s="32"/>
      <c r="AA757" s="32"/>
      <c r="AB757" s="32"/>
    </row>
    <row r="758" spans="1:28" ht="15.6" customHeight="1" x14ac:dyDescent="0.25">
      <c r="A758" s="24"/>
      <c r="B758" s="24"/>
      <c r="C758" s="25"/>
      <c r="D758" s="25"/>
      <c r="E758" s="25"/>
      <c r="F758" s="25"/>
      <c r="G758" s="26"/>
      <c r="H758" s="27"/>
      <c r="I758" s="24"/>
      <c r="J758" s="24"/>
      <c r="K758" s="28"/>
      <c r="L758" s="29"/>
      <c r="M758" s="29"/>
      <c r="N758" s="29"/>
      <c r="O758" s="27"/>
      <c r="P758" s="30"/>
      <c r="Q758" s="31"/>
      <c r="R758" s="31"/>
      <c r="S758" s="32"/>
      <c r="T758" s="32"/>
      <c r="U758" s="32"/>
      <c r="V758" s="32"/>
      <c r="W758" s="32"/>
      <c r="X758" s="32"/>
      <c r="Y758" s="32"/>
      <c r="Z758" s="32"/>
      <c r="AA758" s="32"/>
      <c r="AB758" s="32"/>
    </row>
    <row r="759" spans="1:28" ht="15.6" customHeight="1" x14ac:dyDescent="0.25">
      <c r="A759" s="24"/>
      <c r="B759" s="24"/>
      <c r="C759" s="25"/>
      <c r="D759" s="25"/>
      <c r="E759" s="25"/>
      <c r="F759" s="25"/>
      <c r="G759" s="26"/>
      <c r="H759" s="27"/>
      <c r="I759" s="24"/>
      <c r="J759" s="24"/>
      <c r="K759" s="28"/>
      <c r="L759" s="29"/>
      <c r="M759" s="29"/>
      <c r="N759" s="29"/>
      <c r="O759" s="27"/>
      <c r="P759" s="30"/>
      <c r="Q759" s="31"/>
      <c r="R759" s="31"/>
      <c r="S759" s="32"/>
      <c r="T759" s="32"/>
      <c r="U759" s="32"/>
      <c r="V759" s="32"/>
      <c r="W759" s="32"/>
      <c r="X759" s="32"/>
      <c r="Y759" s="32"/>
      <c r="Z759" s="32"/>
      <c r="AA759" s="32"/>
      <c r="AB759" s="32"/>
    </row>
    <row r="760" spans="1:28" ht="15.6" customHeight="1" x14ac:dyDescent="0.25">
      <c r="A760" s="24"/>
      <c r="B760" s="24"/>
      <c r="C760" s="25"/>
      <c r="D760" s="25"/>
      <c r="E760" s="25"/>
      <c r="F760" s="25"/>
      <c r="G760" s="26"/>
      <c r="H760" s="27"/>
      <c r="I760" s="24"/>
      <c r="J760" s="24"/>
      <c r="K760" s="28"/>
      <c r="L760" s="29"/>
      <c r="M760" s="29"/>
      <c r="N760" s="29"/>
      <c r="O760" s="27"/>
      <c r="P760" s="30"/>
      <c r="Q760" s="31"/>
      <c r="R760" s="31"/>
      <c r="S760" s="32"/>
      <c r="T760" s="32"/>
      <c r="U760" s="32"/>
      <c r="V760" s="32"/>
      <c r="W760" s="32"/>
      <c r="X760" s="32"/>
      <c r="Y760" s="32"/>
      <c r="Z760" s="32"/>
      <c r="AA760" s="32"/>
      <c r="AB760" s="32"/>
    </row>
    <row r="761" spans="1:28" ht="15.6" customHeight="1" x14ac:dyDescent="0.25">
      <c r="A761" s="24"/>
      <c r="B761" s="24"/>
      <c r="C761" s="25"/>
      <c r="D761" s="25"/>
      <c r="E761" s="25"/>
      <c r="F761" s="25"/>
      <c r="G761" s="26"/>
      <c r="H761" s="27"/>
      <c r="I761" s="24"/>
      <c r="J761" s="24"/>
      <c r="K761" s="28"/>
      <c r="L761" s="29"/>
      <c r="M761" s="29"/>
      <c r="N761" s="29"/>
      <c r="O761" s="27"/>
      <c r="P761" s="30"/>
      <c r="Q761" s="31"/>
      <c r="R761" s="31"/>
      <c r="S761" s="32"/>
      <c r="T761" s="32"/>
      <c r="U761" s="32"/>
      <c r="V761" s="32"/>
      <c r="W761" s="32"/>
      <c r="X761" s="32"/>
      <c r="Y761" s="32"/>
      <c r="Z761" s="32"/>
      <c r="AA761" s="32"/>
      <c r="AB761" s="32"/>
    </row>
    <row r="762" spans="1:28" ht="15.6" customHeight="1" x14ac:dyDescent="0.25">
      <c r="A762" s="24"/>
      <c r="B762" s="24"/>
      <c r="C762" s="25"/>
      <c r="D762" s="25"/>
      <c r="E762" s="25"/>
      <c r="F762" s="25"/>
      <c r="G762" s="26"/>
      <c r="H762" s="27"/>
      <c r="I762" s="24"/>
      <c r="J762" s="24"/>
      <c r="K762" s="28"/>
      <c r="L762" s="29"/>
      <c r="M762" s="29"/>
      <c r="N762" s="29"/>
      <c r="O762" s="27"/>
      <c r="P762" s="30"/>
      <c r="Q762" s="31"/>
      <c r="R762" s="31"/>
      <c r="S762" s="32"/>
      <c r="T762" s="32"/>
      <c r="U762" s="32"/>
      <c r="V762" s="32"/>
      <c r="W762" s="32"/>
      <c r="X762" s="32"/>
      <c r="Y762" s="32"/>
      <c r="Z762" s="32"/>
      <c r="AA762" s="32"/>
      <c r="AB762" s="32"/>
    </row>
    <row r="763" spans="1:28" ht="15.6" customHeight="1" x14ac:dyDescent="0.25">
      <c r="A763" s="24"/>
      <c r="B763" s="24"/>
      <c r="C763" s="25"/>
      <c r="D763" s="25"/>
      <c r="E763" s="25"/>
      <c r="F763" s="25"/>
      <c r="G763" s="26"/>
      <c r="H763" s="27"/>
      <c r="I763" s="24"/>
      <c r="J763" s="24"/>
      <c r="K763" s="28"/>
      <c r="L763" s="29"/>
      <c r="M763" s="29"/>
      <c r="N763" s="29"/>
      <c r="O763" s="27"/>
      <c r="P763" s="30"/>
      <c r="Q763" s="31"/>
      <c r="R763" s="31"/>
      <c r="S763" s="32"/>
      <c r="T763" s="32"/>
      <c r="U763" s="32"/>
      <c r="V763" s="32"/>
      <c r="W763" s="32"/>
      <c r="X763" s="32"/>
      <c r="Y763" s="32"/>
      <c r="Z763" s="32"/>
      <c r="AA763" s="32"/>
      <c r="AB763" s="32"/>
    </row>
    <row r="764" spans="1:28" ht="15.6" customHeight="1" x14ac:dyDescent="0.25">
      <c r="A764" s="24"/>
      <c r="B764" s="24"/>
      <c r="C764" s="25"/>
      <c r="D764" s="25"/>
      <c r="E764" s="25"/>
      <c r="F764" s="25"/>
      <c r="G764" s="26"/>
      <c r="H764" s="27"/>
      <c r="I764" s="24"/>
      <c r="J764" s="24"/>
      <c r="K764" s="28"/>
      <c r="L764" s="29"/>
      <c r="M764" s="29"/>
      <c r="N764" s="29"/>
      <c r="O764" s="27"/>
      <c r="P764" s="30"/>
      <c r="Q764" s="31"/>
      <c r="R764" s="31"/>
      <c r="S764" s="32"/>
      <c r="T764" s="32"/>
      <c r="U764" s="32"/>
      <c r="V764" s="32"/>
      <c r="W764" s="32"/>
      <c r="X764" s="32"/>
      <c r="Y764" s="32"/>
      <c r="Z764" s="32"/>
      <c r="AA764" s="32"/>
      <c r="AB764" s="32"/>
    </row>
    <row r="765" spans="1:28" ht="15.6" customHeight="1" x14ac:dyDescent="0.25">
      <c r="A765" s="24"/>
      <c r="B765" s="24"/>
      <c r="C765" s="25"/>
      <c r="D765" s="25"/>
      <c r="E765" s="25"/>
      <c r="F765" s="25"/>
      <c r="G765" s="26"/>
      <c r="H765" s="27"/>
      <c r="I765" s="24"/>
      <c r="J765" s="24"/>
      <c r="K765" s="28"/>
      <c r="L765" s="29"/>
      <c r="M765" s="29"/>
      <c r="N765" s="29"/>
      <c r="O765" s="27"/>
      <c r="P765" s="30"/>
      <c r="Q765" s="31"/>
      <c r="R765" s="31"/>
      <c r="S765" s="32"/>
      <c r="T765" s="32"/>
      <c r="U765" s="32"/>
      <c r="V765" s="32"/>
      <c r="W765" s="32"/>
      <c r="X765" s="32"/>
      <c r="Y765" s="32"/>
      <c r="Z765" s="32"/>
      <c r="AA765" s="32"/>
      <c r="AB765" s="32"/>
    </row>
    <row r="766" spans="1:28" ht="15.6" customHeight="1" x14ac:dyDescent="0.25">
      <c r="A766" s="24"/>
      <c r="B766" s="24"/>
      <c r="C766" s="25"/>
      <c r="D766" s="25"/>
      <c r="E766" s="25"/>
      <c r="F766" s="25"/>
      <c r="G766" s="26"/>
      <c r="H766" s="27"/>
      <c r="I766" s="24"/>
      <c r="J766" s="24"/>
      <c r="K766" s="28"/>
      <c r="L766" s="29"/>
      <c r="M766" s="29"/>
      <c r="N766" s="29"/>
      <c r="O766" s="27"/>
      <c r="P766" s="30"/>
      <c r="Q766" s="31"/>
      <c r="R766" s="31"/>
      <c r="S766" s="32"/>
      <c r="T766" s="32"/>
      <c r="U766" s="32"/>
      <c r="V766" s="32"/>
      <c r="W766" s="32"/>
      <c r="X766" s="32"/>
      <c r="Y766" s="32"/>
      <c r="Z766" s="32"/>
      <c r="AA766" s="32"/>
      <c r="AB766" s="32"/>
    </row>
    <row r="767" spans="1:28" ht="15.6" customHeight="1" x14ac:dyDescent="0.25">
      <c r="A767" s="24"/>
      <c r="B767" s="24"/>
      <c r="C767" s="25"/>
      <c r="D767" s="25"/>
      <c r="E767" s="25"/>
      <c r="F767" s="25"/>
      <c r="G767" s="26"/>
      <c r="H767" s="27"/>
      <c r="I767" s="24"/>
      <c r="J767" s="24"/>
      <c r="K767" s="28"/>
      <c r="L767" s="29"/>
      <c r="M767" s="29"/>
      <c r="N767" s="29"/>
      <c r="O767" s="27"/>
      <c r="P767" s="30"/>
      <c r="Q767" s="31"/>
      <c r="R767" s="31"/>
      <c r="S767" s="32"/>
      <c r="T767" s="32"/>
      <c r="U767" s="32"/>
      <c r="V767" s="32"/>
      <c r="W767" s="32"/>
      <c r="X767" s="32"/>
      <c r="Y767" s="32"/>
      <c r="Z767" s="32"/>
      <c r="AA767" s="32"/>
      <c r="AB767" s="32"/>
    </row>
    <row r="768" spans="1:28" ht="15.6" customHeight="1" x14ac:dyDescent="0.25">
      <c r="A768" s="24"/>
      <c r="B768" s="24"/>
      <c r="C768" s="25"/>
      <c r="D768" s="25"/>
      <c r="E768" s="25"/>
      <c r="F768" s="25"/>
      <c r="G768" s="26"/>
      <c r="H768" s="27"/>
      <c r="I768" s="24"/>
      <c r="J768" s="24"/>
      <c r="K768" s="28"/>
      <c r="L768" s="29"/>
      <c r="M768" s="29"/>
      <c r="N768" s="29"/>
      <c r="O768" s="27"/>
      <c r="P768" s="30"/>
      <c r="Q768" s="31"/>
      <c r="R768" s="31"/>
      <c r="S768" s="32"/>
      <c r="T768" s="32"/>
      <c r="U768" s="32"/>
      <c r="V768" s="32"/>
      <c r="W768" s="32"/>
      <c r="X768" s="32"/>
      <c r="Y768" s="32"/>
      <c r="Z768" s="32"/>
      <c r="AA768" s="32"/>
      <c r="AB768" s="32"/>
    </row>
    <row r="769" spans="1:28" ht="15.6" customHeight="1" x14ac:dyDescent="0.25">
      <c r="A769" s="24"/>
      <c r="B769" s="24"/>
      <c r="C769" s="25"/>
      <c r="D769" s="25"/>
      <c r="E769" s="25"/>
      <c r="F769" s="25"/>
      <c r="G769" s="26"/>
      <c r="H769" s="27"/>
      <c r="I769" s="24"/>
      <c r="J769" s="24"/>
      <c r="K769" s="28"/>
      <c r="L769" s="29"/>
      <c r="M769" s="29"/>
      <c r="N769" s="29"/>
      <c r="O769" s="27"/>
      <c r="P769" s="30"/>
      <c r="Q769" s="31"/>
      <c r="R769" s="31"/>
      <c r="S769" s="32"/>
      <c r="T769" s="32"/>
      <c r="U769" s="32"/>
      <c r="V769" s="32"/>
      <c r="W769" s="32"/>
      <c r="X769" s="32"/>
      <c r="Y769" s="32"/>
      <c r="Z769" s="32"/>
      <c r="AA769" s="32"/>
      <c r="AB769" s="32"/>
    </row>
    <row r="770" spans="1:28" ht="15.6" customHeight="1" x14ac:dyDescent="0.25">
      <c r="A770" s="24"/>
      <c r="B770" s="24"/>
      <c r="C770" s="25"/>
      <c r="D770" s="25"/>
      <c r="E770" s="25"/>
      <c r="F770" s="25"/>
      <c r="G770" s="26"/>
      <c r="H770" s="27"/>
      <c r="I770" s="24"/>
      <c r="J770" s="24"/>
      <c r="K770" s="28"/>
      <c r="L770" s="29"/>
      <c r="M770" s="29"/>
      <c r="N770" s="29"/>
      <c r="O770" s="27"/>
      <c r="P770" s="30"/>
      <c r="Q770" s="31"/>
      <c r="R770" s="31"/>
      <c r="S770" s="32"/>
      <c r="T770" s="32"/>
      <c r="U770" s="32"/>
      <c r="V770" s="32"/>
      <c r="W770" s="32"/>
      <c r="X770" s="32"/>
      <c r="Y770" s="32"/>
      <c r="Z770" s="32"/>
      <c r="AA770" s="32"/>
      <c r="AB770" s="32"/>
    </row>
    <row r="771" spans="1:28" ht="15.6" customHeight="1" x14ac:dyDescent="0.25">
      <c r="A771" s="24"/>
      <c r="B771" s="24"/>
      <c r="C771" s="25"/>
      <c r="D771" s="25"/>
      <c r="E771" s="25"/>
      <c r="F771" s="25"/>
      <c r="G771" s="26"/>
      <c r="H771" s="27"/>
      <c r="I771" s="24"/>
      <c r="J771" s="24"/>
      <c r="K771" s="28"/>
      <c r="L771" s="29"/>
      <c r="M771" s="29"/>
      <c r="N771" s="29"/>
      <c r="O771" s="27"/>
      <c r="P771" s="30"/>
      <c r="Q771" s="31"/>
      <c r="R771" s="31"/>
      <c r="S771" s="32"/>
      <c r="T771" s="32"/>
      <c r="U771" s="32"/>
      <c r="V771" s="32"/>
      <c r="W771" s="32"/>
      <c r="X771" s="32"/>
      <c r="Y771" s="32"/>
      <c r="Z771" s="32"/>
      <c r="AA771" s="32"/>
      <c r="AB771" s="32"/>
    </row>
    <row r="772" spans="1:28" ht="15.6" customHeight="1" x14ac:dyDescent="0.25">
      <c r="A772" s="24"/>
      <c r="B772" s="24"/>
      <c r="C772" s="25"/>
      <c r="D772" s="25"/>
      <c r="E772" s="25"/>
      <c r="F772" s="25"/>
      <c r="G772" s="26"/>
      <c r="H772" s="27"/>
      <c r="I772" s="24"/>
      <c r="J772" s="24"/>
      <c r="K772" s="28"/>
      <c r="L772" s="29"/>
      <c r="M772" s="29"/>
      <c r="N772" s="29"/>
      <c r="O772" s="27"/>
      <c r="P772" s="30"/>
      <c r="Q772" s="31"/>
      <c r="R772" s="31"/>
      <c r="S772" s="32"/>
      <c r="T772" s="32"/>
      <c r="U772" s="32"/>
      <c r="V772" s="32"/>
      <c r="W772" s="32"/>
      <c r="X772" s="32"/>
      <c r="Y772" s="32"/>
      <c r="Z772" s="32"/>
      <c r="AA772" s="32"/>
      <c r="AB772" s="32"/>
    </row>
    <row r="773" spans="1:28" ht="15.6" customHeight="1" x14ac:dyDescent="0.25">
      <c r="A773" s="24"/>
      <c r="B773" s="24"/>
      <c r="C773" s="25"/>
      <c r="D773" s="25"/>
      <c r="E773" s="25"/>
      <c r="F773" s="25"/>
      <c r="G773" s="26"/>
      <c r="H773" s="27"/>
      <c r="I773" s="24"/>
      <c r="J773" s="24"/>
      <c r="K773" s="28"/>
      <c r="L773" s="29"/>
      <c r="M773" s="29"/>
      <c r="N773" s="29"/>
      <c r="O773" s="27"/>
      <c r="P773" s="30"/>
      <c r="Q773" s="31"/>
      <c r="R773" s="31"/>
      <c r="S773" s="32"/>
      <c r="T773" s="32"/>
      <c r="U773" s="32"/>
      <c r="V773" s="32"/>
      <c r="W773" s="32"/>
      <c r="X773" s="32"/>
      <c r="Y773" s="32"/>
      <c r="Z773" s="32"/>
      <c r="AA773" s="32"/>
      <c r="AB773" s="32"/>
    </row>
    <row r="774" spans="1:28" ht="15.6" customHeight="1" x14ac:dyDescent="0.25">
      <c r="A774" s="24"/>
      <c r="B774" s="24"/>
      <c r="C774" s="25"/>
      <c r="D774" s="25"/>
      <c r="E774" s="25"/>
      <c r="F774" s="25"/>
      <c r="G774" s="26"/>
      <c r="H774" s="27"/>
      <c r="I774" s="24"/>
      <c r="J774" s="24"/>
      <c r="K774" s="28"/>
      <c r="L774" s="29"/>
      <c r="M774" s="29"/>
      <c r="N774" s="29"/>
      <c r="O774" s="27"/>
      <c r="P774" s="30"/>
      <c r="Q774" s="31"/>
      <c r="R774" s="31"/>
      <c r="S774" s="32"/>
      <c r="T774" s="32"/>
      <c r="U774" s="32"/>
      <c r="V774" s="32"/>
      <c r="W774" s="32"/>
      <c r="X774" s="32"/>
      <c r="Y774" s="32"/>
      <c r="Z774" s="32"/>
      <c r="AA774" s="32"/>
      <c r="AB774" s="32"/>
    </row>
    <row r="775" spans="1:28" ht="15.6" customHeight="1" x14ac:dyDescent="0.25">
      <c r="A775" s="24"/>
      <c r="B775" s="24"/>
      <c r="C775" s="25"/>
      <c r="D775" s="25"/>
      <c r="E775" s="25"/>
      <c r="F775" s="25"/>
      <c r="G775" s="26"/>
      <c r="H775" s="27"/>
      <c r="I775" s="24"/>
      <c r="J775" s="24"/>
      <c r="K775" s="28"/>
      <c r="L775" s="29"/>
      <c r="M775" s="29"/>
      <c r="N775" s="29"/>
      <c r="O775" s="27"/>
      <c r="P775" s="30"/>
      <c r="Q775" s="31"/>
      <c r="R775" s="31"/>
      <c r="S775" s="32"/>
      <c r="T775" s="32"/>
      <c r="U775" s="32"/>
      <c r="V775" s="32"/>
      <c r="W775" s="32"/>
      <c r="X775" s="32"/>
      <c r="Y775" s="32"/>
      <c r="Z775" s="32"/>
      <c r="AA775" s="32"/>
      <c r="AB775" s="32"/>
    </row>
    <row r="776" spans="1:28" ht="15.6" customHeight="1" x14ac:dyDescent="0.25">
      <c r="A776" s="24"/>
      <c r="B776" s="24"/>
      <c r="C776" s="25"/>
      <c r="D776" s="25"/>
      <c r="E776" s="25"/>
      <c r="F776" s="25"/>
      <c r="G776" s="26"/>
      <c r="H776" s="27"/>
      <c r="I776" s="24"/>
      <c r="J776" s="24"/>
      <c r="K776" s="28"/>
      <c r="L776" s="29"/>
      <c r="M776" s="29"/>
      <c r="N776" s="29"/>
      <c r="O776" s="27"/>
      <c r="P776" s="30"/>
      <c r="Q776" s="31"/>
      <c r="R776" s="31"/>
      <c r="S776" s="32"/>
      <c r="T776" s="32"/>
      <c r="U776" s="32"/>
      <c r="V776" s="32"/>
      <c r="W776" s="32"/>
      <c r="X776" s="32"/>
      <c r="Y776" s="32"/>
      <c r="Z776" s="32"/>
      <c r="AA776" s="32"/>
      <c r="AB776" s="32"/>
    </row>
    <row r="777" spans="1:28" ht="15.6" customHeight="1" x14ac:dyDescent="0.25">
      <c r="A777" s="24"/>
      <c r="B777" s="24"/>
      <c r="C777" s="25"/>
      <c r="D777" s="25"/>
      <c r="E777" s="25"/>
      <c r="F777" s="25"/>
      <c r="G777" s="26"/>
      <c r="H777" s="27"/>
      <c r="I777" s="24"/>
      <c r="J777" s="24"/>
      <c r="K777" s="28"/>
      <c r="L777" s="29"/>
      <c r="M777" s="29"/>
      <c r="N777" s="29"/>
      <c r="O777" s="27"/>
      <c r="P777" s="30"/>
      <c r="Q777" s="31"/>
      <c r="R777" s="31"/>
      <c r="S777" s="32"/>
      <c r="T777" s="32"/>
      <c r="U777" s="32"/>
      <c r="V777" s="32"/>
      <c r="W777" s="32"/>
      <c r="X777" s="32"/>
      <c r="Y777" s="32"/>
      <c r="Z777" s="32"/>
      <c r="AA777" s="32"/>
      <c r="AB777" s="32"/>
    </row>
    <row r="778" spans="1:28" ht="15.6" customHeight="1" x14ac:dyDescent="0.25">
      <c r="A778" s="24"/>
      <c r="B778" s="24"/>
      <c r="C778" s="25"/>
      <c r="D778" s="25"/>
      <c r="E778" s="25"/>
      <c r="F778" s="25"/>
      <c r="G778" s="26"/>
      <c r="H778" s="27"/>
      <c r="I778" s="24"/>
      <c r="J778" s="24"/>
      <c r="K778" s="28"/>
      <c r="L778" s="29"/>
      <c r="M778" s="29"/>
      <c r="N778" s="29"/>
      <c r="O778" s="27"/>
      <c r="P778" s="30"/>
      <c r="Q778" s="31"/>
      <c r="R778" s="31"/>
      <c r="S778" s="32"/>
      <c r="T778" s="32"/>
      <c r="U778" s="32"/>
      <c r="V778" s="32"/>
      <c r="W778" s="32"/>
      <c r="X778" s="32"/>
      <c r="Y778" s="32"/>
      <c r="Z778" s="32"/>
      <c r="AA778" s="32"/>
      <c r="AB778" s="32"/>
    </row>
    <row r="779" spans="1:28" ht="15.6" customHeight="1" x14ac:dyDescent="0.25">
      <c r="A779" s="24"/>
      <c r="B779" s="24"/>
      <c r="C779" s="25"/>
      <c r="D779" s="25"/>
      <c r="E779" s="25"/>
      <c r="F779" s="25"/>
      <c r="G779" s="26"/>
      <c r="H779" s="27"/>
      <c r="I779" s="24"/>
      <c r="J779" s="24"/>
      <c r="K779" s="28"/>
      <c r="L779" s="29"/>
      <c r="M779" s="29"/>
      <c r="N779" s="29"/>
      <c r="O779" s="27"/>
      <c r="P779" s="30"/>
      <c r="Q779" s="31"/>
      <c r="R779" s="31"/>
      <c r="S779" s="32"/>
      <c r="T779" s="32"/>
      <c r="U779" s="32"/>
      <c r="V779" s="32"/>
      <c r="W779" s="32"/>
      <c r="X779" s="32"/>
      <c r="Y779" s="32"/>
      <c r="Z779" s="32"/>
      <c r="AA779" s="32"/>
      <c r="AB779" s="32"/>
    </row>
    <row r="780" spans="1:28" ht="15.6" customHeight="1" x14ac:dyDescent="0.25">
      <c r="A780" s="24"/>
      <c r="B780" s="24"/>
      <c r="C780" s="25"/>
      <c r="D780" s="25"/>
      <c r="E780" s="25"/>
      <c r="F780" s="25"/>
      <c r="G780" s="26"/>
      <c r="H780" s="27"/>
      <c r="I780" s="24"/>
      <c r="J780" s="24"/>
      <c r="K780" s="28"/>
      <c r="L780" s="29"/>
      <c r="M780" s="29"/>
      <c r="N780" s="29"/>
      <c r="O780" s="27"/>
      <c r="P780" s="30"/>
      <c r="Q780" s="31"/>
      <c r="R780" s="31"/>
      <c r="S780" s="32"/>
      <c r="T780" s="32"/>
      <c r="U780" s="32"/>
      <c r="V780" s="32"/>
      <c r="W780" s="32"/>
      <c r="X780" s="32"/>
      <c r="Y780" s="32"/>
      <c r="Z780" s="32"/>
      <c r="AA780" s="32"/>
      <c r="AB780" s="32"/>
    </row>
    <row r="781" spans="1:28" ht="15.6" customHeight="1" x14ac:dyDescent="0.25">
      <c r="A781" s="24"/>
      <c r="B781" s="24"/>
      <c r="C781" s="25"/>
      <c r="D781" s="25"/>
      <c r="E781" s="25"/>
      <c r="F781" s="25"/>
      <c r="G781" s="26"/>
      <c r="H781" s="27"/>
      <c r="I781" s="24"/>
      <c r="J781" s="24"/>
      <c r="K781" s="28"/>
      <c r="L781" s="29"/>
      <c r="M781" s="29"/>
      <c r="N781" s="29"/>
      <c r="O781" s="27"/>
      <c r="P781" s="30"/>
      <c r="Q781" s="31"/>
      <c r="R781" s="31"/>
      <c r="S781" s="32"/>
      <c r="T781" s="32"/>
      <c r="U781" s="32"/>
      <c r="V781" s="32"/>
      <c r="W781" s="32"/>
      <c r="X781" s="32"/>
      <c r="Y781" s="32"/>
      <c r="Z781" s="32"/>
      <c r="AA781" s="32"/>
      <c r="AB781" s="32"/>
    </row>
    <row r="782" spans="1:28" ht="15.6" customHeight="1" x14ac:dyDescent="0.25">
      <c r="A782" s="24"/>
      <c r="B782" s="24"/>
      <c r="C782" s="25"/>
      <c r="D782" s="25"/>
      <c r="E782" s="25"/>
      <c r="F782" s="25"/>
      <c r="G782" s="26"/>
      <c r="H782" s="27"/>
      <c r="I782" s="24"/>
      <c r="J782" s="24"/>
      <c r="K782" s="28"/>
      <c r="L782" s="29"/>
      <c r="M782" s="29"/>
      <c r="N782" s="29"/>
      <c r="O782" s="27"/>
      <c r="P782" s="30"/>
      <c r="Q782" s="31"/>
      <c r="R782" s="31"/>
      <c r="S782" s="32"/>
      <c r="T782" s="32"/>
      <c r="U782" s="32"/>
      <c r="V782" s="32"/>
      <c r="W782" s="32"/>
      <c r="X782" s="32"/>
      <c r="Y782" s="32"/>
      <c r="Z782" s="32"/>
      <c r="AA782" s="32"/>
      <c r="AB782" s="32"/>
    </row>
    <row r="783" spans="1:28" ht="15.6" customHeight="1" x14ac:dyDescent="0.25">
      <c r="A783" s="24"/>
      <c r="B783" s="24"/>
      <c r="C783" s="25"/>
      <c r="D783" s="25"/>
      <c r="E783" s="25"/>
      <c r="F783" s="25"/>
      <c r="G783" s="26"/>
      <c r="H783" s="27"/>
      <c r="I783" s="24"/>
      <c r="J783" s="24"/>
      <c r="K783" s="28"/>
      <c r="L783" s="29"/>
      <c r="M783" s="29"/>
      <c r="N783" s="29"/>
      <c r="O783" s="27"/>
      <c r="P783" s="30"/>
      <c r="Q783" s="31"/>
      <c r="R783" s="31"/>
      <c r="S783" s="32"/>
      <c r="T783" s="32"/>
      <c r="U783" s="32"/>
      <c r="V783" s="32"/>
      <c r="W783" s="32"/>
      <c r="X783" s="32"/>
      <c r="Y783" s="32"/>
      <c r="Z783" s="32"/>
      <c r="AA783" s="32"/>
      <c r="AB783" s="32"/>
    </row>
    <row r="784" spans="1:28" ht="15.6" customHeight="1" x14ac:dyDescent="0.25">
      <c r="A784" s="24"/>
      <c r="B784" s="24"/>
      <c r="C784" s="25"/>
      <c r="D784" s="25"/>
      <c r="E784" s="25"/>
      <c r="F784" s="25"/>
      <c r="G784" s="26"/>
      <c r="H784" s="27"/>
      <c r="I784" s="24"/>
      <c r="J784" s="24"/>
      <c r="K784" s="28"/>
      <c r="L784" s="29"/>
      <c r="M784" s="29"/>
      <c r="N784" s="29"/>
      <c r="O784" s="27"/>
      <c r="P784" s="30"/>
      <c r="Q784" s="31"/>
      <c r="R784" s="31"/>
      <c r="S784" s="32"/>
      <c r="T784" s="32"/>
      <c r="U784" s="32"/>
      <c r="V784" s="32"/>
      <c r="W784" s="32"/>
      <c r="X784" s="32"/>
      <c r="Y784" s="32"/>
      <c r="Z784" s="32"/>
      <c r="AA784" s="32"/>
      <c r="AB784" s="32"/>
    </row>
    <row r="785" spans="1:28" ht="15.6" customHeight="1" x14ac:dyDescent="0.25">
      <c r="A785" s="24"/>
      <c r="B785" s="24"/>
      <c r="C785" s="25"/>
      <c r="D785" s="25"/>
      <c r="E785" s="25"/>
      <c r="F785" s="25"/>
      <c r="G785" s="26"/>
      <c r="H785" s="27"/>
      <c r="I785" s="24"/>
      <c r="J785" s="24"/>
      <c r="K785" s="28"/>
      <c r="L785" s="29"/>
      <c r="M785" s="29"/>
      <c r="N785" s="29"/>
      <c r="O785" s="27"/>
      <c r="P785" s="30"/>
      <c r="Q785" s="31"/>
      <c r="R785" s="31"/>
      <c r="S785" s="32"/>
      <c r="T785" s="32"/>
      <c r="U785" s="32"/>
      <c r="V785" s="32"/>
      <c r="W785" s="32"/>
      <c r="X785" s="32"/>
      <c r="Y785" s="32"/>
      <c r="Z785" s="32"/>
      <c r="AA785" s="32"/>
      <c r="AB785" s="32"/>
    </row>
    <row r="786" spans="1:28" ht="15.6" customHeight="1" x14ac:dyDescent="0.25">
      <c r="A786" s="24"/>
      <c r="B786" s="24"/>
      <c r="C786" s="25"/>
      <c r="D786" s="25"/>
      <c r="E786" s="25"/>
      <c r="F786" s="25"/>
      <c r="G786" s="26"/>
      <c r="H786" s="27"/>
      <c r="I786" s="24"/>
      <c r="J786" s="24"/>
      <c r="K786" s="28"/>
      <c r="L786" s="29"/>
      <c r="M786" s="29"/>
      <c r="N786" s="29"/>
      <c r="O786" s="27"/>
      <c r="P786" s="30"/>
      <c r="Q786" s="31"/>
      <c r="R786" s="31"/>
      <c r="S786" s="32"/>
      <c r="T786" s="32"/>
      <c r="U786" s="32"/>
      <c r="V786" s="32"/>
      <c r="W786" s="32"/>
      <c r="X786" s="32"/>
      <c r="Y786" s="32"/>
      <c r="Z786" s="32"/>
      <c r="AA786" s="32"/>
      <c r="AB786" s="32"/>
    </row>
    <row r="787" spans="1:28" ht="15.6" customHeight="1" x14ac:dyDescent="0.25">
      <c r="A787" s="24"/>
      <c r="B787" s="24"/>
      <c r="C787" s="25"/>
      <c r="D787" s="25"/>
      <c r="E787" s="25"/>
      <c r="F787" s="25"/>
      <c r="G787" s="26"/>
      <c r="H787" s="27"/>
      <c r="I787" s="24"/>
      <c r="J787" s="24"/>
      <c r="K787" s="28"/>
      <c r="L787" s="29"/>
      <c r="M787" s="29"/>
      <c r="N787" s="29"/>
      <c r="O787" s="27"/>
      <c r="P787" s="30"/>
      <c r="Q787" s="31"/>
      <c r="R787" s="31"/>
      <c r="S787" s="32"/>
      <c r="T787" s="32"/>
      <c r="U787" s="32"/>
      <c r="V787" s="32"/>
      <c r="W787" s="32"/>
      <c r="X787" s="32"/>
      <c r="Y787" s="32"/>
      <c r="Z787" s="32"/>
      <c r="AA787" s="32"/>
      <c r="AB787" s="32"/>
    </row>
    <row r="788" spans="1:28" ht="15.6" customHeight="1" x14ac:dyDescent="0.25">
      <c r="A788" s="24"/>
      <c r="B788" s="24"/>
      <c r="C788" s="25"/>
      <c r="D788" s="25"/>
      <c r="E788" s="25"/>
      <c r="F788" s="25"/>
      <c r="G788" s="26"/>
      <c r="H788" s="27"/>
      <c r="I788" s="24"/>
      <c r="J788" s="24"/>
      <c r="K788" s="28"/>
      <c r="L788" s="29"/>
      <c r="M788" s="29"/>
      <c r="N788" s="29"/>
      <c r="O788" s="27"/>
      <c r="P788" s="30"/>
      <c r="Q788" s="31"/>
      <c r="R788" s="31"/>
      <c r="S788" s="32"/>
      <c r="T788" s="32"/>
      <c r="U788" s="32"/>
      <c r="V788" s="32"/>
      <c r="W788" s="32"/>
      <c r="X788" s="32"/>
      <c r="Y788" s="32"/>
      <c r="Z788" s="32"/>
      <c r="AA788" s="32"/>
      <c r="AB788" s="32"/>
    </row>
    <row r="789" spans="1:28" ht="15.6" customHeight="1" x14ac:dyDescent="0.25">
      <c r="A789" s="24"/>
      <c r="B789" s="24"/>
      <c r="C789" s="25"/>
      <c r="D789" s="25"/>
      <c r="E789" s="25"/>
      <c r="F789" s="25"/>
      <c r="G789" s="26"/>
      <c r="H789" s="27"/>
      <c r="I789" s="24"/>
      <c r="J789" s="24"/>
      <c r="K789" s="28"/>
      <c r="L789" s="29"/>
      <c r="M789" s="29"/>
      <c r="N789" s="29"/>
      <c r="O789" s="27"/>
      <c r="P789" s="30"/>
      <c r="Q789" s="31"/>
      <c r="R789" s="31"/>
      <c r="S789" s="32"/>
      <c r="T789" s="32"/>
      <c r="U789" s="32"/>
      <c r="V789" s="32"/>
      <c r="W789" s="32"/>
      <c r="X789" s="32"/>
      <c r="Y789" s="32"/>
      <c r="Z789" s="32"/>
      <c r="AA789" s="32"/>
      <c r="AB789" s="32"/>
    </row>
    <row r="790" spans="1:28" ht="15.6" customHeight="1" x14ac:dyDescent="0.25">
      <c r="A790" s="24"/>
      <c r="B790" s="24"/>
      <c r="C790" s="25"/>
      <c r="D790" s="25"/>
      <c r="E790" s="25"/>
      <c r="F790" s="25"/>
      <c r="G790" s="26"/>
      <c r="H790" s="27"/>
      <c r="I790" s="24"/>
      <c r="J790" s="24"/>
      <c r="K790" s="28"/>
      <c r="L790" s="29"/>
      <c r="M790" s="29"/>
      <c r="N790" s="29"/>
      <c r="O790" s="27"/>
      <c r="P790" s="30"/>
      <c r="Q790" s="31"/>
      <c r="R790" s="31"/>
      <c r="S790" s="32"/>
      <c r="T790" s="32"/>
      <c r="U790" s="32"/>
      <c r="V790" s="32"/>
      <c r="W790" s="32"/>
      <c r="X790" s="32"/>
      <c r="Y790" s="32"/>
      <c r="Z790" s="32"/>
      <c r="AA790" s="32"/>
      <c r="AB790" s="32"/>
    </row>
    <row r="791" spans="1:28" ht="15.6" customHeight="1" x14ac:dyDescent="0.25">
      <c r="A791" s="24"/>
      <c r="B791" s="24"/>
      <c r="C791" s="25"/>
      <c r="D791" s="25"/>
      <c r="E791" s="25"/>
      <c r="F791" s="25"/>
      <c r="G791" s="26"/>
      <c r="H791" s="27"/>
      <c r="I791" s="24"/>
      <c r="J791" s="24"/>
      <c r="K791" s="28"/>
      <c r="L791" s="29"/>
      <c r="M791" s="29"/>
      <c r="N791" s="29"/>
      <c r="O791" s="27"/>
      <c r="P791" s="30"/>
      <c r="Q791" s="31"/>
      <c r="R791" s="31"/>
      <c r="S791" s="32"/>
      <c r="T791" s="32"/>
      <c r="U791" s="32"/>
      <c r="V791" s="32"/>
      <c r="W791" s="32"/>
      <c r="X791" s="32"/>
      <c r="Y791" s="32"/>
      <c r="Z791" s="32"/>
      <c r="AA791" s="32"/>
      <c r="AB791" s="32"/>
    </row>
    <row r="792" spans="1:28" ht="15.6" customHeight="1" x14ac:dyDescent="0.25">
      <c r="A792" s="24"/>
      <c r="B792" s="24"/>
      <c r="C792" s="25"/>
      <c r="D792" s="25"/>
      <c r="E792" s="25"/>
      <c r="F792" s="25"/>
      <c r="G792" s="26"/>
      <c r="H792" s="27"/>
      <c r="I792" s="24"/>
      <c r="J792" s="24"/>
      <c r="K792" s="28"/>
      <c r="L792" s="29"/>
      <c r="M792" s="29"/>
      <c r="N792" s="29"/>
      <c r="O792" s="27"/>
      <c r="P792" s="30"/>
      <c r="Q792" s="31"/>
      <c r="R792" s="31"/>
      <c r="S792" s="32"/>
      <c r="T792" s="32"/>
      <c r="U792" s="32"/>
      <c r="V792" s="32"/>
      <c r="W792" s="32"/>
      <c r="X792" s="32"/>
      <c r="Y792" s="32"/>
      <c r="Z792" s="32"/>
      <c r="AA792" s="32"/>
      <c r="AB792" s="32"/>
    </row>
    <row r="793" spans="1:28" ht="15.6" customHeight="1" x14ac:dyDescent="0.25">
      <c r="A793" s="24"/>
      <c r="B793" s="24"/>
      <c r="C793" s="25"/>
      <c r="D793" s="25"/>
      <c r="E793" s="25"/>
      <c r="F793" s="25"/>
      <c r="G793" s="26"/>
      <c r="H793" s="27"/>
      <c r="I793" s="24"/>
      <c r="J793" s="24"/>
      <c r="K793" s="28"/>
      <c r="L793" s="29"/>
      <c r="M793" s="29"/>
      <c r="N793" s="29"/>
      <c r="O793" s="27"/>
      <c r="P793" s="30"/>
      <c r="Q793" s="31"/>
      <c r="R793" s="31"/>
      <c r="S793" s="32"/>
      <c r="T793" s="32"/>
      <c r="U793" s="32"/>
      <c r="V793" s="32"/>
      <c r="W793" s="32"/>
      <c r="X793" s="32"/>
      <c r="Y793" s="32"/>
      <c r="Z793" s="32"/>
      <c r="AA793" s="32"/>
      <c r="AB793" s="32"/>
    </row>
    <row r="794" spans="1:28" ht="15.6" customHeight="1" x14ac:dyDescent="0.25">
      <c r="A794" s="24"/>
      <c r="B794" s="24"/>
      <c r="C794" s="25"/>
      <c r="D794" s="25"/>
      <c r="E794" s="25"/>
      <c r="F794" s="25"/>
      <c r="G794" s="26"/>
      <c r="H794" s="27"/>
      <c r="I794" s="24"/>
      <c r="J794" s="24"/>
      <c r="K794" s="28"/>
      <c r="L794" s="29"/>
      <c r="M794" s="29"/>
      <c r="N794" s="29"/>
      <c r="O794" s="27"/>
      <c r="P794" s="30"/>
      <c r="Q794" s="31"/>
      <c r="R794" s="31"/>
      <c r="S794" s="32"/>
      <c r="T794" s="32"/>
      <c r="U794" s="32"/>
      <c r="V794" s="32"/>
      <c r="W794" s="32"/>
      <c r="X794" s="32"/>
      <c r="Y794" s="32"/>
      <c r="Z794" s="32"/>
      <c r="AA794" s="32"/>
      <c r="AB794" s="32"/>
    </row>
    <row r="795" spans="1:28" ht="15.6" customHeight="1" x14ac:dyDescent="0.25">
      <c r="A795" s="24"/>
      <c r="B795" s="24"/>
      <c r="C795" s="25"/>
      <c r="D795" s="25"/>
      <c r="E795" s="25"/>
      <c r="F795" s="25"/>
      <c r="G795" s="26"/>
      <c r="H795" s="27"/>
      <c r="I795" s="24"/>
      <c r="J795" s="24"/>
      <c r="K795" s="28"/>
      <c r="L795" s="29"/>
      <c r="M795" s="29"/>
      <c r="N795" s="29"/>
      <c r="O795" s="27"/>
      <c r="P795" s="30"/>
      <c r="Q795" s="31"/>
      <c r="R795" s="31"/>
      <c r="S795" s="32"/>
      <c r="T795" s="32"/>
      <c r="U795" s="32"/>
      <c r="V795" s="32"/>
      <c r="W795" s="32"/>
      <c r="X795" s="32"/>
      <c r="Y795" s="32"/>
      <c r="Z795" s="32"/>
      <c r="AA795" s="32"/>
      <c r="AB795" s="32"/>
    </row>
    <row r="796" spans="1:28" ht="15.6" customHeight="1" x14ac:dyDescent="0.25">
      <c r="A796" s="24"/>
      <c r="B796" s="24"/>
      <c r="C796" s="25"/>
      <c r="D796" s="25"/>
      <c r="E796" s="25"/>
      <c r="F796" s="25"/>
      <c r="G796" s="26"/>
      <c r="H796" s="27"/>
      <c r="I796" s="24"/>
      <c r="J796" s="24"/>
      <c r="K796" s="28"/>
      <c r="L796" s="29"/>
      <c r="M796" s="29"/>
      <c r="N796" s="29"/>
      <c r="O796" s="27"/>
      <c r="P796" s="30"/>
      <c r="Q796" s="31"/>
      <c r="R796" s="31"/>
      <c r="S796" s="32"/>
      <c r="T796" s="32"/>
      <c r="U796" s="32"/>
      <c r="V796" s="32"/>
      <c r="W796" s="32"/>
      <c r="X796" s="32"/>
      <c r="Y796" s="32"/>
      <c r="Z796" s="32"/>
      <c r="AA796" s="32"/>
      <c r="AB796" s="32"/>
    </row>
    <row r="797" spans="1:28" ht="15.6" customHeight="1" x14ac:dyDescent="0.25">
      <c r="A797" s="24"/>
      <c r="B797" s="24"/>
      <c r="C797" s="25"/>
      <c r="D797" s="25"/>
      <c r="E797" s="25"/>
      <c r="F797" s="25"/>
      <c r="G797" s="26"/>
      <c r="H797" s="27"/>
      <c r="I797" s="24"/>
      <c r="J797" s="24"/>
      <c r="K797" s="28"/>
      <c r="L797" s="29"/>
      <c r="M797" s="29"/>
      <c r="N797" s="29"/>
      <c r="O797" s="27"/>
      <c r="P797" s="30"/>
      <c r="Q797" s="31"/>
      <c r="R797" s="31"/>
      <c r="S797" s="32"/>
      <c r="T797" s="32"/>
      <c r="U797" s="32"/>
      <c r="V797" s="32"/>
      <c r="W797" s="32"/>
      <c r="X797" s="32"/>
      <c r="Y797" s="32"/>
      <c r="Z797" s="32"/>
      <c r="AA797" s="32"/>
      <c r="AB797" s="32"/>
    </row>
    <row r="798" spans="1:28" ht="15.6" customHeight="1" x14ac:dyDescent="0.25">
      <c r="A798" s="24"/>
      <c r="B798" s="24"/>
      <c r="C798" s="25"/>
      <c r="D798" s="25"/>
      <c r="E798" s="25"/>
      <c r="F798" s="25"/>
      <c r="G798" s="26"/>
      <c r="H798" s="27"/>
      <c r="I798" s="24"/>
      <c r="J798" s="24"/>
      <c r="K798" s="28"/>
      <c r="L798" s="29"/>
      <c r="M798" s="29"/>
      <c r="N798" s="29"/>
      <c r="O798" s="27"/>
      <c r="P798" s="30"/>
      <c r="Q798" s="31"/>
      <c r="R798" s="31"/>
      <c r="S798" s="32"/>
      <c r="T798" s="32"/>
      <c r="U798" s="32"/>
      <c r="V798" s="32"/>
      <c r="W798" s="32"/>
      <c r="X798" s="32"/>
      <c r="Y798" s="32"/>
      <c r="Z798" s="32"/>
      <c r="AA798" s="32"/>
      <c r="AB798" s="32"/>
    </row>
    <row r="799" spans="1:28" ht="15.6" customHeight="1" x14ac:dyDescent="0.25">
      <c r="A799" s="24"/>
      <c r="B799" s="24"/>
      <c r="C799" s="25"/>
      <c r="D799" s="25"/>
      <c r="E799" s="25"/>
      <c r="F799" s="25"/>
      <c r="G799" s="26"/>
      <c r="H799" s="27"/>
      <c r="I799" s="24"/>
      <c r="J799" s="24"/>
      <c r="K799" s="28"/>
      <c r="L799" s="29"/>
      <c r="M799" s="29"/>
      <c r="N799" s="29"/>
      <c r="O799" s="27"/>
      <c r="P799" s="30"/>
      <c r="Q799" s="31"/>
      <c r="R799" s="31"/>
      <c r="S799" s="32"/>
      <c r="T799" s="32"/>
      <c r="U799" s="32"/>
      <c r="V799" s="32"/>
      <c r="W799" s="32"/>
      <c r="X799" s="32"/>
      <c r="Y799" s="32"/>
      <c r="Z799" s="32"/>
      <c r="AA799" s="32"/>
      <c r="AB799" s="32"/>
    </row>
    <row r="800" spans="1:28" ht="15.6" customHeight="1" x14ac:dyDescent="0.25">
      <c r="A800" s="24"/>
      <c r="B800" s="24"/>
      <c r="C800" s="25"/>
      <c r="D800" s="25"/>
      <c r="E800" s="25"/>
      <c r="F800" s="25"/>
      <c r="G800" s="26"/>
      <c r="H800" s="27"/>
      <c r="I800" s="24"/>
      <c r="J800" s="24"/>
      <c r="K800" s="28"/>
      <c r="L800" s="29"/>
      <c r="M800" s="29"/>
      <c r="N800" s="29"/>
      <c r="O800" s="27"/>
      <c r="P800" s="30"/>
      <c r="Q800" s="31"/>
      <c r="R800" s="31"/>
      <c r="S800" s="32"/>
      <c r="T800" s="32"/>
      <c r="U800" s="32"/>
      <c r="V800" s="32"/>
      <c r="W800" s="32"/>
      <c r="X800" s="32"/>
      <c r="Y800" s="32"/>
      <c r="Z800" s="32"/>
      <c r="AA800" s="32"/>
      <c r="AB800" s="32"/>
    </row>
    <row r="801" spans="1:28" ht="15.6" customHeight="1" x14ac:dyDescent="0.25">
      <c r="A801" s="24"/>
      <c r="B801" s="24"/>
      <c r="C801" s="25"/>
      <c r="D801" s="25"/>
      <c r="E801" s="25"/>
      <c r="F801" s="25"/>
      <c r="G801" s="26"/>
      <c r="H801" s="27"/>
      <c r="I801" s="24"/>
      <c r="J801" s="24"/>
      <c r="K801" s="28"/>
      <c r="L801" s="29"/>
      <c r="M801" s="29"/>
      <c r="N801" s="29"/>
      <c r="O801" s="27"/>
      <c r="P801" s="30"/>
      <c r="Q801" s="31"/>
      <c r="R801" s="31"/>
      <c r="S801" s="32"/>
      <c r="T801" s="32"/>
      <c r="U801" s="32"/>
      <c r="V801" s="32"/>
      <c r="W801" s="32"/>
      <c r="X801" s="32"/>
      <c r="Y801" s="32"/>
      <c r="Z801" s="32"/>
      <c r="AA801" s="32"/>
      <c r="AB801" s="32"/>
    </row>
    <row r="802" spans="1:28" ht="15.6" customHeight="1" x14ac:dyDescent="0.25">
      <c r="A802" s="24"/>
      <c r="B802" s="24"/>
      <c r="C802" s="25"/>
      <c r="D802" s="25"/>
      <c r="E802" s="25"/>
      <c r="F802" s="25"/>
      <c r="G802" s="26"/>
      <c r="H802" s="27"/>
      <c r="I802" s="24"/>
      <c r="J802" s="24"/>
      <c r="K802" s="28"/>
      <c r="L802" s="29"/>
      <c r="M802" s="29"/>
      <c r="N802" s="29"/>
      <c r="O802" s="27"/>
      <c r="P802" s="30"/>
      <c r="Q802" s="31"/>
      <c r="R802" s="31"/>
      <c r="S802" s="32"/>
      <c r="T802" s="32"/>
      <c r="U802" s="32"/>
      <c r="V802" s="32"/>
      <c r="W802" s="32"/>
      <c r="X802" s="32"/>
      <c r="Y802" s="32"/>
      <c r="Z802" s="32"/>
      <c r="AA802" s="32"/>
      <c r="AB802" s="32"/>
    </row>
    <row r="803" spans="1:28" ht="15.6" customHeight="1" x14ac:dyDescent="0.25">
      <c r="A803" s="24"/>
      <c r="B803" s="24"/>
      <c r="C803" s="25"/>
      <c r="D803" s="25"/>
      <c r="E803" s="25"/>
      <c r="F803" s="25"/>
      <c r="G803" s="26"/>
      <c r="H803" s="27"/>
      <c r="I803" s="24"/>
      <c r="J803" s="24"/>
      <c r="K803" s="28"/>
      <c r="L803" s="29"/>
      <c r="M803" s="29"/>
      <c r="N803" s="29"/>
      <c r="O803" s="27"/>
      <c r="P803" s="30"/>
      <c r="Q803" s="31"/>
      <c r="R803" s="31"/>
      <c r="S803" s="32"/>
      <c r="T803" s="32"/>
      <c r="U803" s="32"/>
      <c r="V803" s="32"/>
      <c r="W803" s="32"/>
      <c r="X803" s="32"/>
      <c r="Y803" s="32"/>
      <c r="Z803" s="32"/>
      <c r="AA803" s="32"/>
      <c r="AB803" s="32"/>
    </row>
    <row r="804" spans="1:28" ht="15.6" customHeight="1" x14ac:dyDescent="0.25">
      <c r="A804" s="24"/>
      <c r="B804" s="24"/>
      <c r="C804" s="25"/>
      <c r="D804" s="25"/>
      <c r="E804" s="25"/>
      <c r="F804" s="25"/>
      <c r="G804" s="26"/>
      <c r="H804" s="27"/>
      <c r="I804" s="24"/>
      <c r="J804" s="24"/>
      <c r="K804" s="28"/>
      <c r="L804" s="29"/>
      <c r="M804" s="29"/>
      <c r="N804" s="29"/>
      <c r="O804" s="27"/>
      <c r="P804" s="30"/>
      <c r="Q804" s="31"/>
      <c r="R804" s="31"/>
      <c r="S804" s="32"/>
      <c r="T804" s="32"/>
      <c r="U804" s="32"/>
      <c r="V804" s="32"/>
      <c r="W804" s="32"/>
      <c r="X804" s="32"/>
      <c r="Y804" s="32"/>
      <c r="Z804" s="32"/>
      <c r="AA804" s="32"/>
      <c r="AB804" s="32"/>
    </row>
    <row r="805" spans="1:28" ht="15.6" customHeight="1" x14ac:dyDescent="0.25">
      <c r="A805" s="24"/>
      <c r="B805" s="24"/>
      <c r="C805" s="25"/>
      <c r="D805" s="25"/>
      <c r="E805" s="25"/>
      <c r="F805" s="25"/>
      <c r="G805" s="26"/>
      <c r="H805" s="27"/>
      <c r="I805" s="24"/>
      <c r="J805" s="24"/>
      <c r="K805" s="28"/>
      <c r="L805" s="29"/>
      <c r="M805" s="29"/>
      <c r="N805" s="29"/>
      <c r="O805" s="27"/>
      <c r="P805" s="30"/>
      <c r="Q805" s="31"/>
      <c r="R805" s="31"/>
      <c r="S805" s="32"/>
      <c r="T805" s="32"/>
      <c r="U805" s="32"/>
      <c r="V805" s="32"/>
      <c r="W805" s="32"/>
      <c r="X805" s="32"/>
      <c r="Y805" s="32"/>
      <c r="Z805" s="32"/>
      <c r="AA805" s="32"/>
      <c r="AB805" s="32"/>
    </row>
    <row r="806" spans="1:28" ht="15.6" customHeight="1" x14ac:dyDescent="0.25">
      <c r="A806" s="24"/>
      <c r="B806" s="24"/>
      <c r="C806" s="25"/>
      <c r="D806" s="25"/>
      <c r="E806" s="25"/>
      <c r="F806" s="25"/>
      <c r="G806" s="26"/>
      <c r="H806" s="27"/>
      <c r="I806" s="24"/>
      <c r="J806" s="24"/>
      <c r="K806" s="28"/>
      <c r="L806" s="29"/>
      <c r="M806" s="29"/>
      <c r="N806" s="29"/>
      <c r="O806" s="27"/>
      <c r="P806" s="30"/>
      <c r="Q806" s="31"/>
      <c r="R806" s="31"/>
      <c r="S806" s="32"/>
      <c r="T806" s="32"/>
      <c r="U806" s="32"/>
      <c r="V806" s="32"/>
      <c r="W806" s="32"/>
      <c r="X806" s="32"/>
      <c r="Y806" s="32"/>
      <c r="Z806" s="32"/>
      <c r="AA806" s="32"/>
      <c r="AB806" s="32"/>
    </row>
    <row r="807" spans="1:28" ht="15.6" customHeight="1" x14ac:dyDescent="0.25">
      <c r="A807" s="24"/>
      <c r="B807" s="24"/>
      <c r="C807" s="25"/>
      <c r="D807" s="25"/>
      <c r="E807" s="25"/>
      <c r="F807" s="25"/>
      <c r="G807" s="26"/>
      <c r="H807" s="27"/>
      <c r="I807" s="24"/>
      <c r="J807" s="24"/>
      <c r="K807" s="28"/>
      <c r="L807" s="29"/>
      <c r="M807" s="29"/>
      <c r="N807" s="29"/>
      <c r="O807" s="27"/>
      <c r="P807" s="30"/>
      <c r="Q807" s="31"/>
      <c r="R807" s="31"/>
      <c r="S807" s="32"/>
      <c r="T807" s="32"/>
      <c r="U807" s="32"/>
      <c r="V807" s="32"/>
      <c r="W807" s="32"/>
      <c r="X807" s="32"/>
      <c r="Y807" s="32"/>
      <c r="Z807" s="32"/>
      <c r="AA807" s="32"/>
      <c r="AB807" s="32"/>
    </row>
    <row r="808" spans="1:28" ht="15.6" customHeight="1" x14ac:dyDescent="0.25">
      <c r="A808" s="24"/>
      <c r="B808" s="24"/>
      <c r="C808" s="25"/>
      <c r="D808" s="25"/>
      <c r="E808" s="25"/>
      <c r="F808" s="25"/>
      <c r="G808" s="26"/>
      <c r="H808" s="27"/>
      <c r="I808" s="24"/>
      <c r="J808" s="24"/>
      <c r="K808" s="28"/>
      <c r="L808" s="29"/>
      <c r="M808" s="29"/>
      <c r="N808" s="29"/>
      <c r="O808" s="27"/>
      <c r="P808" s="30"/>
      <c r="Q808" s="31"/>
      <c r="R808" s="31"/>
      <c r="S808" s="32"/>
      <c r="T808" s="32"/>
      <c r="U808" s="32"/>
      <c r="V808" s="32"/>
      <c r="W808" s="32"/>
      <c r="X808" s="32"/>
      <c r="Y808" s="32"/>
      <c r="Z808" s="32"/>
      <c r="AA808" s="32"/>
      <c r="AB808" s="32"/>
    </row>
    <row r="809" spans="1:28" ht="15.6" customHeight="1" x14ac:dyDescent="0.25">
      <c r="A809" s="24"/>
      <c r="B809" s="24"/>
      <c r="C809" s="25"/>
      <c r="D809" s="25"/>
      <c r="E809" s="25"/>
      <c r="F809" s="25"/>
      <c r="G809" s="26"/>
      <c r="H809" s="27"/>
      <c r="I809" s="24"/>
      <c r="J809" s="24"/>
      <c r="K809" s="28"/>
      <c r="L809" s="29"/>
      <c r="M809" s="29"/>
      <c r="N809" s="29"/>
      <c r="O809" s="27"/>
      <c r="P809" s="30"/>
      <c r="Q809" s="31"/>
      <c r="R809" s="31"/>
      <c r="S809" s="32"/>
      <c r="T809" s="32"/>
      <c r="U809" s="32"/>
      <c r="V809" s="32"/>
      <c r="W809" s="32"/>
      <c r="X809" s="32"/>
      <c r="Y809" s="32"/>
      <c r="Z809" s="32"/>
      <c r="AA809" s="32"/>
      <c r="AB809" s="32"/>
    </row>
    <row r="810" spans="1:28" ht="15.6" customHeight="1" x14ac:dyDescent="0.25">
      <c r="A810" s="24"/>
      <c r="B810" s="24"/>
      <c r="C810" s="25"/>
      <c r="D810" s="25"/>
      <c r="E810" s="25"/>
      <c r="F810" s="25"/>
      <c r="G810" s="26"/>
      <c r="H810" s="27"/>
      <c r="I810" s="24"/>
      <c r="J810" s="24"/>
      <c r="K810" s="28"/>
      <c r="L810" s="29"/>
      <c r="M810" s="29"/>
      <c r="N810" s="29"/>
      <c r="O810" s="27"/>
      <c r="P810" s="30"/>
      <c r="Q810" s="31"/>
      <c r="R810" s="31"/>
      <c r="S810" s="32"/>
      <c r="T810" s="32"/>
      <c r="U810" s="32"/>
      <c r="V810" s="32"/>
      <c r="W810" s="32"/>
      <c r="X810" s="32"/>
      <c r="Y810" s="32"/>
      <c r="Z810" s="32"/>
      <c r="AA810" s="32"/>
      <c r="AB810" s="32"/>
    </row>
    <row r="811" spans="1:28" ht="15.6" customHeight="1" x14ac:dyDescent="0.25">
      <c r="A811" s="24"/>
      <c r="B811" s="24"/>
      <c r="C811" s="25"/>
      <c r="D811" s="25"/>
      <c r="E811" s="25"/>
      <c r="F811" s="25"/>
      <c r="G811" s="26"/>
      <c r="H811" s="27"/>
      <c r="I811" s="24"/>
      <c r="J811" s="24"/>
      <c r="K811" s="28"/>
      <c r="L811" s="29"/>
      <c r="M811" s="29"/>
      <c r="N811" s="29"/>
      <c r="O811" s="27"/>
      <c r="P811" s="30"/>
      <c r="Q811" s="31"/>
      <c r="R811" s="31"/>
      <c r="S811" s="32"/>
      <c r="T811" s="32"/>
      <c r="U811" s="32"/>
      <c r="V811" s="32"/>
      <c r="W811" s="32"/>
      <c r="X811" s="32"/>
      <c r="Y811" s="32"/>
      <c r="Z811" s="32"/>
      <c r="AA811" s="32"/>
      <c r="AB811" s="32"/>
    </row>
    <row r="812" spans="1:28" ht="15.6" customHeight="1" x14ac:dyDescent="0.25">
      <c r="A812" s="24"/>
      <c r="B812" s="24"/>
      <c r="C812" s="25"/>
      <c r="D812" s="25"/>
      <c r="E812" s="25"/>
      <c r="F812" s="25"/>
      <c r="G812" s="26"/>
      <c r="H812" s="27"/>
      <c r="I812" s="24"/>
      <c r="J812" s="24"/>
      <c r="K812" s="28"/>
      <c r="L812" s="29"/>
      <c r="M812" s="29"/>
      <c r="N812" s="29"/>
      <c r="O812" s="27"/>
      <c r="P812" s="30"/>
      <c r="Q812" s="31"/>
      <c r="R812" s="31"/>
      <c r="S812" s="32"/>
      <c r="T812" s="32"/>
      <c r="U812" s="32"/>
      <c r="V812" s="32"/>
      <c r="W812" s="32"/>
      <c r="X812" s="32"/>
      <c r="Y812" s="32"/>
      <c r="Z812" s="32"/>
      <c r="AA812" s="32"/>
      <c r="AB812" s="32"/>
    </row>
    <row r="813" spans="1:28" ht="15.6" customHeight="1" x14ac:dyDescent="0.25">
      <c r="A813" s="24"/>
      <c r="B813" s="24"/>
      <c r="C813" s="25"/>
      <c r="D813" s="25"/>
      <c r="E813" s="25"/>
      <c r="F813" s="25"/>
      <c r="G813" s="26"/>
      <c r="H813" s="27"/>
      <c r="I813" s="24"/>
      <c r="J813" s="24"/>
      <c r="K813" s="28"/>
      <c r="L813" s="29"/>
      <c r="M813" s="29"/>
      <c r="N813" s="29"/>
      <c r="O813" s="27"/>
      <c r="P813" s="30"/>
      <c r="Q813" s="31"/>
      <c r="R813" s="31"/>
      <c r="S813" s="32"/>
      <c r="T813" s="32"/>
      <c r="U813" s="32"/>
      <c r="V813" s="32"/>
      <c r="W813" s="32"/>
      <c r="X813" s="32"/>
      <c r="Y813" s="32"/>
      <c r="Z813" s="32"/>
      <c r="AA813" s="32"/>
      <c r="AB813" s="32"/>
    </row>
    <row r="814" spans="1:28" ht="15.6" customHeight="1" x14ac:dyDescent="0.25">
      <c r="A814" s="24"/>
      <c r="B814" s="24"/>
      <c r="C814" s="25"/>
      <c r="D814" s="25"/>
      <c r="E814" s="25"/>
      <c r="F814" s="25"/>
      <c r="G814" s="26"/>
      <c r="H814" s="27"/>
      <c r="I814" s="24"/>
      <c r="J814" s="24"/>
      <c r="K814" s="28"/>
      <c r="L814" s="29"/>
      <c r="M814" s="29"/>
      <c r="N814" s="29"/>
      <c r="O814" s="27"/>
      <c r="P814" s="30"/>
      <c r="Q814" s="31"/>
      <c r="R814" s="31"/>
      <c r="S814" s="32"/>
      <c r="T814" s="32"/>
      <c r="U814" s="32"/>
      <c r="V814" s="32"/>
      <c r="W814" s="32"/>
      <c r="X814" s="32"/>
      <c r="Y814" s="32"/>
      <c r="Z814" s="32"/>
      <c r="AA814" s="32"/>
      <c r="AB814" s="32"/>
    </row>
    <row r="815" spans="1:28" ht="15.6" customHeight="1" x14ac:dyDescent="0.25">
      <c r="A815" s="24"/>
      <c r="B815" s="24"/>
      <c r="C815" s="25"/>
      <c r="D815" s="25"/>
      <c r="E815" s="25"/>
      <c r="F815" s="25"/>
      <c r="G815" s="26"/>
      <c r="H815" s="27"/>
      <c r="I815" s="24"/>
      <c r="J815" s="24"/>
      <c r="K815" s="28"/>
      <c r="L815" s="29"/>
      <c r="M815" s="29"/>
      <c r="N815" s="29"/>
      <c r="O815" s="27"/>
      <c r="P815" s="30"/>
      <c r="Q815" s="31"/>
      <c r="R815" s="31"/>
      <c r="S815" s="32"/>
      <c r="T815" s="32"/>
      <c r="U815" s="32"/>
      <c r="V815" s="32"/>
      <c r="W815" s="32"/>
      <c r="X815" s="32"/>
      <c r="Y815" s="32"/>
      <c r="Z815" s="32"/>
      <c r="AA815" s="32"/>
      <c r="AB815" s="32"/>
    </row>
    <row r="816" spans="1:28" ht="15.6" customHeight="1" x14ac:dyDescent="0.25">
      <c r="A816" s="24"/>
      <c r="B816" s="24"/>
      <c r="C816" s="25"/>
      <c r="D816" s="25"/>
      <c r="E816" s="25"/>
      <c r="F816" s="25"/>
      <c r="G816" s="26"/>
      <c r="H816" s="27"/>
      <c r="I816" s="24"/>
      <c r="J816" s="24"/>
      <c r="K816" s="28"/>
      <c r="L816" s="29"/>
      <c r="M816" s="29"/>
      <c r="N816" s="29"/>
      <c r="O816" s="27"/>
      <c r="P816" s="30"/>
      <c r="Q816" s="31"/>
      <c r="R816" s="31"/>
      <c r="S816" s="32"/>
      <c r="T816" s="32"/>
      <c r="U816" s="32"/>
      <c r="V816" s="32"/>
      <c r="W816" s="32"/>
      <c r="X816" s="32"/>
      <c r="Y816" s="32"/>
      <c r="Z816" s="32"/>
      <c r="AA816" s="32"/>
      <c r="AB816" s="32"/>
    </row>
    <row r="817" spans="1:28" ht="15.6" customHeight="1" x14ac:dyDescent="0.25">
      <c r="A817" s="24"/>
      <c r="B817" s="24"/>
      <c r="C817" s="25"/>
      <c r="D817" s="25"/>
      <c r="E817" s="25"/>
      <c r="F817" s="25"/>
      <c r="G817" s="26"/>
      <c r="H817" s="27"/>
      <c r="I817" s="24"/>
      <c r="J817" s="24"/>
      <c r="K817" s="28"/>
      <c r="L817" s="29"/>
      <c r="M817" s="29"/>
      <c r="N817" s="29"/>
      <c r="O817" s="27"/>
      <c r="P817" s="30"/>
      <c r="Q817" s="31"/>
      <c r="R817" s="31"/>
      <c r="S817" s="32"/>
      <c r="T817" s="32"/>
      <c r="U817" s="32"/>
      <c r="V817" s="32"/>
      <c r="W817" s="32"/>
      <c r="X817" s="32"/>
      <c r="Y817" s="32"/>
      <c r="Z817" s="32"/>
      <c r="AA817" s="32"/>
      <c r="AB817" s="32"/>
    </row>
    <row r="818" spans="1:28" ht="15.6" customHeight="1" x14ac:dyDescent="0.25">
      <c r="A818" s="24"/>
      <c r="B818" s="24"/>
      <c r="C818" s="25"/>
      <c r="D818" s="25"/>
      <c r="E818" s="25"/>
      <c r="F818" s="25"/>
      <c r="G818" s="26"/>
      <c r="H818" s="27"/>
      <c r="I818" s="24"/>
      <c r="J818" s="24"/>
      <c r="K818" s="28"/>
      <c r="L818" s="29"/>
      <c r="M818" s="29"/>
      <c r="N818" s="29"/>
      <c r="O818" s="27"/>
      <c r="P818" s="30"/>
      <c r="Q818" s="31"/>
      <c r="R818" s="31"/>
      <c r="S818" s="32"/>
      <c r="T818" s="32"/>
      <c r="U818" s="32"/>
      <c r="V818" s="32"/>
      <c r="W818" s="32"/>
      <c r="X818" s="32"/>
      <c r="Y818" s="32"/>
      <c r="Z818" s="32"/>
      <c r="AA818" s="32"/>
      <c r="AB818" s="32"/>
    </row>
    <row r="819" spans="1:28" ht="15.6" customHeight="1" x14ac:dyDescent="0.25">
      <c r="A819" s="24"/>
      <c r="B819" s="24"/>
      <c r="C819" s="25"/>
      <c r="D819" s="25"/>
      <c r="E819" s="25"/>
      <c r="F819" s="25"/>
      <c r="G819" s="26"/>
      <c r="H819" s="27"/>
      <c r="I819" s="24"/>
      <c r="J819" s="24"/>
      <c r="K819" s="28"/>
      <c r="L819" s="29"/>
      <c r="M819" s="29"/>
      <c r="N819" s="29"/>
      <c r="O819" s="27"/>
      <c r="P819" s="30"/>
      <c r="Q819" s="31"/>
      <c r="R819" s="31"/>
      <c r="S819" s="32"/>
      <c r="T819" s="32"/>
      <c r="U819" s="32"/>
      <c r="V819" s="32"/>
      <c r="W819" s="32"/>
      <c r="X819" s="32"/>
      <c r="Y819" s="32"/>
      <c r="Z819" s="32"/>
      <c r="AA819" s="32"/>
      <c r="AB819" s="32"/>
    </row>
    <row r="820" spans="1:28" ht="15.6" customHeight="1" x14ac:dyDescent="0.25">
      <c r="A820" s="24"/>
      <c r="B820" s="24"/>
      <c r="C820" s="25"/>
      <c r="D820" s="25"/>
      <c r="E820" s="25"/>
      <c r="F820" s="25"/>
      <c r="G820" s="26"/>
      <c r="H820" s="27"/>
      <c r="I820" s="24"/>
      <c r="J820" s="24"/>
      <c r="K820" s="28"/>
      <c r="L820" s="29"/>
      <c r="M820" s="29"/>
      <c r="N820" s="29"/>
      <c r="O820" s="27"/>
      <c r="P820" s="30"/>
      <c r="Q820" s="31"/>
      <c r="R820" s="31"/>
      <c r="S820" s="32"/>
      <c r="T820" s="32"/>
      <c r="U820" s="32"/>
      <c r="V820" s="32"/>
      <c r="W820" s="32"/>
      <c r="X820" s="32"/>
      <c r="Y820" s="32"/>
      <c r="Z820" s="32"/>
      <c r="AA820" s="32"/>
      <c r="AB820" s="32"/>
    </row>
    <row r="821" spans="1:28" ht="15.6" customHeight="1" x14ac:dyDescent="0.25">
      <c r="A821" s="24"/>
      <c r="B821" s="24"/>
      <c r="C821" s="25"/>
      <c r="D821" s="25"/>
      <c r="E821" s="25"/>
      <c r="F821" s="25"/>
      <c r="G821" s="26"/>
      <c r="H821" s="27"/>
      <c r="I821" s="24"/>
      <c r="J821" s="24"/>
      <c r="K821" s="28"/>
      <c r="L821" s="29"/>
      <c r="M821" s="29"/>
      <c r="N821" s="29"/>
      <c r="O821" s="27"/>
      <c r="P821" s="30"/>
      <c r="Q821" s="31"/>
      <c r="R821" s="31"/>
      <c r="S821" s="32"/>
      <c r="T821" s="32"/>
      <c r="U821" s="32"/>
      <c r="V821" s="32"/>
      <c r="W821" s="32"/>
      <c r="X821" s="32"/>
      <c r="Y821" s="32"/>
      <c r="Z821" s="32"/>
      <c r="AA821" s="32"/>
      <c r="AB821" s="32"/>
    </row>
    <row r="822" spans="1:28" ht="15.6" customHeight="1" x14ac:dyDescent="0.25">
      <c r="A822" s="24"/>
      <c r="B822" s="24"/>
      <c r="C822" s="25"/>
      <c r="D822" s="25"/>
      <c r="E822" s="25"/>
      <c r="F822" s="25"/>
      <c r="G822" s="26"/>
      <c r="H822" s="27"/>
      <c r="I822" s="24"/>
      <c r="J822" s="24"/>
      <c r="K822" s="28"/>
      <c r="L822" s="29"/>
      <c r="M822" s="29"/>
      <c r="N822" s="29"/>
      <c r="O822" s="27"/>
      <c r="P822" s="30"/>
      <c r="Q822" s="31"/>
      <c r="R822" s="31"/>
      <c r="S822" s="32"/>
      <c r="T822" s="32"/>
      <c r="U822" s="32"/>
      <c r="V822" s="32"/>
      <c r="W822" s="32"/>
      <c r="X822" s="32"/>
      <c r="Y822" s="32"/>
      <c r="Z822" s="32"/>
      <c r="AA822" s="32"/>
      <c r="AB822" s="32"/>
    </row>
    <row r="823" spans="1:28" ht="15.6" customHeight="1" x14ac:dyDescent="0.25">
      <c r="A823" s="24"/>
      <c r="B823" s="24"/>
      <c r="C823" s="25"/>
      <c r="D823" s="25"/>
      <c r="E823" s="25"/>
      <c r="F823" s="25"/>
      <c r="G823" s="26"/>
      <c r="H823" s="27"/>
      <c r="I823" s="24"/>
      <c r="J823" s="24"/>
      <c r="K823" s="28"/>
      <c r="L823" s="29"/>
      <c r="M823" s="29"/>
      <c r="N823" s="29"/>
      <c r="O823" s="27"/>
      <c r="P823" s="30"/>
      <c r="Q823" s="31"/>
      <c r="R823" s="31"/>
      <c r="S823" s="32"/>
      <c r="T823" s="32"/>
      <c r="U823" s="32"/>
      <c r="V823" s="32"/>
      <c r="W823" s="32"/>
      <c r="X823" s="32"/>
      <c r="Y823" s="32"/>
      <c r="Z823" s="32"/>
      <c r="AA823" s="32"/>
      <c r="AB823" s="32"/>
    </row>
    <row r="824" spans="1:28" ht="15.6" customHeight="1" x14ac:dyDescent="0.25">
      <c r="A824" s="24"/>
      <c r="B824" s="24"/>
      <c r="C824" s="25"/>
      <c r="D824" s="25"/>
      <c r="E824" s="25"/>
      <c r="F824" s="25"/>
      <c r="G824" s="26"/>
      <c r="H824" s="27"/>
      <c r="I824" s="24"/>
      <c r="J824" s="24"/>
      <c r="K824" s="28"/>
      <c r="L824" s="29"/>
      <c r="M824" s="29"/>
      <c r="N824" s="29"/>
      <c r="O824" s="27"/>
      <c r="P824" s="30"/>
      <c r="Q824" s="31"/>
      <c r="R824" s="31"/>
      <c r="S824" s="32"/>
      <c r="T824" s="32"/>
      <c r="U824" s="32"/>
      <c r="V824" s="32"/>
      <c r="W824" s="32"/>
      <c r="X824" s="32"/>
      <c r="Y824" s="32"/>
      <c r="Z824" s="32"/>
      <c r="AA824" s="32"/>
      <c r="AB824" s="32"/>
    </row>
    <row r="825" spans="1:28" ht="15.6" customHeight="1" x14ac:dyDescent="0.25">
      <c r="A825" s="24"/>
      <c r="B825" s="24"/>
      <c r="C825" s="25"/>
      <c r="D825" s="25"/>
      <c r="E825" s="25"/>
      <c r="F825" s="25"/>
      <c r="G825" s="26"/>
      <c r="H825" s="27"/>
      <c r="I825" s="24"/>
      <c r="J825" s="24"/>
      <c r="K825" s="28"/>
      <c r="L825" s="29"/>
      <c r="M825" s="29"/>
      <c r="N825" s="29"/>
      <c r="O825" s="27"/>
      <c r="P825" s="30"/>
      <c r="Q825" s="31"/>
      <c r="R825" s="31"/>
      <c r="S825" s="32"/>
      <c r="T825" s="32"/>
      <c r="U825" s="32"/>
      <c r="V825" s="32"/>
      <c r="W825" s="32"/>
      <c r="X825" s="32"/>
      <c r="Y825" s="32"/>
      <c r="Z825" s="32"/>
      <c r="AA825" s="32"/>
      <c r="AB825" s="32"/>
    </row>
    <row r="826" spans="1:28" ht="15.6" customHeight="1" x14ac:dyDescent="0.25">
      <c r="A826" s="24"/>
      <c r="B826" s="24"/>
      <c r="C826" s="25"/>
      <c r="D826" s="25"/>
      <c r="E826" s="25"/>
      <c r="F826" s="25"/>
      <c r="G826" s="26"/>
      <c r="H826" s="27"/>
      <c r="I826" s="24"/>
      <c r="J826" s="24"/>
      <c r="K826" s="28"/>
      <c r="L826" s="29"/>
      <c r="M826" s="29"/>
      <c r="N826" s="29"/>
      <c r="O826" s="27"/>
      <c r="P826" s="30"/>
      <c r="Q826" s="31"/>
      <c r="R826" s="31"/>
      <c r="S826" s="32"/>
      <c r="T826" s="32"/>
      <c r="U826" s="32"/>
      <c r="V826" s="32"/>
      <c r="W826" s="32"/>
      <c r="X826" s="32"/>
      <c r="Y826" s="32"/>
      <c r="Z826" s="32"/>
      <c r="AA826" s="32"/>
      <c r="AB826" s="32"/>
    </row>
    <row r="827" spans="1:28" ht="15.6" customHeight="1" x14ac:dyDescent="0.25">
      <c r="A827" s="24"/>
      <c r="B827" s="24"/>
      <c r="C827" s="25"/>
      <c r="D827" s="25"/>
      <c r="E827" s="25"/>
      <c r="F827" s="25"/>
      <c r="G827" s="26"/>
      <c r="H827" s="27"/>
      <c r="I827" s="24"/>
      <c r="J827" s="24"/>
      <c r="K827" s="28"/>
      <c r="L827" s="29"/>
      <c r="M827" s="29"/>
      <c r="N827" s="29"/>
      <c r="O827" s="27"/>
      <c r="P827" s="30"/>
      <c r="Q827" s="31"/>
      <c r="R827" s="31"/>
      <c r="S827" s="32"/>
      <c r="T827" s="32"/>
      <c r="U827" s="32"/>
      <c r="V827" s="32"/>
      <c r="W827" s="32"/>
      <c r="X827" s="32"/>
      <c r="Y827" s="32"/>
      <c r="Z827" s="32"/>
      <c r="AA827" s="32"/>
      <c r="AB827" s="32"/>
    </row>
    <row r="828" spans="1:28" ht="15.6" customHeight="1" x14ac:dyDescent="0.25">
      <c r="A828" s="24"/>
      <c r="B828" s="24"/>
      <c r="C828" s="25"/>
      <c r="D828" s="25"/>
      <c r="E828" s="25"/>
      <c r="F828" s="25"/>
      <c r="G828" s="26"/>
      <c r="H828" s="27"/>
      <c r="I828" s="24"/>
      <c r="J828" s="24"/>
      <c r="K828" s="28"/>
      <c r="L828" s="29"/>
      <c r="M828" s="29"/>
      <c r="N828" s="29"/>
      <c r="O828" s="27"/>
      <c r="P828" s="30"/>
      <c r="Q828" s="31"/>
      <c r="R828" s="31"/>
      <c r="S828" s="32"/>
      <c r="T828" s="32"/>
      <c r="U828" s="32"/>
      <c r="V828" s="32"/>
      <c r="W828" s="32"/>
      <c r="X828" s="32"/>
      <c r="Y828" s="32"/>
      <c r="Z828" s="32"/>
      <c r="AA828" s="32"/>
      <c r="AB828" s="32"/>
    </row>
    <row r="829" spans="1:28" ht="15.6" customHeight="1" x14ac:dyDescent="0.25">
      <c r="A829" s="24"/>
      <c r="B829" s="24"/>
      <c r="C829" s="25"/>
      <c r="D829" s="25"/>
      <c r="E829" s="25"/>
      <c r="F829" s="25"/>
      <c r="G829" s="26"/>
      <c r="H829" s="27"/>
      <c r="I829" s="24"/>
      <c r="J829" s="24"/>
      <c r="K829" s="28"/>
      <c r="L829" s="29"/>
      <c r="M829" s="29"/>
      <c r="N829" s="29"/>
      <c r="O829" s="27"/>
      <c r="P829" s="30"/>
      <c r="Q829" s="31"/>
      <c r="R829" s="31"/>
      <c r="S829" s="32"/>
      <c r="T829" s="32"/>
      <c r="U829" s="32"/>
      <c r="V829" s="32"/>
      <c r="W829" s="32"/>
      <c r="X829" s="32"/>
      <c r="Y829" s="32"/>
      <c r="Z829" s="32"/>
      <c r="AA829" s="32"/>
      <c r="AB829" s="32"/>
    </row>
    <row r="830" spans="1:28" ht="15.6" customHeight="1" x14ac:dyDescent="0.25">
      <c r="A830" s="24"/>
      <c r="B830" s="24"/>
      <c r="C830" s="25"/>
      <c r="D830" s="25"/>
      <c r="E830" s="25"/>
      <c r="F830" s="25"/>
      <c r="G830" s="26"/>
      <c r="H830" s="27"/>
      <c r="I830" s="24"/>
      <c r="J830" s="24"/>
      <c r="K830" s="28"/>
      <c r="L830" s="29"/>
      <c r="M830" s="29"/>
      <c r="N830" s="29"/>
      <c r="O830" s="27"/>
      <c r="P830" s="30"/>
      <c r="Q830" s="31"/>
      <c r="R830" s="31"/>
      <c r="S830" s="32"/>
      <c r="T830" s="32"/>
      <c r="U830" s="32"/>
      <c r="V830" s="32"/>
      <c r="W830" s="32"/>
      <c r="X830" s="32"/>
      <c r="Y830" s="32"/>
      <c r="Z830" s="32"/>
      <c r="AA830" s="32"/>
      <c r="AB830" s="32"/>
    </row>
    <row r="831" spans="1:28" ht="15.6" customHeight="1" x14ac:dyDescent="0.25">
      <c r="A831" s="24"/>
      <c r="B831" s="24"/>
      <c r="C831" s="25"/>
      <c r="D831" s="25"/>
      <c r="E831" s="25"/>
      <c r="F831" s="25"/>
      <c r="G831" s="26"/>
      <c r="H831" s="27"/>
      <c r="I831" s="24"/>
      <c r="J831" s="24"/>
      <c r="K831" s="28"/>
      <c r="L831" s="29"/>
      <c r="M831" s="29"/>
      <c r="N831" s="29"/>
      <c r="O831" s="27"/>
      <c r="P831" s="30"/>
      <c r="Q831" s="31"/>
      <c r="R831" s="31"/>
      <c r="S831" s="32"/>
      <c r="T831" s="32"/>
      <c r="U831" s="32"/>
      <c r="V831" s="32"/>
      <c r="W831" s="32"/>
      <c r="X831" s="32"/>
      <c r="Y831" s="32"/>
      <c r="Z831" s="32"/>
      <c r="AA831" s="32"/>
      <c r="AB831" s="32"/>
    </row>
    <row r="832" spans="1:28" ht="15.6" customHeight="1" x14ac:dyDescent="0.25">
      <c r="A832" s="24"/>
      <c r="B832" s="24"/>
      <c r="C832" s="25"/>
      <c r="D832" s="25"/>
      <c r="E832" s="25"/>
      <c r="F832" s="25"/>
      <c r="G832" s="26"/>
      <c r="H832" s="27"/>
      <c r="I832" s="24"/>
      <c r="J832" s="24"/>
      <c r="K832" s="28"/>
      <c r="L832" s="29"/>
      <c r="M832" s="29"/>
      <c r="N832" s="29"/>
      <c r="O832" s="27"/>
      <c r="P832" s="30"/>
      <c r="Q832" s="31"/>
      <c r="R832" s="31"/>
      <c r="S832" s="32"/>
      <c r="T832" s="32"/>
      <c r="U832" s="32"/>
      <c r="V832" s="32"/>
      <c r="W832" s="32"/>
      <c r="X832" s="32"/>
      <c r="Y832" s="32"/>
      <c r="Z832" s="32"/>
      <c r="AA832" s="32"/>
      <c r="AB832" s="32"/>
    </row>
    <row r="833" spans="1:28" ht="15.6" customHeight="1" x14ac:dyDescent="0.25">
      <c r="A833" s="24"/>
      <c r="B833" s="24"/>
      <c r="C833" s="25"/>
      <c r="D833" s="25"/>
      <c r="E833" s="25"/>
      <c r="F833" s="25"/>
      <c r="G833" s="26"/>
      <c r="H833" s="27"/>
      <c r="I833" s="24"/>
      <c r="J833" s="24"/>
      <c r="K833" s="28"/>
      <c r="L833" s="29"/>
      <c r="M833" s="29"/>
      <c r="N833" s="29"/>
      <c r="O833" s="27"/>
      <c r="P833" s="30"/>
      <c r="Q833" s="31"/>
      <c r="R833" s="31"/>
      <c r="S833" s="32"/>
      <c r="T833" s="32"/>
      <c r="U833" s="32"/>
      <c r="V833" s="32"/>
      <c r="W833" s="32"/>
      <c r="X833" s="32"/>
      <c r="Y833" s="32"/>
      <c r="Z833" s="32"/>
      <c r="AA833" s="32"/>
      <c r="AB833" s="32"/>
    </row>
    <row r="834" spans="1:28" ht="15.6" customHeight="1" x14ac:dyDescent="0.25">
      <c r="A834" s="24"/>
      <c r="B834" s="24"/>
      <c r="C834" s="25"/>
      <c r="D834" s="25"/>
      <c r="E834" s="25"/>
      <c r="F834" s="25"/>
      <c r="G834" s="26"/>
      <c r="H834" s="27"/>
      <c r="I834" s="24"/>
      <c r="J834" s="24"/>
      <c r="K834" s="28"/>
      <c r="L834" s="29"/>
      <c r="M834" s="29"/>
      <c r="N834" s="29"/>
      <c r="O834" s="27"/>
      <c r="P834" s="30"/>
      <c r="Q834" s="31"/>
      <c r="R834" s="31"/>
      <c r="S834" s="32"/>
      <c r="T834" s="32"/>
      <c r="U834" s="32"/>
      <c r="V834" s="32"/>
      <c r="W834" s="32"/>
      <c r="X834" s="32"/>
      <c r="Y834" s="32"/>
      <c r="Z834" s="32"/>
      <c r="AA834" s="32"/>
      <c r="AB834" s="32"/>
    </row>
    <row r="835" spans="1:28" ht="15.6" customHeight="1" x14ac:dyDescent="0.25">
      <c r="A835" s="24"/>
      <c r="B835" s="24"/>
      <c r="C835" s="25"/>
      <c r="D835" s="25"/>
      <c r="E835" s="25"/>
      <c r="F835" s="25"/>
      <c r="G835" s="26"/>
      <c r="H835" s="27"/>
      <c r="I835" s="24"/>
      <c r="J835" s="24"/>
      <c r="K835" s="28"/>
      <c r="L835" s="29"/>
      <c r="M835" s="29"/>
      <c r="N835" s="29"/>
      <c r="O835" s="27"/>
      <c r="P835" s="30"/>
      <c r="Q835" s="31"/>
      <c r="R835" s="31"/>
      <c r="S835" s="32"/>
      <c r="T835" s="32"/>
      <c r="U835" s="32"/>
      <c r="V835" s="32"/>
      <c r="W835" s="32"/>
      <c r="X835" s="32"/>
      <c r="Y835" s="32"/>
      <c r="Z835" s="32"/>
      <c r="AA835" s="32"/>
      <c r="AB835" s="32"/>
    </row>
    <row r="836" spans="1:28" ht="15.6" customHeight="1" x14ac:dyDescent="0.25">
      <c r="A836" s="24"/>
      <c r="B836" s="24"/>
      <c r="C836" s="25"/>
      <c r="D836" s="25"/>
      <c r="E836" s="25"/>
      <c r="F836" s="25"/>
      <c r="G836" s="26"/>
      <c r="H836" s="27"/>
      <c r="I836" s="24"/>
      <c r="J836" s="24"/>
      <c r="K836" s="28"/>
      <c r="L836" s="29"/>
      <c r="M836" s="29"/>
      <c r="N836" s="29"/>
      <c r="O836" s="27"/>
      <c r="P836" s="30"/>
      <c r="Q836" s="31"/>
      <c r="R836" s="31"/>
      <c r="S836" s="32"/>
      <c r="T836" s="32"/>
      <c r="U836" s="32"/>
      <c r="V836" s="32"/>
      <c r="W836" s="32"/>
      <c r="X836" s="32"/>
      <c r="Y836" s="32"/>
      <c r="Z836" s="32"/>
      <c r="AA836" s="32"/>
      <c r="AB836" s="32"/>
    </row>
    <row r="837" spans="1:28" ht="15.6" customHeight="1" x14ac:dyDescent="0.25">
      <c r="A837" s="24"/>
      <c r="B837" s="24"/>
      <c r="C837" s="25"/>
      <c r="D837" s="25"/>
      <c r="E837" s="25"/>
      <c r="F837" s="25"/>
      <c r="G837" s="26"/>
      <c r="H837" s="27"/>
      <c r="I837" s="24"/>
      <c r="J837" s="24"/>
      <c r="K837" s="28"/>
      <c r="L837" s="29"/>
      <c r="M837" s="29"/>
      <c r="N837" s="29"/>
      <c r="O837" s="27"/>
      <c r="P837" s="30"/>
      <c r="Q837" s="31"/>
      <c r="R837" s="31"/>
      <c r="S837" s="32"/>
      <c r="T837" s="32"/>
      <c r="U837" s="32"/>
      <c r="V837" s="32"/>
      <c r="W837" s="32"/>
      <c r="X837" s="32"/>
      <c r="Y837" s="32"/>
      <c r="Z837" s="32"/>
      <c r="AA837" s="32"/>
      <c r="AB837" s="32"/>
    </row>
    <row r="838" spans="1:28" ht="15.6" customHeight="1" x14ac:dyDescent="0.25">
      <c r="A838" s="24"/>
      <c r="B838" s="24"/>
      <c r="C838" s="25"/>
      <c r="D838" s="25"/>
      <c r="E838" s="25"/>
      <c r="F838" s="25"/>
      <c r="G838" s="26"/>
      <c r="H838" s="27"/>
      <c r="I838" s="24"/>
      <c r="J838" s="24"/>
      <c r="K838" s="28"/>
      <c r="L838" s="29"/>
      <c r="M838" s="29"/>
      <c r="N838" s="29"/>
      <c r="O838" s="27"/>
      <c r="P838" s="30"/>
      <c r="Q838" s="31"/>
      <c r="R838" s="31"/>
      <c r="S838" s="32"/>
      <c r="T838" s="32"/>
      <c r="U838" s="32"/>
      <c r="V838" s="32"/>
      <c r="W838" s="32"/>
      <c r="X838" s="32"/>
      <c r="Y838" s="32"/>
      <c r="Z838" s="32"/>
      <c r="AA838" s="32"/>
      <c r="AB838" s="32"/>
    </row>
    <row r="839" spans="1:28" ht="15.6" customHeight="1" x14ac:dyDescent="0.25">
      <c r="A839" s="24"/>
      <c r="B839" s="24"/>
      <c r="C839" s="25"/>
      <c r="D839" s="25"/>
      <c r="E839" s="25"/>
      <c r="F839" s="25"/>
      <c r="G839" s="26"/>
      <c r="H839" s="27"/>
      <c r="I839" s="24"/>
      <c r="J839" s="24"/>
      <c r="K839" s="28"/>
      <c r="L839" s="29"/>
      <c r="M839" s="29"/>
      <c r="N839" s="29"/>
      <c r="O839" s="27"/>
      <c r="P839" s="30"/>
      <c r="Q839" s="31"/>
      <c r="R839" s="31"/>
      <c r="S839" s="32"/>
      <c r="T839" s="32"/>
      <c r="U839" s="32"/>
      <c r="V839" s="32"/>
      <c r="W839" s="32"/>
      <c r="X839" s="32"/>
      <c r="Y839" s="32"/>
      <c r="Z839" s="32"/>
      <c r="AA839" s="32"/>
      <c r="AB839" s="32"/>
    </row>
    <row r="840" spans="1:28" ht="15.6" customHeight="1" x14ac:dyDescent="0.25">
      <c r="A840" s="24"/>
      <c r="B840" s="24"/>
      <c r="C840" s="25"/>
      <c r="D840" s="25"/>
      <c r="E840" s="25"/>
      <c r="F840" s="25"/>
      <c r="G840" s="26"/>
      <c r="H840" s="27"/>
      <c r="I840" s="24"/>
      <c r="J840" s="24"/>
      <c r="K840" s="28"/>
      <c r="L840" s="29"/>
      <c r="M840" s="29"/>
      <c r="N840" s="29"/>
      <c r="O840" s="27"/>
      <c r="P840" s="30"/>
      <c r="Q840" s="31"/>
      <c r="R840" s="31"/>
      <c r="S840" s="32"/>
      <c r="T840" s="32"/>
      <c r="U840" s="32"/>
      <c r="V840" s="32"/>
      <c r="W840" s="32"/>
      <c r="X840" s="32"/>
      <c r="Y840" s="32"/>
      <c r="Z840" s="32"/>
      <c r="AA840" s="32"/>
      <c r="AB840" s="32"/>
    </row>
    <row r="841" spans="1:28" ht="15.6" customHeight="1" x14ac:dyDescent="0.25">
      <c r="A841" s="24"/>
      <c r="B841" s="24"/>
      <c r="C841" s="25"/>
      <c r="D841" s="25"/>
      <c r="E841" s="25"/>
      <c r="F841" s="25"/>
      <c r="G841" s="26"/>
      <c r="H841" s="27"/>
      <c r="I841" s="24"/>
      <c r="J841" s="24"/>
      <c r="K841" s="28"/>
      <c r="L841" s="29"/>
      <c r="M841" s="29"/>
      <c r="N841" s="29"/>
      <c r="O841" s="27"/>
      <c r="P841" s="30"/>
      <c r="Q841" s="31"/>
      <c r="R841" s="31"/>
      <c r="S841" s="32"/>
      <c r="T841" s="32"/>
      <c r="U841" s="32"/>
      <c r="V841" s="32"/>
      <c r="W841" s="32"/>
      <c r="X841" s="32"/>
      <c r="Y841" s="32"/>
      <c r="Z841" s="32"/>
      <c r="AA841" s="32"/>
      <c r="AB841" s="32"/>
    </row>
    <row r="842" spans="1:28" ht="15.6" customHeight="1" x14ac:dyDescent="0.25">
      <c r="A842" s="24"/>
      <c r="B842" s="24"/>
      <c r="C842" s="25"/>
      <c r="D842" s="25"/>
      <c r="E842" s="25"/>
      <c r="F842" s="25"/>
      <c r="G842" s="26"/>
      <c r="H842" s="27"/>
      <c r="I842" s="24"/>
      <c r="J842" s="24"/>
      <c r="K842" s="28"/>
      <c r="L842" s="29"/>
      <c r="M842" s="29"/>
      <c r="N842" s="29"/>
      <c r="O842" s="27"/>
      <c r="P842" s="30"/>
      <c r="Q842" s="31"/>
      <c r="R842" s="31"/>
      <c r="S842" s="32"/>
      <c r="T842" s="32"/>
      <c r="U842" s="32"/>
      <c r="V842" s="32"/>
      <c r="W842" s="32"/>
      <c r="X842" s="32"/>
      <c r="Y842" s="32"/>
      <c r="Z842" s="32"/>
      <c r="AA842" s="32"/>
      <c r="AB842" s="32"/>
    </row>
    <row r="843" spans="1:28" ht="15.6" customHeight="1" x14ac:dyDescent="0.25">
      <c r="A843" s="24"/>
      <c r="B843" s="24"/>
      <c r="C843" s="25"/>
      <c r="D843" s="25"/>
      <c r="E843" s="25"/>
      <c r="F843" s="25"/>
      <c r="G843" s="26"/>
      <c r="H843" s="27"/>
      <c r="I843" s="24"/>
      <c r="J843" s="24"/>
      <c r="K843" s="28"/>
      <c r="L843" s="29"/>
      <c r="M843" s="29"/>
      <c r="N843" s="29"/>
      <c r="O843" s="27"/>
      <c r="P843" s="30"/>
      <c r="Q843" s="31"/>
      <c r="R843" s="31"/>
      <c r="S843" s="32"/>
      <c r="T843" s="32"/>
      <c r="U843" s="32"/>
      <c r="V843" s="32"/>
      <c r="W843" s="32"/>
      <c r="X843" s="32"/>
      <c r="Y843" s="32"/>
      <c r="Z843" s="32"/>
      <c r="AA843" s="32"/>
      <c r="AB843" s="32"/>
    </row>
    <row r="844" spans="1:28" ht="15.6" customHeight="1" x14ac:dyDescent="0.25">
      <c r="A844" s="24"/>
      <c r="B844" s="24"/>
      <c r="C844" s="25"/>
      <c r="D844" s="25"/>
      <c r="E844" s="25"/>
      <c r="F844" s="25"/>
      <c r="G844" s="26"/>
      <c r="H844" s="27"/>
      <c r="I844" s="24"/>
      <c r="J844" s="24"/>
      <c r="K844" s="28"/>
      <c r="L844" s="29"/>
      <c r="M844" s="29"/>
      <c r="N844" s="29"/>
      <c r="O844" s="27"/>
      <c r="P844" s="30"/>
      <c r="Q844" s="31"/>
      <c r="R844" s="31"/>
      <c r="S844" s="32"/>
      <c r="T844" s="32"/>
      <c r="U844" s="32"/>
      <c r="V844" s="32"/>
      <c r="W844" s="32"/>
      <c r="X844" s="32"/>
      <c r="Y844" s="32"/>
      <c r="Z844" s="32"/>
      <c r="AA844" s="32"/>
      <c r="AB844" s="32"/>
    </row>
    <row r="845" spans="1:28" ht="15.6" customHeight="1" x14ac:dyDescent="0.25">
      <c r="A845" s="24"/>
      <c r="B845" s="24"/>
      <c r="C845" s="25"/>
      <c r="D845" s="25"/>
      <c r="E845" s="25"/>
      <c r="F845" s="25"/>
      <c r="G845" s="26"/>
      <c r="H845" s="27"/>
      <c r="I845" s="24"/>
      <c r="J845" s="24"/>
      <c r="K845" s="28"/>
      <c r="L845" s="29"/>
      <c r="M845" s="29"/>
      <c r="N845" s="29"/>
      <c r="O845" s="27"/>
      <c r="P845" s="30"/>
      <c r="Q845" s="31"/>
      <c r="R845" s="31"/>
      <c r="S845" s="32"/>
      <c r="T845" s="32"/>
      <c r="U845" s="32"/>
      <c r="V845" s="32"/>
      <c r="W845" s="32"/>
      <c r="X845" s="32"/>
      <c r="Y845" s="32"/>
      <c r="Z845" s="32"/>
      <c r="AA845" s="32"/>
      <c r="AB845" s="32"/>
    </row>
    <row r="846" spans="1:28" ht="15.6" customHeight="1" x14ac:dyDescent="0.25">
      <c r="A846" s="24"/>
      <c r="B846" s="24"/>
      <c r="C846" s="25"/>
      <c r="D846" s="25"/>
      <c r="E846" s="25"/>
      <c r="F846" s="25"/>
      <c r="G846" s="26"/>
      <c r="H846" s="27"/>
      <c r="I846" s="24"/>
      <c r="J846" s="24"/>
      <c r="K846" s="28"/>
      <c r="L846" s="29"/>
      <c r="M846" s="29"/>
      <c r="N846" s="29"/>
      <c r="O846" s="27"/>
      <c r="P846" s="30"/>
      <c r="Q846" s="31"/>
      <c r="R846" s="31"/>
      <c r="S846" s="32"/>
      <c r="T846" s="32"/>
      <c r="U846" s="32"/>
      <c r="V846" s="32"/>
      <c r="W846" s="32"/>
      <c r="X846" s="32"/>
      <c r="Y846" s="32"/>
      <c r="Z846" s="32"/>
      <c r="AA846" s="32"/>
      <c r="AB846" s="32"/>
    </row>
    <row r="847" spans="1:28" ht="15.6" customHeight="1" x14ac:dyDescent="0.25">
      <c r="A847" s="24"/>
      <c r="B847" s="24"/>
      <c r="C847" s="25"/>
      <c r="D847" s="25"/>
      <c r="E847" s="25"/>
      <c r="F847" s="25"/>
      <c r="G847" s="26"/>
      <c r="H847" s="27"/>
      <c r="I847" s="24"/>
      <c r="J847" s="24"/>
      <c r="K847" s="28"/>
      <c r="L847" s="29"/>
      <c r="M847" s="29"/>
      <c r="N847" s="29"/>
      <c r="O847" s="27"/>
      <c r="P847" s="30"/>
      <c r="Q847" s="31"/>
      <c r="R847" s="31"/>
      <c r="S847" s="32"/>
      <c r="T847" s="32"/>
      <c r="U847" s="32"/>
      <c r="V847" s="32"/>
      <c r="W847" s="32"/>
      <c r="X847" s="32"/>
      <c r="Y847" s="32"/>
      <c r="Z847" s="32"/>
      <c r="AA847" s="32"/>
      <c r="AB847" s="32"/>
    </row>
    <row r="848" spans="1:28" ht="15.6" customHeight="1" x14ac:dyDescent="0.25">
      <c r="A848" s="24"/>
      <c r="B848" s="24"/>
      <c r="C848" s="25"/>
      <c r="D848" s="25"/>
      <c r="E848" s="25"/>
      <c r="F848" s="25"/>
      <c r="G848" s="26"/>
      <c r="H848" s="27"/>
      <c r="I848" s="24"/>
      <c r="J848" s="24"/>
      <c r="K848" s="28"/>
      <c r="L848" s="29"/>
      <c r="M848" s="29"/>
      <c r="N848" s="29"/>
      <c r="O848" s="27"/>
      <c r="P848" s="30"/>
      <c r="Q848" s="31"/>
      <c r="R848" s="31"/>
      <c r="S848" s="32"/>
      <c r="T848" s="32"/>
      <c r="U848" s="32"/>
      <c r="V848" s="32"/>
      <c r="W848" s="32"/>
      <c r="X848" s="32"/>
      <c r="Y848" s="32"/>
      <c r="Z848" s="32"/>
      <c r="AA848" s="32"/>
      <c r="AB848" s="32"/>
    </row>
    <row r="849" spans="1:28" ht="15.6" customHeight="1" x14ac:dyDescent="0.25">
      <c r="A849" s="24"/>
      <c r="B849" s="24"/>
      <c r="C849" s="25"/>
      <c r="D849" s="25"/>
      <c r="E849" s="25"/>
      <c r="F849" s="25"/>
      <c r="G849" s="26"/>
      <c r="H849" s="27"/>
      <c r="I849" s="24"/>
      <c r="J849" s="24"/>
      <c r="K849" s="28"/>
      <c r="L849" s="29"/>
      <c r="M849" s="29"/>
      <c r="N849" s="29"/>
      <c r="O849" s="27"/>
      <c r="P849" s="30"/>
      <c r="Q849" s="31"/>
      <c r="R849" s="31"/>
      <c r="S849" s="32"/>
      <c r="T849" s="32"/>
      <c r="U849" s="32"/>
      <c r="V849" s="32"/>
      <c r="W849" s="32"/>
      <c r="X849" s="32"/>
      <c r="Y849" s="32"/>
      <c r="Z849" s="32"/>
      <c r="AA849" s="32"/>
      <c r="AB849" s="32"/>
    </row>
    <row r="850" spans="1:28" ht="15.6" customHeight="1" x14ac:dyDescent="0.25">
      <c r="A850" s="24"/>
      <c r="B850" s="24"/>
      <c r="C850" s="25"/>
      <c r="D850" s="25"/>
      <c r="E850" s="25"/>
      <c r="F850" s="25"/>
      <c r="G850" s="26"/>
      <c r="H850" s="27"/>
      <c r="I850" s="24"/>
      <c r="J850" s="24"/>
      <c r="K850" s="28"/>
      <c r="L850" s="29"/>
      <c r="M850" s="29"/>
      <c r="N850" s="29"/>
      <c r="O850" s="27"/>
      <c r="P850" s="30"/>
      <c r="Q850" s="31"/>
      <c r="R850" s="31"/>
      <c r="S850" s="32"/>
      <c r="T850" s="32"/>
      <c r="U850" s="32"/>
      <c r="V850" s="32"/>
      <c r="W850" s="32"/>
      <c r="X850" s="32"/>
      <c r="Y850" s="32"/>
      <c r="Z850" s="32"/>
      <c r="AA850" s="32"/>
      <c r="AB850" s="32"/>
    </row>
    <row r="851" spans="1:28" ht="15.6" customHeight="1" x14ac:dyDescent="0.25">
      <c r="A851" s="24"/>
      <c r="B851" s="24"/>
      <c r="C851" s="25"/>
      <c r="D851" s="25"/>
      <c r="E851" s="25"/>
      <c r="F851" s="25"/>
      <c r="G851" s="26"/>
      <c r="H851" s="27"/>
      <c r="I851" s="24"/>
      <c r="J851" s="24"/>
      <c r="K851" s="28"/>
      <c r="L851" s="29"/>
      <c r="M851" s="29"/>
      <c r="N851" s="29"/>
      <c r="O851" s="27"/>
      <c r="P851" s="30"/>
      <c r="Q851" s="31"/>
      <c r="R851" s="31"/>
      <c r="S851" s="32"/>
      <c r="T851" s="32"/>
      <c r="U851" s="32"/>
      <c r="V851" s="32"/>
      <c r="W851" s="32"/>
      <c r="X851" s="32"/>
      <c r="Y851" s="32"/>
      <c r="Z851" s="32"/>
      <c r="AA851" s="32"/>
      <c r="AB851" s="32"/>
    </row>
    <row r="852" spans="1:28" ht="15.6" customHeight="1" x14ac:dyDescent="0.25">
      <c r="A852" s="24"/>
      <c r="B852" s="24"/>
      <c r="C852" s="25"/>
      <c r="D852" s="25"/>
      <c r="E852" s="25"/>
      <c r="F852" s="25"/>
      <c r="G852" s="26"/>
      <c r="H852" s="27"/>
      <c r="I852" s="24"/>
      <c r="J852" s="24"/>
      <c r="K852" s="28"/>
      <c r="L852" s="29"/>
      <c r="M852" s="29"/>
      <c r="N852" s="29"/>
      <c r="O852" s="27"/>
      <c r="P852" s="30"/>
      <c r="Q852" s="31"/>
      <c r="R852" s="31"/>
      <c r="S852" s="32"/>
      <c r="T852" s="32"/>
      <c r="U852" s="32"/>
      <c r="V852" s="32"/>
      <c r="W852" s="32"/>
      <c r="X852" s="32"/>
      <c r="Y852" s="32"/>
      <c r="Z852" s="32"/>
      <c r="AA852" s="32"/>
      <c r="AB852" s="32"/>
    </row>
    <row r="853" spans="1:28" ht="15.6" customHeight="1" x14ac:dyDescent="0.25">
      <c r="A853" s="24"/>
      <c r="B853" s="24"/>
      <c r="C853" s="25"/>
      <c r="D853" s="25"/>
      <c r="E853" s="25"/>
      <c r="F853" s="25"/>
      <c r="G853" s="26"/>
      <c r="H853" s="27"/>
      <c r="I853" s="24"/>
      <c r="J853" s="24"/>
      <c r="K853" s="28"/>
      <c r="L853" s="29"/>
      <c r="M853" s="29"/>
      <c r="N853" s="29"/>
      <c r="O853" s="27"/>
      <c r="P853" s="30"/>
      <c r="Q853" s="31"/>
      <c r="R853" s="31"/>
      <c r="S853" s="32"/>
      <c r="T853" s="32"/>
      <c r="U853" s="32"/>
      <c r="V853" s="32"/>
      <c r="W853" s="32"/>
      <c r="X853" s="32"/>
      <c r="Y853" s="32"/>
      <c r="Z853" s="32"/>
      <c r="AA853" s="32"/>
      <c r="AB853" s="32"/>
    </row>
    <row r="854" spans="1:28" ht="15.6" customHeight="1" x14ac:dyDescent="0.25">
      <c r="A854" s="24"/>
      <c r="B854" s="24"/>
      <c r="C854" s="25"/>
      <c r="D854" s="25"/>
      <c r="E854" s="25"/>
      <c r="F854" s="25"/>
      <c r="G854" s="26"/>
      <c r="H854" s="27"/>
      <c r="I854" s="24"/>
      <c r="J854" s="24"/>
      <c r="K854" s="28"/>
      <c r="L854" s="29"/>
      <c r="M854" s="29"/>
      <c r="N854" s="29"/>
      <c r="O854" s="27"/>
      <c r="P854" s="30"/>
      <c r="Q854" s="31"/>
      <c r="R854" s="31"/>
      <c r="S854" s="32"/>
      <c r="T854" s="32"/>
      <c r="U854" s="32"/>
      <c r="V854" s="32"/>
      <c r="W854" s="32"/>
      <c r="X854" s="32"/>
      <c r="Y854" s="32"/>
      <c r="Z854" s="32"/>
      <c r="AA854" s="32"/>
      <c r="AB854" s="32"/>
    </row>
    <row r="855" spans="1:28" ht="15.6" customHeight="1" x14ac:dyDescent="0.25">
      <c r="A855" s="24"/>
      <c r="B855" s="24"/>
      <c r="C855" s="25"/>
      <c r="D855" s="25"/>
      <c r="E855" s="25"/>
      <c r="F855" s="25"/>
      <c r="G855" s="26"/>
      <c r="H855" s="27"/>
      <c r="I855" s="24"/>
      <c r="J855" s="24"/>
      <c r="K855" s="28"/>
      <c r="L855" s="29"/>
      <c r="M855" s="29"/>
      <c r="N855" s="29"/>
      <c r="O855" s="27"/>
      <c r="P855" s="30"/>
      <c r="Q855" s="31"/>
      <c r="R855" s="31"/>
      <c r="S855" s="32"/>
      <c r="T855" s="32"/>
      <c r="U855" s="32"/>
      <c r="V855" s="32"/>
      <c r="W855" s="32"/>
      <c r="X855" s="32"/>
      <c r="Y855" s="32"/>
      <c r="Z855" s="32"/>
      <c r="AA855" s="32"/>
      <c r="AB855" s="32"/>
    </row>
    <row r="856" spans="1:28" ht="15.6" customHeight="1" x14ac:dyDescent="0.25">
      <c r="A856" s="24"/>
      <c r="B856" s="24"/>
      <c r="C856" s="25"/>
      <c r="D856" s="25"/>
      <c r="E856" s="25"/>
      <c r="F856" s="25"/>
      <c r="G856" s="26"/>
      <c r="H856" s="27"/>
      <c r="I856" s="24"/>
      <c r="J856" s="24"/>
      <c r="K856" s="28"/>
      <c r="L856" s="29"/>
      <c r="M856" s="29"/>
      <c r="N856" s="29"/>
      <c r="O856" s="27"/>
      <c r="P856" s="30"/>
      <c r="Q856" s="31"/>
      <c r="R856" s="31"/>
      <c r="S856" s="32"/>
      <c r="T856" s="32"/>
      <c r="U856" s="32"/>
      <c r="V856" s="32"/>
      <c r="W856" s="32"/>
      <c r="X856" s="32"/>
      <c r="Y856" s="32"/>
      <c r="Z856" s="32"/>
      <c r="AA856" s="32"/>
      <c r="AB856" s="32"/>
    </row>
    <row r="857" spans="1:28" ht="15.6" customHeight="1" x14ac:dyDescent="0.25">
      <c r="A857" s="24"/>
      <c r="B857" s="24"/>
      <c r="C857" s="25"/>
      <c r="D857" s="25"/>
      <c r="E857" s="25"/>
      <c r="F857" s="25"/>
      <c r="G857" s="26"/>
      <c r="H857" s="27"/>
      <c r="I857" s="24"/>
      <c r="J857" s="24"/>
      <c r="K857" s="28"/>
      <c r="L857" s="29"/>
      <c r="M857" s="29"/>
      <c r="N857" s="29"/>
      <c r="O857" s="27"/>
      <c r="P857" s="30"/>
      <c r="Q857" s="31"/>
      <c r="R857" s="31"/>
      <c r="S857" s="32"/>
      <c r="T857" s="32"/>
      <c r="U857" s="32"/>
      <c r="V857" s="32"/>
      <c r="W857" s="32"/>
      <c r="X857" s="32"/>
      <c r="Y857" s="32"/>
      <c r="Z857" s="32"/>
      <c r="AA857" s="32"/>
      <c r="AB857" s="32"/>
    </row>
    <row r="858" spans="1:28" ht="15.6" customHeight="1" x14ac:dyDescent="0.25">
      <c r="A858" s="24"/>
      <c r="B858" s="24"/>
      <c r="C858" s="25"/>
      <c r="D858" s="25"/>
      <c r="E858" s="25"/>
      <c r="F858" s="25"/>
      <c r="G858" s="26"/>
      <c r="H858" s="27"/>
      <c r="I858" s="24"/>
      <c r="J858" s="24"/>
      <c r="K858" s="28"/>
      <c r="L858" s="29"/>
      <c r="M858" s="29"/>
      <c r="N858" s="29"/>
      <c r="O858" s="27"/>
      <c r="P858" s="30"/>
      <c r="Q858" s="31"/>
      <c r="R858" s="31"/>
      <c r="S858" s="32"/>
      <c r="T858" s="32"/>
      <c r="U858" s="32"/>
      <c r="V858" s="32"/>
      <c r="W858" s="32"/>
      <c r="X858" s="32"/>
      <c r="Y858" s="32"/>
      <c r="Z858" s="32"/>
      <c r="AA858" s="32"/>
      <c r="AB858" s="32"/>
    </row>
    <row r="859" spans="1:28" ht="15.6" customHeight="1" x14ac:dyDescent="0.25">
      <c r="A859" s="24"/>
      <c r="B859" s="24"/>
      <c r="C859" s="25"/>
      <c r="D859" s="25"/>
      <c r="E859" s="25"/>
      <c r="F859" s="25"/>
      <c r="G859" s="26"/>
      <c r="H859" s="27"/>
      <c r="I859" s="24"/>
      <c r="J859" s="24"/>
      <c r="K859" s="28"/>
      <c r="L859" s="29"/>
      <c r="M859" s="29"/>
      <c r="N859" s="29"/>
      <c r="O859" s="27"/>
      <c r="P859" s="30"/>
      <c r="Q859" s="31"/>
      <c r="R859" s="31"/>
      <c r="S859" s="32"/>
      <c r="T859" s="32"/>
      <c r="U859" s="32"/>
      <c r="V859" s="32"/>
      <c r="W859" s="32"/>
      <c r="X859" s="32"/>
      <c r="Y859" s="32"/>
      <c r="Z859" s="32"/>
      <c r="AA859" s="32"/>
      <c r="AB859" s="32"/>
    </row>
    <row r="860" spans="1:28" ht="15.6" customHeight="1" x14ac:dyDescent="0.25">
      <c r="A860" s="24"/>
      <c r="B860" s="24"/>
      <c r="C860" s="25"/>
      <c r="D860" s="25"/>
      <c r="E860" s="25"/>
      <c r="F860" s="25"/>
      <c r="G860" s="26"/>
      <c r="H860" s="27"/>
      <c r="I860" s="24"/>
      <c r="J860" s="24"/>
      <c r="K860" s="28"/>
      <c r="L860" s="29"/>
      <c r="M860" s="29"/>
      <c r="N860" s="29"/>
      <c r="O860" s="27"/>
      <c r="P860" s="30"/>
      <c r="Q860" s="31"/>
      <c r="R860" s="31"/>
      <c r="S860" s="32"/>
      <c r="T860" s="32"/>
      <c r="U860" s="32"/>
      <c r="V860" s="32"/>
      <c r="W860" s="32"/>
      <c r="X860" s="32"/>
      <c r="Y860" s="32"/>
      <c r="Z860" s="32"/>
      <c r="AA860" s="32"/>
      <c r="AB860" s="32"/>
    </row>
    <row r="861" spans="1:28" ht="15.6" customHeight="1" x14ac:dyDescent="0.25">
      <c r="A861" s="24"/>
      <c r="B861" s="24"/>
      <c r="C861" s="25"/>
      <c r="D861" s="25"/>
      <c r="E861" s="25"/>
      <c r="F861" s="25"/>
      <c r="G861" s="26"/>
      <c r="H861" s="27"/>
      <c r="I861" s="24"/>
      <c r="J861" s="24"/>
      <c r="K861" s="28"/>
      <c r="L861" s="29"/>
      <c r="M861" s="29"/>
      <c r="N861" s="29"/>
      <c r="O861" s="27"/>
      <c r="P861" s="30"/>
      <c r="Q861" s="31"/>
      <c r="R861" s="31"/>
      <c r="S861" s="32"/>
      <c r="T861" s="32"/>
      <c r="U861" s="32"/>
      <c r="V861" s="32"/>
      <c r="W861" s="32"/>
      <c r="X861" s="32"/>
      <c r="Y861" s="32"/>
      <c r="Z861" s="32"/>
      <c r="AA861" s="32"/>
      <c r="AB861" s="32"/>
    </row>
    <row r="862" spans="1:28" ht="15.6" customHeight="1" x14ac:dyDescent="0.25">
      <c r="A862" s="24"/>
      <c r="B862" s="24"/>
      <c r="C862" s="25"/>
      <c r="D862" s="25"/>
      <c r="E862" s="25"/>
      <c r="F862" s="25"/>
      <c r="G862" s="26"/>
      <c r="H862" s="27"/>
      <c r="I862" s="24"/>
      <c r="J862" s="24"/>
      <c r="K862" s="28"/>
      <c r="L862" s="29"/>
      <c r="M862" s="29"/>
      <c r="N862" s="29"/>
      <c r="O862" s="27"/>
      <c r="P862" s="30"/>
      <c r="Q862" s="31"/>
      <c r="R862" s="31"/>
      <c r="S862" s="32"/>
      <c r="T862" s="32"/>
      <c r="U862" s="32"/>
      <c r="V862" s="32"/>
      <c r="W862" s="32"/>
      <c r="X862" s="32"/>
      <c r="Y862" s="32"/>
      <c r="Z862" s="32"/>
      <c r="AA862" s="32"/>
      <c r="AB862" s="32"/>
    </row>
    <row r="863" spans="1:28" ht="15.6" customHeight="1" x14ac:dyDescent="0.25">
      <c r="A863" s="24"/>
      <c r="B863" s="24"/>
      <c r="C863" s="25"/>
      <c r="D863" s="25"/>
      <c r="E863" s="25"/>
      <c r="F863" s="25"/>
      <c r="G863" s="26"/>
      <c r="H863" s="27"/>
      <c r="I863" s="24"/>
      <c r="J863" s="24"/>
      <c r="K863" s="28"/>
      <c r="L863" s="29"/>
      <c r="M863" s="29"/>
      <c r="N863" s="29"/>
      <c r="O863" s="27"/>
      <c r="P863" s="30"/>
      <c r="Q863" s="31"/>
      <c r="R863" s="31"/>
      <c r="S863" s="32"/>
      <c r="T863" s="32"/>
      <c r="U863" s="32"/>
      <c r="V863" s="32"/>
      <c r="W863" s="32"/>
      <c r="X863" s="32"/>
      <c r="Y863" s="32"/>
      <c r="Z863" s="32"/>
      <c r="AA863" s="32"/>
      <c r="AB863" s="32"/>
    </row>
    <row r="864" spans="1:28" ht="15.6" customHeight="1" x14ac:dyDescent="0.25">
      <c r="A864" s="24"/>
      <c r="B864" s="24"/>
      <c r="C864" s="25"/>
      <c r="D864" s="25"/>
      <c r="E864" s="25"/>
      <c r="F864" s="25"/>
      <c r="G864" s="26"/>
      <c r="H864" s="27"/>
      <c r="I864" s="24"/>
      <c r="J864" s="24"/>
      <c r="K864" s="28"/>
      <c r="L864" s="29"/>
      <c r="M864" s="29"/>
      <c r="N864" s="29"/>
      <c r="O864" s="27"/>
      <c r="P864" s="30"/>
      <c r="Q864" s="31"/>
      <c r="R864" s="31"/>
      <c r="S864" s="32"/>
      <c r="T864" s="32"/>
      <c r="U864" s="32"/>
      <c r="V864" s="32"/>
      <c r="W864" s="32"/>
      <c r="X864" s="32"/>
      <c r="Y864" s="32"/>
      <c r="Z864" s="32"/>
      <c r="AA864" s="32"/>
      <c r="AB864" s="32"/>
    </row>
    <row r="865" spans="1:28" ht="15.6" customHeight="1" x14ac:dyDescent="0.25">
      <c r="A865" s="24"/>
      <c r="B865" s="24"/>
      <c r="C865" s="25"/>
      <c r="D865" s="25"/>
      <c r="E865" s="25"/>
      <c r="F865" s="25"/>
      <c r="G865" s="26"/>
      <c r="H865" s="27"/>
      <c r="I865" s="24"/>
      <c r="J865" s="24"/>
      <c r="K865" s="28"/>
      <c r="L865" s="29"/>
      <c r="M865" s="29"/>
      <c r="N865" s="29"/>
      <c r="O865" s="27"/>
      <c r="P865" s="30"/>
      <c r="Q865" s="31"/>
      <c r="R865" s="31"/>
      <c r="S865" s="32"/>
      <c r="T865" s="32"/>
      <c r="U865" s="32"/>
      <c r="V865" s="32"/>
      <c r="W865" s="32"/>
      <c r="X865" s="32"/>
      <c r="Y865" s="32"/>
      <c r="Z865" s="32"/>
      <c r="AA865" s="32"/>
      <c r="AB865" s="32"/>
    </row>
    <row r="866" spans="1:28" ht="15.6" customHeight="1" x14ac:dyDescent="0.25">
      <c r="A866" s="24"/>
      <c r="B866" s="24"/>
      <c r="C866" s="25"/>
      <c r="D866" s="25"/>
      <c r="E866" s="25"/>
      <c r="F866" s="25"/>
      <c r="G866" s="26"/>
      <c r="H866" s="27"/>
      <c r="I866" s="24"/>
      <c r="J866" s="24"/>
      <c r="K866" s="28"/>
      <c r="L866" s="29"/>
      <c r="M866" s="29"/>
      <c r="N866" s="29"/>
      <c r="O866" s="27"/>
      <c r="P866" s="30"/>
      <c r="Q866" s="31"/>
      <c r="R866" s="31"/>
      <c r="S866" s="32"/>
      <c r="T866" s="32"/>
      <c r="U866" s="32"/>
      <c r="V866" s="32"/>
      <c r="W866" s="32"/>
      <c r="X866" s="32"/>
      <c r="Y866" s="32"/>
      <c r="Z866" s="32"/>
      <c r="AA866" s="32"/>
      <c r="AB866" s="32"/>
    </row>
    <row r="867" spans="1:28" ht="15.6" customHeight="1" x14ac:dyDescent="0.25">
      <c r="A867" s="24"/>
      <c r="B867" s="24"/>
      <c r="C867" s="25"/>
      <c r="D867" s="25"/>
      <c r="E867" s="25"/>
      <c r="F867" s="25"/>
      <c r="G867" s="26"/>
      <c r="H867" s="27"/>
      <c r="I867" s="24"/>
      <c r="J867" s="24"/>
      <c r="K867" s="28"/>
      <c r="L867" s="29"/>
      <c r="M867" s="29"/>
      <c r="N867" s="29"/>
      <c r="O867" s="27"/>
      <c r="P867" s="30"/>
      <c r="Q867" s="31"/>
      <c r="R867" s="31"/>
      <c r="S867" s="32"/>
      <c r="T867" s="32"/>
      <c r="U867" s="32"/>
      <c r="V867" s="32"/>
      <c r="W867" s="32"/>
      <c r="X867" s="32"/>
      <c r="Y867" s="32"/>
      <c r="Z867" s="32"/>
      <c r="AA867" s="32"/>
      <c r="AB867" s="32"/>
    </row>
    <row r="868" spans="1:28" ht="15.6" customHeight="1" x14ac:dyDescent="0.25">
      <c r="A868" s="24"/>
      <c r="B868" s="24"/>
      <c r="C868" s="25"/>
      <c r="D868" s="25"/>
      <c r="E868" s="25"/>
      <c r="F868" s="25"/>
      <c r="G868" s="26"/>
      <c r="H868" s="27"/>
      <c r="I868" s="24"/>
      <c r="J868" s="24"/>
      <c r="K868" s="28"/>
      <c r="L868" s="29"/>
      <c r="M868" s="29"/>
      <c r="N868" s="29"/>
      <c r="O868" s="27"/>
      <c r="P868" s="30"/>
      <c r="Q868" s="31"/>
      <c r="R868" s="31"/>
      <c r="S868" s="32"/>
      <c r="T868" s="32"/>
      <c r="U868" s="32"/>
      <c r="V868" s="32"/>
      <c r="W868" s="32"/>
      <c r="X868" s="32"/>
      <c r="Y868" s="32"/>
      <c r="Z868" s="32"/>
      <c r="AA868" s="32"/>
      <c r="AB868" s="32"/>
    </row>
    <row r="869" spans="1:28" ht="15.6" customHeight="1" x14ac:dyDescent="0.25">
      <c r="A869" s="24"/>
      <c r="B869" s="24"/>
      <c r="C869" s="25"/>
      <c r="D869" s="25"/>
      <c r="E869" s="25"/>
      <c r="F869" s="25"/>
      <c r="G869" s="26"/>
      <c r="H869" s="27"/>
      <c r="I869" s="24"/>
      <c r="J869" s="24"/>
      <c r="K869" s="28"/>
      <c r="L869" s="29"/>
      <c r="M869" s="29"/>
      <c r="N869" s="29"/>
      <c r="O869" s="27"/>
      <c r="P869" s="30"/>
      <c r="Q869" s="31"/>
      <c r="R869" s="31"/>
      <c r="S869" s="32"/>
      <c r="T869" s="32"/>
      <c r="U869" s="32"/>
      <c r="V869" s="32"/>
      <c r="W869" s="32"/>
      <c r="X869" s="32"/>
      <c r="Y869" s="32"/>
      <c r="Z869" s="32"/>
      <c r="AA869" s="32"/>
      <c r="AB869" s="32"/>
    </row>
    <row r="870" spans="1:28" ht="15.6" customHeight="1" x14ac:dyDescent="0.25">
      <c r="A870" s="24"/>
      <c r="B870" s="24"/>
      <c r="C870" s="25"/>
      <c r="D870" s="25"/>
      <c r="E870" s="25"/>
      <c r="F870" s="25"/>
      <c r="G870" s="26"/>
      <c r="H870" s="27"/>
      <c r="I870" s="24"/>
      <c r="J870" s="24"/>
      <c r="K870" s="28"/>
      <c r="L870" s="29"/>
      <c r="M870" s="29"/>
      <c r="N870" s="29"/>
      <c r="O870" s="27"/>
      <c r="P870" s="30"/>
      <c r="Q870" s="31"/>
      <c r="R870" s="31"/>
      <c r="S870" s="32"/>
      <c r="T870" s="32"/>
      <c r="U870" s="32"/>
      <c r="V870" s="32"/>
      <c r="W870" s="32"/>
      <c r="X870" s="32"/>
      <c r="Y870" s="32"/>
      <c r="Z870" s="32"/>
      <c r="AA870" s="32"/>
      <c r="AB870" s="32"/>
    </row>
    <row r="871" spans="1:28" ht="15.6" customHeight="1" x14ac:dyDescent="0.25">
      <c r="A871" s="24"/>
      <c r="B871" s="24"/>
      <c r="C871" s="25"/>
      <c r="D871" s="25"/>
      <c r="E871" s="25"/>
      <c r="F871" s="25"/>
      <c r="G871" s="26"/>
      <c r="H871" s="27"/>
      <c r="I871" s="24"/>
      <c r="J871" s="24"/>
      <c r="K871" s="28"/>
      <c r="L871" s="29"/>
      <c r="M871" s="29"/>
      <c r="N871" s="29"/>
      <c r="O871" s="27"/>
      <c r="P871" s="30"/>
      <c r="Q871" s="31"/>
      <c r="R871" s="31"/>
      <c r="S871" s="32"/>
      <c r="T871" s="32"/>
      <c r="U871" s="32"/>
      <c r="V871" s="32"/>
      <c r="W871" s="32"/>
      <c r="X871" s="32"/>
      <c r="Y871" s="32"/>
      <c r="Z871" s="32"/>
      <c r="AA871" s="32"/>
      <c r="AB871" s="32"/>
    </row>
    <row r="872" spans="1:28" ht="15.6" customHeight="1" x14ac:dyDescent="0.25">
      <c r="A872" s="24"/>
      <c r="B872" s="24"/>
      <c r="C872" s="25"/>
      <c r="D872" s="25"/>
      <c r="E872" s="25"/>
      <c r="F872" s="25"/>
      <c r="G872" s="26"/>
      <c r="H872" s="27"/>
      <c r="I872" s="24"/>
      <c r="J872" s="24"/>
      <c r="K872" s="28"/>
      <c r="L872" s="29"/>
      <c r="M872" s="29"/>
      <c r="N872" s="29"/>
      <c r="O872" s="27"/>
      <c r="P872" s="30"/>
      <c r="Q872" s="31"/>
      <c r="R872" s="31"/>
      <c r="S872" s="32"/>
      <c r="T872" s="32"/>
      <c r="U872" s="32"/>
      <c r="V872" s="32"/>
      <c r="W872" s="32"/>
      <c r="X872" s="32"/>
      <c r="Y872" s="32"/>
      <c r="Z872" s="32"/>
      <c r="AA872" s="32"/>
      <c r="AB872" s="32"/>
    </row>
    <row r="873" spans="1:28" ht="15.6" customHeight="1" x14ac:dyDescent="0.25">
      <c r="A873" s="24"/>
      <c r="B873" s="24"/>
      <c r="C873" s="25"/>
      <c r="D873" s="25"/>
      <c r="E873" s="25"/>
      <c r="F873" s="25"/>
      <c r="G873" s="26"/>
      <c r="H873" s="27"/>
      <c r="I873" s="24"/>
      <c r="J873" s="24"/>
      <c r="K873" s="28"/>
      <c r="L873" s="29"/>
      <c r="M873" s="29"/>
      <c r="N873" s="29"/>
      <c r="O873" s="27"/>
      <c r="P873" s="30"/>
      <c r="Q873" s="31"/>
      <c r="R873" s="31"/>
      <c r="S873" s="32"/>
      <c r="T873" s="32"/>
      <c r="U873" s="32"/>
      <c r="V873" s="32"/>
      <c r="W873" s="32"/>
      <c r="X873" s="32"/>
      <c r="Y873" s="32"/>
      <c r="Z873" s="32"/>
      <c r="AA873" s="32"/>
      <c r="AB873" s="32"/>
    </row>
    <row r="874" spans="1:28" ht="15.6" customHeight="1" x14ac:dyDescent="0.25">
      <c r="A874" s="24"/>
      <c r="B874" s="24"/>
      <c r="C874" s="25"/>
      <c r="D874" s="25"/>
      <c r="E874" s="25"/>
      <c r="F874" s="25"/>
      <c r="G874" s="26"/>
      <c r="H874" s="27"/>
      <c r="I874" s="24"/>
      <c r="J874" s="24"/>
      <c r="K874" s="28"/>
      <c r="L874" s="29"/>
      <c r="M874" s="29"/>
      <c r="N874" s="29"/>
      <c r="O874" s="27"/>
      <c r="P874" s="30"/>
      <c r="Q874" s="31"/>
      <c r="R874" s="31"/>
      <c r="S874" s="32"/>
      <c r="T874" s="32"/>
      <c r="U874" s="32"/>
      <c r="V874" s="32"/>
      <c r="W874" s="32"/>
      <c r="X874" s="32"/>
      <c r="Y874" s="32"/>
      <c r="Z874" s="32"/>
      <c r="AA874" s="32"/>
      <c r="AB874" s="32"/>
    </row>
    <row r="875" spans="1:28" ht="15.6" customHeight="1" x14ac:dyDescent="0.25">
      <c r="A875" s="24"/>
      <c r="B875" s="24"/>
      <c r="C875" s="25"/>
      <c r="D875" s="25"/>
      <c r="E875" s="25"/>
      <c r="F875" s="25"/>
      <c r="G875" s="26"/>
      <c r="H875" s="27"/>
      <c r="I875" s="24"/>
      <c r="J875" s="24"/>
      <c r="K875" s="28"/>
      <c r="L875" s="29"/>
      <c r="M875" s="29"/>
      <c r="N875" s="29"/>
      <c r="O875" s="27"/>
      <c r="P875" s="30"/>
      <c r="Q875" s="31"/>
      <c r="R875" s="31"/>
      <c r="S875" s="32"/>
      <c r="T875" s="32"/>
      <c r="U875" s="32"/>
      <c r="V875" s="32"/>
      <c r="W875" s="32"/>
      <c r="X875" s="32"/>
      <c r="Y875" s="32"/>
      <c r="Z875" s="32"/>
      <c r="AA875" s="32"/>
      <c r="AB875" s="32"/>
    </row>
    <row r="876" spans="1:28" ht="15.6" customHeight="1" x14ac:dyDescent="0.25">
      <c r="A876" s="24"/>
      <c r="B876" s="24"/>
      <c r="C876" s="25"/>
      <c r="D876" s="25"/>
      <c r="E876" s="25"/>
      <c r="F876" s="25"/>
      <c r="G876" s="26"/>
      <c r="H876" s="27"/>
      <c r="I876" s="24"/>
      <c r="J876" s="24"/>
      <c r="K876" s="28"/>
      <c r="L876" s="29"/>
      <c r="M876" s="29"/>
      <c r="N876" s="29"/>
      <c r="O876" s="27"/>
      <c r="P876" s="30"/>
      <c r="Q876" s="31"/>
      <c r="R876" s="31"/>
      <c r="S876" s="32"/>
      <c r="T876" s="32"/>
      <c r="U876" s="32"/>
      <c r="V876" s="32"/>
      <c r="W876" s="32"/>
      <c r="X876" s="32"/>
      <c r="Y876" s="32"/>
      <c r="Z876" s="32"/>
      <c r="AA876" s="32"/>
      <c r="AB876" s="32"/>
    </row>
    <row r="877" spans="1:28" ht="15.6" customHeight="1" x14ac:dyDescent="0.25">
      <c r="A877" s="24"/>
      <c r="B877" s="24"/>
      <c r="C877" s="25"/>
      <c r="D877" s="25"/>
      <c r="E877" s="25"/>
      <c r="F877" s="25"/>
      <c r="G877" s="26"/>
      <c r="H877" s="27"/>
      <c r="I877" s="24"/>
      <c r="J877" s="24"/>
      <c r="K877" s="28"/>
      <c r="L877" s="29"/>
      <c r="M877" s="29"/>
      <c r="N877" s="29"/>
      <c r="O877" s="27"/>
      <c r="P877" s="30"/>
      <c r="Q877" s="31"/>
      <c r="R877" s="31"/>
      <c r="S877" s="32"/>
      <c r="T877" s="32"/>
      <c r="U877" s="32"/>
      <c r="V877" s="32"/>
      <c r="W877" s="32"/>
      <c r="X877" s="32"/>
      <c r="Y877" s="32"/>
      <c r="Z877" s="32"/>
      <c r="AA877" s="32"/>
      <c r="AB877" s="32"/>
    </row>
    <row r="878" spans="1:28" ht="15.6" customHeight="1" x14ac:dyDescent="0.25">
      <c r="A878" s="24"/>
      <c r="B878" s="24"/>
      <c r="C878" s="25"/>
      <c r="D878" s="25"/>
      <c r="E878" s="25"/>
      <c r="F878" s="25"/>
      <c r="G878" s="26"/>
      <c r="H878" s="27"/>
      <c r="I878" s="24"/>
      <c r="J878" s="24"/>
      <c r="K878" s="28"/>
      <c r="L878" s="29"/>
      <c r="M878" s="29"/>
      <c r="N878" s="29"/>
      <c r="O878" s="27"/>
      <c r="P878" s="30"/>
      <c r="Q878" s="31"/>
      <c r="R878" s="31"/>
      <c r="S878" s="32"/>
      <c r="T878" s="32"/>
      <c r="U878" s="32"/>
      <c r="V878" s="32"/>
      <c r="W878" s="32"/>
      <c r="X878" s="32"/>
      <c r="Y878" s="32"/>
      <c r="Z878" s="32"/>
      <c r="AA878" s="32"/>
      <c r="AB878" s="32"/>
    </row>
    <row r="879" spans="1:28" ht="15.6" customHeight="1" x14ac:dyDescent="0.25">
      <c r="A879" s="24"/>
      <c r="B879" s="24"/>
      <c r="C879" s="25"/>
      <c r="D879" s="25"/>
      <c r="E879" s="25"/>
      <c r="F879" s="25"/>
      <c r="G879" s="26"/>
      <c r="H879" s="27"/>
      <c r="I879" s="24"/>
      <c r="J879" s="24"/>
      <c r="K879" s="28"/>
      <c r="L879" s="29"/>
      <c r="M879" s="29"/>
      <c r="N879" s="29"/>
      <c r="O879" s="27"/>
      <c r="P879" s="30"/>
      <c r="Q879" s="31"/>
      <c r="R879" s="31"/>
      <c r="S879" s="32"/>
      <c r="T879" s="32"/>
      <c r="U879" s="32"/>
      <c r="V879" s="32"/>
      <c r="W879" s="32"/>
      <c r="X879" s="32"/>
      <c r="Y879" s="32"/>
      <c r="Z879" s="32"/>
      <c r="AA879" s="32"/>
      <c r="AB879" s="32"/>
    </row>
    <row r="880" spans="1:28" ht="15.6" customHeight="1" x14ac:dyDescent="0.25">
      <c r="A880" s="24"/>
      <c r="B880" s="24"/>
      <c r="C880" s="25"/>
      <c r="D880" s="25"/>
      <c r="E880" s="25"/>
      <c r="F880" s="25"/>
      <c r="G880" s="26"/>
      <c r="H880" s="27"/>
      <c r="I880" s="24"/>
      <c r="J880" s="24"/>
      <c r="K880" s="28"/>
      <c r="L880" s="29"/>
      <c r="M880" s="29"/>
      <c r="N880" s="29"/>
      <c r="O880" s="27"/>
      <c r="P880" s="30"/>
      <c r="Q880" s="31"/>
      <c r="R880" s="31"/>
      <c r="S880" s="32"/>
      <c r="T880" s="32"/>
      <c r="U880" s="32"/>
      <c r="V880" s="32"/>
      <c r="W880" s="32"/>
      <c r="X880" s="32"/>
      <c r="Y880" s="32"/>
      <c r="Z880" s="32"/>
      <c r="AA880" s="32"/>
      <c r="AB880" s="32"/>
    </row>
    <row r="881" spans="1:28" ht="15.6" customHeight="1" x14ac:dyDescent="0.25">
      <c r="A881" s="24"/>
      <c r="B881" s="24"/>
      <c r="C881" s="25"/>
      <c r="D881" s="25"/>
      <c r="E881" s="25"/>
      <c r="F881" s="25"/>
      <c r="G881" s="26"/>
      <c r="H881" s="27"/>
      <c r="I881" s="24"/>
      <c r="J881" s="24"/>
      <c r="K881" s="28"/>
      <c r="L881" s="29"/>
      <c r="M881" s="29"/>
      <c r="N881" s="29"/>
      <c r="O881" s="27"/>
      <c r="P881" s="30"/>
      <c r="Q881" s="31"/>
      <c r="R881" s="31"/>
      <c r="S881" s="32"/>
      <c r="T881" s="32"/>
      <c r="U881" s="32"/>
      <c r="V881" s="32"/>
      <c r="W881" s="32"/>
      <c r="X881" s="32"/>
      <c r="Y881" s="32"/>
      <c r="Z881" s="32"/>
      <c r="AA881" s="32"/>
      <c r="AB881" s="32"/>
    </row>
    <row r="882" spans="1:28" ht="15.6" customHeight="1" x14ac:dyDescent="0.25">
      <c r="A882" s="24"/>
      <c r="B882" s="24"/>
      <c r="C882" s="25"/>
      <c r="D882" s="25"/>
      <c r="E882" s="25"/>
      <c r="F882" s="25"/>
      <c r="G882" s="26"/>
      <c r="H882" s="27"/>
      <c r="I882" s="24"/>
      <c r="J882" s="24"/>
      <c r="K882" s="28"/>
      <c r="L882" s="29"/>
      <c r="M882" s="29"/>
      <c r="N882" s="29"/>
      <c r="O882" s="27"/>
      <c r="P882" s="30"/>
      <c r="Q882" s="31"/>
      <c r="R882" s="31"/>
      <c r="S882" s="32"/>
      <c r="T882" s="32"/>
      <c r="U882" s="32"/>
      <c r="V882" s="32"/>
      <c r="W882" s="32"/>
      <c r="X882" s="32"/>
      <c r="Y882" s="32"/>
      <c r="Z882" s="32"/>
      <c r="AA882" s="32"/>
      <c r="AB882" s="32"/>
    </row>
    <row r="883" spans="1:28" ht="15.6" customHeight="1" x14ac:dyDescent="0.25">
      <c r="A883" s="24"/>
      <c r="B883" s="24"/>
      <c r="C883" s="25"/>
      <c r="D883" s="25"/>
      <c r="E883" s="25"/>
      <c r="F883" s="25"/>
      <c r="G883" s="26"/>
      <c r="H883" s="27"/>
      <c r="I883" s="24"/>
      <c r="J883" s="24"/>
      <c r="K883" s="28"/>
      <c r="L883" s="29"/>
      <c r="M883" s="29"/>
      <c r="N883" s="29"/>
      <c r="O883" s="27"/>
      <c r="P883" s="30"/>
      <c r="Q883" s="31"/>
      <c r="R883" s="31"/>
      <c r="S883" s="32"/>
      <c r="T883" s="32"/>
      <c r="U883" s="32"/>
      <c r="V883" s="32"/>
      <c r="W883" s="32"/>
      <c r="X883" s="32"/>
      <c r="Y883" s="32"/>
      <c r="Z883" s="32"/>
      <c r="AA883" s="32"/>
      <c r="AB883" s="32"/>
    </row>
    <row r="884" spans="1:28" ht="15.6" customHeight="1" x14ac:dyDescent="0.25">
      <c r="A884" s="24"/>
      <c r="B884" s="24"/>
      <c r="C884" s="25"/>
      <c r="D884" s="25"/>
      <c r="E884" s="25"/>
      <c r="F884" s="25"/>
      <c r="G884" s="26"/>
      <c r="H884" s="27"/>
      <c r="I884" s="24"/>
      <c r="J884" s="24"/>
      <c r="K884" s="28"/>
      <c r="L884" s="29"/>
      <c r="M884" s="29"/>
      <c r="N884" s="29"/>
      <c r="O884" s="27"/>
      <c r="P884" s="30"/>
      <c r="Q884" s="31"/>
      <c r="R884" s="31"/>
      <c r="S884" s="32"/>
      <c r="T884" s="32"/>
      <c r="U884" s="32"/>
      <c r="V884" s="32"/>
      <c r="W884" s="32"/>
      <c r="X884" s="32"/>
      <c r="Y884" s="32"/>
      <c r="Z884" s="32"/>
      <c r="AA884" s="32"/>
      <c r="AB884" s="32"/>
    </row>
    <row r="885" spans="1:28" ht="15.6" customHeight="1" x14ac:dyDescent="0.25">
      <c r="A885" s="24"/>
      <c r="B885" s="24"/>
      <c r="C885" s="25"/>
      <c r="D885" s="25"/>
      <c r="E885" s="25"/>
      <c r="F885" s="25"/>
      <c r="G885" s="26"/>
      <c r="H885" s="27"/>
      <c r="I885" s="24"/>
      <c r="J885" s="24"/>
      <c r="K885" s="28"/>
      <c r="L885" s="29"/>
      <c r="M885" s="29"/>
      <c r="N885" s="29"/>
      <c r="O885" s="27"/>
      <c r="P885" s="30"/>
      <c r="Q885" s="31"/>
      <c r="R885" s="31"/>
      <c r="S885" s="32"/>
      <c r="T885" s="32"/>
      <c r="U885" s="32"/>
      <c r="V885" s="32"/>
      <c r="W885" s="32"/>
      <c r="X885" s="32"/>
      <c r="Y885" s="32"/>
      <c r="Z885" s="32"/>
      <c r="AA885" s="32"/>
      <c r="AB885" s="32"/>
    </row>
    <row r="886" spans="1:28" ht="15.6" customHeight="1" x14ac:dyDescent="0.25">
      <c r="A886" s="24"/>
      <c r="B886" s="24"/>
      <c r="C886" s="25"/>
      <c r="D886" s="25"/>
      <c r="E886" s="25"/>
      <c r="F886" s="25"/>
      <c r="G886" s="26"/>
      <c r="H886" s="27"/>
      <c r="I886" s="24"/>
      <c r="J886" s="24"/>
      <c r="K886" s="28"/>
      <c r="L886" s="29"/>
      <c r="M886" s="29"/>
      <c r="N886" s="29"/>
      <c r="O886" s="27"/>
      <c r="P886" s="30"/>
      <c r="Q886" s="31"/>
      <c r="R886" s="31"/>
      <c r="S886" s="32"/>
      <c r="T886" s="32"/>
      <c r="U886" s="32"/>
      <c r="V886" s="32"/>
      <c r="W886" s="32"/>
      <c r="X886" s="32"/>
      <c r="Y886" s="32"/>
      <c r="Z886" s="32"/>
      <c r="AA886" s="32"/>
      <c r="AB886" s="32"/>
    </row>
    <row r="887" spans="1:28" ht="15.6" customHeight="1" x14ac:dyDescent="0.25">
      <c r="A887" s="24"/>
      <c r="B887" s="24"/>
      <c r="C887" s="25"/>
      <c r="D887" s="25"/>
      <c r="E887" s="25"/>
      <c r="F887" s="25"/>
      <c r="G887" s="26"/>
      <c r="H887" s="27"/>
      <c r="I887" s="24"/>
      <c r="J887" s="24"/>
      <c r="K887" s="28"/>
      <c r="L887" s="29"/>
      <c r="M887" s="29"/>
      <c r="N887" s="29"/>
      <c r="O887" s="27"/>
      <c r="P887" s="30"/>
      <c r="Q887" s="31"/>
      <c r="R887" s="31"/>
      <c r="S887" s="32"/>
      <c r="T887" s="32"/>
      <c r="U887" s="32"/>
      <c r="V887" s="32"/>
      <c r="W887" s="32"/>
      <c r="X887" s="32"/>
      <c r="Y887" s="32"/>
      <c r="Z887" s="32"/>
      <c r="AA887" s="32"/>
      <c r="AB887" s="32"/>
    </row>
    <row r="888" spans="1:28" ht="15.6" customHeight="1" x14ac:dyDescent="0.25">
      <c r="A888" s="24"/>
      <c r="B888" s="24"/>
      <c r="C888" s="25"/>
      <c r="D888" s="25"/>
      <c r="E888" s="25"/>
      <c r="F888" s="25"/>
      <c r="G888" s="26"/>
      <c r="H888" s="27"/>
      <c r="I888" s="24"/>
      <c r="J888" s="24"/>
      <c r="K888" s="28"/>
      <c r="L888" s="29"/>
      <c r="M888" s="29"/>
      <c r="N888" s="29"/>
      <c r="O888" s="27"/>
      <c r="P888" s="30"/>
      <c r="Q888" s="31"/>
      <c r="R888" s="31"/>
      <c r="S888" s="32"/>
      <c r="T888" s="32"/>
      <c r="U888" s="32"/>
      <c r="V888" s="32"/>
      <c r="W888" s="32"/>
      <c r="X888" s="32"/>
      <c r="Y888" s="32"/>
      <c r="Z888" s="32"/>
      <c r="AA888" s="32"/>
      <c r="AB888" s="32"/>
    </row>
    <row r="889" spans="1:28" ht="15.6" customHeight="1" x14ac:dyDescent="0.25">
      <c r="A889" s="24"/>
      <c r="B889" s="24"/>
      <c r="C889" s="25"/>
      <c r="D889" s="25"/>
      <c r="E889" s="25"/>
      <c r="F889" s="25"/>
      <c r="G889" s="26"/>
      <c r="H889" s="27"/>
      <c r="I889" s="24"/>
      <c r="J889" s="24"/>
      <c r="K889" s="28"/>
      <c r="L889" s="29"/>
      <c r="M889" s="29"/>
      <c r="N889" s="29"/>
      <c r="O889" s="27"/>
      <c r="P889" s="30"/>
      <c r="Q889" s="31"/>
      <c r="R889" s="31"/>
      <c r="S889" s="32"/>
      <c r="T889" s="32"/>
      <c r="U889" s="32"/>
      <c r="V889" s="32"/>
      <c r="W889" s="32"/>
      <c r="X889" s="32"/>
      <c r="Y889" s="32"/>
      <c r="Z889" s="32"/>
      <c r="AA889" s="32"/>
      <c r="AB889" s="32"/>
    </row>
    <row r="890" spans="1:28" ht="15.6" customHeight="1" x14ac:dyDescent="0.25">
      <c r="A890" s="24"/>
      <c r="B890" s="24"/>
      <c r="C890" s="25"/>
      <c r="D890" s="25"/>
      <c r="E890" s="25"/>
      <c r="F890" s="25"/>
      <c r="G890" s="26"/>
      <c r="H890" s="27"/>
      <c r="I890" s="24"/>
      <c r="J890" s="24"/>
      <c r="K890" s="28"/>
      <c r="L890" s="29"/>
      <c r="M890" s="29"/>
      <c r="N890" s="29"/>
      <c r="O890" s="27"/>
      <c r="P890" s="30"/>
      <c r="Q890" s="31"/>
      <c r="R890" s="31"/>
      <c r="S890" s="32"/>
      <c r="T890" s="32"/>
      <c r="U890" s="32"/>
      <c r="V890" s="32"/>
      <c r="W890" s="32"/>
      <c r="X890" s="32"/>
      <c r="Y890" s="32"/>
      <c r="Z890" s="32"/>
      <c r="AA890" s="32"/>
      <c r="AB890" s="32"/>
    </row>
    <row r="891" spans="1:28" ht="15.6" customHeight="1" x14ac:dyDescent="0.25">
      <c r="A891" s="24"/>
      <c r="B891" s="24"/>
      <c r="C891" s="25"/>
      <c r="D891" s="25"/>
      <c r="E891" s="25"/>
      <c r="F891" s="25"/>
      <c r="G891" s="26"/>
      <c r="H891" s="27"/>
      <c r="I891" s="24"/>
      <c r="J891" s="24"/>
      <c r="K891" s="28"/>
      <c r="L891" s="29"/>
      <c r="M891" s="29"/>
      <c r="N891" s="29"/>
      <c r="O891" s="27"/>
      <c r="P891" s="30"/>
      <c r="Q891" s="31"/>
      <c r="R891" s="31"/>
      <c r="S891" s="32"/>
      <c r="T891" s="32"/>
      <c r="U891" s="32"/>
      <c r="V891" s="32"/>
      <c r="W891" s="32"/>
      <c r="X891" s="32"/>
      <c r="Y891" s="32"/>
      <c r="Z891" s="32"/>
      <c r="AA891" s="32"/>
      <c r="AB891" s="32"/>
    </row>
    <row r="892" spans="1:28" ht="15.6" customHeight="1" x14ac:dyDescent="0.25">
      <c r="A892" s="24"/>
      <c r="B892" s="24"/>
      <c r="C892" s="25"/>
      <c r="D892" s="25"/>
      <c r="E892" s="25"/>
      <c r="F892" s="25"/>
      <c r="G892" s="26"/>
      <c r="H892" s="27"/>
      <c r="I892" s="24"/>
      <c r="J892" s="24"/>
      <c r="K892" s="28"/>
      <c r="L892" s="29"/>
      <c r="M892" s="29"/>
      <c r="N892" s="29"/>
      <c r="O892" s="27"/>
      <c r="P892" s="30"/>
      <c r="Q892" s="31"/>
      <c r="R892" s="31"/>
      <c r="S892" s="32"/>
      <c r="T892" s="32"/>
      <c r="U892" s="32"/>
      <c r="V892" s="32"/>
      <c r="W892" s="32"/>
      <c r="X892" s="32"/>
      <c r="Y892" s="32"/>
      <c r="Z892" s="32"/>
      <c r="AA892" s="32"/>
      <c r="AB892" s="32"/>
    </row>
    <row r="893" spans="1:28" ht="15.6" customHeight="1" x14ac:dyDescent="0.25">
      <c r="A893" s="24"/>
      <c r="B893" s="24"/>
      <c r="C893" s="25"/>
      <c r="D893" s="25"/>
      <c r="E893" s="25"/>
      <c r="F893" s="25"/>
      <c r="G893" s="26"/>
      <c r="H893" s="27"/>
      <c r="I893" s="24"/>
      <c r="J893" s="24"/>
      <c r="K893" s="28"/>
      <c r="L893" s="29"/>
      <c r="M893" s="29"/>
      <c r="N893" s="29"/>
      <c r="O893" s="27"/>
      <c r="P893" s="30"/>
      <c r="Q893" s="31"/>
      <c r="R893" s="31"/>
      <c r="S893" s="32"/>
      <c r="T893" s="32"/>
      <c r="U893" s="32"/>
      <c r="V893" s="32"/>
      <c r="W893" s="32"/>
      <c r="X893" s="32"/>
      <c r="Y893" s="32"/>
      <c r="Z893" s="32"/>
      <c r="AA893" s="32"/>
      <c r="AB893" s="32"/>
    </row>
    <row r="894" spans="1:28" ht="15.6" customHeight="1" x14ac:dyDescent="0.25">
      <c r="A894" s="24"/>
      <c r="B894" s="24"/>
      <c r="C894" s="25"/>
      <c r="D894" s="25"/>
      <c r="E894" s="25"/>
      <c r="F894" s="25"/>
      <c r="G894" s="26"/>
      <c r="H894" s="27"/>
      <c r="I894" s="24"/>
      <c r="J894" s="24"/>
      <c r="K894" s="28"/>
      <c r="L894" s="29"/>
      <c r="M894" s="29"/>
      <c r="N894" s="29"/>
      <c r="O894" s="27"/>
      <c r="P894" s="30"/>
      <c r="Q894" s="31"/>
      <c r="R894" s="31"/>
      <c r="S894" s="32"/>
      <c r="T894" s="32"/>
      <c r="U894" s="32"/>
      <c r="V894" s="32"/>
      <c r="W894" s="32"/>
      <c r="X894" s="32"/>
      <c r="Y894" s="32"/>
      <c r="Z894" s="32"/>
      <c r="AA894" s="32"/>
      <c r="AB894" s="32"/>
    </row>
    <row r="895" spans="1:28" ht="15.6" customHeight="1" x14ac:dyDescent="0.25">
      <c r="A895" s="24"/>
      <c r="B895" s="24"/>
      <c r="C895" s="25"/>
      <c r="D895" s="25"/>
      <c r="E895" s="25"/>
      <c r="F895" s="25"/>
      <c r="G895" s="26"/>
      <c r="H895" s="27"/>
      <c r="I895" s="24"/>
      <c r="J895" s="24"/>
      <c r="K895" s="28"/>
      <c r="L895" s="29"/>
      <c r="M895" s="29"/>
      <c r="N895" s="29"/>
      <c r="O895" s="27"/>
      <c r="P895" s="30"/>
      <c r="Q895" s="31"/>
      <c r="R895" s="31"/>
      <c r="S895" s="32"/>
      <c r="T895" s="32"/>
      <c r="U895" s="32"/>
      <c r="V895" s="32"/>
      <c r="W895" s="32"/>
      <c r="X895" s="32"/>
      <c r="Y895" s="32"/>
      <c r="Z895" s="32"/>
      <c r="AA895" s="32"/>
      <c r="AB895" s="32"/>
    </row>
    <row r="896" spans="1:28" ht="15.6" customHeight="1" x14ac:dyDescent="0.25">
      <c r="A896" s="24"/>
      <c r="B896" s="24"/>
      <c r="C896" s="25"/>
      <c r="D896" s="25"/>
      <c r="E896" s="25"/>
      <c r="F896" s="25"/>
      <c r="G896" s="26"/>
      <c r="H896" s="27"/>
      <c r="I896" s="24"/>
      <c r="J896" s="24"/>
      <c r="K896" s="28"/>
      <c r="L896" s="29"/>
      <c r="M896" s="29"/>
      <c r="N896" s="29"/>
      <c r="O896" s="27"/>
      <c r="P896" s="30"/>
      <c r="Q896" s="31"/>
      <c r="R896" s="31"/>
      <c r="S896" s="32"/>
      <c r="T896" s="32"/>
      <c r="U896" s="32"/>
      <c r="V896" s="32"/>
      <c r="W896" s="32"/>
      <c r="X896" s="32"/>
      <c r="Y896" s="32"/>
      <c r="Z896" s="32"/>
      <c r="AA896" s="32"/>
      <c r="AB896" s="32"/>
    </row>
    <row r="897" spans="1:28" ht="15.6" customHeight="1" x14ac:dyDescent="0.25">
      <c r="A897" s="24"/>
      <c r="B897" s="24"/>
      <c r="C897" s="25"/>
      <c r="D897" s="25"/>
      <c r="E897" s="25"/>
      <c r="F897" s="25"/>
      <c r="G897" s="26"/>
      <c r="H897" s="27"/>
      <c r="I897" s="24"/>
      <c r="J897" s="24"/>
      <c r="K897" s="28"/>
      <c r="L897" s="29"/>
      <c r="M897" s="29"/>
      <c r="N897" s="29"/>
      <c r="O897" s="27"/>
      <c r="P897" s="30"/>
      <c r="Q897" s="31"/>
      <c r="R897" s="31"/>
      <c r="S897" s="32"/>
      <c r="T897" s="32"/>
      <c r="U897" s="32"/>
      <c r="V897" s="32"/>
      <c r="W897" s="32"/>
      <c r="X897" s="32"/>
      <c r="Y897" s="32"/>
      <c r="Z897" s="32"/>
      <c r="AA897" s="32"/>
      <c r="AB897" s="32"/>
    </row>
    <row r="898" spans="1:28" ht="15.6" customHeight="1" x14ac:dyDescent="0.25">
      <c r="A898" s="24"/>
      <c r="B898" s="24"/>
      <c r="C898" s="25"/>
      <c r="D898" s="25"/>
      <c r="E898" s="25"/>
      <c r="F898" s="25"/>
      <c r="G898" s="26"/>
      <c r="H898" s="27"/>
      <c r="I898" s="24"/>
      <c r="J898" s="24"/>
      <c r="K898" s="28"/>
      <c r="L898" s="29"/>
      <c r="M898" s="29"/>
      <c r="N898" s="29"/>
      <c r="O898" s="27"/>
      <c r="P898" s="30"/>
      <c r="Q898" s="31"/>
      <c r="R898" s="31"/>
      <c r="S898" s="32"/>
      <c r="T898" s="32"/>
      <c r="U898" s="32"/>
      <c r="V898" s="32"/>
      <c r="W898" s="32"/>
      <c r="X898" s="32"/>
      <c r="Y898" s="32"/>
      <c r="Z898" s="32"/>
      <c r="AA898" s="32"/>
      <c r="AB898" s="32"/>
    </row>
    <row r="899" spans="1:28" ht="15.6" customHeight="1" x14ac:dyDescent="0.25">
      <c r="A899" s="24"/>
      <c r="B899" s="24"/>
      <c r="C899" s="25"/>
      <c r="D899" s="25"/>
      <c r="E899" s="25"/>
      <c r="F899" s="25"/>
      <c r="G899" s="26"/>
      <c r="H899" s="27"/>
      <c r="I899" s="24"/>
      <c r="J899" s="24"/>
      <c r="K899" s="28"/>
      <c r="L899" s="29"/>
      <c r="M899" s="29"/>
      <c r="N899" s="29"/>
      <c r="O899" s="27"/>
      <c r="P899" s="30"/>
      <c r="Q899" s="31"/>
      <c r="R899" s="31"/>
      <c r="S899" s="32"/>
      <c r="T899" s="32"/>
      <c r="U899" s="32"/>
      <c r="V899" s="32"/>
      <c r="W899" s="32"/>
      <c r="X899" s="32"/>
      <c r="Y899" s="32"/>
      <c r="Z899" s="32"/>
      <c r="AA899" s="32"/>
      <c r="AB899" s="32"/>
    </row>
    <row r="900" spans="1:28" ht="15.6" customHeight="1" x14ac:dyDescent="0.25">
      <c r="A900" s="24"/>
      <c r="B900" s="24"/>
      <c r="C900" s="25"/>
      <c r="D900" s="25"/>
      <c r="E900" s="25"/>
      <c r="F900" s="25"/>
      <c r="G900" s="26"/>
      <c r="H900" s="27"/>
      <c r="I900" s="24"/>
      <c r="J900" s="24"/>
      <c r="K900" s="28"/>
      <c r="L900" s="29"/>
      <c r="M900" s="29"/>
      <c r="N900" s="29"/>
      <c r="O900" s="27"/>
      <c r="P900" s="30"/>
      <c r="Q900" s="31"/>
      <c r="R900" s="31"/>
      <c r="S900" s="32"/>
      <c r="T900" s="32"/>
      <c r="U900" s="32"/>
      <c r="V900" s="32"/>
      <c r="W900" s="32"/>
      <c r="X900" s="32"/>
      <c r="Y900" s="32"/>
      <c r="Z900" s="32"/>
      <c r="AA900" s="32"/>
      <c r="AB900" s="32"/>
    </row>
    <row r="901" spans="1:28" ht="15.6" customHeight="1" x14ac:dyDescent="0.25">
      <c r="A901" s="24"/>
      <c r="B901" s="24"/>
      <c r="C901" s="25"/>
      <c r="D901" s="25"/>
      <c r="E901" s="25"/>
      <c r="F901" s="25"/>
      <c r="G901" s="26"/>
      <c r="H901" s="27"/>
      <c r="I901" s="24"/>
      <c r="J901" s="24"/>
      <c r="K901" s="28"/>
      <c r="L901" s="29"/>
      <c r="M901" s="29"/>
      <c r="N901" s="29"/>
      <c r="O901" s="27"/>
      <c r="P901" s="30"/>
      <c r="Q901" s="31"/>
      <c r="R901" s="31"/>
      <c r="S901" s="32"/>
      <c r="T901" s="32"/>
      <c r="U901" s="32"/>
      <c r="V901" s="32"/>
      <c r="W901" s="32"/>
      <c r="X901" s="32"/>
      <c r="Y901" s="32"/>
      <c r="Z901" s="32"/>
      <c r="AA901" s="32"/>
      <c r="AB901" s="32"/>
    </row>
    <row r="902" spans="1:28" ht="15.6" customHeight="1" x14ac:dyDescent="0.25">
      <c r="A902" s="24"/>
      <c r="B902" s="24"/>
      <c r="C902" s="25"/>
      <c r="D902" s="25"/>
      <c r="E902" s="25"/>
      <c r="F902" s="25"/>
      <c r="G902" s="26"/>
      <c r="H902" s="27"/>
      <c r="I902" s="24"/>
      <c r="J902" s="24"/>
      <c r="K902" s="28"/>
      <c r="L902" s="29"/>
      <c r="M902" s="29"/>
      <c r="N902" s="29"/>
      <c r="O902" s="27"/>
      <c r="P902" s="30"/>
      <c r="Q902" s="31"/>
      <c r="R902" s="31"/>
      <c r="S902" s="32"/>
      <c r="T902" s="32"/>
      <c r="U902" s="32"/>
      <c r="V902" s="32"/>
      <c r="W902" s="32"/>
      <c r="X902" s="32"/>
      <c r="Y902" s="32"/>
      <c r="Z902" s="32"/>
      <c r="AA902" s="32"/>
      <c r="AB902" s="32"/>
    </row>
    <row r="903" spans="1:28" ht="15.6" customHeight="1" x14ac:dyDescent="0.25">
      <c r="A903" s="24"/>
      <c r="B903" s="24"/>
      <c r="C903" s="25"/>
      <c r="D903" s="25"/>
      <c r="E903" s="25"/>
      <c r="F903" s="25"/>
      <c r="G903" s="26"/>
      <c r="H903" s="27"/>
      <c r="I903" s="24"/>
      <c r="J903" s="24"/>
      <c r="K903" s="28"/>
      <c r="L903" s="29"/>
      <c r="M903" s="29"/>
      <c r="N903" s="29"/>
      <c r="O903" s="27"/>
      <c r="P903" s="30"/>
      <c r="Q903" s="31"/>
      <c r="R903" s="31"/>
      <c r="S903" s="32"/>
      <c r="T903" s="32"/>
      <c r="U903" s="32"/>
      <c r="V903" s="32"/>
      <c r="W903" s="32"/>
      <c r="X903" s="32"/>
      <c r="Y903" s="32"/>
      <c r="Z903" s="32"/>
      <c r="AA903" s="32"/>
      <c r="AB903" s="32"/>
    </row>
    <row r="904" spans="1:28" ht="15.6" customHeight="1" x14ac:dyDescent="0.25">
      <c r="A904" s="24"/>
      <c r="B904" s="24"/>
      <c r="C904" s="25"/>
      <c r="D904" s="25"/>
      <c r="E904" s="25"/>
      <c r="F904" s="25"/>
      <c r="G904" s="26"/>
      <c r="H904" s="27"/>
      <c r="I904" s="24"/>
      <c r="J904" s="24"/>
      <c r="K904" s="28"/>
      <c r="L904" s="29"/>
      <c r="M904" s="29"/>
      <c r="N904" s="29"/>
      <c r="O904" s="27"/>
      <c r="P904" s="30"/>
      <c r="Q904" s="31"/>
      <c r="R904" s="31"/>
      <c r="S904" s="32"/>
      <c r="T904" s="32"/>
      <c r="U904" s="32"/>
      <c r="V904" s="32"/>
      <c r="W904" s="32"/>
      <c r="X904" s="32"/>
      <c r="Y904" s="32"/>
      <c r="Z904" s="32"/>
      <c r="AA904" s="32"/>
      <c r="AB904" s="32"/>
    </row>
    <row r="905" spans="1:28" ht="15.6" customHeight="1" x14ac:dyDescent="0.25">
      <c r="A905" s="24"/>
      <c r="B905" s="24"/>
      <c r="C905" s="25"/>
      <c r="D905" s="25"/>
      <c r="E905" s="25"/>
      <c r="F905" s="25"/>
      <c r="G905" s="26"/>
      <c r="H905" s="27"/>
      <c r="I905" s="24"/>
      <c r="J905" s="24"/>
      <c r="K905" s="28"/>
      <c r="L905" s="29"/>
      <c r="M905" s="29"/>
      <c r="N905" s="29"/>
      <c r="O905" s="27"/>
      <c r="P905" s="30"/>
      <c r="Q905" s="31"/>
      <c r="R905" s="31"/>
      <c r="S905" s="32"/>
      <c r="T905" s="32"/>
      <c r="U905" s="32"/>
      <c r="V905" s="32"/>
      <c r="W905" s="32"/>
      <c r="X905" s="32"/>
      <c r="Y905" s="32"/>
      <c r="Z905" s="32"/>
      <c r="AA905" s="32"/>
      <c r="AB905" s="32"/>
    </row>
    <row r="906" spans="1:28" ht="15.6" customHeight="1" x14ac:dyDescent="0.25">
      <c r="A906" s="24"/>
      <c r="B906" s="24"/>
      <c r="C906" s="25"/>
      <c r="D906" s="25"/>
      <c r="E906" s="25"/>
      <c r="F906" s="25"/>
      <c r="G906" s="26"/>
      <c r="H906" s="27"/>
      <c r="I906" s="24"/>
      <c r="J906" s="24"/>
      <c r="K906" s="28"/>
      <c r="L906" s="29"/>
      <c r="M906" s="29"/>
      <c r="N906" s="29"/>
      <c r="O906" s="27"/>
      <c r="P906" s="30"/>
      <c r="Q906" s="31"/>
      <c r="R906" s="31"/>
      <c r="S906" s="32"/>
      <c r="T906" s="32"/>
      <c r="U906" s="32"/>
      <c r="V906" s="32"/>
      <c r="W906" s="32"/>
      <c r="X906" s="32"/>
      <c r="Y906" s="32"/>
      <c r="Z906" s="32"/>
      <c r="AA906" s="32"/>
      <c r="AB906" s="32"/>
    </row>
    <row r="907" spans="1:28" ht="15.6" customHeight="1" x14ac:dyDescent="0.25">
      <c r="A907" s="24"/>
      <c r="B907" s="24"/>
      <c r="C907" s="25"/>
      <c r="D907" s="25"/>
      <c r="E907" s="25"/>
      <c r="F907" s="25"/>
      <c r="G907" s="26"/>
      <c r="H907" s="27"/>
      <c r="I907" s="24"/>
      <c r="J907" s="24"/>
      <c r="K907" s="28"/>
      <c r="L907" s="29"/>
      <c r="M907" s="29"/>
      <c r="N907" s="29"/>
      <c r="O907" s="27"/>
      <c r="P907" s="30"/>
      <c r="Q907" s="31"/>
      <c r="R907" s="31"/>
      <c r="S907" s="32"/>
      <c r="T907" s="32"/>
      <c r="U907" s="32"/>
      <c r="V907" s="32"/>
      <c r="W907" s="32"/>
      <c r="X907" s="32"/>
      <c r="Y907" s="32"/>
      <c r="Z907" s="32"/>
      <c r="AA907" s="32"/>
      <c r="AB907" s="32"/>
    </row>
    <row r="908" spans="1:28" ht="15.6" customHeight="1" x14ac:dyDescent="0.25">
      <c r="A908" s="24"/>
      <c r="B908" s="24"/>
      <c r="C908" s="25"/>
      <c r="D908" s="25"/>
      <c r="E908" s="25"/>
      <c r="F908" s="25"/>
      <c r="G908" s="26"/>
      <c r="H908" s="27"/>
      <c r="I908" s="24"/>
      <c r="J908" s="24"/>
      <c r="K908" s="28"/>
      <c r="L908" s="29"/>
      <c r="M908" s="29"/>
      <c r="N908" s="29"/>
      <c r="O908" s="27"/>
      <c r="P908" s="30"/>
      <c r="Q908" s="31"/>
      <c r="R908" s="31"/>
      <c r="S908" s="32"/>
      <c r="T908" s="32"/>
      <c r="U908" s="32"/>
      <c r="V908" s="32"/>
      <c r="W908" s="32"/>
      <c r="X908" s="32"/>
      <c r="Y908" s="32"/>
      <c r="Z908" s="32"/>
      <c r="AA908" s="32"/>
      <c r="AB908" s="32"/>
    </row>
    <row r="909" spans="1:28" ht="15.6" customHeight="1" x14ac:dyDescent="0.25">
      <c r="A909" s="24"/>
      <c r="B909" s="24"/>
      <c r="C909" s="25"/>
      <c r="D909" s="25"/>
      <c r="E909" s="25"/>
      <c r="F909" s="25"/>
      <c r="G909" s="26"/>
      <c r="H909" s="27"/>
      <c r="I909" s="24"/>
      <c r="J909" s="24"/>
      <c r="K909" s="28"/>
      <c r="L909" s="29"/>
      <c r="M909" s="29"/>
      <c r="N909" s="29"/>
      <c r="O909" s="27"/>
      <c r="P909" s="30"/>
      <c r="Q909" s="31"/>
      <c r="R909" s="31"/>
      <c r="S909" s="32"/>
      <c r="T909" s="32"/>
      <c r="U909" s="32"/>
      <c r="V909" s="32"/>
      <c r="W909" s="32"/>
      <c r="X909" s="32"/>
      <c r="Y909" s="32"/>
      <c r="Z909" s="32"/>
      <c r="AA909" s="32"/>
      <c r="AB909" s="32"/>
    </row>
    <row r="910" spans="1:28" ht="15.6" customHeight="1" x14ac:dyDescent="0.25">
      <c r="A910" s="24"/>
      <c r="B910" s="24"/>
      <c r="C910" s="25"/>
      <c r="D910" s="25"/>
      <c r="E910" s="25"/>
      <c r="F910" s="25"/>
      <c r="G910" s="26"/>
      <c r="H910" s="27"/>
      <c r="I910" s="24"/>
      <c r="J910" s="24"/>
      <c r="K910" s="28"/>
      <c r="L910" s="29"/>
      <c r="M910" s="29"/>
      <c r="N910" s="29"/>
      <c r="O910" s="27"/>
      <c r="P910" s="30"/>
      <c r="Q910" s="31"/>
      <c r="R910" s="31"/>
      <c r="S910" s="32"/>
      <c r="T910" s="32"/>
      <c r="U910" s="32"/>
      <c r="V910" s="32"/>
      <c r="W910" s="32"/>
      <c r="X910" s="32"/>
      <c r="Y910" s="32"/>
      <c r="Z910" s="32"/>
      <c r="AA910" s="32"/>
      <c r="AB910" s="32"/>
    </row>
    <row r="911" spans="1:28" ht="15.6" customHeight="1" x14ac:dyDescent="0.25">
      <c r="A911" s="24"/>
      <c r="B911" s="24"/>
      <c r="C911" s="25"/>
      <c r="D911" s="25"/>
      <c r="E911" s="25"/>
      <c r="F911" s="25"/>
      <c r="G911" s="26"/>
      <c r="H911" s="27"/>
      <c r="I911" s="24"/>
      <c r="J911" s="24"/>
      <c r="K911" s="28"/>
      <c r="L911" s="29"/>
      <c r="M911" s="29"/>
      <c r="N911" s="29"/>
      <c r="O911" s="27"/>
      <c r="P911" s="30"/>
      <c r="Q911" s="31"/>
      <c r="R911" s="31"/>
      <c r="S911" s="32"/>
      <c r="T911" s="32"/>
      <c r="U911" s="32"/>
      <c r="V911" s="32"/>
      <c r="W911" s="32"/>
      <c r="X911" s="32"/>
      <c r="Y911" s="32"/>
      <c r="Z911" s="32"/>
      <c r="AA911" s="32"/>
      <c r="AB911" s="32"/>
    </row>
    <row r="912" spans="1:28" ht="15.6" customHeight="1" x14ac:dyDescent="0.25">
      <c r="A912" s="24"/>
      <c r="B912" s="24"/>
      <c r="C912" s="25"/>
      <c r="D912" s="25"/>
      <c r="E912" s="25"/>
      <c r="F912" s="25"/>
      <c r="G912" s="26"/>
      <c r="H912" s="27"/>
      <c r="I912" s="24"/>
      <c r="J912" s="24"/>
      <c r="K912" s="28"/>
      <c r="L912" s="29"/>
      <c r="M912" s="29"/>
      <c r="N912" s="29"/>
      <c r="O912" s="27"/>
      <c r="P912" s="30"/>
      <c r="Q912" s="31"/>
      <c r="R912" s="31"/>
      <c r="S912" s="32"/>
      <c r="T912" s="32"/>
      <c r="U912" s="32"/>
      <c r="V912" s="32"/>
      <c r="W912" s="32"/>
      <c r="X912" s="32"/>
      <c r="Y912" s="32"/>
      <c r="Z912" s="32"/>
      <c r="AA912" s="32"/>
      <c r="AB912" s="32"/>
    </row>
    <row r="913" spans="1:28" ht="15.6" customHeight="1" x14ac:dyDescent="0.25">
      <c r="A913" s="24"/>
      <c r="B913" s="24"/>
      <c r="C913" s="25"/>
      <c r="D913" s="25"/>
      <c r="E913" s="25"/>
      <c r="F913" s="25"/>
      <c r="G913" s="26"/>
      <c r="H913" s="27"/>
      <c r="I913" s="24"/>
      <c r="J913" s="24"/>
      <c r="K913" s="28"/>
      <c r="L913" s="29"/>
      <c r="M913" s="29"/>
      <c r="N913" s="29"/>
      <c r="O913" s="27"/>
      <c r="P913" s="30"/>
      <c r="Q913" s="31"/>
      <c r="R913" s="31"/>
      <c r="S913" s="32"/>
      <c r="T913" s="32"/>
      <c r="U913" s="32"/>
      <c r="V913" s="32"/>
      <c r="W913" s="32"/>
      <c r="X913" s="32"/>
      <c r="Y913" s="32"/>
      <c r="Z913" s="32"/>
      <c r="AA913" s="32"/>
      <c r="AB913" s="32"/>
    </row>
    <row r="914" spans="1:28" ht="15.6" customHeight="1" x14ac:dyDescent="0.25">
      <c r="A914" s="24"/>
      <c r="B914" s="24"/>
      <c r="C914" s="25"/>
      <c r="D914" s="25"/>
      <c r="E914" s="25"/>
      <c r="F914" s="25"/>
      <c r="G914" s="26"/>
      <c r="H914" s="27"/>
      <c r="I914" s="24"/>
      <c r="J914" s="24"/>
      <c r="K914" s="28"/>
      <c r="L914" s="29"/>
      <c r="M914" s="29"/>
      <c r="N914" s="29"/>
      <c r="O914" s="27"/>
      <c r="P914" s="30"/>
      <c r="Q914" s="31"/>
      <c r="R914" s="31"/>
      <c r="S914" s="32"/>
      <c r="T914" s="32"/>
      <c r="U914" s="32"/>
      <c r="V914" s="32"/>
      <c r="W914" s="32"/>
      <c r="X914" s="32"/>
      <c r="Y914" s="32"/>
      <c r="Z914" s="32"/>
      <c r="AA914" s="32"/>
      <c r="AB914" s="32"/>
    </row>
    <row r="915" spans="1:28" ht="15.6" customHeight="1" x14ac:dyDescent="0.25">
      <c r="A915" s="24"/>
      <c r="B915" s="24"/>
      <c r="C915" s="25"/>
      <c r="D915" s="25"/>
      <c r="E915" s="25"/>
      <c r="F915" s="25"/>
      <c r="G915" s="26"/>
      <c r="H915" s="27"/>
      <c r="I915" s="24"/>
      <c r="J915" s="24"/>
      <c r="K915" s="28"/>
      <c r="L915" s="29"/>
      <c r="M915" s="29"/>
      <c r="N915" s="29"/>
      <c r="O915" s="27"/>
      <c r="P915" s="30"/>
      <c r="Q915" s="31"/>
      <c r="R915" s="31"/>
      <c r="S915" s="32"/>
      <c r="T915" s="32"/>
      <c r="U915" s="32"/>
      <c r="V915" s="32"/>
      <c r="W915" s="32"/>
      <c r="X915" s="32"/>
      <c r="Y915" s="32"/>
      <c r="Z915" s="32"/>
      <c r="AA915" s="32"/>
      <c r="AB915" s="32"/>
    </row>
    <row r="916" spans="1:28" ht="15.6" customHeight="1" x14ac:dyDescent="0.25">
      <c r="A916" s="24"/>
      <c r="B916" s="24"/>
      <c r="C916" s="25"/>
      <c r="D916" s="25"/>
      <c r="E916" s="25"/>
      <c r="F916" s="25"/>
      <c r="G916" s="26"/>
      <c r="H916" s="27"/>
      <c r="I916" s="24"/>
      <c r="J916" s="24"/>
      <c r="K916" s="28"/>
      <c r="L916" s="29"/>
      <c r="M916" s="29"/>
      <c r="N916" s="29"/>
      <c r="O916" s="27"/>
      <c r="P916" s="30"/>
      <c r="Q916" s="31"/>
      <c r="R916" s="31"/>
      <c r="S916" s="32"/>
      <c r="T916" s="32"/>
      <c r="U916" s="32"/>
      <c r="V916" s="32"/>
      <c r="W916" s="32"/>
      <c r="X916" s="32"/>
      <c r="Y916" s="32"/>
      <c r="Z916" s="32"/>
      <c r="AA916" s="32"/>
      <c r="AB916" s="32"/>
    </row>
    <row r="917" spans="1:28" ht="15.6" customHeight="1" x14ac:dyDescent="0.25">
      <c r="A917" s="24"/>
      <c r="B917" s="24"/>
      <c r="C917" s="25"/>
      <c r="D917" s="25"/>
      <c r="E917" s="25"/>
      <c r="F917" s="25"/>
      <c r="G917" s="26"/>
      <c r="H917" s="27"/>
      <c r="I917" s="24"/>
      <c r="J917" s="24"/>
      <c r="K917" s="28"/>
      <c r="L917" s="29"/>
      <c r="M917" s="29"/>
      <c r="N917" s="29"/>
      <c r="O917" s="27"/>
      <c r="P917" s="30"/>
      <c r="Q917" s="31"/>
      <c r="R917" s="31"/>
      <c r="S917" s="32"/>
      <c r="T917" s="32"/>
      <c r="U917" s="32"/>
      <c r="V917" s="32"/>
      <c r="W917" s="32"/>
      <c r="X917" s="32"/>
      <c r="Y917" s="32"/>
      <c r="Z917" s="32"/>
      <c r="AA917" s="32"/>
      <c r="AB917" s="32"/>
    </row>
    <row r="918" spans="1:28" ht="15.6" customHeight="1" x14ac:dyDescent="0.25">
      <c r="A918" s="24"/>
      <c r="B918" s="24"/>
      <c r="C918" s="25"/>
      <c r="D918" s="25"/>
      <c r="E918" s="25"/>
      <c r="F918" s="25"/>
      <c r="G918" s="26"/>
      <c r="H918" s="27"/>
      <c r="I918" s="24"/>
      <c r="J918" s="24"/>
      <c r="K918" s="28"/>
      <c r="L918" s="29"/>
      <c r="M918" s="29"/>
      <c r="N918" s="29"/>
      <c r="O918" s="27"/>
      <c r="P918" s="30"/>
      <c r="Q918" s="31"/>
      <c r="R918" s="31"/>
      <c r="S918" s="32"/>
      <c r="T918" s="32"/>
      <c r="U918" s="32"/>
      <c r="V918" s="32"/>
      <c r="W918" s="32"/>
      <c r="X918" s="32"/>
      <c r="Y918" s="32"/>
      <c r="Z918" s="32"/>
      <c r="AA918" s="32"/>
      <c r="AB918" s="32"/>
    </row>
    <row r="919" spans="1:28" ht="15.6" customHeight="1" x14ac:dyDescent="0.25">
      <c r="A919" s="24"/>
      <c r="B919" s="24"/>
      <c r="C919" s="25"/>
      <c r="D919" s="25"/>
      <c r="E919" s="25"/>
      <c r="F919" s="25"/>
      <c r="G919" s="26"/>
      <c r="H919" s="27"/>
      <c r="I919" s="24"/>
      <c r="J919" s="24"/>
      <c r="K919" s="28"/>
      <c r="L919" s="29"/>
      <c r="M919" s="29"/>
      <c r="N919" s="29"/>
      <c r="O919" s="27"/>
      <c r="P919" s="30"/>
      <c r="Q919" s="31"/>
      <c r="R919" s="31"/>
      <c r="S919" s="32"/>
      <c r="T919" s="32"/>
      <c r="U919" s="32"/>
      <c r="V919" s="32"/>
      <c r="W919" s="32"/>
      <c r="X919" s="32"/>
      <c r="Y919" s="32"/>
      <c r="Z919" s="32"/>
      <c r="AA919" s="32"/>
      <c r="AB919" s="32"/>
    </row>
    <row r="920" spans="1:28" ht="15.6" customHeight="1" x14ac:dyDescent="0.25">
      <c r="A920" s="24"/>
      <c r="B920" s="24"/>
      <c r="C920" s="25"/>
      <c r="D920" s="25"/>
      <c r="E920" s="25"/>
      <c r="F920" s="25"/>
      <c r="G920" s="26"/>
      <c r="H920" s="27"/>
      <c r="I920" s="24"/>
      <c r="J920" s="24"/>
      <c r="K920" s="28"/>
      <c r="L920" s="29"/>
      <c r="M920" s="29"/>
      <c r="N920" s="29"/>
      <c r="O920" s="27"/>
      <c r="P920" s="30"/>
      <c r="Q920" s="31"/>
      <c r="R920" s="31"/>
      <c r="S920" s="32"/>
      <c r="T920" s="32"/>
      <c r="U920" s="32"/>
      <c r="V920" s="32"/>
      <c r="W920" s="32"/>
      <c r="X920" s="32"/>
      <c r="Y920" s="32"/>
      <c r="Z920" s="32"/>
      <c r="AA920" s="32"/>
      <c r="AB920" s="32"/>
    </row>
    <row r="921" spans="1:28" ht="15.6" customHeight="1" x14ac:dyDescent="0.25">
      <c r="A921" s="24"/>
      <c r="B921" s="24"/>
      <c r="C921" s="25"/>
      <c r="D921" s="25"/>
      <c r="E921" s="25"/>
      <c r="F921" s="25"/>
      <c r="G921" s="26"/>
      <c r="H921" s="27"/>
      <c r="I921" s="24"/>
      <c r="J921" s="24"/>
      <c r="K921" s="28"/>
      <c r="L921" s="29"/>
      <c r="M921" s="29"/>
      <c r="N921" s="29"/>
      <c r="O921" s="27"/>
      <c r="P921" s="30"/>
      <c r="Q921" s="31"/>
      <c r="R921" s="31"/>
      <c r="S921" s="32"/>
      <c r="T921" s="32"/>
      <c r="U921" s="32"/>
      <c r="V921" s="32"/>
      <c r="W921" s="32"/>
      <c r="X921" s="32"/>
      <c r="Y921" s="32"/>
      <c r="Z921" s="32"/>
      <c r="AA921" s="32"/>
      <c r="AB921" s="32"/>
    </row>
    <row r="922" spans="1:28" ht="15.6" customHeight="1" x14ac:dyDescent="0.25">
      <c r="A922" s="24"/>
      <c r="B922" s="24"/>
      <c r="C922" s="25"/>
      <c r="D922" s="25"/>
      <c r="E922" s="25"/>
      <c r="F922" s="25"/>
      <c r="G922" s="26"/>
      <c r="H922" s="27"/>
      <c r="I922" s="24"/>
      <c r="J922" s="24"/>
      <c r="K922" s="28"/>
      <c r="L922" s="29"/>
      <c r="M922" s="29"/>
      <c r="N922" s="29"/>
      <c r="O922" s="27"/>
      <c r="P922" s="30"/>
      <c r="Q922" s="31"/>
      <c r="R922" s="31"/>
      <c r="S922" s="32"/>
      <c r="T922" s="32"/>
      <c r="U922" s="32"/>
      <c r="V922" s="32"/>
      <c r="W922" s="32"/>
      <c r="X922" s="32"/>
      <c r="Y922" s="32"/>
      <c r="Z922" s="32"/>
      <c r="AA922" s="32"/>
      <c r="AB922" s="32"/>
    </row>
    <row r="923" spans="1:28" ht="15.6" customHeight="1" x14ac:dyDescent="0.25">
      <c r="A923" s="24"/>
      <c r="B923" s="24"/>
      <c r="C923" s="25"/>
      <c r="D923" s="25"/>
      <c r="E923" s="25"/>
      <c r="F923" s="25"/>
      <c r="G923" s="26"/>
      <c r="H923" s="27"/>
      <c r="I923" s="24"/>
      <c r="J923" s="24"/>
      <c r="K923" s="28"/>
      <c r="L923" s="29"/>
      <c r="M923" s="29"/>
      <c r="N923" s="29"/>
      <c r="O923" s="27"/>
      <c r="P923" s="30"/>
      <c r="Q923" s="31"/>
      <c r="R923" s="31"/>
      <c r="S923" s="32"/>
      <c r="T923" s="32"/>
      <c r="U923" s="32"/>
      <c r="V923" s="32"/>
      <c r="W923" s="32"/>
      <c r="X923" s="32"/>
      <c r="Y923" s="32"/>
      <c r="Z923" s="32"/>
      <c r="AA923" s="32"/>
      <c r="AB923" s="32"/>
    </row>
    <row r="924" spans="1:28" ht="15.6" customHeight="1" x14ac:dyDescent="0.25">
      <c r="A924" s="24"/>
      <c r="B924" s="24"/>
      <c r="C924" s="25"/>
      <c r="D924" s="25"/>
      <c r="E924" s="25"/>
      <c r="F924" s="25"/>
      <c r="G924" s="26"/>
      <c r="H924" s="27"/>
      <c r="I924" s="24"/>
      <c r="J924" s="24"/>
      <c r="K924" s="28"/>
      <c r="L924" s="29"/>
      <c r="M924" s="29"/>
      <c r="N924" s="29"/>
      <c r="O924" s="27"/>
      <c r="P924" s="30"/>
      <c r="Q924" s="31"/>
      <c r="R924" s="31"/>
      <c r="S924" s="32"/>
      <c r="T924" s="32"/>
      <c r="U924" s="32"/>
      <c r="V924" s="32"/>
      <c r="W924" s="32"/>
      <c r="X924" s="32"/>
      <c r="Y924" s="32"/>
      <c r="Z924" s="32"/>
      <c r="AA924" s="32"/>
      <c r="AB924" s="32"/>
    </row>
    <row r="925" spans="1:28" ht="15.6" customHeight="1" x14ac:dyDescent="0.25">
      <c r="A925" s="24"/>
      <c r="B925" s="24"/>
      <c r="C925" s="25"/>
      <c r="D925" s="25"/>
      <c r="E925" s="25"/>
      <c r="F925" s="25"/>
      <c r="G925" s="26"/>
      <c r="H925" s="27"/>
      <c r="I925" s="24"/>
      <c r="J925" s="24"/>
      <c r="K925" s="28"/>
      <c r="L925" s="29"/>
      <c r="M925" s="29"/>
      <c r="N925" s="29"/>
      <c r="O925" s="27"/>
      <c r="P925" s="30"/>
      <c r="Q925" s="31"/>
      <c r="R925" s="31"/>
      <c r="S925" s="32"/>
      <c r="T925" s="32"/>
      <c r="U925" s="32"/>
      <c r="V925" s="32"/>
      <c r="W925" s="32"/>
      <c r="X925" s="32"/>
      <c r="Y925" s="32"/>
      <c r="Z925" s="32"/>
      <c r="AA925" s="32"/>
      <c r="AB925" s="32"/>
    </row>
    <row r="926" spans="1:28" ht="15.6" customHeight="1" x14ac:dyDescent="0.25">
      <c r="A926" s="24"/>
      <c r="B926" s="24"/>
      <c r="C926" s="25"/>
      <c r="D926" s="25"/>
      <c r="E926" s="25"/>
      <c r="F926" s="25"/>
      <c r="G926" s="26"/>
      <c r="H926" s="27"/>
      <c r="I926" s="24"/>
      <c r="J926" s="24"/>
      <c r="K926" s="28"/>
      <c r="L926" s="29"/>
      <c r="M926" s="29"/>
      <c r="N926" s="29"/>
      <c r="O926" s="27"/>
      <c r="P926" s="30"/>
      <c r="Q926" s="31"/>
      <c r="R926" s="31"/>
      <c r="S926" s="32"/>
      <c r="T926" s="32"/>
      <c r="U926" s="32"/>
      <c r="V926" s="32"/>
      <c r="W926" s="32"/>
      <c r="X926" s="32"/>
      <c r="Y926" s="32"/>
      <c r="Z926" s="32"/>
      <c r="AA926" s="32"/>
      <c r="AB926" s="32"/>
    </row>
    <row r="927" spans="1:28" ht="15.6" customHeight="1" x14ac:dyDescent="0.25">
      <c r="A927" s="24"/>
      <c r="B927" s="24"/>
      <c r="C927" s="25"/>
      <c r="D927" s="25"/>
      <c r="E927" s="25"/>
      <c r="F927" s="25"/>
      <c r="G927" s="26"/>
      <c r="H927" s="27"/>
      <c r="I927" s="24"/>
      <c r="J927" s="24"/>
      <c r="K927" s="28"/>
      <c r="L927" s="29"/>
      <c r="M927" s="29"/>
      <c r="N927" s="29"/>
      <c r="O927" s="27"/>
      <c r="P927" s="30"/>
      <c r="Q927" s="31"/>
      <c r="R927" s="31"/>
      <c r="S927" s="32"/>
      <c r="T927" s="32"/>
      <c r="U927" s="32"/>
      <c r="V927" s="32"/>
      <c r="W927" s="32"/>
      <c r="X927" s="32"/>
      <c r="Y927" s="32"/>
      <c r="Z927" s="32"/>
      <c r="AA927" s="32"/>
      <c r="AB927" s="32"/>
    </row>
    <row r="928" spans="1:28" ht="15.6" customHeight="1" x14ac:dyDescent="0.25">
      <c r="A928" s="24"/>
      <c r="B928" s="24"/>
      <c r="C928" s="25"/>
      <c r="D928" s="25"/>
      <c r="E928" s="25"/>
      <c r="F928" s="25"/>
      <c r="G928" s="26"/>
      <c r="H928" s="27"/>
      <c r="I928" s="24"/>
      <c r="J928" s="24"/>
      <c r="K928" s="28"/>
      <c r="L928" s="29"/>
      <c r="M928" s="29"/>
      <c r="N928" s="29"/>
      <c r="O928" s="27"/>
      <c r="P928" s="30"/>
      <c r="Q928" s="31"/>
      <c r="R928" s="31"/>
      <c r="S928" s="32"/>
      <c r="T928" s="32"/>
      <c r="U928" s="32"/>
      <c r="V928" s="32"/>
      <c r="W928" s="32"/>
      <c r="X928" s="32"/>
      <c r="Y928" s="32"/>
      <c r="Z928" s="32"/>
      <c r="AA928" s="32"/>
      <c r="AB928" s="32"/>
    </row>
    <row r="929" spans="1:28" ht="15.6" customHeight="1" x14ac:dyDescent="0.25">
      <c r="A929" s="24"/>
      <c r="B929" s="24"/>
      <c r="C929" s="25"/>
      <c r="D929" s="25"/>
      <c r="E929" s="25"/>
      <c r="F929" s="25"/>
      <c r="G929" s="26"/>
      <c r="H929" s="27"/>
      <c r="I929" s="24"/>
      <c r="J929" s="24"/>
      <c r="K929" s="28"/>
      <c r="L929" s="29"/>
      <c r="M929" s="29"/>
      <c r="N929" s="29"/>
      <c r="O929" s="27"/>
      <c r="P929" s="30"/>
      <c r="Q929" s="31"/>
      <c r="R929" s="31"/>
      <c r="S929" s="32"/>
      <c r="T929" s="32"/>
      <c r="U929" s="32"/>
      <c r="V929" s="32"/>
      <c r="W929" s="32"/>
      <c r="X929" s="32"/>
      <c r="Y929" s="32"/>
      <c r="Z929" s="32"/>
      <c r="AA929" s="32"/>
      <c r="AB929" s="32"/>
    </row>
    <row r="930" spans="1:28" ht="15.6" customHeight="1" x14ac:dyDescent="0.25">
      <c r="A930" s="24"/>
      <c r="B930" s="24"/>
      <c r="C930" s="25"/>
      <c r="D930" s="25"/>
      <c r="E930" s="25"/>
      <c r="F930" s="25"/>
      <c r="G930" s="26"/>
      <c r="H930" s="27"/>
      <c r="I930" s="24"/>
      <c r="J930" s="24"/>
      <c r="K930" s="28"/>
      <c r="L930" s="29"/>
      <c r="M930" s="29"/>
      <c r="N930" s="29"/>
      <c r="O930" s="27"/>
      <c r="P930" s="30"/>
      <c r="Q930" s="31"/>
      <c r="R930" s="31"/>
      <c r="S930" s="32"/>
      <c r="T930" s="32"/>
      <c r="U930" s="32"/>
      <c r="V930" s="32"/>
      <c r="W930" s="32"/>
      <c r="X930" s="32"/>
      <c r="Y930" s="32"/>
      <c r="Z930" s="32"/>
      <c r="AA930" s="32"/>
      <c r="AB930" s="32"/>
    </row>
    <row r="931" spans="1:28" ht="15.6" customHeight="1" x14ac:dyDescent="0.25">
      <c r="A931" s="24"/>
      <c r="B931" s="24"/>
      <c r="C931" s="25"/>
      <c r="D931" s="25"/>
      <c r="E931" s="25"/>
      <c r="F931" s="25"/>
      <c r="G931" s="26"/>
      <c r="H931" s="27"/>
      <c r="I931" s="24"/>
      <c r="J931" s="24"/>
      <c r="K931" s="28"/>
      <c r="L931" s="29"/>
      <c r="M931" s="29"/>
      <c r="N931" s="29"/>
      <c r="O931" s="27"/>
      <c r="P931" s="30"/>
      <c r="Q931" s="31"/>
      <c r="R931" s="31"/>
      <c r="S931" s="32"/>
      <c r="T931" s="32"/>
      <c r="U931" s="32"/>
      <c r="V931" s="32"/>
      <c r="W931" s="32"/>
      <c r="X931" s="32"/>
      <c r="Y931" s="32"/>
      <c r="Z931" s="32"/>
      <c r="AA931" s="32"/>
      <c r="AB931" s="32"/>
    </row>
    <row r="932" spans="1:28" ht="15.6" customHeight="1" x14ac:dyDescent="0.25">
      <c r="A932" s="24"/>
      <c r="B932" s="24"/>
      <c r="C932" s="25"/>
      <c r="D932" s="25"/>
      <c r="E932" s="25"/>
      <c r="F932" s="25"/>
      <c r="G932" s="26"/>
      <c r="H932" s="27"/>
      <c r="I932" s="24"/>
      <c r="J932" s="24"/>
      <c r="K932" s="28"/>
      <c r="L932" s="29"/>
      <c r="M932" s="29"/>
      <c r="N932" s="29"/>
      <c r="O932" s="27"/>
      <c r="P932" s="30"/>
      <c r="Q932" s="31"/>
      <c r="R932" s="31"/>
      <c r="S932" s="32"/>
      <c r="T932" s="32"/>
      <c r="U932" s="32"/>
      <c r="V932" s="32"/>
      <c r="W932" s="32"/>
      <c r="X932" s="32"/>
      <c r="Y932" s="32"/>
      <c r="Z932" s="32"/>
      <c r="AA932" s="32"/>
      <c r="AB932" s="32"/>
    </row>
    <row r="933" spans="1:28" ht="15.6" customHeight="1" x14ac:dyDescent="0.25">
      <c r="A933" s="24"/>
      <c r="B933" s="24"/>
      <c r="C933" s="25"/>
      <c r="D933" s="25"/>
      <c r="E933" s="25"/>
      <c r="F933" s="25"/>
      <c r="G933" s="26"/>
      <c r="H933" s="27"/>
      <c r="I933" s="24"/>
      <c r="J933" s="24"/>
      <c r="K933" s="28"/>
      <c r="L933" s="29"/>
      <c r="M933" s="29"/>
      <c r="N933" s="29"/>
      <c r="O933" s="27"/>
      <c r="P933" s="30"/>
      <c r="Q933" s="31"/>
      <c r="R933" s="31"/>
      <c r="S933" s="32"/>
      <c r="T933" s="32"/>
      <c r="U933" s="32"/>
      <c r="V933" s="32"/>
      <c r="W933" s="32"/>
      <c r="X933" s="32"/>
      <c r="Y933" s="32"/>
      <c r="Z933" s="32"/>
      <c r="AA933" s="32"/>
      <c r="AB933" s="32"/>
    </row>
    <row r="934" spans="1:28" ht="15.6" customHeight="1" x14ac:dyDescent="0.25">
      <c r="A934" s="24"/>
      <c r="B934" s="24"/>
      <c r="C934" s="25"/>
      <c r="D934" s="25"/>
      <c r="E934" s="25"/>
      <c r="F934" s="25"/>
      <c r="G934" s="26"/>
      <c r="H934" s="27"/>
      <c r="I934" s="24"/>
      <c r="J934" s="24"/>
      <c r="K934" s="28"/>
      <c r="L934" s="29"/>
      <c r="M934" s="29"/>
      <c r="N934" s="29"/>
      <c r="O934" s="27"/>
      <c r="P934" s="30"/>
      <c r="Q934" s="31"/>
      <c r="R934" s="31"/>
      <c r="S934" s="32"/>
      <c r="T934" s="32"/>
      <c r="U934" s="32"/>
      <c r="V934" s="32"/>
      <c r="W934" s="32"/>
      <c r="X934" s="32"/>
      <c r="Y934" s="32"/>
      <c r="Z934" s="32"/>
      <c r="AA934" s="32"/>
      <c r="AB934" s="32"/>
    </row>
    <row r="935" spans="1:28" ht="15.6" customHeight="1" x14ac:dyDescent="0.25">
      <c r="A935" s="24"/>
      <c r="B935" s="24"/>
      <c r="C935" s="25"/>
      <c r="D935" s="25"/>
      <c r="E935" s="25"/>
      <c r="F935" s="25"/>
      <c r="G935" s="26"/>
      <c r="H935" s="27"/>
      <c r="I935" s="24"/>
      <c r="J935" s="24"/>
      <c r="K935" s="28"/>
      <c r="L935" s="29"/>
      <c r="M935" s="29"/>
      <c r="N935" s="29"/>
      <c r="O935" s="27"/>
      <c r="P935" s="30"/>
      <c r="Q935" s="31"/>
      <c r="R935" s="31"/>
      <c r="S935" s="32"/>
      <c r="T935" s="32"/>
      <c r="U935" s="32"/>
      <c r="V935" s="32"/>
      <c r="W935" s="32"/>
      <c r="X935" s="32"/>
      <c r="Y935" s="32"/>
      <c r="Z935" s="32"/>
      <c r="AA935" s="32"/>
      <c r="AB935" s="32"/>
    </row>
    <row r="936" spans="1:28" ht="15.6" customHeight="1" x14ac:dyDescent="0.25">
      <c r="A936" s="24"/>
      <c r="B936" s="24"/>
      <c r="C936" s="25"/>
      <c r="D936" s="25"/>
      <c r="E936" s="25"/>
      <c r="F936" s="25"/>
      <c r="G936" s="26"/>
      <c r="H936" s="27"/>
      <c r="I936" s="24"/>
      <c r="J936" s="24"/>
      <c r="K936" s="28"/>
      <c r="L936" s="29"/>
      <c r="M936" s="29"/>
      <c r="N936" s="29"/>
      <c r="O936" s="27"/>
      <c r="P936" s="30"/>
      <c r="Q936" s="31"/>
      <c r="R936" s="31"/>
      <c r="S936" s="32"/>
      <c r="T936" s="32"/>
      <c r="U936" s="32"/>
      <c r="V936" s="32"/>
      <c r="W936" s="32"/>
      <c r="X936" s="32"/>
      <c r="Y936" s="32"/>
      <c r="Z936" s="32"/>
      <c r="AA936" s="32"/>
      <c r="AB936" s="32"/>
    </row>
    <row r="937" spans="1:28" ht="15.6" customHeight="1" x14ac:dyDescent="0.25">
      <c r="A937" s="24"/>
      <c r="B937" s="24"/>
      <c r="C937" s="25"/>
      <c r="D937" s="25"/>
      <c r="E937" s="25"/>
      <c r="F937" s="25"/>
      <c r="G937" s="26"/>
      <c r="H937" s="27"/>
      <c r="I937" s="24"/>
      <c r="J937" s="24"/>
      <c r="K937" s="28"/>
      <c r="L937" s="29"/>
      <c r="M937" s="29"/>
      <c r="N937" s="29"/>
      <c r="O937" s="27"/>
      <c r="P937" s="30"/>
      <c r="Q937" s="31"/>
      <c r="R937" s="31"/>
      <c r="S937" s="32"/>
      <c r="T937" s="32"/>
      <c r="U937" s="32"/>
      <c r="V937" s="32"/>
      <c r="W937" s="32"/>
      <c r="X937" s="32"/>
      <c r="Y937" s="32"/>
      <c r="Z937" s="32"/>
      <c r="AA937" s="32"/>
      <c r="AB937" s="32"/>
    </row>
    <row r="938" spans="1:28" ht="15.6" customHeight="1" x14ac:dyDescent="0.25">
      <c r="A938" s="24"/>
      <c r="B938" s="24"/>
      <c r="C938" s="25"/>
      <c r="D938" s="25"/>
      <c r="E938" s="25"/>
      <c r="F938" s="25"/>
      <c r="G938" s="26"/>
      <c r="H938" s="27"/>
      <c r="I938" s="24"/>
      <c r="J938" s="24"/>
      <c r="K938" s="28"/>
      <c r="L938" s="29"/>
      <c r="M938" s="29"/>
      <c r="N938" s="29"/>
      <c r="O938" s="27"/>
      <c r="P938" s="30"/>
      <c r="Q938" s="31"/>
      <c r="R938" s="31"/>
      <c r="S938" s="32"/>
      <c r="T938" s="32"/>
      <c r="U938" s="32"/>
      <c r="V938" s="32"/>
      <c r="W938" s="32"/>
      <c r="X938" s="32"/>
      <c r="Y938" s="32"/>
      <c r="Z938" s="32"/>
      <c r="AA938" s="32"/>
      <c r="AB938" s="32"/>
    </row>
    <row r="939" spans="1:28" ht="15.6" customHeight="1" x14ac:dyDescent="0.25">
      <c r="A939" s="24"/>
      <c r="B939" s="24"/>
      <c r="C939" s="25"/>
      <c r="D939" s="25"/>
      <c r="E939" s="25"/>
      <c r="F939" s="25"/>
      <c r="G939" s="26"/>
      <c r="H939" s="27"/>
      <c r="I939" s="24"/>
      <c r="J939" s="24"/>
      <c r="K939" s="28"/>
      <c r="L939" s="29"/>
      <c r="M939" s="29"/>
      <c r="N939" s="29"/>
      <c r="O939" s="27"/>
      <c r="P939" s="30"/>
      <c r="Q939" s="31"/>
      <c r="R939" s="31"/>
      <c r="S939" s="32"/>
      <c r="T939" s="32"/>
      <c r="U939" s="32"/>
      <c r="V939" s="32"/>
      <c r="W939" s="32"/>
      <c r="X939" s="32"/>
      <c r="Y939" s="32"/>
      <c r="Z939" s="32"/>
      <c r="AA939" s="32"/>
      <c r="AB939" s="32"/>
    </row>
    <row r="940" spans="1:28" ht="15.6" customHeight="1" x14ac:dyDescent="0.25">
      <c r="A940" s="24"/>
      <c r="B940" s="24"/>
      <c r="C940" s="25"/>
      <c r="D940" s="25"/>
      <c r="E940" s="25"/>
      <c r="F940" s="25"/>
      <c r="G940" s="26"/>
      <c r="H940" s="27"/>
      <c r="I940" s="24"/>
      <c r="J940" s="24"/>
      <c r="K940" s="28"/>
      <c r="L940" s="29"/>
      <c r="M940" s="29"/>
      <c r="N940" s="29"/>
      <c r="O940" s="27"/>
      <c r="P940" s="30"/>
      <c r="Q940" s="31"/>
      <c r="R940" s="31"/>
      <c r="S940" s="32"/>
      <c r="T940" s="32"/>
      <c r="U940" s="32"/>
      <c r="V940" s="32"/>
      <c r="W940" s="32"/>
      <c r="X940" s="32"/>
      <c r="Y940" s="32"/>
      <c r="Z940" s="32"/>
      <c r="AA940" s="32"/>
      <c r="AB940" s="32"/>
    </row>
    <row r="941" spans="1:28" ht="15.6" customHeight="1" x14ac:dyDescent="0.25">
      <c r="A941" s="24"/>
      <c r="B941" s="24"/>
      <c r="C941" s="25"/>
      <c r="D941" s="25"/>
      <c r="E941" s="25"/>
      <c r="F941" s="25"/>
      <c r="G941" s="26"/>
      <c r="H941" s="27"/>
      <c r="I941" s="24"/>
      <c r="J941" s="24"/>
      <c r="K941" s="28"/>
      <c r="L941" s="29"/>
      <c r="M941" s="29"/>
      <c r="N941" s="29"/>
      <c r="O941" s="27"/>
      <c r="P941" s="30"/>
      <c r="Q941" s="31"/>
      <c r="R941" s="31"/>
      <c r="S941" s="32"/>
      <c r="T941" s="32"/>
      <c r="U941" s="32"/>
      <c r="V941" s="32"/>
      <c r="W941" s="32"/>
      <c r="X941" s="32"/>
      <c r="Y941" s="32"/>
      <c r="Z941" s="32"/>
      <c r="AA941" s="32"/>
      <c r="AB941" s="32"/>
    </row>
    <row r="942" spans="1:28" ht="15.6" customHeight="1" x14ac:dyDescent="0.25">
      <c r="A942" s="24"/>
      <c r="B942" s="24"/>
      <c r="C942" s="25"/>
      <c r="D942" s="25"/>
      <c r="E942" s="25"/>
      <c r="F942" s="25"/>
      <c r="G942" s="26"/>
      <c r="H942" s="27"/>
      <c r="I942" s="24"/>
      <c r="J942" s="24"/>
      <c r="K942" s="28"/>
      <c r="L942" s="29"/>
      <c r="M942" s="29"/>
      <c r="N942" s="29"/>
      <c r="O942" s="27"/>
      <c r="P942" s="30"/>
      <c r="Q942" s="31"/>
      <c r="R942" s="31"/>
      <c r="S942" s="32"/>
      <c r="T942" s="32"/>
      <c r="U942" s="32"/>
      <c r="V942" s="32"/>
      <c r="W942" s="32"/>
      <c r="X942" s="32"/>
      <c r="Y942" s="32"/>
      <c r="Z942" s="32"/>
      <c r="AA942" s="32"/>
      <c r="AB942" s="32"/>
    </row>
    <row r="943" spans="1:28" ht="15.6" customHeight="1" x14ac:dyDescent="0.25">
      <c r="A943" s="24"/>
      <c r="B943" s="24"/>
      <c r="C943" s="25"/>
      <c r="D943" s="25"/>
      <c r="E943" s="25"/>
      <c r="F943" s="25"/>
      <c r="G943" s="26"/>
      <c r="H943" s="27"/>
      <c r="I943" s="24"/>
      <c r="J943" s="24"/>
      <c r="K943" s="28"/>
      <c r="L943" s="29"/>
      <c r="M943" s="29"/>
      <c r="N943" s="29"/>
      <c r="O943" s="27"/>
      <c r="P943" s="30"/>
      <c r="Q943" s="31"/>
      <c r="R943" s="31"/>
      <c r="S943" s="32"/>
      <c r="T943" s="32"/>
      <c r="U943" s="32"/>
      <c r="V943" s="32"/>
      <c r="W943" s="32"/>
      <c r="X943" s="32"/>
      <c r="Y943" s="32"/>
      <c r="Z943" s="32"/>
      <c r="AA943" s="32"/>
      <c r="AB943" s="32"/>
    </row>
    <row r="944" spans="1:28" ht="15.6" customHeight="1" x14ac:dyDescent="0.25">
      <c r="A944" s="24"/>
      <c r="B944" s="24"/>
      <c r="C944" s="25"/>
      <c r="D944" s="25"/>
      <c r="E944" s="25"/>
      <c r="F944" s="25"/>
      <c r="G944" s="26"/>
      <c r="H944" s="27"/>
      <c r="I944" s="24"/>
      <c r="J944" s="24"/>
      <c r="K944" s="28"/>
      <c r="L944" s="29"/>
      <c r="M944" s="29"/>
      <c r="N944" s="29"/>
      <c r="O944" s="27"/>
      <c r="P944" s="30"/>
      <c r="Q944" s="31"/>
      <c r="R944" s="31"/>
      <c r="S944" s="32"/>
      <c r="T944" s="32"/>
      <c r="U944" s="32"/>
      <c r="V944" s="32"/>
      <c r="W944" s="32"/>
      <c r="X944" s="32"/>
      <c r="Y944" s="32"/>
      <c r="Z944" s="32"/>
      <c r="AA944" s="32"/>
      <c r="AB944" s="32"/>
    </row>
    <row r="945" spans="1:28" ht="15.6" customHeight="1" x14ac:dyDescent="0.25">
      <c r="A945" s="24"/>
      <c r="B945" s="24"/>
      <c r="C945" s="25"/>
      <c r="D945" s="25"/>
      <c r="E945" s="25"/>
      <c r="F945" s="25"/>
      <c r="G945" s="26"/>
      <c r="H945" s="27"/>
      <c r="I945" s="24"/>
      <c r="J945" s="24"/>
      <c r="K945" s="28"/>
      <c r="L945" s="29"/>
      <c r="M945" s="29"/>
      <c r="N945" s="29"/>
      <c r="O945" s="27"/>
      <c r="P945" s="30"/>
      <c r="Q945" s="31"/>
      <c r="R945" s="31"/>
      <c r="S945" s="32"/>
      <c r="T945" s="32"/>
      <c r="U945" s="32"/>
      <c r="V945" s="32"/>
      <c r="W945" s="32"/>
      <c r="X945" s="32"/>
      <c r="Y945" s="32"/>
      <c r="Z945" s="32"/>
      <c r="AA945" s="32"/>
      <c r="AB945" s="32"/>
    </row>
    <row r="946" spans="1:28" ht="15.6" customHeight="1" x14ac:dyDescent="0.25">
      <c r="A946" s="24"/>
      <c r="B946" s="24"/>
      <c r="C946" s="25"/>
      <c r="D946" s="25"/>
      <c r="E946" s="25"/>
      <c r="F946" s="25"/>
      <c r="G946" s="26"/>
      <c r="H946" s="27"/>
      <c r="I946" s="24"/>
      <c r="J946" s="24"/>
      <c r="K946" s="28"/>
      <c r="L946" s="29"/>
      <c r="M946" s="29"/>
      <c r="N946" s="29"/>
      <c r="O946" s="27"/>
      <c r="P946" s="30"/>
      <c r="Q946" s="31"/>
      <c r="R946" s="31"/>
      <c r="S946" s="32"/>
      <c r="T946" s="32"/>
      <c r="U946" s="32"/>
      <c r="V946" s="32"/>
      <c r="W946" s="32"/>
      <c r="X946" s="32"/>
      <c r="Y946" s="32"/>
      <c r="Z946" s="32"/>
      <c r="AA946" s="32"/>
      <c r="AB946" s="32"/>
    </row>
    <row r="947" spans="1:28" ht="15.6" customHeight="1" x14ac:dyDescent="0.25">
      <c r="A947" s="24"/>
      <c r="B947" s="24"/>
      <c r="C947" s="25"/>
      <c r="D947" s="25"/>
      <c r="E947" s="25"/>
      <c r="F947" s="25"/>
      <c r="G947" s="26"/>
      <c r="H947" s="27"/>
      <c r="I947" s="24"/>
      <c r="J947" s="24"/>
      <c r="K947" s="28"/>
      <c r="L947" s="29"/>
      <c r="M947" s="29"/>
      <c r="N947" s="29"/>
      <c r="O947" s="27"/>
      <c r="P947" s="30"/>
      <c r="Q947" s="31"/>
      <c r="R947" s="31"/>
      <c r="S947" s="32"/>
      <c r="T947" s="32"/>
      <c r="U947" s="32"/>
      <c r="V947" s="32"/>
      <c r="W947" s="32"/>
      <c r="X947" s="32"/>
      <c r="Y947" s="32"/>
      <c r="Z947" s="32"/>
      <c r="AA947" s="32"/>
      <c r="AB947" s="32"/>
    </row>
    <row r="948" spans="1:28" ht="15.6" customHeight="1" x14ac:dyDescent="0.25">
      <c r="A948" s="24"/>
      <c r="B948" s="24"/>
      <c r="C948" s="25"/>
      <c r="D948" s="25"/>
      <c r="E948" s="25"/>
      <c r="F948" s="25"/>
      <c r="G948" s="26"/>
      <c r="H948" s="27"/>
      <c r="I948" s="24"/>
      <c r="J948" s="24"/>
      <c r="K948" s="28"/>
      <c r="L948" s="29"/>
      <c r="M948" s="29"/>
      <c r="N948" s="29"/>
      <c r="O948" s="27"/>
      <c r="P948" s="30"/>
      <c r="Q948" s="31"/>
      <c r="R948" s="31"/>
      <c r="S948" s="32"/>
      <c r="T948" s="32"/>
      <c r="U948" s="32"/>
      <c r="V948" s="32"/>
      <c r="W948" s="32"/>
      <c r="X948" s="32"/>
      <c r="Y948" s="32"/>
      <c r="Z948" s="32"/>
      <c r="AA948" s="32"/>
      <c r="AB948" s="32"/>
    </row>
    <row r="949" spans="1:28" ht="15.6" customHeight="1" x14ac:dyDescent="0.25">
      <c r="A949" s="24"/>
      <c r="B949" s="24"/>
      <c r="C949" s="25"/>
      <c r="D949" s="25"/>
      <c r="E949" s="25"/>
      <c r="F949" s="25"/>
      <c r="G949" s="26"/>
      <c r="H949" s="27"/>
      <c r="I949" s="24"/>
      <c r="J949" s="24"/>
      <c r="K949" s="28"/>
      <c r="L949" s="29"/>
      <c r="M949" s="29"/>
      <c r="N949" s="29"/>
      <c r="O949" s="27"/>
      <c r="P949" s="30"/>
      <c r="Q949" s="31"/>
      <c r="R949" s="31"/>
      <c r="S949" s="32"/>
      <c r="T949" s="32"/>
      <c r="U949" s="32"/>
      <c r="V949" s="32"/>
      <c r="W949" s="32"/>
      <c r="X949" s="32"/>
      <c r="Y949" s="32"/>
      <c r="Z949" s="32"/>
      <c r="AA949" s="32"/>
      <c r="AB949" s="32"/>
    </row>
    <row r="950" spans="1:28" ht="15.6" customHeight="1" x14ac:dyDescent="0.25">
      <c r="A950" s="24"/>
      <c r="B950" s="24"/>
      <c r="C950" s="25"/>
      <c r="D950" s="25"/>
      <c r="E950" s="25"/>
      <c r="F950" s="25"/>
      <c r="G950" s="26"/>
      <c r="H950" s="27"/>
      <c r="I950" s="24"/>
      <c r="J950" s="24"/>
      <c r="K950" s="28"/>
      <c r="L950" s="29"/>
      <c r="M950" s="29"/>
      <c r="N950" s="29"/>
      <c r="O950" s="27"/>
      <c r="P950" s="30"/>
      <c r="Q950" s="31"/>
      <c r="R950" s="31"/>
      <c r="S950" s="32"/>
      <c r="T950" s="32"/>
      <c r="U950" s="32"/>
      <c r="V950" s="32"/>
      <c r="W950" s="32"/>
      <c r="X950" s="32"/>
      <c r="Y950" s="32"/>
      <c r="Z950" s="32"/>
      <c r="AA950" s="32"/>
      <c r="AB950" s="32"/>
    </row>
    <row r="951" spans="1:28" ht="15.6" customHeight="1" x14ac:dyDescent="0.25">
      <c r="A951" s="24"/>
      <c r="B951" s="24"/>
      <c r="C951" s="25"/>
      <c r="D951" s="25"/>
      <c r="E951" s="25"/>
      <c r="F951" s="25"/>
      <c r="G951" s="26"/>
      <c r="H951" s="27"/>
      <c r="I951" s="24"/>
      <c r="J951" s="24"/>
      <c r="K951" s="28"/>
      <c r="L951" s="29"/>
      <c r="M951" s="29"/>
      <c r="N951" s="29"/>
      <c r="O951" s="27"/>
      <c r="P951" s="30"/>
      <c r="Q951" s="31"/>
      <c r="R951" s="31"/>
      <c r="S951" s="32"/>
      <c r="T951" s="32"/>
      <c r="U951" s="32"/>
      <c r="V951" s="32"/>
      <c r="W951" s="32"/>
      <c r="X951" s="32"/>
      <c r="Y951" s="32"/>
      <c r="Z951" s="32"/>
      <c r="AA951" s="32"/>
      <c r="AB951" s="32"/>
    </row>
    <row r="952" spans="1:28" ht="15.6" customHeight="1" x14ac:dyDescent="0.25">
      <c r="A952" s="24"/>
      <c r="B952" s="24"/>
      <c r="C952" s="25"/>
      <c r="D952" s="25"/>
      <c r="E952" s="25"/>
      <c r="F952" s="25"/>
      <c r="G952" s="26"/>
      <c r="H952" s="27"/>
      <c r="I952" s="24"/>
      <c r="J952" s="24"/>
      <c r="K952" s="28"/>
      <c r="L952" s="29"/>
      <c r="M952" s="29"/>
      <c r="N952" s="29"/>
      <c r="O952" s="27"/>
      <c r="P952" s="30"/>
      <c r="Q952" s="31"/>
      <c r="R952" s="31"/>
      <c r="S952" s="32"/>
      <c r="T952" s="32"/>
      <c r="U952" s="32"/>
      <c r="V952" s="32"/>
      <c r="W952" s="32"/>
      <c r="X952" s="32"/>
      <c r="Y952" s="32"/>
      <c r="Z952" s="32"/>
      <c r="AA952" s="32"/>
      <c r="AB952" s="32"/>
    </row>
    <row r="953" spans="1:28" ht="15.6" customHeight="1" x14ac:dyDescent="0.25">
      <c r="A953" s="24"/>
      <c r="B953" s="24"/>
      <c r="C953" s="25"/>
      <c r="D953" s="25"/>
      <c r="E953" s="25"/>
      <c r="F953" s="25"/>
      <c r="G953" s="26"/>
      <c r="H953" s="27"/>
      <c r="I953" s="24"/>
      <c r="J953" s="24"/>
      <c r="K953" s="28"/>
      <c r="L953" s="29"/>
      <c r="M953" s="29"/>
      <c r="N953" s="29"/>
      <c r="O953" s="27"/>
      <c r="P953" s="30"/>
      <c r="Q953" s="31"/>
      <c r="R953" s="31"/>
      <c r="S953" s="32"/>
      <c r="T953" s="32"/>
      <c r="U953" s="32"/>
      <c r="V953" s="32"/>
      <c r="W953" s="32"/>
      <c r="X953" s="32"/>
      <c r="Y953" s="32"/>
      <c r="Z953" s="32"/>
      <c r="AA953" s="32"/>
      <c r="AB953" s="32"/>
    </row>
    <row r="954" spans="1:28" ht="15.6" customHeight="1" x14ac:dyDescent="0.25">
      <c r="A954" s="24"/>
      <c r="B954" s="24"/>
      <c r="C954" s="25"/>
      <c r="D954" s="25"/>
      <c r="E954" s="25"/>
      <c r="F954" s="25"/>
      <c r="G954" s="26"/>
      <c r="H954" s="27"/>
      <c r="I954" s="24"/>
      <c r="J954" s="24"/>
      <c r="K954" s="28"/>
      <c r="L954" s="29"/>
      <c r="M954" s="29"/>
      <c r="N954" s="29"/>
      <c r="O954" s="27"/>
      <c r="P954" s="30"/>
      <c r="Q954" s="31"/>
      <c r="R954" s="31"/>
      <c r="S954" s="32"/>
      <c r="T954" s="32"/>
      <c r="U954" s="32"/>
      <c r="V954" s="32"/>
      <c r="W954" s="32"/>
      <c r="X954" s="32"/>
      <c r="Y954" s="32"/>
      <c r="Z954" s="32"/>
      <c r="AA954" s="32"/>
      <c r="AB954" s="32"/>
    </row>
    <row r="955" spans="1:28" ht="15.6" customHeight="1" x14ac:dyDescent="0.25">
      <c r="A955" s="24"/>
      <c r="B955" s="24"/>
      <c r="C955" s="25"/>
      <c r="D955" s="25"/>
      <c r="E955" s="25"/>
      <c r="F955" s="25"/>
      <c r="G955" s="26"/>
      <c r="H955" s="27"/>
      <c r="I955" s="24"/>
      <c r="J955" s="24"/>
      <c r="K955" s="28"/>
      <c r="L955" s="29"/>
      <c r="M955" s="29"/>
      <c r="N955" s="29"/>
      <c r="O955" s="27"/>
      <c r="P955" s="30"/>
      <c r="Q955" s="31"/>
      <c r="R955" s="31"/>
      <c r="S955" s="32"/>
      <c r="T955" s="32"/>
      <c r="U955" s="32"/>
      <c r="V955" s="32"/>
      <c r="W955" s="32"/>
      <c r="X955" s="32"/>
      <c r="Y955" s="32"/>
      <c r="Z955" s="32"/>
      <c r="AA955" s="32"/>
      <c r="AB955" s="32"/>
    </row>
    <row r="956" spans="1:28" ht="15.6" customHeight="1" x14ac:dyDescent="0.25">
      <c r="A956" s="24"/>
      <c r="B956" s="24"/>
      <c r="C956" s="25"/>
      <c r="D956" s="25"/>
      <c r="E956" s="25"/>
      <c r="F956" s="25"/>
      <c r="G956" s="26"/>
      <c r="H956" s="27"/>
      <c r="I956" s="24"/>
      <c r="J956" s="24"/>
      <c r="K956" s="28"/>
      <c r="L956" s="29"/>
      <c r="M956" s="29"/>
      <c r="N956" s="29"/>
      <c r="O956" s="27"/>
      <c r="P956" s="30"/>
      <c r="Q956" s="31"/>
      <c r="R956" s="31"/>
      <c r="S956" s="32"/>
      <c r="T956" s="32"/>
      <c r="U956" s="32"/>
      <c r="V956" s="32"/>
      <c r="W956" s="32"/>
      <c r="X956" s="32"/>
      <c r="Y956" s="32"/>
      <c r="Z956" s="32"/>
      <c r="AA956" s="32"/>
      <c r="AB956" s="32"/>
    </row>
    <row r="957" spans="1:28" ht="15.6" customHeight="1" x14ac:dyDescent="0.25">
      <c r="A957" s="24"/>
      <c r="B957" s="24"/>
      <c r="C957" s="25"/>
      <c r="D957" s="25"/>
      <c r="E957" s="25"/>
      <c r="F957" s="25"/>
      <c r="G957" s="26"/>
      <c r="H957" s="27"/>
      <c r="I957" s="24"/>
      <c r="J957" s="24"/>
      <c r="K957" s="28"/>
      <c r="L957" s="29"/>
      <c r="M957" s="29"/>
      <c r="N957" s="29"/>
      <c r="O957" s="27"/>
      <c r="P957" s="30"/>
      <c r="Q957" s="31"/>
      <c r="R957" s="31"/>
      <c r="S957" s="32"/>
      <c r="T957" s="32"/>
      <c r="U957" s="32"/>
      <c r="V957" s="32"/>
      <c r="W957" s="32"/>
      <c r="X957" s="32"/>
      <c r="Y957" s="32"/>
      <c r="Z957" s="32"/>
      <c r="AA957" s="32"/>
      <c r="AB957" s="32"/>
    </row>
    <row r="958" spans="1:28" ht="15.6" customHeight="1" x14ac:dyDescent="0.25">
      <c r="A958" s="24"/>
      <c r="B958" s="24"/>
      <c r="C958" s="25"/>
      <c r="D958" s="25"/>
      <c r="E958" s="25"/>
      <c r="F958" s="25"/>
      <c r="G958" s="26"/>
      <c r="H958" s="27"/>
      <c r="I958" s="24"/>
      <c r="J958" s="24"/>
      <c r="K958" s="28"/>
      <c r="L958" s="29"/>
      <c r="M958" s="29"/>
      <c r="N958" s="29"/>
      <c r="O958" s="27"/>
      <c r="P958" s="30"/>
      <c r="Q958" s="31"/>
      <c r="R958" s="31"/>
      <c r="S958" s="32"/>
      <c r="T958" s="32"/>
      <c r="U958" s="32"/>
      <c r="V958" s="32"/>
      <c r="W958" s="32"/>
      <c r="X958" s="32"/>
      <c r="Y958" s="32"/>
      <c r="Z958" s="32"/>
      <c r="AA958" s="32"/>
      <c r="AB958" s="32"/>
    </row>
    <row r="959" spans="1:28" ht="15.6" customHeight="1" x14ac:dyDescent="0.25">
      <c r="A959" s="24"/>
      <c r="B959" s="24"/>
      <c r="C959" s="25"/>
      <c r="D959" s="25"/>
      <c r="E959" s="25"/>
      <c r="F959" s="25"/>
      <c r="G959" s="26"/>
      <c r="H959" s="27"/>
      <c r="I959" s="24"/>
      <c r="J959" s="24"/>
      <c r="K959" s="28"/>
      <c r="L959" s="29"/>
      <c r="M959" s="29"/>
      <c r="N959" s="29"/>
      <c r="O959" s="27"/>
      <c r="P959" s="30"/>
      <c r="Q959" s="31"/>
      <c r="R959" s="31"/>
      <c r="S959" s="32"/>
      <c r="T959" s="32"/>
      <c r="U959" s="32"/>
      <c r="V959" s="32"/>
      <c r="W959" s="32"/>
      <c r="X959" s="32"/>
      <c r="Y959" s="32"/>
      <c r="Z959" s="32"/>
      <c r="AA959" s="32"/>
      <c r="AB959" s="32"/>
    </row>
    <row r="960" spans="1:28" ht="15.6" customHeight="1" x14ac:dyDescent="0.25">
      <c r="A960" s="24"/>
      <c r="B960" s="24"/>
      <c r="C960" s="25"/>
      <c r="D960" s="25"/>
      <c r="E960" s="25"/>
      <c r="F960" s="25"/>
      <c r="G960" s="26"/>
      <c r="H960" s="27"/>
      <c r="I960" s="24"/>
      <c r="J960" s="24"/>
      <c r="K960" s="28"/>
      <c r="L960" s="29"/>
      <c r="M960" s="29"/>
      <c r="N960" s="29"/>
      <c r="O960" s="27"/>
      <c r="P960" s="30"/>
      <c r="Q960" s="31"/>
      <c r="R960" s="31"/>
      <c r="S960" s="32"/>
      <c r="T960" s="32"/>
      <c r="U960" s="32"/>
      <c r="V960" s="32"/>
      <c r="W960" s="32"/>
      <c r="X960" s="32"/>
      <c r="Y960" s="32"/>
      <c r="Z960" s="32"/>
      <c r="AA960" s="32"/>
      <c r="AB960" s="32"/>
    </row>
    <row r="961" spans="1:28" ht="15.6" customHeight="1" x14ac:dyDescent="0.25">
      <c r="A961" s="24"/>
      <c r="B961" s="24"/>
      <c r="C961" s="25"/>
      <c r="D961" s="25"/>
      <c r="E961" s="25"/>
      <c r="F961" s="25"/>
      <c r="G961" s="26"/>
      <c r="H961" s="27"/>
      <c r="I961" s="24"/>
      <c r="J961" s="24"/>
      <c r="K961" s="28"/>
      <c r="L961" s="29"/>
      <c r="M961" s="29"/>
      <c r="N961" s="29"/>
      <c r="O961" s="27"/>
      <c r="P961" s="30"/>
      <c r="Q961" s="31"/>
      <c r="R961" s="31"/>
      <c r="S961" s="32"/>
      <c r="T961" s="32"/>
      <c r="U961" s="32"/>
      <c r="V961" s="32"/>
      <c r="W961" s="32"/>
      <c r="X961" s="32"/>
      <c r="Y961" s="32"/>
      <c r="Z961" s="32"/>
      <c r="AA961" s="32"/>
      <c r="AB961" s="32"/>
    </row>
    <row r="962" spans="1:28" ht="15.6" customHeight="1" x14ac:dyDescent="0.25">
      <c r="A962" s="24"/>
      <c r="B962" s="24"/>
      <c r="C962" s="25"/>
      <c r="D962" s="25"/>
      <c r="E962" s="25"/>
      <c r="F962" s="25"/>
      <c r="G962" s="26"/>
      <c r="H962" s="27"/>
      <c r="I962" s="24"/>
      <c r="J962" s="24"/>
      <c r="K962" s="28"/>
      <c r="L962" s="29"/>
      <c r="M962" s="29"/>
      <c r="N962" s="29"/>
      <c r="O962" s="27"/>
      <c r="P962" s="30"/>
      <c r="Q962" s="31"/>
      <c r="R962" s="31"/>
      <c r="S962" s="32"/>
      <c r="T962" s="32"/>
      <c r="U962" s="32"/>
      <c r="V962" s="32"/>
      <c r="W962" s="32"/>
      <c r="X962" s="32"/>
      <c r="Y962" s="32"/>
      <c r="Z962" s="32"/>
      <c r="AA962" s="32"/>
      <c r="AB962" s="32"/>
    </row>
    <row r="963" spans="1:28" ht="15.6" customHeight="1" x14ac:dyDescent="0.25">
      <c r="A963" s="24"/>
      <c r="B963" s="24"/>
      <c r="C963" s="25"/>
      <c r="D963" s="25"/>
      <c r="E963" s="25"/>
      <c r="F963" s="25"/>
      <c r="G963" s="26"/>
      <c r="H963" s="27"/>
      <c r="I963" s="24"/>
      <c r="J963" s="24"/>
      <c r="K963" s="28"/>
      <c r="L963" s="29"/>
      <c r="M963" s="29"/>
      <c r="N963" s="29"/>
      <c r="O963" s="27"/>
      <c r="P963" s="30"/>
      <c r="Q963" s="31"/>
      <c r="R963" s="31"/>
      <c r="S963" s="32"/>
      <c r="T963" s="32"/>
      <c r="U963" s="32"/>
      <c r="V963" s="32"/>
      <c r="W963" s="32"/>
      <c r="X963" s="32"/>
      <c r="Y963" s="32"/>
      <c r="Z963" s="32"/>
      <c r="AA963" s="32"/>
      <c r="AB963" s="32"/>
    </row>
    <row r="964" spans="1:28" ht="15.6" customHeight="1" x14ac:dyDescent="0.25">
      <c r="A964" s="24"/>
      <c r="B964" s="24"/>
      <c r="C964" s="25"/>
      <c r="D964" s="25"/>
      <c r="E964" s="25"/>
      <c r="F964" s="25"/>
      <c r="G964" s="26"/>
      <c r="H964" s="27"/>
      <c r="I964" s="24"/>
      <c r="J964" s="24"/>
      <c r="K964" s="28"/>
      <c r="L964" s="29"/>
      <c r="M964" s="29"/>
      <c r="N964" s="29"/>
      <c r="O964" s="27"/>
      <c r="P964" s="30"/>
      <c r="Q964" s="31"/>
      <c r="R964" s="31"/>
      <c r="S964" s="32"/>
      <c r="T964" s="32"/>
      <c r="U964" s="32"/>
      <c r="V964" s="32"/>
      <c r="W964" s="32"/>
      <c r="X964" s="32"/>
      <c r="Y964" s="32"/>
      <c r="Z964" s="32"/>
      <c r="AA964" s="32"/>
      <c r="AB964" s="32"/>
    </row>
    <row r="965" spans="1:28" ht="15.6" customHeight="1" x14ac:dyDescent="0.25">
      <c r="A965" s="24"/>
      <c r="B965" s="24"/>
      <c r="C965" s="25"/>
      <c r="D965" s="25"/>
      <c r="E965" s="25"/>
      <c r="F965" s="25"/>
      <c r="G965" s="26"/>
      <c r="H965" s="27"/>
      <c r="I965" s="24"/>
      <c r="J965" s="24"/>
      <c r="K965" s="28"/>
      <c r="L965" s="29"/>
      <c r="M965" s="29"/>
      <c r="N965" s="29"/>
      <c r="O965" s="27"/>
      <c r="P965" s="30"/>
      <c r="Q965" s="31"/>
      <c r="R965" s="31"/>
      <c r="S965" s="32"/>
      <c r="T965" s="32"/>
      <c r="U965" s="32"/>
      <c r="V965" s="32"/>
      <c r="W965" s="32"/>
      <c r="X965" s="32"/>
      <c r="Y965" s="32"/>
      <c r="Z965" s="32"/>
      <c r="AA965" s="32"/>
      <c r="AB965" s="32"/>
    </row>
    <row r="966" spans="1:28" ht="15.6" customHeight="1" x14ac:dyDescent="0.25">
      <c r="A966" s="24"/>
      <c r="B966" s="24"/>
      <c r="C966" s="25"/>
      <c r="D966" s="25"/>
      <c r="E966" s="25"/>
      <c r="F966" s="25"/>
      <c r="G966" s="26"/>
      <c r="H966" s="27"/>
      <c r="I966" s="24"/>
      <c r="J966" s="24"/>
      <c r="K966" s="28"/>
      <c r="L966" s="29"/>
      <c r="M966" s="29"/>
      <c r="N966" s="29"/>
      <c r="O966" s="27"/>
      <c r="P966" s="30"/>
      <c r="Q966" s="31"/>
      <c r="R966" s="31"/>
      <c r="S966" s="32"/>
      <c r="T966" s="32"/>
      <c r="U966" s="32"/>
      <c r="V966" s="32"/>
      <c r="W966" s="32"/>
      <c r="X966" s="32"/>
      <c r="Y966" s="32"/>
      <c r="Z966" s="32"/>
      <c r="AA966" s="32"/>
      <c r="AB966" s="32"/>
    </row>
    <row r="967" spans="1:28" ht="15.6" customHeight="1" x14ac:dyDescent="0.25">
      <c r="A967" s="24"/>
      <c r="B967" s="24"/>
      <c r="C967" s="25"/>
      <c r="D967" s="25"/>
      <c r="E967" s="25"/>
      <c r="F967" s="25"/>
      <c r="G967" s="26"/>
      <c r="H967" s="27"/>
      <c r="I967" s="24"/>
      <c r="J967" s="24"/>
      <c r="K967" s="28"/>
      <c r="L967" s="29"/>
      <c r="M967" s="29"/>
      <c r="N967" s="29"/>
      <c r="O967" s="27"/>
      <c r="P967" s="30"/>
      <c r="Q967" s="31"/>
      <c r="R967" s="31"/>
      <c r="S967" s="32"/>
      <c r="T967" s="32"/>
      <c r="U967" s="32"/>
      <c r="V967" s="32"/>
      <c r="W967" s="32"/>
      <c r="X967" s="32"/>
      <c r="Y967" s="32"/>
      <c r="Z967" s="32"/>
      <c r="AA967" s="32"/>
      <c r="AB967" s="32"/>
    </row>
    <row r="968" spans="1:28" ht="15.6" customHeight="1" x14ac:dyDescent="0.25">
      <c r="A968" s="24"/>
      <c r="B968" s="24"/>
      <c r="C968" s="25"/>
      <c r="D968" s="25"/>
      <c r="E968" s="25"/>
      <c r="F968" s="25"/>
      <c r="G968" s="26"/>
      <c r="H968" s="27"/>
      <c r="I968" s="24"/>
      <c r="J968" s="24"/>
      <c r="K968" s="28"/>
      <c r="L968" s="29"/>
      <c r="M968" s="29"/>
      <c r="N968" s="29"/>
      <c r="O968" s="27"/>
      <c r="P968" s="30"/>
      <c r="Q968" s="31"/>
      <c r="R968" s="31"/>
      <c r="S968" s="32"/>
      <c r="T968" s="32"/>
      <c r="U968" s="32"/>
      <c r="V968" s="32"/>
      <c r="W968" s="32"/>
      <c r="X968" s="32"/>
      <c r="Y968" s="32"/>
      <c r="Z968" s="32"/>
      <c r="AA968" s="32"/>
      <c r="AB968" s="32"/>
    </row>
    <row r="969" spans="1:28" ht="15.6" customHeight="1" x14ac:dyDescent="0.25">
      <c r="A969" s="24"/>
      <c r="B969" s="24"/>
      <c r="C969" s="25"/>
      <c r="D969" s="25"/>
      <c r="E969" s="25"/>
      <c r="F969" s="25"/>
      <c r="G969" s="26"/>
      <c r="H969" s="27"/>
      <c r="I969" s="24"/>
      <c r="J969" s="24"/>
      <c r="K969" s="28"/>
      <c r="L969" s="29"/>
      <c r="M969" s="29"/>
      <c r="N969" s="29"/>
      <c r="O969" s="27"/>
      <c r="P969" s="30"/>
      <c r="Q969" s="31"/>
      <c r="R969" s="31"/>
      <c r="S969" s="32"/>
      <c r="T969" s="32"/>
      <c r="U969" s="32"/>
      <c r="V969" s="32"/>
      <c r="W969" s="32"/>
      <c r="X969" s="32"/>
      <c r="Y969" s="32"/>
      <c r="Z969" s="32"/>
      <c r="AA969" s="32"/>
      <c r="AB969" s="32"/>
    </row>
    <row r="970" spans="1:28" ht="15.6" customHeight="1" x14ac:dyDescent="0.25">
      <c r="A970" s="24"/>
      <c r="B970" s="24"/>
      <c r="C970" s="25"/>
      <c r="D970" s="25"/>
      <c r="E970" s="25"/>
      <c r="F970" s="25"/>
      <c r="G970" s="26"/>
      <c r="H970" s="27"/>
      <c r="I970" s="24"/>
      <c r="J970" s="24"/>
      <c r="K970" s="28"/>
      <c r="L970" s="29"/>
      <c r="M970" s="29"/>
      <c r="N970" s="29"/>
      <c r="O970" s="27"/>
      <c r="P970" s="30"/>
      <c r="Q970" s="31"/>
      <c r="R970" s="31"/>
      <c r="S970" s="32"/>
      <c r="T970" s="32"/>
      <c r="U970" s="32"/>
      <c r="V970" s="32"/>
      <c r="W970" s="32"/>
      <c r="X970" s="32"/>
      <c r="Y970" s="32"/>
      <c r="Z970" s="32"/>
      <c r="AA970" s="32"/>
      <c r="AB970" s="32"/>
    </row>
    <row r="971" spans="1:28" ht="15.6" customHeight="1" x14ac:dyDescent="0.25">
      <c r="A971" s="24"/>
      <c r="B971" s="24"/>
      <c r="C971" s="25"/>
      <c r="D971" s="25"/>
      <c r="E971" s="25"/>
      <c r="F971" s="25"/>
      <c r="G971" s="26"/>
      <c r="H971" s="27"/>
      <c r="I971" s="24"/>
      <c r="J971" s="24"/>
      <c r="K971" s="28"/>
      <c r="L971" s="29"/>
      <c r="M971" s="29"/>
      <c r="N971" s="29"/>
      <c r="O971" s="27"/>
      <c r="P971" s="30"/>
      <c r="Q971" s="31"/>
      <c r="R971" s="31"/>
      <c r="S971" s="32"/>
      <c r="T971" s="32"/>
      <c r="U971" s="32"/>
      <c r="V971" s="32"/>
      <c r="W971" s="32"/>
      <c r="X971" s="32"/>
      <c r="Y971" s="32"/>
      <c r="Z971" s="32"/>
      <c r="AA971" s="32"/>
      <c r="AB971" s="32"/>
    </row>
    <row r="972" spans="1:28" ht="15.6" customHeight="1" x14ac:dyDescent="0.25">
      <c r="A972" s="24"/>
      <c r="B972" s="24"/>
      <c r="C972" s="25"/>
      <c r="D972" s="25"/>
      <c r="E972" s="25"/>
      <c r="F972" s="25"/>
      <c r="G972" s="26"/>
      <c r="H972" s="27"/>
      <c r="I972" s="24"/>
      <c r="J972" s="24"/>
      <c r="K972" s="28"/>
      <c r="L972" s="29"/>
      <c r="M972" s="29"/>
      <c r="N972" s="29"/>
      <c r="O972" s="27"/>
      <c r="P972" s="30"/>
      <c r="Q972" s="31"/>
      <c r="R972" s="31"/>
      <c r="S972" s="32"/>
      <c r="T972" s="32"/>
      <c r="U972" s="32"/>
      <c r="V972" s="32"/>
      <c r="W972" s="32"/>
      <c r="X972" s="32"/>
      <c r="Y972" s="32"/>
      <c r="Z972" s="32"/>
      <c r="AA972" s="32"/>
      <c r="AB972" s="32"/>
    </row>
    <row r="973" spans="1:28" ht="15.6" customHeight="1" x14ac:dyDescent="0.25">
      <c r="A973" s="24"/>
      <c r="B973" s="24"/>
      <c r="C973" s="25"/>
      <c r="D973" s="25"/>
      <c r="E973" s="25"/>
      <c r="F973" s="25"/>
      <c r="G973" s="26"/>
      <c r="H973" s="27"/>
      <c r="I973" s="24"/>
      <c r="J973" s="24"/>
      <c r="K973" s="28"/>
      <c r="L973" s="29"/>
      <c r="M973" s="29"/>
      <c r="N973" s="29"/>
      <c r="O973" s="27"/>
      <c r="P973" s="30"/>
      <c r="Q973" s="31"/>
      <c r="R973" s="31"/>
      <c r="S973" s="32"/>
      <c r="T973" s="32"/>
      <c r="U973" s="32"/>
      <c r="V973" s="32"/>
      <c r="W973" s="32"/>
      <c r="X973" s="32"/>
      <c r="Y973" s="32"/>
      <c r="Z973" s="32"/>
      <c r="AA973" s="32"/>
      <c r="AB973" s="32"/>
    </row>
    <row r="974" spans="1:28" ht="15.6" customHeight="1" x14ac:dyDescent="0.25">
      <c r="A974" s="24"/>
      <c r="B974" s="24"/>
      <c r="C974" s="25"/>
      <c r="D974" s="25"/>
      <c r="E974" s="25"/>
      <c r="F974" s="25"/>
      <c r="G974" s="26"/>
      <c r="H974" s="27"/>
      <c r="I974" s="24"/>
      <c r="J974" s="24"/>
      <c r="K974" s="28"/>
      <c r="L974" s="29"/>
      <c r="M974" s="29"/>
      <c r="N974" s="29"/>
      <c r="O974" s="27"/>
      <c r="P974" s="30"/>
      <c r="Q974" s="31"/>
      <c r="R974" s="31"/>
      <c r="S974" s="32"/>
      <c r="T974" s="32"/>
      <c r="U974" s="32"/>
      <c r="V974" s="32"/>
      <c r="W974" s="32"/>
      <c r="X974" s="32"/>
      <c r="Y974" s="32"/>
      <c r="Z974" s="32"/>
      <c r="AA974" s="32"/>
      <c r="AB974" s="32"/>
    </row>
    <row r="975" spans="1:28" ht="15.6" customHeight="1" x14ac:dyDescent="0.25">
      <c r="A975" s="24"/>
      <c r="B975" s="24"/>
      <c r="C975" s="25"/>
      <c r="D975" s="25"/>
      <c r="E975" s="25"/>
      <c r="F975" s="25"/>
      <c r="G975" s="26"/>
      <c r="H975" s="27"/>
      <c r="I975" s="24"/>
      <c r="J975" s="24"/>
      <c r="K975" s="28"/>
      <c r="L975" s="29"/>
      <c r="M975" s="29"/>
      <c r="N975" s="29"/>
      <c r="O975" s="27"/>
      <c r="P975" s="30"/>
      <c r="Q975" s="31"/>
      <c r="R975" s="31"/>
      <c r="S975" s="32"/>
      <c r="T975" s="32"/>
      <c r="U975" s="32"/>
      <c r="V975" s="32"/>
      <c r="W975" s="32"/>
      <c r="X975" s="32"/>
      <c r="Y975" s="32"/>
      <c r="Z975" s="32"/>
      <c r="AA975" s="32"/>
      <c r="AB975" s="32"/>
    </row>
    <row r="976" spans="1:28" ht="15.6" customHeight="1" x14ac:dyDescent="0.25">
      <c r="A976" s="24"/>
      <c r="B976" s="24"/>
      <c r="C976" s="25"/>
      <c r="D976" s="25"/>
      <c r="E976" s="25"/>
      <c r="F976" s="25"/>
      <c r="G976" s="26"/>
      <c r="H976" s="27"/>
      <c r="I976" s="24"/>
      <c r="J976" s="24"/>
      <c r="K976" s="28"/>
      <c r="L976" s="29"/>
      <c r="M976" s="29"/>
      <c r="N976" s="29"/>
      <c r="O976" s="27"/>
      <c r="P976" s="30"/>
      <c r="Q976" s="31"/>
      <c r="R976" s="31"/>
      <c r="S976" s="32"/>
      <c r="T976" s="32"/>
      <c r="U976" s="32"/>
      <c r="V976" s="32"/>
      <c r="W976" s="32"/>
      <c r="X976" s="32"/>
      <c r="Y976" s="32"/>
      <c r="Z976" s="32"/>
      <c r="AA976" s="32"/>
      <c r="AB976" s="32"/>
    </row>
    <row r="977" spans="1:28" ht="15.6" customHeight="1" x14ac:dyDescent="0.25">
      <c r="A977" s="24"/>
      <c r="B977" s="24"/>
      <c r="C977" s="25"/>
      <c r="D977" s="25"/>
      <c r="E977" s="25"/>
      <c r="F977" s="25"/>
      <c r="G977" s="26"/>
      <c r="H977" s="27"/>
      <c r="I977" s="24"/>
      <c r="J977" s="24"/>
      <c r="K977" s="28"/>
      <c r="L977" s="29"/>
      <c r="M977" s="29"/>
      <c r="N977" s="29"/>
      <c r="O977" s="27"/>
      <c r="P977" s="30"/>
      <c r="Q977" s="31"/>
      <c r="R977" s="31"/>
      <c r="S977" s="32"/>
      <c r="T977" s="32"/>
      <c r="U977" s="32"/>
      <c r="V977" s="32"/>
      <c r="W977" s="32"/>
      <c r="X977" s="32"/>
      <c r="Y977" s="32"/>
      <c r="Z977" s="32"/>
      <c r="AA977" s="32"/>
      <c r="AB977" s="32"/>
    </row>
    <row r="978" spans="1:28" ht="15.6" customHeight="1" x14ac:dyDescent="0.25">
      <c r="A978" s="24"/>
      <c r="B978" s="24"/>
      <c r="C978" s="25"/>
      <c r="D978" s="25"/>
      <c r="E978" s="25"/>
      <c r="F978" s="25"/>
      <c r="G978" s="26"/>
      <c r="H978" s="27"/>
      <c r="I978" s="24"/>
      <c r="J978" s="24"/>
      <c r="K978" s="28"/>
      <c r="L978" s="29"/>
      <c r="M978" s="29"/>
      <c r="N978" s="29"/>
      <c r="O978" s="27"/>
      <c r="P978" s="30"/>
      <c r="Q978" s="31"/>
      <c r="R978" s="31"/>
      <c r="S978" s="32"/>
      <c r="T978" s="32"/>
      <c r="U978" s="32"/>
      <c r="V978" s="32"/>
      <c r="W978" s="32"/>
      <c r="X978" s="32"/>
      <c r="Y978" s="32"/>
      <c r="Z978" s="32"/>
      <c r="AA978" s="32"/>
      <c r="AB978" s="32"/>
    </row>
    <row r="979" spans="1:28" ht="15.6" customHeight="1" x14ac:dyDescent="0.25">
      <c r="A979" s="24"/>
      <c r="B979" s="24"/>
      <c r="C979" s="25"/>
      <c r="D979" s="25"/>
      <c r="E979" s="25"/>
      <c r="F979" s="25"/>
      <c r="G979" s="26"/>
      <c r="H979" s="27"/>
      <c r="I979" s="24"/>
      <c r="J979" s="24"/>
      <c r="K979" s="28"/>
      <c r="L979" s="29"/>
      <c r="M979" s="29"/>
      <c r="N979" s="29"/>
      <c r="O979" s="27"/>
      <c r="P979" s="30"/>
      <c r="Q979" s="31"/>
      <c r="R979" s="31"/>
      <c r="S979" s="32"/>
      <c r="T979" s="32"/>
      <c r="U979" s="32"/>
      <c r="V979" s="32"/>
      <c r="W979" s="32"/>
      <c r="X979" s="32"/>
      <c r="Y979" s="32"/>
      <c r="Z979" s="32"/>
      <c r="AA979" s="32"/>
      <c r="AB979" s="32"/>
    </row>
    <row r="980" spans="1:28" ht="15.6" customHeight="1" x14ac:dyDescent="0.25">
      <c r="A980" s="24"/>
      <c r="B980" s="24"/>
      <c r="C980" s="25"/>
      <c r="D980" s="25"/>
      <c r="E980" s="25"/>
      <c r="F980" s="25"/>
      <c r="G980" s="26"/>
      <c r="H980" s="27"/>
      <c r="I980" s="24"/>
      <c r="J980" s="24"/>
      <c r="K980" s="28"/>
      <c r="L980" s="29"/>
      <c r="M980" s="29"/>
      <c r="N980" s="29"/>
      <c r="O980" s="27"/>
      <c r="P980" s="30"/>
      <c r="Q980" s="31"/>
      <c r="R980" s="31"/>
      <c r="S980" s="32"/>
      <c r="T980" s="32"/>
      <c r="U980" s="32"/>
      <c r="V980" s="32"/>
      <c r="W980" s="32"/>
      <c r="X980" s="32"/>
      <c r="Y980" s="32"/>
      <c r="Z980" s="32"/>
      <c r="AA980" s="32"/>
      <c r="AB980" s="32"/>
    </row>
    <row r="981" spans="1:28" ht="15.6" customHeight="1" x14ac:dyDescent="0.25">
      <c r="A981" s="24"/>
      <c r="B981" s="24"/>
      <c r="C981" s="25"/>
      <c r="D981" s="25"/>
      <c r="E981" s="25"/>
      <c r="F981" s="25"/>
      <c r="G981" s="26"/>
      <c r="H981" s="27"/>
      <c r="I981" s="24"/>
      <c r="J981" s="24"/>
      <c r="K981" s="28"/>
      <c r="L981" s="29"/>
      <c r="M981" s="29"/>
      <c r="N981" s="29"/>
      <c r="O981" s="27"/>
      <c r="P981" s="30"/>
      <c r="Q981" s="31"/>
      <c r="R981" s="31"/>
      <c r="S981" s="32"/>
      <c r="T981" s="32"/>
      <c r="U981" s="32"/>
      <c r="V981" s="32"/>
      <c r="W981" s="32"/>
      <c r="X981" s="32"/>
      <c r="Y981" s="32"/>
      <c r="Z981" s="32"/>
      <c r="AA981" s="32"/>
      <c r="AB981" s="32"/>
    </row>
    <row r="982" spans="1:28" ht="15.6" customHeight="1" x14ac:dyDescent="0.25">
      <c r="A982" s="24"/>
      <c r="B982" s="24"/>
      <c r="C982" s="25"/>
      <c r="D982" s="25"/>
      <c r="E982" s="25"/>
      <c r="F982" s="25"/>
      <c r="G982" s="26"/>
      <c r="H982" s="27"/>
      <c r="I982" s="24"/>
      <c r="J982" s="24"/>
      <c r="K982" s="28"/>
      <c r="L982" s="29"/>
      <c r="M982" s="29"/>
      <c r="N982" s="29"/>
      <c r="O982" s="27"/>
      <c r="P982" s="30"/>
      <c r="Q982" s="31"/>
      <c r="R982" s="31"/>
      <c r="S982" s="32"/>
      <c r="T982" s="32"/>
      <c r="U982" s="32"/>
      <c r="V982" s="32"/>
      <c r="W982" s="32"/>
      <c r="X982" s="32"/>
      <c r="Y982" s="32"/>
      <c r="Z982" s="32"/>
      <c r="AA982" s="32"/>
      <c r="AB982" s="32"/>
    </row>
    <row r="983" spans="1:28" ht="15.6" customHeight="1" x14ac:dyDescent="0.25">
      <c r="A983" s="24"/>
      <c r="B983" s="24"/>
      <c r="C983" s="25"/>
      <c r="D983" s="25"/>
      <c r="E983" s="25"/>
      <c r="F983" s="25"/>
      <c r="G983" s="26"/>
      <c r="H983" s="27"/>
      <c r="I983" s="24"/>
      <c r="J983" s="24"/>
      <c r="K983" s="28"/>
      <c r="L983" s="29"/>
      <c r="M983" s="29"/>
      <c r="N983" s="29"/>
      <c r="O983" s="27"/>
      <c r="P983" s="30"/>
      <c r="Q983" s="31"/>
      <c r="R983" s="31"/>
      <c r="S983" s="32"/>
      <c r="T983" s="32"/>
      <c r="U983" s="32"/>
      <c r="V983" s="32"/>
      <c r="W983" s="32"/>
      <c r="X983" s="32"/>
      <c r="Y983" s="32"/>
      <c r="Z983" s="32"/>
      <c r="AA983" s="32"/>
      <c r="AB983" s="32"/>
    </row>
    <row r="984" spans="1:28" ht="15.6" customHeight="1" x14ac:dyDescent="0.25">
      <c r="A984" s="24"/>
      <c r="B984" s="24"/>
      <c r="C984" s="25"/>
      <c r="D984" s="25"/>
      <c r="E984" s="25"/>
      <c r="F984" s="25"/>
      <c r="G984" s="26"/>
      <c r="H984" s="27"/>
      <c r="I984" s="24"/>
      <c r="J984" s="24"/>
      <c r="K984" s="28"/>
      <c r="L984" s="29"/>
      <c r="M984" s="29"/>
      <c r="N984" s="29"/>
      <c r="O984" s="27"/>
      <c r="P984" s="30"/>
      <c r="Q984" s="31"/>
      <c r="R984" s="31"/>
      <c r="S984" s="32"/>
      <c r="T984" s="32"/>
      <c r="U984" s="32"/>
      <c r="V984" s="32"/>
      <c r="W984" s="32"/>
      <c r="X984" s="32"/>
      <c r="Y984" s="32"/>
      <c r="Z984" s="32"/>
      <c r="AA984" s="32"/>
      <c r="AB984" s="32"/>
    </row>
    <row r="985" spans="1:28" ht="15.6" customHeight="1" x14ac:dyDescent="0.25">
      <c r="A985" s="24"/>
      <c r="B985" s="24"/>
      <c r="C985" s="25"/>
      <c r="D985" s="25"/>
      <c r="E985" s="25"/>
      <c r="F985" s="25"/>
      <c r="G985" s="26"/>
      <c r="H985" s="27"/>
      <c r="I985" s="24"/>
      <c r="J985" s="24"/>
      <c r="K985" s="28"/>
      <c r="L985" s="29"/>
      <c r="M985" s="29"/>
      <c r="N985" s="29"/>
      <c r="O985" s="27"/>
      <c r="P985" s="30"/>
      <c r="Q985" s="31"/>
      <c r="R985" s="31"/>
      <c r="S985" s="32"/>
      <c r="T985" s="32"/>
      <c r="U985" s="32"/>
      <c r="V985" s="32"/>
      <c r="W985" s="32"/>
      <c r="X985" s="32"/>
      <c r="Y985" s="32"/>
      <c r="Z985" s="32"/>
      <c r="AA985" s="32"/>
      <c r="AB985" s="32"/>
    </row>
    <row r="986" spans="1:28" ht="15.6" customHeight="1" x14ac:dyDescent="0.25">
      <c r="A986" s="24"/>
      <c r="B986" s="24"/>
      <c r="C986" s="25"/>
      <c r="D986" s="25"/>
      <c r="E986" s="25"/>
      <c r="F986" s="25"/>
      <c r="G986" s="26"/>
      <c r="H986" s="27"/>
      <c r="I986" s="24"/>
      <c r="J986" s="24"/>
      <c r="K986" s="28"/>
      <c r="L986" s="29"/>
      <c r="M986" s="29"/>
      <c r="N986" s="29"/>
      <c r="O986" s="27"/>
      <c r="P986" s="30"/>
      <c r="Q986" s="31"/>
      <c r="R986" s="31"/>
      <c r="S986" s="32"/>
      <c r="T986" s="32"/>
      <c r="U986" s="32"/>
      <c r="V986" s="32"/>
      <c r="W986" s="32"/>
      <c r="X986" s="32"/>
      <c r="Y986" s="32"/>
      <c r="Z986" s="32"/>
      <c r="AA986" s="32"/>
      <c r="AB986" s="32"/>
    </row>
    <row r="987" spans="1:28" ht="15.6" customHeight="1" x14ac:dyDescent="0.25">
      <c r="A987" s="24"/>
      <c r="B987" s="24"/>
      <c r="C987" s="25"/>
      <c r="D987" s="25"/>
      <c r="E987" s="25"/>
      <c r="F987" s="25"/>
      <c r="G987" s="26"/>
      <c r="H987" s="27"/>
      <c r="I987" s="24"/>
      <c r="J987" s="24"/>
      <c r="K987" s="28"/>
      <c r="L987" s="29"/>
      <c r="M987" s="29"/>
      <c r="N987" s="29"/>
      <c r="O987" s="27"/>
      <c r="P987" s="30"/>
      <c r="Q987" s="31"/>
      <c r="R987" s="31"/>
      <c r="S987" s="32"/>
      <c r="T987" s="32"/>
      <c r="U987" s="32"/>
      <c r="V987" s="32"/>
      <c r="W987" s="32"/>
      <c r="X987" s="32"/>
      <c r="Y987" s="32"/>
      <c r="Z987" s="32"/>
      <c r="AA987" s="32"/>
      <c r="AB987" s="32"/>
    </row>
    <row r="988" spans="1:28" ht="15.6" customHeight="1" x14ac:dyDescent="0.25">
      <c r="A988" s="24"/>
      <c r="B988" s="24"/>
      <c r="C988" s="25"/>
      <c r="D988" s="25"/>
      <c r="E988" s="25"/>
      <c r="F988" s="25"/>
      <c r="G988" s="26"/>
      <c r="H988" s="27"/>
      <c r="I988" s="24"/>
      <c r="J988" s="24"/>
      <c r="K988" s="28"/>
      <c r="L988" s="29"/>
      <c r="M988" s="29"/>
      <c r="N988" s="29"/>
      <c r="O988" s="27"/>
      <c r="P988" s="30"/>
      <c r="Q988" s="31"/>
      <c r="R988" s="31"/>
      <c r="S988" s="32"/>
      <c r="T988" s="32"/>
      <c r="U988" s="32"/>
      <c r="V988" s="32"/>
      <c r="W988" s="32"/>
      <c r="X988" s="32"/>
      <c r="Y988" s="32"/>
      <c r="Z988" s="32"/>
      <c r="AA988" s="32"/>
      <c r="AB988" s="32"/>
    </row>
    <row r="989" spans="1:28" ht="15.6" customHeight="1" x14ac:dyDescent="0.25">
      <c r="A989" s="24"/>
      <c r="B989" s="24"/>
      <c r="C989" s="25"/>
      <c r="D989" s="25"/>
      <c r="E989" s="25"/>
      <c r="F989" s="25"/>
      <c r="G989" s="26"/>
      <c r="H989" s="27"/>
      <c r="I989" s="24"/>
      <c r="J989" s="24"/>
      <c r="K989" s="28"/>
      <c r="L989" s="29"/>
      <c r="M989" s="29"/>
      <c r="N989" s="29"/>
      <c r="O989" s="27"/>
      <c r="P989" s="30"/>
      <c r="Q989" s="31"/>
      <c r="R989" s="31"/>
      <c r="S989" s="32"/>
      <c r="T989" s="32"/>
      <c r="U989" s="32"/>
      <c r="V989" s="32"/>
      <c r="W989" s="32"/>
      <c r="X989" s="32"/>
      <c r="Y989" s="32"/>
      <c r="Z989" s="32"/>
      <c r="AA989" s="32"/>
      <c r="AB989" s="32"/>
    </row>
    <row r="990" spans="1:28" ht="15.6" customHeight="1" x14ac:dyDescent="0.25">
      <c r="A990" s="24"/>
      <c r="B990" s="24"/>
      <c r="C990" s="25"/>
      <c r="D990" s="25"/>
      <c r="E990" s="25"/>
      <c r="F990" s="25"/>
      <c r="G990" s="26"/>
      <c r="H990" s="27"/>
      <c r="I990" s="24"/>
      <c r="J990" s="24"/>
      <c r="K990" s="28"/>
      <c r="L990" s="29"/>
      <c r="M990" s="29"/>
      <c r="N990" s="29"/>
      <c r="O990" s="27"/>
      <c r="P990" s="30"/>
      <c r="Q990" s="31"/>
      <c r="R990" s="31"/>
      <c r="S990" s="32"/>
      <c r="T990" s="32"/>
      <c r="U990" s="32"/>
      <c r="V990" s="32"/>
      <c r="W990" s="32"/>
      <c r="X990" s="32"/>
      <c r="Y990" s="32"/>
      <c r="Z990" s="32"/>
      <c r="AA990" s="32"/>
      <c r="AB990" s="32"/>
    </row>
    <row r="991" spans="1:28" ht="15.6" customHeight="1" x14ac:dyDescent="0.25">
      <c r="A991" s="24"/>
      <c r="B991" s="24"/>
      <c r="C991" s="25"/>
      <c r="D991" s="25"/>
      <c r="E991" s="25"/>
      <c r="F991" s="25"/>
      <c r="G991" s="26"/>
      <c r="H991" s="27"/>
      <c r="I991" s="24"/>
      <c r="J991" s="24"/>
      <c r="K991" s="28"/>
      <c r="L991" s="29"/>
      <c r="M991" s="29"/>
      <c r="N991" s="29"/>
      <c r="O991" s="27"/>
      <c r="P991" s="30"/>
      <c r="Q991" s="31"/>
      <c r="R991" s="31"/>
      <c r="S991" s="32"/>
      <c r="T991" s="32"/>
      <c r="U991" s="32"/>
      <c r="V991" s="32"/>
      <c r="W991" s="32"/>
      <c r="X991" s="32"/>
      <c r="Y991" s="32"/>
      <c r="Z991" s="32"/>
      <c r="AA991" s="32"/>
      <c r="AB991" s="32"/>
    </row>
    <row r="992" spans="1:28" ht="15.6" customHeight="1" x14ac:dyDescent="0.25">
      <c r="A992" s="24"/>
      <c r="B992" s="24"/>
      <c r="C992" s="25"/>
      <c r="D992" s="25"/>
      <c r="E992" s="25"/>
      <c r="F992" s="25"/>
      <c r="G992" s="26"/>
      <c r="H992" s="27"/>
      <c r="I992" s="24"/>
      <c r="J992" s="24"/>
      <c r="K992" s="28"/>
      <c r="L992" s="29"/>
      <c r="M992" s="29"/>
      <c r="N992" s="29"/>
      <c r="O992" s="27"/>
      <c r="P992" s="30"/>
      <c r="Q992" s="31"/>
      <c r="R992" s="31"/>
      <c r="S992" s="32"/>
      <c r="T992" s="32"/>
      <c r="U992" s="32"/>
      <c r="V992" s="32"/>
      <c r="W992" s="32"/>
      <c r="X992" s="32"/>
      <c r="Y992" s="32"/>
      <c r="Z992" s="32"/>
      <c r="AA992" s="32"/>
      <c r="AB992" s="32"/>
    </row>
    <row r="993" spans="1:28" ht="15.6" customHeight="1" x14ac:dyDescent="0.25">
      <c r="A993" s="24"/>
      <c r="B993" s="24"/>
      <c r="C993" s="25"/>
      <c r="D993" s="25"/>
      <c r="E993" s="25"/>
      <c r="F993" s="25"/>
      <c r="G993" s="26"/>
      <c r="H993" s="27"/>
      <c r="I993" s="24"/>
      <c r="J993" s="24"/>
      <c r="K993" s="28"/>
      <c r="L993" s="29"/>
      <c r="M993" s="29"/>
      <c r="N993" s="29"/>
      <c r="O993" s="27"/>
      <c r="P993" s="30"/>
      <c r="Q993" s="31"/>
      <c r="R993" s="31"/>
      <c r="S993" s="32"/>
      <c r="T993" s="32"/>
      <c r="U993" s="32"/>
      <c r="V993" s="32"/>
      <c r="W993" s="32"/>
      <c r="X993" s="32"/>
      <c r="Y993" s="32"/>
      <c r="Z993" s="32"/>
      <c r="AA993" s="32"/>
      <c r="AB993" s="32"/>
    </row>
    <row r="994" spans="1:28" ht="15.6" customHeight="1" x14ac:dyDescent="0.25">
      <c r="A994" s="24"/>
      <c r="B994" s="24"/>
      <c r="C994" s="25"/>
      <c r="D994" s="25"/>
      <c r="E994" s="25"/>
      <c r="F994" s="25"/>
      <c r="G994" s="26"/>
      <c r="H994" s="27"/>
      <c r="I994" s="24"/>
      <c r="J994" s="24"/>
      <c r="K994" s="28"/>
      <c r="L994" s="29"/>
      <c r="M994" s="29"/>
      <c r="N994" s="29"/>
      <c r="O994" s="27"/>
      <c r="P994" s="30"/>
      <c r="Q994" s="31"/>
      <c r="R994" s="31"/>
      <c r="S994" s="32"/>
      <c r="T994" s="32"/>
      <c r="U994" s="32"/>
      <c r="V994" s="32"/>
      <c r="W994" s="32"/>
      <c r="X994" s="32"/>
      <c r="Y994" s="32"/>
      <c r="Z994" s="32"/>
      <c r="AA994" s="32"/>
      <c r="AB994" s="32"/>
    </row>
    <row r="995" spans="1:28" ht="15.6" customHeight="1" x14ac:dyDescent="0.25">
      <c r="A995" s="24"/>
      <c r="B995" s="24"/>
      <c r="C995" s="25"/>
      <c r="D995" s="25"/>
      <c r="E995" s="25"/>
      <c r="F995" s="25"/>
      <c r="G995" s="26"/>
      <c r="H995" s="27"/>
      <c r="I995" s="24"/>
      <c r="J995" s="24"/>
      <c r="K995" s="28"/>
      <c r="L995" s="29"/>
      <c r="M995" s="29"/>
      <c r="N995" s="29"/>
      <c r="O995" s="27"/>
      <c r="P995" s="30"/>
      <c r="Q995" s="31"/>
      <c r="R995" s="31"/>
      <c r="S995" s="32"/>
      <c r="T995" s="32"/>
      <c r="U995" s="32"/>
      <c r="V995" s="32"/>
      <c r="W995" s="32"/>
      <c r="X995" s="32"/>
      <c r="Y995" s="32"/>
      <c r="Z995" s="32"/>
      <c r="AA995" s="32"/>
      <c r="AB995" s="32"/>
    </row>
    <row r="996" spans="1:28" ht="15.6" customHeight="1" x14ac:dyDescent="0.25">
      <c r="A996" s="24"/>
      <c r="B996" s="24"/>
      <c r="C996" s="25"/>
      <c r="D996" s="25"/>
      <c r="E996" s="25"/>
      <c r="F996" s="25"/>
      <c r="G996" s="26"/>
      <c r="H996" s="27"/>
      <c r="I996" s="24"/>
      <c r="J996" s="24"/>
      <c r="K996" s="28"/>
      <c r="L996" s="29"/>
      <c r="M996" s="29"/>
      <c r="N996" s="29"/>
      <c r="O996" s="27"/>
      <c r="P996" s="30"/>
      <c r="Q996" s="31"/>
      <c r="R996" s="31"/>
      <c r="S996" s="32"/>
      <c r="T996" s="32"/>
      <c r="U996" s="32"/>
      <c r="V996" s="32"/>
      <c r="W996" s="32"/>
      <c r="X996" s="32"/>
      <c r="Y996" s="32"/>
      <c r="Z996" s="32"/>
      <c r="AA996" s="32"/>
      <c r="AB996" s="32"/>
    </row>
    <row r="997" spans="1:28" ht="15.6" customHeight="1" x14ac:dyDescent="0.25">
      <c r="A997" s="24"/>
      <c r="B997" s="24"/>
      <c r="C997" s="25"/>
      <c r="D997" s="25"/>
      <c r="E997" s="25"/>
      <c r="F997" s="25"/>
      <c r="G997" s="26"/>
      <c r="H997" s="27"/>
      <c r="I997" s="24"/>
      <c r="J997" s="24"/>
      <c r="K997" s="28"/>
      <c r="L997" s="29"/>
      <c r="M997" s="29"/>
      <c r="N997" s="29"/>
      <c r="O997" s="27"/>
      <c r="P997" s="30"/>
      <c r="Q997" s="31"/>
      <c r="R997" s="31"/>
      <c r="S997" s="32"/>
      <c r="T997" s="32"/>
      <c r="U997" s="32"/>
      <c r="V997" s="32"/>
      <c r="W997" s="32"/>
      <c r="X997" s="32"/>
      <c r="Y997" s="32"/>
      <c r="Z997" s="32"/>
      <c r="AA997" s="32"/>
      <c r="AB997" s="32"/>
    </row>
    <row r="998" spans="1:28" ht="15.6" customHeight="1" x14ac:dyDescent="0.25">
      <c r="A998" s="24"/>
      <c r="B998" s="24"/>
      <c r="C998" s="25"/>
      <c r="D998" s="25"/>
      <c r="E998" s="25"/>
      <c r="F998" s="25"/>
      <c r="G998" s="26"/>
      <c r="H998" s="27"/>
      <c r="I998" s="24"/>
      <c r="J998" s="24"/>
      <c r="K998" s="28"/>
      <c r="L998" s="29"/>
      <c r="M998" s="29"/>
      <c r="N998" s="29"/>
      <c r="O998" s="27"/>
      <c r="P998" s="30"/>
      <c r="Q998" s="31"/>
      <c r="R998" s="31"/>
      <c r="S998" s="32"/>
      <c r="T998" s="32"/>
      <c r="U998" s="32"/>
      <c r="V998" s="32"/>
      <c r="W998" s="32"/>
      <c r="X998" s="32"/>
      <c r="Y998" s="32"/>
      <c r="Z998" s="32"/>
      <c r="AA998" s="32"/>
      <c r="AB998" s="32"/>
    </row>
    <row r="999" spans="1:28" ht="15.6" customHeight="1" x14ac:dyDescent="0.25">
      <c r="A999" s="24"/>
      <c r="B999" s="24"/>
      <c r="C999" s="25"/>
      <c r="D999" s="25"/>
      <c r="E999" s="25"/>
      <c r="F999" s="25"/>
      <c r="G999" s="26"/>
      <c r="H999" s="27"/>
      <c r="I999" s="24"/>
      <c r="J999" s="24"/>
      <c r="K999" s="28"/>
      <c r="L999" s="29"/>
      <c r="M999" s="29"/>
      <c r="N999" s="29"/>
      <c r="O999" s="27"/>
      <c r="P999" s="30"/>
      <c r="Q999" s="31"/>
      <c r="R999" s="31"/>
      <c r="S999" s="32"/>
      <c r="T999" s="32"/>
      <c r="U999" s="32"/>
      <c r="V999" s="32"/>
      <c r="W999" s="32"/>
      <c r="X999" s="32"/>
      <c r="Y999" s="32"/>
      <c r="Z999" s="32"/>
      <c r="AA999" s="32"/>
      <c r="AB999" s="32"/>
    </row>
    <row r="1000" spans="1:28" ht="15.6" customHeight="1" x14ac:dyDescent="0.25">
      <c r="A1000" s="34"/>
      <c r="B1000" s="34"/>
      <c r="C1000" s="35"/>
      <c r="D1000" s="35"/>
      <c r="E1000" s="35"/>
      <c r="F1000" s="35"/>
      <c r="G1000" s="36"/>
      <c r="H1000" s="37"/>
      <c r="I1000" s="34"/>
      <c r="J1000" s="34"/>
      <c r="K1000" s="38"/>
      <c r="L1000" s="39"/>
      <c r="M1000" s="39"/>
      <c r="N1000" s="39"/>
      <c r="O1000" s="37"/>
      <c r="P1000" s="40"/>
      <c r="Q1000" s="41"/>
      <c r="R1000" s="41"/>
      <c r="S1000" s="42"/>
      <c r="T1000" s="42"/>
      <c r="U1000" s="42"/>
      <c r="V1000" s="42"/>
      <c r="W1000" s="42"/>
      <c r="X1000" s="42"/>
      <c r="Y1000" s="42"/>
      <c r="Z1000" s="42"/>
      <c r="AA1000" s="42"/>
      <c r="AB1000" s="42"/>
    </row>
    <row r="1001" spans="1:28" ht="15.6" customHeight="1" x14ac:dyDescent="0.25">
      <c r="A1001" s="24"/>
      <c r="B1001" s="24"/>
      <c r="C1001" s="25"/>
      <c r="D1001" s="25"/>
      <c r="E1001" s="25"/>
      <c r="F1001" s="25"/>
      <c r="G1001" s="26"/>
      <c r="H1001" s="27"/>
      <c r="I1001" s="24"/>
      <c r="J1001" s="24"/>
      <c r="K1001" s="28"/>
      <c r="L1001" s="29"/>
      <c r="M1001" s="29"/>
      <c r="N1001" s="29"/>
      <c r="O1001" s="27"/>
      <c r="P1001" s="30"/>
      <c r="Q1001" s="31"/>
      <c r="R1001" s="31"/>
      <c r="S1001" s="32"/>
      <c r="T1001" s="32"/>
      <c r="U1001" s="32"/>
      <c r="V1001" s="32"/>
      <c r="W1001" s="32"/>
      <c r="X1001" s="32"/>
      <c r="Y1001" s="32"/>
      <c r="Z1001" s="32"/>
      <c r="AA1001" s="32"/>
      <c r="AB1001" s="32"/>
    </row>
    <row r="1002" spans="1:28" ht="15.6" customHeight="1" x14ac:dyDescent="0.25">
      <c r="A1002" s="34"/>
      <c r="B1002" s="34"/>
      <c r="C1002" s="35"/>
      <c r="D1002" s="35"/>
      <c r="E1002" s="35"/>
      <c r="F1002" s="35"/>
      <c r="G1002" s="36"/>
      <c r="H1002" s="37"/>
      <c r="I1002" s="34"/>
      <c r="J1002" s="34"/>
      <c r="K1002" s="38"/>
      <c r="L1002" s="39"/>
      <c r="M1002" s="39"/>
      <c r="N1002" s="39"/>
      <c r="O1002" s="37"/>
      <c r="P1002" s="40"/>
      <c r="Q1002" s="41"/>
      <c r="R1002" s="41"/>
      <c r="S1002" s="42"/>
      <c r="T1002" s="42"/>
      <c r="U1002" s="42"/>
      <c r="V1002" s="42"/>
      <c r="W1002" s="42"/>
      <c r="X1002" s="42"/>
      <c r="Y1002" s="42"/>
      <c r="Z1002" s="42"/>
      <c r="AA1002" s="42"/>
      <c r="AB1002" s="42"/>
    </row>
  </sheetData>
  <mergeCells count="1">
    <mergeCell ref="A1:AB1"/>
  </mergeCells>
  <conditionalFormatting sqref="U4:U1000">
    <cfRule type="cellIs" dxfId="2" priority="1" stopIfTrue="1" operator="between">
      <formula>0</formula>
      <formula>0.004</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D262-8DFF-4C40-9061-6CD5CA10008F}">
  <dimension ref="A1:AO17"/>
  <sheetViews>
    <sheetView topLeftCell="T1" workbookViewId="0">
      <selection activeCell="B3" sqref="B3:C629"/>
    </sheetView>
  </sheetViews>
  <sheetFormatPr baseColWidth="10" defaultRowHeight="15" x14ac:dyDescent="0.25"/>
  <cols>
    <col min="1" max="1" width="11.42578125" style="15"/>
    <col min="2" max="2" width="30.5703125" customWidth="1"/>
    <col min="5" max="5" width="11" bestFit="1" customWidth="1"/>
    <col min="38" max="39" width="11.42578125" style="19"/>
    <col min="41" max="41" width="27.28515625" bestFit="1" customWidth="1"/>
  </cols>
  <sheetData>
    <row r="1" spans="1:41" x14ac:dyDescent="0.25">
      <c r="A1" s="15" t="s">
        <v>18</v>
      </c>
      <c r="B1" s="6" t="s">
        <v>19</v>
      </c>
      <c r="C1" s="2">
        <v>46017</v>
      </c>
      <c r="D1" s="2">
        <v>46387</v>
      </c>
      <c r="E1" s="2">
        <v>46024</v>
      </c>
      <c r="F1" s="2">
        <v>46031</v>
      </c>
      <c r="G1" s="2">
        <v>46038</v>
      </c>
      <c r="H1" s="2">
        <v>46045</v>
      </c>
      <c r="I1" s="2">
        <v>46052</v>
      </c>
      <c r="J1" s="2">
        <v>46059</v>
      </c>
      <c r="K1" s="2">
        <v>46066</v>
      </c>
      <c r="L1" s="2">
        <v>46073</v>
      </c>
      <c r="M1" s="2">
        <v>46080</v>
      </c>
      <c r="N1" s="2">
        <v>46087</v>
      </c>
      <c r="O1" s="2">
        <v>46094</v>
      </c>
      <c r="P1" s="2">
        <v>46105</v>
      </c>
      <c r="Q1" s="2">
        <v>46108</v>
      </c>
      <c r="R1" s="2">
        <v>46115</v>
      </c>
      <c r="S1" s="2">
        <v>46122</v>
      </c>
      <c r="T1" s="2">
        <v>46129</v>
      </c>
      <c r="U1" s="2">
        <v>46136</v>
      </c>
      <c r="V1" s="2">
        <v>46146</v>
      </c>
      <c r="W1" s="2">
        <v>46150</v>
      </c>
      <c r="X1" s="2">
        <v>46157</v>
      </c>
      <c r="Y1" s="2">
        <v>46164</v>
      </c>
      <c r="Z1" s="2">
        <v>46174</v>
      </c>
      <c r="AA1" s="2">
        <v>46178</v>
      </c>
      <c r="AB1" s="2">
        <v>46185</v>
      </c>
      <c r="AC1" s="2">
        <v>46192</v>
      </c>
      <c r="AD1" s="2">
        <v>46199</v>
      </c>
      <c r="AE1" s="2">
        <v>46206</v>
      </c>
      <c r="AF1" s="2">
        <v>46213</v>
      </c>
      <c r="AG1" s="2">
        <v>46220</v>
      </c>
      <c r="AH1" s="2">
        <v>46227</v>
      </c>
      <c r="AI1" s="2">
        <v>46234</v>
      </c>
      <c r="AJ1" s="2">
        <v>46241</v>
      </c>
      <c r="AK1" s="2">
        <v>46251</v>
      </c>
      <c r="AL1" s="2">
        <f>+AK1+7</f>
        <v>46258</v>
      </c>
      <c r="AM1" s="2">
        <v>45166</v>
      </c>
      <c r="AN1" s="51">
        <f>+AM1+7</f>
        <v>45173</v>
      </c>
    </row>
    <row r="2" spans="1:41" x14ac:dyDescent="0.25">
      <c r="A2" s="15">
        <v>3707</v>
      </c>
      <c r="B2" s="8" t="s">
        <v>13</v>
      </c>
      <c r="C2" s="3"/>
      <c r="D2" s="55">
        <f>+_xlfn.XLOOKUP(A2,'31_12_25'!$B$3:$B$292,'31_12_25'!$R$3:$R$292,"non trouvé",1)</f>
        <v>1565.11</v>
      </c>
      <c r="E2" s="3">
        <v>2460</v>
      </c>
      <c r="F2" s="3">
        <v>2483.4499999999998</v>
      </c>
      <c r="G2" s="3">
        <v>2436.31</v>
      </c>
      <c r="H2" s="3">
        <v>2352.91</v>
      </c>
      <c r="I2" s="3">
        <v>2341.56</v>
      </c>
      <c r="J2" s="3">
        <v>2304.6799999999998</v>
      </c>
      <c r="K2" s="3">
        <v>2327.56</v>
      </c>
      <c r="L2" s="3">
        <v>2347.75</v>
      </c>
      <c r="M2" s="3">
        <v>2262.37</v>
      </c>
      <c r="N2" s="3">
        <v>2114.92</v>
      </c>
      <c r="O2" s="3">
        <v>2053.86</v>
      </c>
      <c r="P2" s="3">
        <v>2113.5500000000002</v>
      </c>
      <c r="Q2" s="3">
        <v>2113.19</v>
      </c>
      <c r="R2" s="3">
        <v>2140.8200000000002</v>
      </c>
      <c r="S2" s="3">
        <v>2224.31</v>
      </c>
      <c r="T2" s="3">
        <v>2321.14</v>
      </c>
      <c r="U2" s="3">
        <v>2247.0300000000002</v>
      </c>
      <c r="V2" s="3">
        <v>2227.1</v>
      </c>
      <c r="W2" s="3">
        <v>2279.13</v>
      </c>
      <c r="X2" s="3">
        <v>2207.1</v>
      </c>
      <c r="Y2" s="3">
        <v>2183.36</v>
      </c>
      <c r="Z2" s="3">
        <v>2203.1</v>
      </c>
      <c r="AA2" s="3">
        <v>2183.1999999999998</v>
      </c>
      <c r="AB2" s="3">
        <v>2148.2800000000002</v>
      </c>
      <c r="AC2" s="3">
        <v>2203.27</v>
      </c>
      <c r="AD2" s="3">
        <v>2190.36</v>
      </c>
      <c r="AE2" s="3">
        <v>2225.14</v>
      </c>
      <c r="AF2" s="3">
        <v>2186.2199999999998</v>
      </c>
      <c r="AG2" s="3">
        <v>2152.04</v>
      </c>
      <c r="AH2" s="3">
        <v>2171.1</v>
      </c>
      <c r="AI2" s="3">
        <v>2179.9</v>
      </c>
      <c r="AJ2" s="3">
        <v>2265.42</v>
      </c>
      <c r="AK2" s="3">
        <v>2255.4699999999998</v>
      </c>
      <c r="AL2" s="19">
        <f>+_xlfn.XLOOKUP(A2,'24_08'!B2:B629,'24_08'!R2:R629,"non trouvé",0)</f>
        <v>2271.62</v>
      </c>
      <c r="AM2" s="19">
        <f>+_xlfn.XLOOKUP(A2,'28_08'!B3:B629,'28_08'!R3:R629,"non trouvé",0)</f>
        <v>2255.0500000000002</v>
      </c>
      <c r="AO2" t="str">
        <f>+B2</f>
        <v>AD MOROCCAN EQUITY FUND</v>
      </c>
    </row>
    <row r="3" spans="1:41" x14ac:dyDescent="0.25">
      <c r="A3" s="15">
        <v>3899</v>
      </c>
      <c r="B3" s="8" t="s">
        <v>14</v>
      </c>
      <c r="C3" s="3"/>
      <c r="D3" s="55">
        <f>+_xlfn.XLOOKUP(A3,'31_12_25'!$B$3:$B$292,'31_12_25'!$R$3:$R$292,"non trouvé",1)</f>
        <v>8666.23</v>
      </c>
      <c r="E3" s="3">
        <v>8856.09</v>
      </c>
      <c r="F3" s="3">
        <v>8971.5499999999993</v>
      </c>
      <c r="G3" s="3">
        <v>8798.35</v>
      </c>
      <c r="H3" s="3">
        <v>8501.0400000000009</v>
      </c>
      <c r="I3" s="3">
        <v>8492.08</v>
      </c>
      <c r="J3" s="3">
        <v>8312.24</v>
      </c>
      <c r="K3" s="3">
        <v>8436.74</v>
      </c>
      <c r="L3" s="3">
        <v>8479.4599999999991</v>
      </c>
      <c r="M3" s="3">
        <v>8208.8700000000008</v>
      </c>
      <c r="N3" s="3">
        <v>7665.33</v>
      </c>
      <c r="O3" s="3">
        <v>7535.75</v>
      </c>
      <c r="P3" s="3">
        <v>7740.9</v>
      </c>
      <c r="Q3" s="3">
        <v>7774.55</v>
      </c>
      <c r="R3" s="3">
        <v>7926.18</v>
      </c>
      <c r="S3" s="3">
        <v>8378.9599999999991</v>
      </c>
      <c r="T3" s="3">
        <v>8799.6299999999992</v>
      </c>
      <c r="U3" s="3">
        <v>8585.5</v>
      </c>
      <c r="V3" s="3">
        <v>8483.86</v>
      </c>
      <c r="W3" s="3">
        <v>8619.27</v>
      </c>
      <c r="X3" s="3">
        <v>8344.84</v>
      </c>
      <c r="Y3" s="3">
        <v>8309.33</v>
      </c>
      <c r="Z3" s="3">
        <v>8526.75</v>
      </c>
      <c r="AA3" s="3">
        <v>8340.24</v>
      </c>
      <c r="AB3" s="3">
        <v>8109.41</v>
      </c>
      <c r="AC3" s="3">
        <v>8337.65</v>
      </c>
      <c r="AD3" s="3">
        <v>8176.86</v>
      </c>
      <c r="AE3" s="3">
        <v>8385.7999999999993</v>
      </c>
      <c r="AF3" s="3">
        <v>8220.91</v>
      </c>
      <c r="AG3" s="3">
        <v>8046.51</v>
      </c>
      <c r="AH3" s="3">
        <v>8138.16</v>
      </c>
      <c r="AI3" s="3">
        <v>8163.32</v>
      </c>
      <c r="AJ3" s="3">
        <v>8667.56</v>
      </c>
      <c r="AK3" s="3">
        <v>8632.2900000000009</v>
      </c>
      <c r="AL3" s="19">
        <f>+_xlfn.XLOOKUP(A3,'24_08'!B3:B630,'24_08'!R3:R630,"non trouvé",0)</f>
        <v>8743.67</v>
      </c>
      <c r="AM3" s="19">
        <f>+_xlfn.XLOOKUP(A3,'28_08'!B4:B630,'28_08'!R4:R630,"non trouvé",0)</f>
        <v>8656.5300000000007</v>
      </c>
      <c r="AO3" t="str">
        <f t="shared" ref="AO3:AO16" si="0">+B3</f>
        <v>AFG DYNAMIC FUND</v>
      </c>
    </row>
    <row r="4" spans="1:41" x14ac:dyDescent="0.25">
      <c r="A4" s="15">
        <v>3679</v>
      </c>
      <c r="B4" s="8" t="s">
        <v>0</v>
      </c>
      <c r="C4" s="3"/>
      <c r="D4" s="55">
        <f>+_xlfn.XLOOKUP(A4,'31_12_25'!$B$3:$B$292,'31_12_25'!$R$3:$R$292,"non trouvé",1)</f>
        <v>1576.83</v>
      </c>
      <c r="E4" s="3">
        <v>3074.6</v>
      </c>
      <c r="F4" s="3">
        <v>3112.31</v>
      </c>
      <c r="G4" s="3">
        <v>3050.25</v>
      </c>
      <c r="H4" s="3">
        <v>2950.52</v>
      </c>
      <c r="I4" s="3">
        <v>2946.72</v>
      </c>
      <c r="J4" s="3">
        <v>2886.93</v>
      </c>
      <c r="K4" s="3">
        <v>2921.65</v>
      </c>
      <c r="L4" s="3">
        <v>2934.75</v>
      </c>
      <c r="M4" s="3">
        <v>2829.67</v>
      </c>
      <c r="N4" s="3">
        <v>2666.19</v>
      </c>
      <c r="O4" s="3">
        <v>2611.6799999999998</v>
      </c>
      <c r="P4" s="3">
        <v>2676.74</v>
      </c>
      <c r="Q4" s="3">
        <v>2671.61</v>
      </c>
      <c r="R4" s="3">
        <v>2710.38</v>
      </c>
      <c r="S4" s="3">
        <v>2847.52</v>
      </c>
      <c r="T4" s="3">
        <v>2981.78</v>
      </c>
      <c r="U4" s="3">
        <v>2899.7</v>
      </c>
      <c r="V4" s="3">
        <v>2868.97</v>
      </c>
      <c r="W4" s="3">
        <v>2914.18</v>
      </c>
      <c r="X4" s="3">
        <v>2822.91</v>
      </c>
      <c r="Y4" s="3">
        <v>2816.39</v>
      </c>
      <c r="Z4" s="3">
        <v>2887.34</v>
      </c>
      <c r="AA4" s="3">
        <v>2838.9</v>
      </c>
      <c r="AB4" s="3">
        <v>2764.09</v>
      </c>
      <c r="AC4" s="3">
        <v>2838.43</v>
      </c>
      <c r="AD4" s="3">
        <v>2793.4</v>
      </c>
      <c r="AE4" s="3">
        <v>2865.27</v>
      </c>
      <c r="AF4" s="3">
        <v>2805.77</v>
      </c>
      <c r="AG4" s="3">
        <v>2754.23</v>
      </c>
      <c r="AH4" s="3">
        <v>2782.76</v>
      </c>
      <c r="AI4" s="3">
        <v>2800.7</v>
      </c>
      <c r="AJ4" s="3">
        <v>2969.53</v>
      </c>
      <c r="AK4" s="3">
        <v>2962.24</v>
      </c>
      <c r="AL4" s="19">
        <f>+_xlfn.XLOOKUP(A4,'24_08'!B4:B631,'24_08'!R4:R631,"non trouvé",0)</f>
        <v>3008.6</v>
      </c>
      <c r="AM4" s="19">
        <f>+_xlfn.XLOOKUP(A4,'28_08'!B5:B631,'28_08'!R5:R631,"non trouvé",0)</f>
        <v>2976.25</v>
      </c>
      <c r="AO4" t="str">
        <f t="shared" si="0"/>
        <v>AFRICAPITAL EQUITY</v>
      </c>
    </row>
    <row r="5" spans="1:41" x14ac:dyDescent="0.25">
      <c r="A5" s="15">
        <v>3587</v>
      </c>
      <c r="B5" s="8" t="s">
        <v>1</v>
      </c>
      <c r="C5" s="3"/>
      <c r="D5" s="55">
        <f>+_xlfn.XLOOKUP(A5,'31_12_25'!$B$3:$B$292,'31_12_25'!$R$3:$R$292,"non trouvé",1)</f>
        <v>11221.02</v>
      </c>
      <c r="E5" s="3">
        <v>11430</v>
      </c>
      <c r="F5" s="3">
        <v>11617.75</v>
      </c>
      <c r="G5" s="3">
        <v>11334.3</v>
      </c>
      <c r="H5" s="3">
        <v>10980.79</v>
      </c>
      <c r="I5" s="3">
        <v>10881.05</v>
      </c>
      <c r="J5" s="3">
        <v>10598.01</v>
      </c>
      <c r="K5" s="3">
        <v>10669.58</v>
      </c>
      <c r="L5" s="3">
        <v>10761.88</v>
      </c>
      <c r="M5" s="3">
        <v>10327.42</v>
      </c>
      <c r="N5" s="3">
        <v>9548.9599999999991</v>
      </c>
      <c r="O5" s="3">
        <v>9344.9</v>
      </c>
      <c r="P5" s="3">
        <v>9598.56</v>
      </c>
      <c r="Q5" s="3">
        <v>9611.07</v>
      </c>
      <c r="R5" s="3">
        <v>9641.8799999999992</v>
      </c>
      <c r="S5" s="3">
        <v>10091.65</v>
      </c>
      <c r="T5" s="3">
        <v>10516.17</v>
      </c>
      <c r="U5" s="3">
        <v>10215.719999999999</v>
      </c>
      <c r="V5" s="3">
        <v>10101.74</v>
      </c>
      <c r="W5" s="3">
        <v>10287.18</v>
      </c>
      <c r="X5" s="3">
        <v>9913.1</v>
      </c>
      <c r="Y5" s="3">
        <v>9763.58</v>
      </c>
      <c r="Z5" s="3">
        <v>9769.4599999999991</v>
      </c>
      <c r="AA5" s="3">
        <v>9643.9500000000007</v>
      </c>
      <c r="AB5" s="3">
        <v>9592.48</v>
      </c>
      <c r="AC5" s="3">
        <v>9879.9</v>
      </c>
      <c r="AD5" s="3">
        <v>9812.0400000000009</v>
      </c>
      <c r="AE5" s="3">
        <v>9871.81</v>
      </c>
      <c r="AF5" s="3">
        <v>9675.59</v>
      </c>
      <c r="AG5" s="3">
        <v>9488.4</v>
      </c>
      <c r="AH5" s="3">
        <v>9535.24</v>
      </c>
      <c r="AI5" s="3">
        <v>9582.11</v>
      </c>
      <c r="AJ5" s="3">
        <v>10063.81</v>
      </c>
      <c r="AK5" s="3">
        <v>9990.7099999999991</v>
      </c>
      <c r="AL5" s="19">
        <f>+_xlfn.XLOOKUP(A5,'24_08'!B5:B632,'24_08'!R5:R632,"non trouvé",0)</f>
        <v>9988.1200000000008</v>
      </c>
      <c r="AM5" s="19">
        <f>+_xlfn.XLOOKUP(A5,'28_08'!B6:B632,'28_08'!R6:R632,"non trouvé",0)</f>
        <v>9927.86</v>
      </c>
      <c r="AO5" t="str">
        <f t="shared" si="0"/>
        <v>FCP CAPITAL PARTICIPATIONS</v>
      </c>
    </row>
    <row r="6" spans="1:41" x14ac:dyDescent="0.25">
      <c r="A6" s="15">
        <v>3909</v>
      </c>
      <c r="B6" s="8" t="s">
        <v>2</v>
      </c>
      <c r="C6" s="3"/>
      <c r="D6" s="55">
        <f>+_xlfn.XLOOKUP(A6,'31_12_25'!$B$3:$B$292,'31_12_25'!$R$3:$R$292,"non trouvé",1)</f>
        <v>1532.76</v>
      </c>
      <c r="E6" s="3">
        <v>1566.8</v>
      </c>
      <c r="F6" s="3">
        <v>1583.91</v>
      </c>
      <c r="G6" s="3">
        <v>1557.74</v>
      </c>
      <c r="H6" s="3">
        <v>1512.09</v>
      </c>
      <c r="I6" s="3">
        <v>1510.73</v>
      </c>
      <c r="J6" s="3">
        <v>1473.77</v>
      </c>
      <c r="K6" s="3">
        <v>1494.53</v>
      </c>
      <c r="L6" s="3">
        <v>1503.38</v>
      </c>
      <c r="M6" s="3">
        <v>1449.73</v>
      </c>
      <c r="N6" s="3">
        <v>1352.23</v>
      </c>
      <c r="O6" s="3">
        <v>1330.78</v>
      </c>
      <c r="P6" s="3">
        <v>1361.3</v>
      </c>
      <c r="Q6" s="3">
        <v>1360.11</v>
      </c>
      <c r="R6" s="3">
        <v>1374.17</v>
      </c>
      <c r="S6" s="3">
        <v>1432.61</v>
      </c>
      <c r="T6" s="3">
        <v>1483.89</v>
      </c>
      <c r="U6" s="3">
        <v>1447.99</v>
      </c>
      <c r="V6" s="3">
        <v>1436.32</v>
      </c>
      <c r="W6" s="3">
        <v>1456.64</v>
      </c>
      <c r="X6" s="3">
        <v>1406</v>
      </c>
      <c r="Y6" s="3">
        <v>1402.25</v>
      </c>
      <c r="Z6" s="3">
        <v>1446.35</v>
      </c>
      <c r="AA6" s="3">
        <v>1416.49</v>
      </c>
      <c r="AB6" s="3">
        <v>1375.87</v>
      </c>
      <c r="AC6" s="3">
        <v>1416.45</v>
      </c>
      <c r="AD6" s="3">
        <v>1388.35</v>
      </c>
      <c r="AE6" s="3">
        <v>1420.13</v>
      </c>
      <c r="AF6" s="3">
        <v>1394.03</v>
      </c>
      <c r="AG6" s="3">
        <v>1363.66</v>
      </c>
      <c r="AH6" s="3">
        <v>1379.48</v>
      </c>
      <c r="AI6" s="3">
        <v>1386.11</v>
      </c>
      <c r="AJ6" s="3">
        <v>1465.25</v>
      </c>
      <c r="AK6" s="3">
        <v>1461.35</v>
      </c>
      <c r="AL6" s="19">
        <f>+_xlfn.XLOOKUP(A6,'24_08'!B6:B633,'24_08'!R6:R633,"non trouvé",0)</f>
        <v>1482.37</v>
      </c>
      <c r="AM6" s="19">
        <f>+_xlfn.XLOOKUP(A6,'28_08'!B7:B633,'28_08'!R7:R633,"non trouvé",0)</f>
        <v>1467.89</v>
      </c>
      <c r="AO6" t="str">
        <f t="shared" si="0"/>
        <v>FCP Capital Trust Equity</v>
      </c>
    </row>
    <row r="7" spans="1:41" x14ac:dyDescent="0.25">
      <c r="A7" s="15">
        <v>3574</v>
      </c>
      <c r="B7" s="8" t="s">
        <v>3</v>
      </c>
      <c r="C7" s="3"/>
      <c r="D7" s="55">
        <f>+_xlfn.XLOOKUP(A7,'31_12_25'!$B$3:$B$292,'31_12_25'!$R$3:$R$292,"non trouvé",1)</f>
        <v>1223.82</v>
      </c>
      <c r="E7" s="3">
        <v>1251.26</v>
      </c>
      <c r="F7" s="3">
        <v>1264.24</v>
      </c>
      <c r="G7" s="3">
        <v>1248.05</v>
      </c>
      <c r="H7" s="3">
        <v>1210.6400000000001</v>
      </c>
      <c r="I7" s="3">
        <v>1210.93</v>
      </c>
      <c r="J7" s="3">
        <v>1181.48</v>
      </c>
      <c r="K7" s="3">
        <v>1204.6500000000001</v>
      </c>
      <c r="L7" s="3">
        <v>1211.1600000000001</v>
      </c>
      <c r="M7" s="3">
        <v>1172.99</v>
      </c>
      <c r="N7" s="3">
        <v>1091.06</v>
      </c>
      <c r="O7" s="3">
        <v>1069</v>
      </c>
      <c r="P7" s="3">
        <v>1092.3800000000001</v>
      </c>
      <c r="Q7" s="3">
        <v>1094.3599999999999</v>
      </c>
      <c r="R7" s="3">
        <v>1117.51</v>
      </c>
      <c r="S7" s="3">
        <v>1185.29</v>
      </c>
      <c r="T7" s="3">
        <v>1240.6099999999999</v>
      </c>
      <c r="U7" s="3">
        <v>1208.94</v>
      </c>
      <c r="V7" s="3">
        <v>1197.3800000000001</v>
      </c>
      <c r="W7" s="3">
        <v>1217.96</v>
      </c>
      <c r="X7" s="3">
        <v>1177.33</v>
      </c>
      <c r="Y7" s="3">
        <v>1167.0999999999999</v>
      </c>
      <c r="Z7" s="3">
        <v>1202.96</v>
      </c>
      <c r="AA7" s="3">
        <v>1173.7</v>
      </c>
      <c r="AB7" s="3">
        <v>1136.3599999999999</v>
      </c>
      <c r="AC7" s="3">
        <v>1166.33</v>
      </c>
      <c r="AD7" s="3">
        <v>1143.03</v>
      </c>
      <c r="AE7" s="3">
        <v>1173.2</v>
      </c>
      <c r="AF7" s="3">
        <v>1148.53</v>
      </c>
      <c r="AG7" s="3">
        <v>1121.94</v>
      </c>
      <c r="AH7" s="3">
        <v>1133.79</v>
      </c>
      <c r="AI7" s="3">
        <v>1137.6300000000001</v>
      </c>
      <c r="AJ7" s="3">
        <v>1204.26</v>
      </c>
      <c r="AK7" s="3">
        <v>1201</v>
      </c>
      <c r="AL7" s="19">
        <f>+_xlfn.XLOOKUP(A7,'24_08'!B7:B634,'24_08'!R7:R634,"non trouvé",0)</f>
        <v>1216.49</v>
      </c>
      <c r="AM7" s="19">
        <f>+_xlfn.XLOOKUP(A7,'28_08'!B8:B634,'28_08'!R8:R634,"non trouvé",0)</f>
        <v>1204.06</v>
      </c>
      <c r="AO7" t="str">
        <f t="shared" si="0"/>
        <v>FCP CFG PERFORMANCE</v>
      </c>
    </row>
    <row r="8" spans="1:41" x14ac:dyDescent="0.25">
      <c r="A8" s="15">
        <v>3692</v>
      </c>
      <c r="B8" s="8" t="s">
        <v>4</v>
      </c>
      <c r="C8" s="3"/>
      <c r="D8" s="55">
        <f>+_xlfn.XLOOKUP(A8,'31_12_25'!$B$3:$B$292,'31_12_25'!$R$3:$R$292,"non trouvé",1)</f>
        <v>266.55</v>
      </c>
      <c r="E8" s="3">
        <v>273.25</v>
      </c>
      <c r="F8" s="3">
        <v>276.58</v>
      </c>
      <c r="G8" s="3">
        <v>271.36</v>
      </c>
      <c r="H8" s="3">
        <v>262.14</v>
      </c>
      <c r="I8" s="3">
        <v>261.45</v>
      </c>
      <c r="J8" s="3">
        <v>256.5</v>
      </c>
      <c r="K8" s="3">
        <v>259.93</v>
      </c>
      <c r="L8" s="3">
        <v>261.52999999999997</v>
      </c>
      <c r="M8" s="3">
        <v>252.83</v>
      </c>
      <c r="N8" s="3">
        <v>237.86</v>
      </c>
      <c r="O8" s="3">
        <v>233.41</v>
      </c>
      <c r="P8" s="3">
        <v>238.99</v>
      </c>
      <c r="Q8" s="3">
        <v>238.87</v>
      </c>
      <c r="R8" s="3">
        <v>242.67</v>
      </c>
      <c r="S8" s="3">
        <v>254.78</v>
      </c>
      <c r="T8" s="3">
        <v>266.04000000000002</v>
      </c>
      <c r="U8" s="3">
        <v>259.27</v>
      </c>
      <c r="V8" s="3">
        <v>256.79000000000002</v>
      </c>
      <c r="W8" s="3">
        <v>260.68</v>
      </c>
      <c r="X8" s="3">
        <v>256.79000000000002</v>
      </c>
      <c r="Y8" s="3">
        <v>251.79</v>
      </c>
      <c r="Z8" s="3">
        <v>258.31</v>
      </c>
      <c r="AA8" s="3">
        <v>253.36</v>
      </c>
      <c r="AB8" s="3">
        <v>246.69</v>
      </c>
      <c r="AC8" s="3">
        <v>252.95</v>
      </c>
      <c r="AD8" s="3">
        <v>248.67</v>
      </c>
      <c r="AE8" s="3">
        <v>255.05</v>
      </c>
      <c r="AF8" s="3">
        <v>249.88</v>
      </c>
      <c r="AG8" s="3">
        <v>244.86</v>
      </c>
      <c r="AH8" s="3">
        <v>247.44</v>
      </c>
      <c r="AI8" s="3">
        <v>248.64</v>
      </c>
      <c r="AJ8" s="3">
        <v>262.91000000000003</v>
      </c>
      <c r="AK8" s="3">
        <v>262.24</v>
      </c>
      <c r="AL8" s="19">
        <f>+_xlfn.XLOOKUP(A8,'24_08'!B8:B635,'24_08'!R8:R635,"non trouvé",0)</f>
        <v>266.10000000000002</v>
      </c>
      <c r="AM8" s="19">
        <f>+_xlfn.XLOOKUP(A8,'28_08'!B9:B635,'28_08'!R9:R635,"non trouvé",0)</f>
        <v>263.42</v>
      </c>
      <c r="AO8" t="str">
        <f t="shared" si="0"/>
        <v xml:space="preserve">FCP IRGAM ACTIONS </v>
      </c>
    </row>
    <row r="9" spans="1:41" x14ac:dyDescent="0.25">
      <c r="A9" s="15">
        <v>4100</v>
      </c>
      <c r="B9" s="8" t="s">
        <v>5</v>
      </c>
      <c r="C9" s="3"/>
      <c r="D9" s="55">
        <f>+_xlfn.XLOOKUP(A9,'31_12_25'!$B$3:$B$292,'31_12_25'!$R$3:$R$292,"non trouvé",1)</f>
        <v>151.97999999999999</v>
      </c>
      <c r="E9" s="3">
        <v>294.38</v>
      </c>
      <c r="F9" s="3">
        <v>297.58</v>
      </c>
      <c r="G9" s="3">
        <v>291.5</v>
      </c>
      <c r="H9" s="3">
        <v>281.92</v>
      </c>
      <c r="I9" s="3">
        <v>281.77</v>
      </c>
      <c r="J9" s="3">
        <v>276.57</v>
      </c>
      <c r="K9" s="3">
        <v>279.99</v>
      </c>
      <c r="L9" s="3">
        <v>281.83999999999997</v>
      </c>
      <c r="M9" s="3">
        <v>271.75</v>
      </c>
      <c r="N9" s="3">
        <v>254.98</v>
      </c>
      <c r="O9" s="3">
        <v>250.5</v>
      </c>
      <c r="P9" s="3">
        <v>256.85000000000002</v>
      </c>
      <c r="Q9" s="3">
        <v>255.58</v>
      </c>
      <c r="R9" s="3">
        <v>259.11</v>
      </c>
      <c r="S9" s="3">
        <v>270.99</v>
      </c>
      <c r="T9" s="3">
        <v>282.24</v>
      </c>
      <c r="U9" s="3">
        <v>274.54000000000002</v>
      </c>
      <c r="V9" s="3">
        <v>272.08</v>
      </c>
      <c r="W9" s="3">
        <v>275.62</v>
      </c>
      <c r="X9" s="3">
        <v>266.39999999999998</v>
      </c>
      <c r="Y9" s="3">
        <v>264.89999999999998</v>
      </c>
      <c r="Z9" s="3">
        <v>271.48</v>
      </c>
      <c r="AA9" s="3">
        <v>266.01</v>
      </c>
      <c r="AB9" s="3">
        <v>259.58</v>
      </c>
      <c r="AC9" s="3">
        <v>265.75</v>
      </c>
      <c r="AD9" s="3">
        <v>261.77</v>
      </c>
      <c r="AE9" s="3">
        <v>267.89</v>
      </c>
      <c r="AF9" s="3">
        <v>262.83999999999997</v>
      </c>
      <c r="AG9" s="3">
        <v>258.10000000000002</v>
      </c>
      <c r="AH9" s="3">
        <v>261.36</v>
      </c>
      <c r="AI9" s="3">
        <v>262.10000000000002</v>
      </c>
      <c r="AJ9" s="3">
        <v>275.66000000000003</v>
      </c>
      <c r="AK9" s="3">
        <v>275.27</v>
      </c>
      <c r="AL9" s="19">
        <f>+_xlfn.XLOOKUP(A9,'24_08'!B9:B636,'24_08'!R9:R636,"non trouvé",0)</f>
        <v>278.88</v>
      </c>
      <c r="AM9" s="19">
        <f>+_xlfn.XLOOKUP(A9,'28_08'!B10:B636,'28_08'!R10:R636,"non trouvé",0)</f>
        <v>276.18</v>
      </c>
      <c r="AO9" t="str">
        <f t="shared" si="0"/>
        <v>ALPHA DYNAMIC FUND</v>
      </c>
    </row>
    <row r="10" spans="1:41" x14ac:dyDescent="0.25">
      <c r="A10" s="15">
        <v>4170</v>
      </c>
      <c r="B10" s="8" t="s">
        <v>6</v>
      </c>
      <c r="C10" s="3"/>
      <c r="D10" s="55">
        <f>+_xlfn.XLOOKUP(A10,'31_12_25'!$B$3:$B$292,'31_12_25'!$R$3:$R$292,"non trouvé",1)</f>
        <v>1512.86</v>
      </c>
      <c r="E10" s="3">
        <v>268.02999999999997</v>
      </c>
      <c r="F10" s="3">
        <v>271.39</v>
      </c>
      <c r="G10" s="3">
        <v>266.44</v>
      </c>
      <c r="H10" s="3">
        <v>257.62</v>
      </c>
      <c r="I10" s="3">
        <v>257.83</v>
      </c>
      <c r="J10" s="3">
        <v>252.6</v>
      </c>
      <c r="K10" s="3">
        <v>256.08999999999997</v>
      </c>
      <c r="L10" s="3">
        <v>257.61</v>
      </c>
      <c r="M10" s="3">
        <v>248.54</v>
      </c>
      <c r="N10" s="3">
        <v>232.68</v>
      </c>
      <c r="O10" s="3">
        <v>228.38</v>
      </c>
      <c r="P10" s="3">
        <v>233.65</v>
      </c>
      <c r="Q10" s="3">
        <v>233.75</v>
      </c>
      <c r="R10" s="3">
        <v>237.85</v>
      </c>
      <c r="S10" s="3">
        <v>251.51</v>
      </c>
      <c r="T10" s="3">
        <v>263.56</v>
      </c>
      <c r="U10" s="3">
        <v>257.13</v>
      </c>
      <c r="V10" s="3">
        <v>254.68</v>
      </c>
      <c r="W10" s="3">
        <v>258.85000000000002</v>
      </c>
      <c r="X10" s="3">
        <v>251.37</v>
      </c>
      <c r="Y10" s="3">
        <v>250.44</v>
      </c>
      <c r="Z10" s="3">
        <v>257.42</v>
      </c>
      <c r="AA10" s="3">
        <v>251.49</v>
      </c>
      <c r="AB10" s="3">
        <v>243.77</v>
      </c>
      <c r="AC10" s="3">
        <v>249.67</v>
      </c>
      <c r="AD10" s="3">
        <v>244.82</v>
      </c>
      <c r="AE10" s="3">
        <v>251.35</v>
      </c>
      <c r="AF10" s="3">
        <v>246.1</v>
      </c>
      <c r="AG10" s="3">
        <v>240.99</v>
      </c>
      <c r="AH10" s="3">
        <v>243.65</v>
      </c>
      <c r="AI10" s="3">
        <v>245.07</v>
      </c>
      <c r="AJ10" s="3">
        <v>259.35000000000002</v>
      </c>
      <c r="AK10" s="3">
        <v>258.61</v>
      </c>
      <c r="AL10" s="19">
        <f>+_xlfn.XLOOKUP(A10,'24_08'!B10:B637,'24_08'!R10:R637,"non trouvé",0)</f>
        <v>262.60000000000002</v>
      </c>
      <c r="AM10" s="19">
        <f>+_xlfn.XLOOKUP(A10,'28_08'!B11:B637,'28_08'!R11:R637,"non trouvé",0)</f>
        <v>259.75</v>
      </c>
      <c r="AO10" t="str">
        <f t="shared" si="0"/>
        <v>HORIZON EPARGNE</v>
      </c>
    </row>
    <row r="11" spans="1:41" x14ac:dyDescent="0.25">
      <c r="A11" s="15">
        <v>4008</v>
      </c>
      <c r="B11" s="8" t="s">
        <v>7</v>
      </c>
      <c r="C11" s="3"/>
      <c r="D11" s="55">
        <f>+_xlfn.XLOOKUP(A11,'31_12_25'!$B$3:$B$292,'31_12_25'!$R$3:$R$292,"non trouvé",1)</f>
        <v>3213.82</v>
      </c>
      <c r="E11" s="3">
        <v>1236.79</v>
      </c>
      <c r="F11" s="3">
        <v>1251.92</v>
      </c>
      <c r="G11" s="3">
        <v>1232.9100000000001</v>
      </c>
      <c r="H11" s="3">
        <v>1193.77</v>
      </c>
      <c r="I11" s="3">
        <v>1197.32</v>
      </c>
      <c r="J11" s="3">
        <v>1170.2</v>
      </c>
      <c r="K11" s="3">
        <v>1188.25</v>
      </c>
      <c r="L11" s="3">
        <v>1195.73</v>
      </c>
      <c r="M11" s="3">
        <v>1156.3</v>
      </c>
      <c r="N11" s="3">
        <v>1081.76</v>
      </c>
      <c r="O11" s="3">
        <v>1062.3399999999999</v>
      </c>
      <c r="P11" s="3">
        <v>1085.6300000000001</v>
      </c>
      <c r="Q11" s="3">
        <v>1084.1500000000001</v>
      </c>
      <c r="R11" s="3">
        <v>1105.24</v>
      </c>
      <c r="S11" s="3">
        <v>1167.8900000000001</v>
      </c>
      <c r="T11" s="3">
        <v>1217.77</v>
      </c>
      <c r="U11" s="3">
        <v>1186.8800000000001</v>
      </c>
      <c r="V11" s="3">
        <v>1179.45</v>
      </c>
      <c r="W11" s="3">
        <v>1198.42</v>
      </c>
      <c r="X11" s="3">
        <v>1162.44</v>
      </c>
      <c r="Y11" s="3">
        <v>1155.07</v>
      </c>
      <c r="Z11" s="3">
        <v>1192.6199999999999</v>
      </c>
      <c r="AA11" s="3">
        <v>1166.1600000000001</v>
      </c>
      <c r="AB11" s="3">
        <v>1131.51</v>
      </c>
      <c r="AC11" s="3">
        <v>1161.06</v>
      </c>
      <c r="AD11" s="3">
        <v>1140.6500000000001</v>
      </c>
      <c r="AE11" s="3">
        <v>1170.01</v>
      </c>
      <c r="AF11" s="3">
        <v>1147.0999999999999</v>
      </c>
      <c r="AG11" s="3">
        <v>1126.6099999999999</v>
      </c>
      <c r="AH11" s="3">
        <v>1137.08</v>
      </c>
      <c r="AI11" s="3">
        <v>1144.6300000000001</v>
      </c>
      <c r="AJ11" s="3">
        <v>1206.57</v>
      </c>
      <c r="AK11" s="3">
        <v>1203.8699999999999</v>
      </c>
      <c r="AL11" s="19">
        <f>+_xlfn.XLOOKUP(A11,'24_08'!B11:B638,'24_08'!R11:R638,"non trouvé",0)</f>
        <v>1219.33</v>
      </c>
      <c r="AM11" s="19">
        <f>+_xlfn.XLOOKUP(A11,'28_08'!B12:B638,'28_08'!R12:R638,"non trouvé",0)</f>
        <v>1207.72</v>
      </c>
      <c r="AO11" t="str">
        <f t="shared" si="0"/>
        <v>FCP KENZ ACTIONS</v>
      </c>
    </row>
    <row r="12" spans="1:41" x14ac:dyDescent="0.25">
      <c r="A12" s="15">
        <v>3972</v>
      </c>
      <c r="B12" s="8" t="s">
        <v>8</v>
      </c>
      <c r="C12" s="3"/>
      <c r="D12" s="55">
        <f>+_xlfn.XLOOKUP(A12,'31_12_25'!$B$3:$B$292,'31_12_25'!$R$3:$R$292,"non trouvé",1)</f>
        <v>991.78</v>
      </c>
      <c r="E12" s="3">
        <v>1011.42</v>
      </c>
      <c r="F12" s="3">
        <v>1026.3399999999999</v>
      </c>
      <c r="G12" s="3">
        <v>1008.99</v>
      </c>
      <c r="H12" s="3">
        <v>976.17</v>
      </c>
      <c r="I12" s="3">
        <v>975.43</v>
      </c>
      <c r="J12" s="3">
        <v>952.99</v>
      </c>
      <c r="K12" s="3">
        <v>966.41</v>
      </c>
      <c r="L12" s="3">
        <v>974.31</v>
      </c>
      <c r="M12" s="3">
        <v>943.06</v>
      </c>
      <c r="N12" s="3">
        <v>882.03</v>
      </c>
      <c r="O12" s="3">
        <v>867.17</v>
      </c>
      <c r="P12" s="3">
        <v>887.15</v>
      </c>
      <c r="Q12" s="3">
        <v>887.42</v>
      </c>
      <c r="R12" s="3">
        <v>903.71</v>
      </c>
      <c r="S12" s="3">
        <v>955.47</v>
      </c>
      <c r="T12" s="3">
        <v>1002.67</v>
      </c>
      <c r="U12" s="3">
        <v>979.5</v>
      </c>
      <c r="V12" s="3">
        <v>969.03</v>
      </c>
      <c r="W12" s="3">
        <v>986.21</v>
      </c>
      <c r="X12" s="3">
        <v>955.33</v>
      </c>
      <c r="Y12" s="3">
        <v>949.99</v>
      </c>
      <c r="Z12" s="3">
        <v>975.34</v>
      </c>
      <c r="AA12" s="3">
        <v>954.16</v>
      </c>
      <c r="AB12" s="3">
        <v>926.09</v>
      </c>
      <c r="AC12" s="3">
        <v>952.66</v>
      </c>
      <c r="AD12" s="3">
        <v>935.77</v>
      </c>
      <c r="AE12" s="3">
        <v>958.81</v>
      </c>
      <c r="AF12" s="3">
        <v>938.68</v>
      </c>
      <c r="AG12" s="3">
        <v>920.18</v>
      </c>
      <c r="AH12" s="3">
        <v>930.31</v>
      </c>
      <c r="AI12" s="3">
        <v>934.4</v>
      </c>
      <c r="AJ12" s="3">
        <v>990.37</v>
      </c>
      <c r="AK12" s="3">
        <v>988.25</v>
      </c>
      <c r="AL12" s="19">
        <f>+_xlfn.XLOOKUP(A12,'24_08'!B12:B639,'24_08'!R12:R639,"non trouvé",0)</f>
        <v>1003.74</v>
      </c>
      <c r="AM12" s="19">
        <f>+_xlfn.XLOOKUP(A12,'28_08'!B13:B639,'28_08'!R13:R639,"non trouvé",0)</f>
        <v>992.99</v>
      </c>
      <c r="AO12" t="str">
        <f t="shared" si="0"/>
        <v>FCP OPTIMA PERFORMANCE</v>
      </c>
    </row>
    <row r="13" spans="1:41" x14ac:dyDescent="0.25">
      <c r="A13" s="15">
        <v>3516</v>
      </c>
      <c r="B13" s="8" t="s">
        <v>9</v>
      </c>
      <c r="C13" s="3"/>
      <c r="D13" s="55">
        <f>+_xlfn.XLOOKUP(A13,'31_12_25'!$B$3:$B$292,'31_12_25'!$R$3:$R$292,"non trouvé",1)</f>
        <v>2239.4499999999998</v>
      </c>
      <c r="E13" s="3">
        <v>5280.46</v>
      </c>
      <c r="F13" s="3">
        <v>5387.19</v>
      </c>
      <c r="G13" s="3">
        <v>5287.34</v>
      </c>
      <c r="H13" s="3">
        <v>5132.82</v>
      </c>
      <c r="I13" s="3">
        <v>5109.8599999999997</v>
      </c>
      <c r="J13" s="3">
        <v>5077.26</v>
      </c>
      <c r="K13" s="3">
        <v>5129.03</v>
      </c>
      <c r="L13" s="3">
        <v>5164.29</v>
      </c>
      <c r="M13" s="3">
        <v>4951.62</v>
      </c>
      <c r="N13" s="3">
        <v>4635.76</v>
      </c>
      <c r="O13" s="3">
        <v>4502.45</v>
      </c>
      <c r="P13" s="3">
        <v>4631.12</v>
      </c>
      <c r="Q13" s="3">
        <v>4622.93</v>
      </c>
      <c r="R13" s="3">
        <v>4656.17</v>
      </c>
      <c r="S13" s="3">
        <v>4851.49</v>
      </c>
      <c r="T13" s="3">
        <v>5078.29</v>
      </c>
      <c r="U13" s="3">
        <v>4893.3999999999996</v>
      </c>
      <c r="V13" s="3">
        <v>4836.09</v>
      </c>
      <c r="W13" s="3">
        <v>4914.8999999999996</v>
      </c>
      <c r="X13" s="3">
        <v>4746.0200000000004</v>
      </c>
      <c r="Y13" s="3">
        <v>4685.25</v>
      </c>
      <c r="Z13" s="3">
        <v>4700.43</v>
      </c>
      <c r="AA13" s="3">
        <v>4651.8</v>
      </c>
      <c r="AB13" s="3">
        <v>4607.28</v>
      </c>
      <c r="AC13" s="3">
        <v>4732.8599999999997</v>
      </c>
      <c r="AD13" s="3">
        <v>4695</v>
      </c>
      <c r="AE13" s="3">
        <v>4774.2299999999996</v>
      </c>
      <c r="AF13" s="3">
        <v>4693.1000000000004</v>
      </c>
      <c r="AG13" s="3">
        <v>4594.6000000000004</v>
      </c>
      <c r="AH13" s="3">
        <v>4640.21</v>
      </c>
      <c r="AI13" s="3">
        <v>4651.83</v>
      </c>
      <c r="AJ13" s="3">
        <v>4888.87</v>
      </c>
      <c r="AK13" s="3">
        <v>4857.0200000000004</v>
      </c>
      <c r="AL13" s="19">
        <f>+_xlfn.XLOOKUP(A13,'24_08'!B13:B640,'24_08'!R13:R640,"non trouvé",0)</f>
        <v>4891.8</v>
      </c>
      <c r="AM13" s="19">
        <f>+_xlfn.XLOOKUP(A13,'28_08'!B14:B640,'28_08'!R14:R640,"non trouvé",0)</f>
        <v>4857.3599999999997</v>
      </c>
      <c r="AO13" t="str">
        <f t="shared" si="0"/>
        <v>FCP CAM INVESTISSEMENT</v>
      </c>
    </row>
    <row r="14" spans="1:41" x14ac:dyDescent="0.25">
      <c r="A14" s="15">
        <v>3984</v>
      </c>
      <c r="B14" s="8" t="s">
        <v>10</v>
      </c>
      <c r="C14" s="3"/>
      <c r="D14" s="55">
        <f>+_xlfn.XLOOKUP(A14,'31_12_25'!$B$3:$B$292,'31_12_25'!$R$3:$R$292,"non trouvé",1)</f>
        <v>951.74</v>
      </c>
      <c r="E14" s="3">
        <v>969.79</v>
      </c>
      <c r="F14" s="3">
        <v>984.93</v>
      </c>
      <c r="G14" s="3">
        <v>974.27</v>
      </c>
      <c r="H14" s="3">
        <v>948.48</v>
      </c>
      <c r="I14" s="3">
        <v>952.1</v>
      </c>
      <c r="J14" s="3">
        <v>932.1</v>
      </c>
      <c r="K14" s="3">
        <v>944.64</v>
      </c>
      <c r="L14" s="3">
        <v>948.39</v>
      </c>
      <c r="M14" s="3">
        <v>918.25</v>
      </c>
      <c r="N14" s="3">
        <v>871.25</v>
      </c>
      <c r="O14" s="3">
        <v>858.88</v>
      </c>
      <c r="P14" s="3">
        <v>877.03</v>
      </c>
      <c r="Q14" s="3">
        <v>875.35</v>
      </c>
      <c r="R14" s="3">
        <v>889.81</v>
      </c>
      <c r="S14" s="3">
        <v>932.77</v>
      </c>
      <c r="T14" s="3">
        <v>970.6</v>
      </c>
      <c r="U14" s="3">
        <v>945.34</v>
      </c>
      <c r="V14" s="3">
        <v>938.55</v>
      </c>
      <c r="W14" s="3">
        <v>950.98</v>
      </c>
      <c r="X14" s="3">
        <v>926.58</v>
      </c>
      <c r="Y14" s="3">
        <v>924.48</v>
      </c>
      <c r="Z14" s="3">
        <v>943.9</v>
      </c>
      <c r="AA14" s="3">
        <v>933.57</v>
      </c>
      <c r="AB14" s="3">
        <v>913.24</v>
      </c>
      <c r="AC14" s="3">
        <v>935.43</v>
      </c>
      <c r="AD14" s="3">
        <v>920.81</v>
      </c>
      <c r="AE14" s="3">
        <v>942.3</v>
      </c>
      <c r="AF14" s="3">
        <v>928.45</v>
      </c>
      <c r="AG14" s="3">
        <v>913.79</v>
      </c>
      <c r="AH14" s="3">
        <v>926.86</v>
      </c>
      <c r="AI14" s="3">
        <v>929.7</v>
      </c>
      <c r="AJ14" s="3">
        <v>971.58</v>
      </c>
      <c r="AK14" s="3">
        <v>972.17</v>
      </c>
      <c r="AL14" s="19">
        <f>+_xlfn.XLOOKUP(A14,'24_08'!B14:B641,'24_08'!R14:R641,"non trouvé",0)</f>
        <v>977.96</v>
      </c>
      <c r="AM14" s="19">
        <f>+_xlfn.XLOOKUP(A14,'28_08'!B15:B641,'28_08'!R15:R641,"non trouvé",0)</f>
        <v>967.96</v>
      </c>
      <c r="AO14" t="str">
        <f t="shared" si="0"/>
        <v>STERLING EQUITY</v>
      </c>
    </row>
    <row r="15" spans="1:41" x14ac:dyDescent="0.25">
      <c r="A15" s="15">
        <v>3913</v>
      </c>
      <c r="B15" s="8" t="s">
        <v>11</v>
      </c>
      <c r="C15" s="3"/>
      <c r="D15" s="55">
        <f>+_xlfn.XLOOKUP(A15,'31_12_25'!$B$3:$B$292,'31_12_25'!$R$3:$R$292,"non trouvé",1)</f>
        <v>1131.42</v>
      </c>
      <c r="E15" s="3">
        <v>984.12</v>
      </c>
      <c r="F15" s="3">
        <v>995.46</v>
      </c>
      <c r="G15" s="3">
        <v>979.99</v>
      </c>
      <c r="H15" s="3">
        <v>947.69</v>
      </c>
      <c r="I15" s="3">
        <v>947.13</v>
      </c>
      <c r="J15" s="3">
        <v>933.13</v>
      </c>
      <c r="K15" s="3">
        <v>943.57</v>
      </c>
      <c r="L15" s="3">
        <v>947.15</v>
      </c>
      <c r="M15" s="3">
        <v>914.11</v>
      </c>
      <c r="N15" s="3">
        <v>870.29</v>
      </c>
      <c r="O15" s="3">
        <v>858.67</v>
      </c>
      <c r="P15" s="3">
        <v>878.98</v>
      </c>
      <c r="Q15" s="3">
        <v>878.5</v>
      </c>
      <c r="R15" s="3">
        <v>892.66</v>
      </c>
      <c r="S15" s="3">
        <v>934.21</v>
      </c>
      <c r="T15" s="3">
        <v>969.09</v>
      </c>
      <c r="U15" s="3">
        <v>940.87</v>
      </c>
      <c r="V15" s="3">
        <v>935.41</v>
      </c>
      <c r="W15" s="3">
        <v>944.35</v>
      </c>
      <c r="X15" s="3">
        <v>918.39</v>
      </c>
      <c r="Y15" s="3">
        <v>917.2</v>
      </c>
      <c r="Z15" s="3">
        <v>941.48</v>
      </c>
      <c r="AA15" s="3">
        <v>924.89</v>
      </c>
      <c r="AB15" s="3">
        <v>902.63</v>
      </c>
      <c r="AC15" s="3">
        <v>923.1</v>
      </c>
      <c r="AD15" s="3">
        <v>909.54</v>
      </c>
      <c r="AE15" s="3">
        <v>931.38</v>
      </c>
      <c r="AF15" s="3">
        <v>913.85</v>
      </c>
      <c r="AG15" s="3">
        <v>899.37</v>
      </c>
      <c r="AH15" s="3">
        <v>911.24</v>
      </c>
      <c r="AI15" s="3">
        <v>911.52</v>
      </c>
      <c r="AJ15" s="3">
        <v>958.25</v>
      </c>
      <c r="AK15" s="3">
        <v>958.85</v>
      </c>
      <c r="AL15" s="19">
        <f>+_xlfn.XLOOKUP(A15,'24_08'!B15:B642,'24_08'!R15:R642,"non trouvé",0)</f>
        <v>973.26</v>
      </c>
      <c r="AM15" s="19">
        <f>+_xlfn.XLOOKUP(A15,'28_08'!B16:B642,'28_08'!R16:R642,"non trouvé",0)</f>
        <v>962.54</v>
      </c>
      <c r="AO15" t="str">
        <f t="shared" si="0"/>
        <v>CKG ISR SELECTION</v>
      </c>
    </row>
    <row r="16" spans="1:41" x14ac:dyDescent="0.25">
      <c r="A16" s="1">
        <v>4213</v>
      </c>
      <c r="B16" s="8" t="s">
        <v>12</v>
      </c>
      <c r="C16" s="3"/>
      <c r="D16" s="55">
        <f>+_xlfn.XLOOKUP(A16,'31_12_25'!$B$3:$B$292,'31_12_25'!$R$3:$R$292,"non trouvé",1)</f>
        <v>1077.21</v>
      </c>
      <c r="E16" s="3">
        <v>183.42</v>
      </c>
      <c r="F16" s="3">
        <v>186.47</v>
      </c>
      <c r="G16" s="3">
        <v>184.23</v>
      </c>
      <c r="H16" s="3">
        <v>177.86</v>
      </c>
      <c r="I16" s="3">
        <v>178.42</v>
      </c>
      <c r="J16" s="3">
        <v>175.72</v>
      </c>
      <c r="K16" s="3">
        <v>178.29</v>
      </c>
      <c r="L16" s="3">
        <v>179.64</v>
      </c>
      <c r="M16" s="3">
        <v>174.33</v>
      </c>
      <c r="N16" s="3">
        <v>164.83</v>
      </c>
      <c r="O16" s="3">
        <v>162.77000000000001</v>
      </c>
      <c r="P16" s="3">
        <v>166.38</v>
      </c>
      <c r="Q16" s="3">
        <v>165.84</v>
      </c>
      <c r="R16" s="3">
        <v>168.76</v>
      </c>
      <c r="S16" s="3">
        <v>177.76</v>
      </c>
      <c r="T16" s="3">
        <v>186.67</v>
      </c>
      <c r="U16" s="3">
        <v>182.06</v>
      </c>
      <c r="V16" s="3">
        <v>180.5</v>
      </c>
      <c r="W16" s="3">
        <v>183.24</v>
      </c>
      <c r="X16" s="3">
        <v>178.18</v>
      </c>
      <c r="Y16" s="3">
        <v>178.04</v>
      </c>
      <c r="Z16" s="3">
        <v>183.19</v>
      </c>
      <c r="AA16" s="3">
        <v>179.93</v>
      </c>
      <c r="AB16" s="3">
        <v>175.17</v>
      </c>
      <c r="AC16" s="3">
        <v>179.25</v>
      </c>
      <c r="AD16" s="3">
        <v>176.15</v>
      </c>
      <c r="AE16" s="3">
        <v>181.07</v>
      </c>
      <c r="AF16" s="3">
        <v>178.04</v>
      </c>
      <c r="AG16" s="3">
        <v>175.28</v>
      </c>
      <c r="AH16" s="3">
        <v>177.54</v>
      </c>
      <c r="AI16" s="3">
        <v>177.84</v>
      </c>
      <c r="AJ16" s="3">
        <v>187.42</v>
      </c>
      <c r="AK16" s="3">
        <v>187.65</v>
      </c>
      <c r="AL16" s="19">
        <f>+_xlfn.XLOOKUP(A16,'24_08'!B16:B643,'24_08'!R16:R643,"non trouvé",0)</f>
        <v>190.34</v>
      </c>
      <c r="AM16" s="19">
        <f>+_xlfn.XLOOKUP(A16,'28_08'!B17:B643,'28_08'!R17:R643,"non trouvé",0)</f>
        <v>188.32</v>
      </c>
      <c r="AO16" t="str">
        <f t="shared" si="0"/>
        <v>ATTIJARI VALEURS ESG</v>
      </c>
    </row>
    <row r="17" spans="2:41" x14ac:dyDescent="0.25">
      <c r="B17" s="8" t="s">
        <v>15</v>
      </c>
      <c r="C17" s="3">
        <v>60568.292500000003</v>
      </c>
      <c r="D17" s="3">
        <v>61781.74</v>
      </c>
      <c r="E17" s="3">
        <v>62968.462099999997</v>
      </c>
      <c r="F17" s="3">
        <v>63824.45</v>
      </c>
      <c r="G17" s="3">
        <v>62942.619100000004</v>
      </c>
      <c r="H17" s="3">
        <v>61116.9424</v>
      </c>
      <c r="I17" s="3">
        <v>61193.616000000002</v>
      </c>
      <c r="J17" s="3">
        <v>60013.005899999996</v>
      </c>
      <c r="K17" s="3">
        <v>60886.047599999998</v>
      </c>
      <c r="L17" s="3">
        <v>61305.397400000002</v>
      </c>
      <c r="M17" s="3">
        <v>59468.001799999998</v>
      </c>
      <c r="N17" s="3">
        <v>56048.820500000002</v>
      </c>
      <c r="O17" s="3">
        <v>55256.410199999998</v>
      </c>
      <c r="P17" s="3">
        <v>56543.8462</v>
      </c>
      <c r="Q17" s="3">
        <v>56493.498899999999</v>
      </c>
      <c r="R17" s="3">
        <v>57457.125800000002</v>
      </c>
      <c r="S17" s="3">
        <v>60516.35</v>
      </c>
      <c r="T17" s="3">
        <v>63111.400900000001</v>
      </c>
      <c r="U17" s="3">
        <v>61724.390800000001</v>
      </c>
      <c r="V17" s="3">
        <v>61337.347199999997</v>
      </c>
      <c r="W17" s="3">
        <v>62171.7644</v>
      </c>
      <c r="X17" s="3">
        <v>60431.765399999997</v>
      </c>
      <c r="Y17" s="3">
        <v>60269.314100000003</v>
      </c>
      <c r="Z17" s="3">
        <v>62082.123899999999</v>
      </c>
      <c r="AA17" s="3">
        <v>60804.638599999998</v>
      </c>
      <c r="AB17" s="3">
        <v>59163.669199999997</v>
      </c>
      <c r="AC17" s="3">
        <v>60598.133199999997</v>
      </c>
      <c r="AD17" s="3">
        <v>59531.242400000003</v>
      </c>
      <c r="AE17" s="3">
        <v>61116.426500000001</v>
      </c>
      <c r="AF17" s="3">
        <v>59969.1</v>
      </c>
      <c r="AG17" s="3">
        <v>58840.223100000003</v>
      </c>
      <c r="AH17" s="3">
        <v>59482.730799999998</v>
      </c>
      <c r="AI17" s="3">
        <v>59822.7716</v>
      </c>
      <c r="AJ17" s="3">
        <v>63290.01</v>
      </c>
      <c r="AK17" s="3">
        <v>63212.09</v>
      </c>
      <c r="AL17" s="19">
        <v>64194.33</v>
      </c>
      <c r="AM17" s="19">
        <v>63548.52</v>
      </c>
      <c r="AO17" t="s">
        <v>588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7A05-F657-47EF-8BEF-B2939817B917}">
  <dimension ref="A1:AG68"/>
  <sheetViews>
    <sheetView topLeftCell="U22" workbookViewId="0">
      <selection activeCell="B3" sqref="B3:C629"/>
    </sheetView>
  </sheetViews>
  <sheetFormatPr baseColWidth="10" defaultColWidth="16.5703125" defaultRowHeight="15" x14ac:dyDescent="0.25"/>
  <cols>
    <col min="1" max="16384" width="16.5703125" style="1"/>
  </cols>
  <sheetData>
    <row r="1" spans="1:33" ht="45" customHeight="1" x14ac:dyDescent="0.25">
      <c r="A1" s="6" t="s">
        <v>19</v>
      </c>
      <c r="B1" s="94" t="s">
        <v>13</v>
      </c>
      <c r="C1" s="94"/>
      <c r="D1" s="94" t="s">
        <v>14</v>
      </c>
      <c r="E1" s="94"/>
      <c r="F1" s="94" t="s">
        <v>0</v>
      </c>
      <c r="G1" s="94"/>
      <c r="H1" s="94" t="s">
        <v>1</v>
      </c>
      <c r="I1" s="94"/>
      <c r="J1" s="94" t="s">
        <v>2</v>
      </c>
      <c r="K1" s="94"/>
      <c r="L1" s="94" t="s">
        <v>3</v>
      </c>
      <c r="M1" s="94"/>
      <c r="N1" s="94" t="s">
        <v>4</v>
      </c>
      <c r="O1" s="94"/>
      <c r="P1" s="94" t="s">
        <v>5</v>
      </c>
      <c r="Q1" s="94"/>
      <c r="R1" s="94" t="s">
        <v>6</v>
      </c>
      <c r="S1" s="94"/>
      <c r="T1" s="94" t="s">
        <v>7</v>
      </c>
      <c r="U1" s="94"/>
      <c r="V1" s="94" t="s">
        <v>8</v>
      </c>
      <c r="W1" s="94"/>
      <c r="X1" s="94" t="s">
        <v>9</v>
      </c>
      <c r="Y1" s="94"/>
      <c r="Z1" s="94" t="s">
        <v>10</v>
      </c>
      <c r="AA1" s="94"/>
      <c r="AB1" s="94" t="s">
        <v>11</v>
      </c>
      <c r="AC1" s="94"/>
      <c r="AD1" s="94" t="s">
        <v>12</v>
      </c>
      <c r="AE1" s="94"/>
      <c r="AF1" s="94" t="s">
        <v>15</v>
      </c>
      <c r="AG1" s="94"/>
    </row>
    <row r="2" spans="1:33" x14ac:dyDescent="0.25">
      <c r="A2" s="4" t="s">
        <v>16</v>
      </c>
      <c r="B2" s="4" t="s">
        <v>17</v>
      </c>
      <c r="C2" s="4" t="s">
        <v>20</v>
      </c>
      <c r="D2" s="4" t="s">
        <v>17</v>
      </c>
      <c r="E2" s="4" t="s">
        <v>20</v>
      </c>
      <c r="F2" s="4" t="s">
        <v>17</v>
      </c>
      <c r="G2" s="4" t="s">
        <v>20</v>
      </c>
      <c r="H2" s="4" t="s">
        <v>17</v>
      </c>
      <c r="I2" s="4" t="s">
        <v>20</v>
      </c>
      <c r="J2" s="4" t="s">
        <v>17</v>
      </c>
      <c r="K2" s="4" t="s">
        <v>20</v>
      </c>
      <c r="L2" s="4" t="s">
        <v>17</v>
      </c>
      <c r="M2" s="4" t="s">
        <v>20</v>
      </c>
      <c r="N2" s="4" t="s">
        <v>17</v>
      </c>
      <c r="O2" s="4" t="s">
        <v>20</v>
      </c>
      <c r="P2" s="4" t="s">
        <v>17</v>
      </c>
      <c r="Q2" s="4" t="s">
        <v>20</v>
      </c>
      <c r="R2" s="4" t="s">
        <v>17</v>
      </c>
      <c r="S2" s="4" t="s">
        <v>20</v>
      </c>
      <c r="T2" s="4" t="s">
        <v>17</v>
      </c>
      <c r="U2" s="4" t="s">
        <v>20</v>
      </c>
      <c r="V2" s="4" t="s">
        <v>17</v>
      </c>
      <c r="W2" s="4" t="s">
        <v>20</v>
      </c>
      <c r="X2" s="4" t="s">
        <v>17</v>
      </c>
      <c r="Y2" s="4" t="s">
        <v>20</v>
      </c>
      <c r="Z2" s="4" t="s">
        <v>17</v>
      </c>
      <c r="AA2" s="4" t="s">
        <v>20</v>
      </c>
      <c r="AB2" s="4" t="s">
        <v>17</v>
      </c>
      <c r="AC2" s="4" t="s">
        <v>20</v>
      </c>
      <c r="AD2" s="4" t="s">
        <v>17</v>
      </c>
      <c r="AE2" s="4" t="s">
        <v>20</v>
      </c>
      <c r="AF2" s="4" t="s">
        <v>17</v>
      </c>
      <c r="AG2" s="4" t="s">
        <v>20</v>
      </c>
    </row>
    <row r="3" spans="1:33" x14ac:dyDescent="0.25">
      <c r="A3" s="2">
        <v>46017</v>
      </c>
      <c r="B3" s="3">
        <v>2354.81</v>
      </c>
      <c r="C3" s="3"/>
      <c r="D3" s="3">
        <v>8502.5300000000007</v>
      </c>
      <c r="E3" s="3"/>
      <c r="F3" s="3">
        <v>2946.92</v>
      </c>
      <c r="G3" s="3"/>
      <c r="H3" s="3">
        <v>11152.36</v>
      </c>
      <c r="I3" s="3"/>
      <c r="J3" s="3">
        <v>1507.93</v>
      </c>
      <c r="K3" s="3"/>
      <c r="L3" s="3">
        <v>1199.27</v>
      </c>
      <c r="M3" s="3"/>
      <c r="N3" s="3">
        <v>262.54000000000002</v>
      </c>
      <c r="O3" s="3"/>
      <c r="P3" s="3">
        <v>283.41000000000003</v>
      </c>
      <c r="Q3" s="3"/>
      <c r="R3" s="3">
        <v>256.99</v>
      </c>
      <c r="S3" s="3"/>
      <c r="T3" s="3">
        <v>1190.22</v>
      </c>
      <c r="U3" s="3"/>
      <c r="V3" s="3">
        <v>971.45</v>
      </c>
      <c r="W3" s="3"/>
      <c r="X3" s="3">
        <v>5105.37</v>
      </c>
      <c r="Y3" s="3"/>
      <c r="Z3" s="3">
        <v>929.03</v>
      </c>
      <c r="AA3" s="3"/>
      <c r="AB3" s="3">
        <v>945.48</v>
      </c>
      <c r="AC3" s="3"/>
      <c r="AD3" s="3">
        <v>174.88</v>
      </c>
      <c r="AE3" s="3"/>
      <c r="AF3" s="3">
        <v>60568.292500000003</v>
      </c>
    </row>
    <row r="4" spans="1:33" x14ac:dyDescent="0.25">
      <c r="A4" s="2">
        <v>46024</v>
      </c>
      <c r="B4" s="3">
        <v>2460</v>
      </c>
      <c r="C4" s="7">
        <f t="shared" ref="C4:C39" si="0">B4/B3-1</f>
        <v>4.4670270637546139E-2</v>
      </c>
      <c r="D4" s="3">
        <v>8856.09</v>
      </c>
      <c r="E4" s="7">
        <f t="shared" ref="E4:E39" si="1">D4/D3-1</f>
        <v>4.1582917084679538E-2</v>
      </c>
      <c r="F4" s="3">
        <v>3074.6</v>
      </c>
      <c r="G4" s="7">
        <f t="shared" ref="G4:G39" si="2">F4/F3-1</f>
        <v>4.3326591831471362E-2</v>
      </c>
      <c r="H4" s="3">
        <v>11430</v>
      </c>
      <c r="I4" s="7">
        <f t="shared" ref="I4:I39" si="3">H4/H3-1</f>
        <v>2.4895179136971812E-2</v>
      </c>
      <c r="J4" s="3">
        <v>1566.8</v>
      </c>
      <c r="K4" s="7">
        <f t="shared" ref="K4:K39" si="4">J4/J3-1</f>
        <v>3.9040273752760424E-2</v>
      </c>
      <c r="L4" s="3">
        <v>1251.26</v>
      </c>
      <c r="M4" s="7">
        <f t="shared" ref="M4:M39" si="5">L4/L3-1</f>
        <v>4.3351372084684758E-2</v>
      </c>
      <c r="N4" s="3">
        <v>273.25</v>
      </c>
      <c r="O4" s="7">
        <f t="shared" ref="O4:O39" si="6">N4/N3-1</f>
        <v>4.0793783804372596E-2</v>
      </c>
      <c r="P4" s="3">
        <v>294.38</v>
      </c>
      <c r="Q4" s="7">
        <f t="shared" ref="Q4:Q39" si="7">P4/P3-1</f>
        <v>3.8707173353092594E-2</v>
      </c>
      <c r="R4" s="3">
        <v>268.02999999999997</v>
      </c>
      <c r="S4" s="7">
        <f t="shared" ref="S4:S39" si="8">R4/R3-1</f>
        <v>4.2958869994941251E-2</v>
      </c>
      <c r="T4" s="3">
        <v>1236.79</v>
      </c>
      <c r="U4" s="7">
        <f t="shared" ref="U4:U39" si="9">T4/T3-1</f>
        <v>3.912722017778214E-2</v>
      </c>
      <c r="V4" s="3">
        <v>1011.42</v>
      </c>
      <c r="W4" s="7">
        <f t="shared" ref="W4:W39" si="10">V4/V3-1</f>
        <v>4.1144680632044794E-2</v>
      </c>
      <c r="X4" s="3">
        <v>5280.46</v>
      </c>
      <c r="Y4" s="7">
        <f t="shared" ref="Y4:Y39" si="11">X4/X3-1</f>
        <v>3.4295261655864273E-2</v>
      </c>
      <c r="Z4" s="3">
        <v>969.79</v>
      </c>
      <c r="AA4" s="7">
        <f t="shared" ref="AA4:AA39" si="12">Z4/Z3-1</f>
        <v>4.3873717748619478E-2</v>
      </c>
      <c r="AB4" s="3">
        <v>984.12</v>
      </c>
      <c r="AC4" s="7">
        <f t="shared" ref="AC4:AC39" si="13">AB4/AB3-1</f>
        <v>4.0868130473410424E-2</v>
      </c>
      <c r="AD4" s="3">
        <v>183.42</v>
      </c>
      <c r="AE4" s="7">
        <f t="shared" ref="AE4:AE39" si="14">AD4/AD3-1</f>
        <v>4.8833485818847056E-2</v>
      </c>
      <c r="AF4" s="3">
        <v>62968.462099999997</v>
      </c>
      <c r="AG4" s="7">
        <f t="shared" ref="AG4:AG39" si="15">AF4/AF3-1</f>
        <v>3.962749321354897E-2</v>
      </c>
    </row>
    <row r="5" spans="1:33" x14ac:dyDescent="0.25">
      <c r="A5" s="2">
        <v>46031</v>
      </c>
      <c r="B5" s="3">
        <v>2483.4499999999998</v>
      </c>
      <c r="C5" s="7">
        <f t="shared" si="0"/>
        <v>9.532520325203242E-3</v>
      </c>
      <c r="D5" s="3">
        <v>8971.5499999999993</v>
      </c>
      <c r="E5" s="7">
        <f t="shared" si="1"/>
        <v>1.3037356214762763E-2</v>
      </c>
      <c r="F5" s="3">
        <v>3112.31</v>
      </c>
      <c r="G5" s="7">
        <f t="shared" si="2"/>
        <v>1.2265010082612493E-2</v>
      </c>
      <c r="H5" s="3">
        <v>11617.75</v>
      </c>
      <c r="I5" s="7">
        <f t="shared" si="3"/>
        <v>1.6426071741032278E-2</v>
      </c>
      <c r="J5" s="3">
        <v>1583.91</v>
      </c>
      <c r="K5" s="7">
        <f t="shared" si="4"/>
        <v>1.0920347204493419E-2</v>
      </c>
      <c r="L5" s="3">
        <v>1264.24</v>
      </c>
      <c r="M5" s="7">
        <f t="shared" si="5"/>
        <v>1.0373543468183977E-2</v>
      </c>
      <c r="N5" s="3">
        <v>276.58</v>
      </c>
      <c r="O5" s="7">
        <f t="shared" si="6"/>
        <v>1.2186642268984471E-2</v>
      </c>
      <c r="P5" s="3">
        <v>297.58</v>
      </c>
      <c r="Q5" s="7">
        <f t="shared" si="7"/>
        <v>1.0870303689109351E-2</v>
      </c>
      <c r="R5" s="3">
        <v>271.39</v>
      </c>
      <c r="S5" s="7">
        <f t="shared" si="8"/>
        <v>1.2535910159310548E-2</v>
      </c>
      <c r="T5" s="3">
        <v>1251.92</v>
      </c>
      <c r="U5" s="7">
        <f t="shared" si="9"/>
        <v>1.2233281316957667E-2</v>
      </c>
      <c r="V5" s="3">
        <v>1026.3399999999999</v>
      </c>
      <c r="W5" s="7">
        <f t="shared" si="10"/>
        <v>1.4751537442407647E-2</v>
      </c>
      <c r="X5" s="3">
        <v>5387.19</v>
      </c>
      <c r="Y5" s="7">
        <f t="shared" si="11"/>
        <v>2.0212254235426386E-2</v>
      </c>
      <c r="Z5" s="3">
        <v>984.93</v>
      </c>
      <c r="AA5" s="7">
        <f t="shared" si="12"/>
        <v>1.5611627259509708E-2</v>
      </c>
      <c r="AB5" s="3">
        <v>995.46</v>
      </c>
      <c r="AC5" s="7">
        <f t="shared" si="13"/>
        <v>1.1522985001829023E-2</v>
      </c>
      <c r="AD5" s="3">
        <v>186.47</v>
      </c>
      <c r="AE5" s="7">
        <f t="shared" si="14"/>
        <v>1.6628502889543206E-2</v>
      </c>
      <c r="AF5" s="3">
        <v>63824.45</v>
      </c>
      <c r="AG5" s="7">
        <f t="shared" si="15"/>
        <v>1.3593914659065565E-2</v>
      </c>
    </row>
    <row r="6" spans="1:33" x14ac:dyDescent="0.25">
      <c r="A6" s="2">
        <v>46038</v>
      </c>
      <c r="B6" s="3">
        <v>2436.31</v>
      </c>
      <c r="C6" s="7">
        <f t="shared" si="0"/>
        <v>-1.8981658579798166E-2</v>
      </c>
      <c r="D6" s="3">
        <v>8798.35</v>
      </c>
      <c r="E6" s="7">
        <f t="shared" si="1"/>
        <v>-1.9305471183909018E-2</v>
      </c>
      <c r="F6" s="3">
        <v>3050.25</v>
      </c>
      <c r="G6" s="7">
        <f t="shared" si="2"/>
        <v>-1.9940173054740717E-2</v>
      </c>
      <c r="H6" s="3">
        <v>11334.3</v>
      </c>
      <c r="I6" s="7">
        <f t="shared" si="3"/>
        <v>-2.4398011663187891E-2</v>
      </c>
      <c r="J6" s="3">
        <v>1557.74</v>
      </c>
      <c r="K6" s="7">
        <f t="shared" si="4"/>
        <v>-1.6522403419386267E-2</v>
      </c>
      <c r="L6" s="3">
        <v>1248.05</v>
      </c>
      <c r="M6" s="7">
        <f t="shared" si="5"/>
        <v>-1.280611276339938E-2</v>
      </c>
      <c r="N6" s="3">
        <v>271.36</v>
      </c>
      <c r="O6" s="7">
        <f t="shared" si="6"/>
        <v>-1.8873382023284258E-2</v>
      </c>
      <c r="P6" s="3">
        <v>291.5</v>
      </c>
      <c r="Q6" s="7">
        <f t="shared" si="7"/>
        <v>-2.0431480610256014E-2</v>
      </c>
      <c r="R6" s="3">
        <v>266.44</v>
      </c>
      <c r="S6" s="7">
        <f t="shared" si="8"/>
        <v>-1.8239434024835077E-2</v>
      </c>
      <c r="T6" s="3">
        <v>1232.9100000000001</v>
      </c>
      <c r="U6" s="7">
        <f t="shared" si="9"/>
        <v>-1.5184676337146152E-2</v>
      </c>
      <c r="V6" s="3">
        <v>1008.99</v>
      </c>
      <c r="W6" s="7">
        <f t="shared" si="10"/>
        <v>-1.6904729426895471E-2</v>
      </c>
      <c r="X6" s="3">
        <v>5287.34</v>
      </c>
      <c r="Y6" s="7">
        <f t="shared" si="11"/>
        <v>-1.8534709189763077E-2</v>
      </c>
      <c r="Z6" s="3">
        <v>974.27</v>
      </c>
      <c r="AA6" s="7">
        <f t="shared" si="12"/>
        <v>-1.0823104179992438E-2</v>
      </c>
      <c r="AB6" s="3">
        <v>979.99</v>
      </c>
      <c r="AC6" s="7">
        <f t="shared" si="13"/>
        <v>-1.5540554115685223E-2</v>
      </c>
      <c r="AD6" s="3">
        <v>184.23</v>
      </c>
      <c r="AE6" s="7">
        <f t="shared" si="14"/>
        <v>-1.2012656191344506E-2</v>
      </c>
      <c r="AF6" s="3">
        <v>62942.619100000004</v>
      </c>
      <c r="AG6" s="7">
        <f t="shared" si="15"/>
        <v>-1.3816506056848032E-2</v>
      </c>
    </row>
    <row r="7" spans="1:33" x14ac:dyDescent="0.25">
      <c r="A7" s="2">
        <v>46045</v>
      </c>
      <c r="B7" s="3">
        <v>2352.91</v>
      </c>
      <c r="C7" s="7">
        <f t="shared" si="0"/>
        <v>-3.4232096900640774E-2</v>
      </c>
      <c r="D7" s="3">
        <v>8501.0400000000009</v>
      </c>
      <c r="E7" s="7">
        <f t="shared" si="1"/>
        <v>-3.3791563190825546E-2</v>
      </c>
      <c r="F7" s="3">
        <v>2950.52</v>
      </c>
      <c r="G7" s="7">
        <f t="shared" si="2"/>
        <v>-3.269568068191131E-2</v>
      </c>
      <c r="H7" s="3">
        <v>10980.79</v>
      </c>
      <c r="I7" s="7">
        <f t="shared" si="3"/>
        <v>-3.1189398551299874E-2</v>
      </c>
      <c r="J7" s="3">
        <v>1512.09</v>
      </c>
      <c r="K7" s="7">
        <f t="shared" si="4"/>
        <v>-2.9305275591562152E-2</v>
      </c>
      <c r="L7" s="3">
        <v>1210.6400000000001</v>
      </c>
      <c r="M7" s="7">
        <f t="shared" si="5"/>
        <v>-2.9974760626577335E-2</v>
      </c>
      <c r="N7" s="3">
        <v>262.14</v>
      </c>
      <c r="O7" s="7">
        <f t="shared" si="6"/>
        <v>-3.3977004716981285E-2</v>
      </c>
      <c r="P7" s="3">
        <v>281.92</v>
      </c>
      <c r="Q7" s="7">
        <f t="shared" si="7"/>
        <v>-3.2864493996569433E-2</v>
      </c>
      <c r="R7" s="3">
        <v>257.62</v>
      </c>
      <c r="S7" s="7">
        <f t="shared" si="8"/>
        <v>-3.3103137667016891E-2</v>
      </c>
      <c r="T7" s="3">
        <v>1193.77</v>
      </c>
      <c r="U7" s="7">
        <f t="shared" si="9"/>
        <v>-3.1746031746031855E-2</v>
      </c>
      <c r="V7" s="3">
        <v>976.17</v>
      </c>
      <c r="W7" s="7">
        <f t="shared" si="10"/>
        <v>-3.2527577082032577E-2</v>
      </c>
      <c r="X7" s="3">
        <v>5132.82</v>
      </c>
      <c r="Y7" s="7">
        <f t="shared" si="11"/>
        <v>-2.9224524997446766E-2</v>
      </c>
      <c r="Z7" s="3">
        <v>948.48</v>
      </c>
      <c r="AA7" s="7">
        <f t="shared" si="12"/>
        <v>-2.6471101440052491E-2</v>
      </c>
      <c r="AB7" s="3">
        <v>947.69</v>
      </c>
      <c r="AC7" s="7">
        <f t="shared" si="13"/>
        <v>-3.2959519995101938E-2</v>
      </c>
      <c r="AD7" s="3">
        <v>177.86</v>
      </c>
      <c r="AE7" s="7">
        <f t="shared" si="14"/>
        <v>-3.4576344786408142E-2</v>
      </c>
      <c r="AF7" s="3">
        <v>61116.9424</v>
      </c>
      <c r="AG7" s="7">
        <f t="shared" si="15"/>
        <v>-2.9005413599002994E-2</v>
      </c>
    </row>
    <row r="8" spans="1:33" x14ac:dyDescent="0.25">
      <c r="A8" s="2">
        <v>46052</v>
      </c>
      <c r="B8" s="3">
        <v>2341.56</v>
      </c>
      <c r="C8" s="7">
        <f t="shared" si="0"/>
        <v>-4.8238139155343251E-3</v>
      </c>
      <c r="D8" s="3">
        <v>8492.08</v>
      </c>
      <c r="E8" s="7">
        <f t="shared" si="1"/>
        <v>-1.053988688442975E-3</v>
      </c>
      <c r="F8" s="3">
        <v>2946.72</v>
      </c>
      <c r="G8" s="7">
        <f t="shared" si="2"/>
        <v>-1.2879085720484129E-3</v>
      </c>
      <c r="H8" s="3">
        <v>10881.05</v>
      </c>
      <c r="I8" s="7">
        <f t="shared" si="3"/>
        <v>-9.0831351842628472E-3</v>
      </c>
      <c r="J8" s="3">
        <v>1510.73</v>
      </c>
      <c r="K8" s="7">
        <f t="shared" si="4"/>
        <v>-8.9941736272303174E-4</v>
      </c>
      <c r="L8" s="3">
        <v>1210.93</v>
      </c>
      <c r="M8" s="7">
        <f t="shared" si="5"/>
        <v>2.3954272120518816E-4</v>
      </c>
      <c r="N8" s="3">
        <v>261.45</v>
      </c>
      <c r="O8" s="7">
        <f t="shared" si="6"/>
        <v>-2.6321812771801234E-3</v>
      </c>
      <c r="P8" s="3">
        <v>281.77</v>
      </c>
      <c r="Q8" s="7">
        <f t="shared" si="7"/>
        <v>-5.3206583427933829E-4</v>
      </c>
      <c r="R8" s="3">
        <v>257.83</v>
      </c>
      <c r="S8" s="7">
        <f t="shared" si="8"/>
        <v>8.1515410294219492E-4</v>
      </c>
      <c r="T8" s="3">
        <v>1197.32</v>
      </c>
      <c r="U8" s="7">
        <f t="shared" si="9"/>
        <v>2.9737721671678763E-3</v>
      </c>
      <c r="V8" s="3">
        <v>975.43</v>
      </c>
      <c r="W8" s="7">
        <f t="shared" si="10"/>
        <v>-7.5806468135675154E-4</v>
      </c>
      <c r="X8" s="3">
        <v>5109.8599999999997</v>
      </c>
      <c r="Y8" s="7">
        <f t="shared" si="11"/>
        <v>-4.4731745901862574E-3</v>
      </c>
      <c r="Z8" s="3">
        <v>952.1</v>
      </c>
      <c r="AA8" s="7">
        <f t="shared" si="12"/>
        <v>3.8166329284750056E-3</v>
      </c>
      <c r="AB8" s="3">
        <v>947.13</v>
      </c>
      <c r="AC8" s="7">
        <f t="shared" si="13"/>
        <v>-5.9091052981463665E-4</v>
      </c>
      <c r="AD8" s="3">
        <v>178.42</v>
      </c>
      <c r="AE8" s="7">
        <f t="shared" si="14"/>
        <v>3.1485437984930531E-3</v>
      </c>
      <c r="AF8" s="3">
        <v>61193.616000000002</v>
      </c>
      <c r="AG8" s="7">
        <f t="shared" si="15"/>
        <v>1.254539199591953E-3</v>
      </c>
    </row>
    <row r="9" spans="1:33" x14ac:dyDescent="0.25">
      <c r="A9" s="2">
        <v>46059</v>
      </c>
      <c r="B9" s="3">
        <v>2304.6799999999998</v>
      </c>
      <c r="C9" s="7">
        <f t="shared" si="0"/>
        <v>-1.5750183638258308E-2</v>
      </c>
      <c r="D9" s="3">
        <v>8312.24</v>
      </c>
      <c r="E9" s="7">
        <f t="shared" si="1"/>
        <v>-2.1177379393505502E-2</v>
      </c>
      <c r="F9" s="3">
        <v>2886.93</v>
      </c>
      <c r="G9" s="7">
        <f t="shared" si="2"/>
        <v>-2.0290356735624737E-2</v>
      </c>
      <c r="H9" s="3">
        <v>10598.01</v>
      </c>
      <c r="I9" s="7">
        <f t="shared" si="3"/>
        <v>-2.6012195514219627E-2</v>
      </c>
      <c r="J9" s="3">
        <v>1473.77</v>
      </c>
      <c r="K9" s="7">
        <f t="shared" si="4"/>
        <v>-2.4464993744745978E-2</v>
      </c>
      <c r="L9" s="3">
        <v>1181.48</v>
      </c>
      <c r="M9" s="7">
        <f t="shared" si="5"/>
        <v>-2.4320150628029724E-2</v>
      </c>
      <c r="N9" s="3">
        <v>256.5</v>
      </c>
      <c r="O9" s="7">
        <f t="shared" si="6"/>
        <v>-1.8932874354561036E-2</v>
      </c>
      <c r="P9" s="3">
        <v>276.57</v>
      </c>
      <c r="Q9" s="7">
        <f t="shared" si="7"/>
        <v>-1.8454768073251193E-2</v>
      </c>
      <c r="R9" s="3">
        <v>252.6</v>
      </c>
      <c r="S9" s="7">
        <f t="shared" si="8"/>
        <v>-2.0284683706318085E-2</v>
      </c>
      <c r="T9" s="3">
        <v>1170.2</v>
      </c>
      <c r="U9" s="7">
        <f t="shared" si="9"/>
        <v>-2.2650586309424292E-2</v>
      </c>
      <c r="V9" s="3">
        <v>952.99</v>
      </c>
      <c r="W9" s="7">
        <f t="shared" si="10"/>
        <v>-2.3005238715233189E-2</v>
      </c>
      <c r="X9" s="3">
        <v>5077.26</v>
      </c>
      <c r="Y9" s="7">
        <f t="shared" si="11"/>
        <v>-6.3798225391692442E-3</v>
      </c>
      <c r="Z9" s="3">
        <v>932.1</v>
      </c>
      <c r="AA9" s="7">
        <f t="shared" si="12"/>
        <v>-2.1006196828064261E-2</v>
      </c>
      <c r="AB9" s="3">
        <v>933.13</v>
      </c>
      <c r="AC9" s="7">
        <f t="shared" si="13"/>
        <v>-1.4781497788054487E-2</v>
      </c>
      <c r="AD9" s="3">
        <v>175.72</v>
      </c>
      <c r="AE9" s="7">
        <f t="shared" si="14"/>
        <v>-1.5132832642080429E-2</v>
      </c>
      <c r="AF9" s="3">
        <v>60013.005899999996</v>
      </c>
      <c r="AG9" s="7">
        <f t="shared" si="15"/>
        <v>-1.9293027233429183E-2</v>
      </c>
    </row>
    <row r="10" spans="1:33" x14ac:dyDescent="0.25">
      <c r="A10" s="2">
        <v>46066</v>
      </c>
      <c r="B10" s="3">
        <v>2327.56</v>
      </c>
      <c r="C10" s="7">
        <f t="shared" si="0"/>
        <v>9.9276255271882885E-3</v>
      </c>
      <c r="D10" s="3">
        <v>8436.74</v>
      </c>
      <c r="E10" s="7">
        <f t="shared" si="1"/>
        <v>1.49779120910849E-2</v>
      </c>
      <c r="F10" s="3">
        <v>2921.65</v>
      </c>
      <c r="G10" s="7">
        <f t="shared" si="2"/>
        <v>1.202661650957948E-2</v>
      </c>
      <c r="H10" s="3">
        <v>10669.58</v>
      </c>
      <c r="I10" s="7">
        <f t="shared" si="3"/>
        <v>6.7531546016657007E-3</v>
      </c>
      <c r="J10" s="3">
        <v>1494.53</v>
      </c>
      <c r="K10" s="7">
        <f t="shared" si="4"/>
        <v>1.4086322831920794E-2</v>
      </c>
      <c r="L10" s="3">
        <v>1204.6500000000001</v>
      </c>
      <c r="M10" s="7">
        <f t="shared" si="5"/>
        <v>1.9610996377424916E-2</v>
      </c>
      <c r="N10" s="3">
        <v>259.93</v>
      </c>
      <c r="O10" s="7">
        <f t="shared" si="6"/>
        <v>1.3372319688109258E-2</v>
      </c>
      <c r="P10" s="3">
        <v>279.99</v>
      </c>
      <c r="Q10" s="7">
        <f t="shared" si="7"/>
        <v>1.2365766352099072E-2</v>
      </c>
      <c r="R10" s="3">
        <v>256.08999999999997</v>
      </c>
      <c r="S10" s="7">
        <f t="shared" si="8"/>
        <v>1.3816310372129825E-2</v>
      </c>
      <c r="T10" s="3">
        <v>1188.25</v>
      </c>
      <c r="U10" s="7">
        <f t="shared" si="9"/>
        <v>1.5424713724149663E-2</v>
      </c>
      <c r="V10" s="3">
        <v>966.41</v>
      </c>
      <c r="W10" s="7">
        <f t="shared" si="10"/>
        <v>1.4081994564475897E-2</v>
      </c>
      <c r="X10" s="3">
        <v>5129.03</v>
      </c>
      <c r="Y10" s="7">
        <f t="shared" si="11"/>
        <v>1.0196444538983496E-2</v>
      </c>
      <c r="Z10" s="3">
        <v>944.64</v>
      </c>
      <c r="AA10" s="7">
        <f t="shared" si="12"/>
        <v>1.3453492114579912E-2</v>
      </c>
      <c r="AB10" s="3">
        <v>943.57</v>
      </c>
      <c r="AC10" s="7">
        <f t="shared" si="13"/>
        <v>1.1188151704478511E-2</v>
      </c>
      <c r="AD10" s="3">
        <v>178.29</v>
      </c>
      <c r="AE10" s="7">
        <f t="shared" si="14"/>
        <v>1.4625540632824841E-2</v>
      </c>
      <c r="AF10" s="3">
        <v>60886.047599999998</v>
      </c>
      <c r="AG10" s="7">
        <f t="shared" si="15"/>
        <v>1.4547541602144554E-2</v>
      </c>
    </row>
    <row r="11" spans="1:33" x14ac:dyDescent="0.25">
      <c r="A11" s="2">
        <v>46073</v>
      </c>
      <c r="B11" s="3">
        <v>2347.75</v>
      </c>
      <c r="C11" s="7">
        <f t="shared" si="0"/>
        <v>8.6743198886387596E-3</v>
      </c>
      <c r="D11" s="3">
        <v>8479.4599999999991</v>
      </c>
      <c r="E11" s="7">
        <f t="shared" si="1"/>
        <v>5.0635672072387727E-3</v>
      </c>
      <c r="F11" s="3">
        <v>2934.75</v>
      </c>
      <c r="G11" s="7">
        <f t="shared" si="2"/>
        <v>4.483767733985955E-3</v>
      </c>
      <c r="H11" s="3">
        <v>10761.88</v>
      </c>
      <c r="I11" s="7">
        <f t="shared" si="3"/>
        <v>8.6507622605576096E-3</v>
      </c>
      <c r="J11" s="3">
        <v>1503.38</v>
      </c>
      <c r="K11" s="7">
        <f t="shared" si="4"/>
        <v>5.9215940797441302E-3</v>
      </c>
      <c r="L11" s="3">
        <v>1211.1600000000001</v>
      </c>
      <c r="M11" s="7">
        <f t="shared" si="5"/>
        <v>5.4040592703274992E-3</v>
      </c>
      <c r="N11" s="3">
        <v>261.52999999999997</v>
      </c>
      <c r="O11" s="7">
        <f t="shared" si="6"/>
        <v>6.1555034047626744E-3</v>
      </c>
      <c r="P11" s="3">
        <v>281.83999999999997</v>
      </c>
      <c r="Q11" s="7">
        <f t="shared" si="7"/>
        <v>6.6073788349583218E-3</v>
      </c>
      <c r="R11" s="3">
        <v>257.61</v>
      </c>
      <c r="S11" s="7">
        <f t="shared" si="8"/>
        <v>5.9354133312508051E-3</v>
      </c>
      <c r="T11" s="3">
        <v>1195.73</v>
      </c>
      <c r="U11" s="7">
        <f t="shared" si="9"/>
        <v>6.2949715968863007E-3</v>
      </c>
      <c r="V11" s="3">
        <v>974.31</v>
      </c>
      <c r="W11" s="7">
        <f t="shared" si="10"/>
        <v>8.1745842861724594E-3</v>
      </c>
      <c r="X11" s="3">
        <v>5164.29</v>
      </c>
      <c r="Y11" s="7">
        <f t="shared" si="11"/>
        <v>6.8745942215195921E-3</v>
      </c>
      <c r="Z11" s="3">
        <v>948.39</v>
      </c>
      <c r="AA11" s="7">
        <f t="shared" si="12"/>
        <v>3.9697662601625439E-3</v>
      </c>
      <c r="AB11" s="3">
        <v>947.15</v>
      </c>
      <c r="AC11" s="7">
        <f t="shared" si="13"/>
        <v>3.7941011265723024E-3</v>
      </c>
      <c r="AD11" s="3">
        <v>179.64</v>
      </c>
      <c r="AE11" s="7">
        <f t="shared" si="14"/>
        <v>7.5719333669863609E-3</v>
      </c>
      <c r="AF11" s="3">
        <v>61305.397400000002</v>
      </c>
      <c r="AG11" s="7">
        <f t="shared" si="15"/>
        <v>6.8874531445197729E-3</v>
      </c>
    </row>
    <row r="12" spans="1:33" x14ac:dyDescent="0.25">
      <c r="A12" s="2">
        <v>46080</v>
      </c>
      <c r="B12" s="3">
        <v>2262.37</v>
      </c>
      <c r="C12" s="7">
        <f t="shared" si="0"/>
        <v>-3.6366734107123877E-2</v>
      </c>
      <c r="D12" s="3">
        <v>8208.8700000000008</v>
      </c>
      <c r="E12" s="7">
        <f t="shared" si="1"/>
        <v>-3.1911230196262297E-2</v>
      </c>
      <c r="F12" s="3">
        <v>2829.67</v>
      </c>
      <c r="G12" s="7">
        <f t="shared" si="2"/>
        <v>-3.5805434875202269E-2</v>
      </c>
      <c r="H12" s="3">
        <v>10327.42</v>
      </c>
      <c r="I12" s="7">
        <f t="shared" si="3"/>
        <v>-4.0370269878497012E-2</v>
      </c>
      <c r="J12" s="3">
        <v>1449.73</v>
      </c>
      <c r="K12" s="7">
        <f t="shared" si="4"/>
        <v>-3.5686253641793897E-2</v>
      </c>
      <c r="L12" s="3">
        <v>1172.99</v>
      </c>
      <c r="M12" s="7">
        <f t="shared" si="5"/>
        <v>-3.1515241586578258E-2</v>
      </c>
      <c r="N12" s="3">
        <v>252.83</v>
      </c>
      <c r="O12" s="7">
        <f t="shared" si="6"/>
        <v>-3.3265782128245158E-2</v>
      </c>
      <c r="P12" s="3">
        <v>271.75</v>
      </c>
      <c r="Q12" s="7">
        <f t="shared" si="7"/>
        <v>-3.5800454158387618E-2</v>
      </c>
      <c r="R12" s="3">
        <v>248.54</v>
      </c>
      <c r="S12" s="7">
        <f t="shared" si="8"/>
        <v>-3.5208260548891812E-2</v>
      </c>
      <c r="T12" s="3">
        <v>1156.3</v>
      </c>
      <c r="U12" s="7">
        <f t="shared" si="9"/>
        <v>-3.2975671765365089E-2</v>
      </c>
      <c r="V12" s="3">
        <v>943.06</v>
      </c>
      <c r="W12" s="7">
        <f t="shared" si="10"/>
        <v>-3.2073980560601845E-2</v>
      </c>
      <c r="X12" s="3">
        <v>4951.62</v>
      </c>
      <c r="Y12" s="7">
        <f t="shared" si="11"/>
        <v>-4.1180878688067524E-2</v>
      </c>
      <c r="Z12" s="3">
        <v>918.25</v>
      </c>
      <c r="AA12" s="7">
        <f t="shared" si="12"/>
        <v>-3.1780174822594098E-2</v>
      </c>
      <c r="AB12" s="3">
        <v>914.11</v>
      </c>
      <c r="AC12" s="7">
        <f t="shared" si="13"/>
        <v>-3.4883598162909757E-2</v>
      </c>
      <c r="AD12" s="3">
        <v>174.33</v>
      </c>
      <c r="AE12" s="7">
        <f t="shared" si="14"/>
        <v>-2.9559118236472837E-2</v>
      </c>
      <c r="AF12" s="3">
        <v>59468.001799999998</v>
      </c>
      <c r="AG12" s="7">
        <f t="shared" si="15"/>
        <v>-2.997118814859856E-2</v>
      </c>
    </row>
    <row r="13" spans="1:33" x14ac:dyDescent="0.25">
      <c r="A13" s="2">
        <v>46087</v>
      </c>
      <c r="B13" s="3">
        <v>2114.92</v>
      </c>
      <c r="C13" s="7">
        <f t="shared" si="0"/>
        <v>-6.5175015581005691E-2</v>
      </c>
      <c r="D13" s="3">
        <v>7665.33</v>
      </c>
      <c r="E13" s="7">
        <f t="shared" si="1"/>
        <v>-6.6213741964484818E-2</v>
      </c>
      <c r="F13" s="3">
        <v>2666.19</v>
      </c>
      <c r="G13" s="7">
        <f t="shared" si="2"/>
        <v>-5.7773521294002483E-2</v>
      </c>
      <c r="H13" s="3">
        <v>9548.9599999999991</v>
      </c>
      <c r="I13" s="7">
        <f t="shared" si="3"/>
        <v>-7.5377974363393885E-2</v>
      </c>
      <c r="J13" s="3">
        <v>1352.23</v>
      </c>
      <c r="K13" s="7">
        <f t="shared" si="4"/>
        <v>-6.7253902450801206E-2</v>
      </c>
      <c r="L13" s="3">
        <v>1091.06</v>
      </c>
      <c r="M13" s="7">
        <f t="shared" si="5"/>
        <v>-6.9847142771890747E-2</v>
      </c>
      <c r="N13" s="3">
        <v>237.86</v>
      </c>
      <c r="O13" s="7">
        <f t="shared" si="6"/>
        <v>-5.9209745678914683E-2</v>
      </c>
      <c r="P13" s="3">
        <v>254.98</v>
      </c>
      <c r="Q13" s="7">
        <f t="shared" si="7"/>
        <v>-6.1711131554737841E-2</v>
      </c>
      <c r="R13" s="3">
        <v>232.68</v>
      </c>
      <c r="S13" s="7">
        <f t="shared" si="8"/>
        <v>-6.3812665969260385E-2</v>
      </c>
      <c r="T13" s="3">
        <v>1081.76</v>
      </c>
      <c r="U13" s="7">
        <f t="shared" si="9"/>
        <v>-6.4464239384242839E-2</v>
      </c>
      <c r="V13" s="3">
        <v>882.03</v>
      </c>
      <c r="W13" s="7">
        <f t="shared" si="10"/>
        <v>-6.4714864377664161E-2</v>
      </c>
      <c r="X13" s="3">
        <v>4635.76</v>
      </c>
      <c r="Y13" s="7">
        <f t="shared" si="11"/>
        <v>-6.3789224536616285E-2</v>
      </c>
      <c r="Z13" s="3">
        <v>871.25</v>
      </c>
      <c r="AA13" s="7">
        <f t="shared" si="12"/>
        <v>-5.1184317996188389E-2</v>
      </c>
      <c r="AB13" s="3">
        <v>870.29</v>
      </c>
      <c r="AC13" s="7">
        <f t="shared" si="13"/>
        <v>-4.7937337957138726E-2</v>
      </c>
      <c r="AD13" s="3">
        <v>164.83</v>
      </c>
      <c r="AE13" s="7">
        <f t="shared" si="14"/>
        <v>-5.4494349796363251E-2</v>
      </c>
      <c r="AF13" s="3">
        <v>56048.820500000002</v>
      </c>
      <c r="AG13" s="7">
        <f t="shared" si="15"/>
        <v>-5.7496152493894614E-2</v>
      </c>
    </row>
    <row r="14" spans="1:33" x14ac:dyDescent="0.25">
      <c r="A14" s="2">
        <v>46094</v>
      </c>
      <c r="B14" s="3">
        <v>2053.86</v>
      </c>
      <c r="C14" s="7">
        <f t="shared" si="0"/>
        <v>-2.8871068409206946E-2</v>
      </c>
      <c r="D14" s="3">
        <v>7535.75</v>
      </c>
      <c r="E14" s="7">
        <f t="shared" si="1"/>
        <v>-1.6904686425763815E-2</v>
      </c>
      <c r="F14" s="3">
        <v>2611.6799999999998</v>
      </c>
      <c r="G14" s="7">
        <f t="shared" si="2"/>
        <v>-2.0444904526684238E-2</v>
      </c>
      <c r="H14" s="3">
        <v>9344.9</v>
      </c>
      <c r="I14" s="7">
        <f t="shared" si="3"/>
        <v>-2.1369866456661168E-2</v>
      </c>
      <c r="J14" s="3">
        <v>1330.78</v>
      </c>
      <c r="K14" s="7">
        <f t="shared" si="4"/>
        <v>-1.5862686081509869E-2</v>
      </c>
      <c r="L14" s="3">
        <v>1069</v>
      </c>
      <c r="M14" s="7">
        <f t="shared" si="5"/>
        <v>-2.021886972302156E-2</v>
      </c>
      <c r="N14" s="3">
        <v>233.41</v>
      </c>
      <c r="O14" s="7">
        <f t="shared" si="6"/>
        <v>-1.8708483982174506E-2</v>
      </c>
      <c r="P14" s="3">
        <v>250.5</v>
      </c>
      <c r="Q14" s="7">
        <f t="shared" si="7"/>
        <v>-1.7570005490626706E-2</v>
      </c>
      <c r="R14" s="3">
        <v>228.38</v>
      </c>
      <c r="S14" s="7">
        <f t="shared" si="8"/>
        <v>-1.8480316314251399E-2</v>
      </c>
      <c r="T14" s="3">
        <v>1062.3399999999999</v>
      </c>
      <c r="U14" s="7">
        <f t="shared" si="9"/>
        <v>-1.7952226002070804E-2</v>
      </c>
      <c r="V14" s="3">
        <v>867.17</v>
      </c>
      <c r="W14" s="7">
        <f t="shared" si="10"/>
        <v>-1.6847499518157005E-2</v>
      </c>
      <c r="X14" s="3">
        <v>4502.45</v>
      </c>
      <c r="Y14" s="7">
        <f t="shared" si="11"/>
        <v>-2.8756881288073632E-2</v>
      </c>
      <c r="Z14" s="3">
        <v>858.88</v>
      </c>
      <c r="AA14" s="7">
        <f t="shared" si="12"/>
        <v>-1.4197991391678655E-2</v>
      </c>
      <c r="AB14" s="3">
        <v>858.67</v>
      </c>
      <c r="AC14" s="7">
        <f t="shared" si="13"/>
        <v>-1.3351871215341982E-2</v>
      </c>
      <c r="AD14" s="3">
        <v>162.77000000000001</v>
      </c>
      <c r="AE14" s="7">
        <f t="shared" si="14"/>
        <v>-1.2497724928714482E-2</v>
      </c>
      <c r="AF14" s="3">
        <v>55256.410199999998</v>
      </c>
      <c r="AG14" s="7">
        <f t="shared" si="15"/>
        <v>-1.4137858619165833E-2</v>
      </c>
    </row>
    <row r="15" spans="1:33" x14ac:dyDescent="0.25">
      <c r="A15" s="2">
        <v>46105</v>
      </c>
      <c r="B15" s="3">
        <v>2113.5500000000002</v>
      </c>
      <c r="C15" s="7">
        <f t="shared" si="0"/>
        <v>2.906235089051834E-2</v>
      </c>
      <c r="D15" s="3">
        <v>7740.9</v>
      </c>
      <c r="E15" s="7">
        <f t="shared" si="1"/>
        <v>2.7223567660816794E-2</v>
      </c>
      <c r="F15" s="3">
        <v>2676.74</v>
      </c>
      <c r="G15" s="7">
        <f t="shared" si="2"/>
        <v>2.4911168290142616E-2</v>
      </c>
      <c r="H15" s="3">
        <v>9598.56</v>
      </c>
      <c r="I15" s="7">
        <f t="shared" si="3"/>
        <v>2.714421770163411E-2</v>
      </c>
      <c r="J15" s="3">
        <v>1361.3</v>
      </c>
      <c r="K15" s="7">
        <f t="shared" si="4"/>
        <v>2.2933918453839075E-2</v>
      </c>
      <c r="L15" s="3">
        <v>1092.3800000000001</v>
      </c>
      <c r="M15" s="7">
        <f t="shared" si="5"/>
        <v>2.1870907390084238E-2</v>
      </c>
      <c r="N15" s="3">
        <v>238.99</v>
      </c>
      <c r="O15" s="7">
        <f t="shared" si="6"/>
        <v>2.3906430744184082E-2</v>
      </c>
      <c r="P15" s="3">
        <v>256.85000000000002</v>
      </c>
      <c r="Q15" s="7">
        <f t="shared" si="7"/>
        <v>2.5349301397205704E-2</v>
      </c>
      <c r="R15" s="3">
        <v>233.65</v>
      </c>
      <c r="S15" s="7">
        <f t="shared" si="8"/>
        <v>2.3075575794728076E-2</v>
      </c>
      <c r="T15" s="3">
        <v>1085.6300000000001</v>
      </c>
      <c r="U15" s="7">
        <f t="shared" si="9"/>
        <v>2.1923301391268524E-2</v>
      </c>
      <c r="V15" s="3">
        <v>887.15</v>
      </c>
      <c r="W15" s="7">
        <f t="shared" si="10"/>
        <v>2.3040464960734308E-2</v>
      </c>
      <c r="X15" s="3">
        <v>4631.12</v>
      </c>
      <c r="Y15" s="7">
        <f t="shared" si="11"/>
        <v>2.8577774322868787E-2</v>
      </c>
      <c r="Z15" s="3">
        <v>877.03</v>
      </c>
      <c r="AA15" s="7">
        <f t="shared" si="12"/>
        <v>2.1132172131147486E-2</v>
      </c>
      <c r="AB15" s="3">
        <v>878.98</v>
      </c>
      <c r="AC15" s="7">
        <f t="shared" si="13"/>
        <v>2.3652858490456286E-2</v>
      </c>
      <c r="AD15" s="3">
        <v>166.38</v>
      </c>
      <c r="AE15" s="7">
        <f t="shared" si="14"/>
        <v>2.2178534127910376E-2</v>
      </c>
      <c r="AF15" s="3">
        <v>56543.8462</v>
      </c>
      <c r="AG15" s="7">
        <f t="shared" si="15"/>
        <v>2.3299305824249883E-2</v>
      </c>
    </row>
    <row r="16" spans="1:33" x14ac:dyDescent="0.25">
      <c r="A16" s="2">
        <v>46108</v>
      </c>
      <c r="B16" s="3">
        <v>2113.19</v>
      </c>
      <c r="C16" s="7">
        <f t="shared" si="0"/>
        <v>-1.7032954034690295E-4</v>
      </c>
      <c r="D16" s="3">
        <v>7774.55</v>
      </c>
      <c r="E16" s="7">
        <f t="shared" si="1"/>
        <v>4.3470397498999169E-3</v>
      </c>
      <c r="F16" s="3">
        <v>2671.61</v>
      </c>
      <c r="G16" s="7">
        <f t="shared" si="2"/>
        <v>-1.9165103820317775E-3</v>
      </c>
      <c r="H16" s="3">
        <v>9611.07</v>
      </c>
      <c r="I16" s="7">
        <f t="shared" si="3"/>
        <v>1.3033204980748003E-3</v>
      </c>
      <c r="J16" s="3">
        <v>1360.11</v>
      </c>
      <c r="K16" s="7">
        <f t="shared" si="4"/>
        <v>-8.7416440167487064E-4</v>
      </c>
      <c r="L16" s="3">
        <v>1094.3599999999999</v>
      </c>
      <c r="M16" s="7">
        <f t="shared" si="5"/>
        <v>1.8125560702317856E-3</v>
      </c>
      <c r="N16" s="3">
        <v>238.87</v>
      </c>
      <c r="O16" s="7">
        <f t="shared" si="6"/>
        <v>-5.0211305912384319E-4</v>
      </c>
      <c r="P16" s="3">
        <v>255.58</v>
      </c>
      <c r="Q16" s="7">
        <f t="shared" si="7"/>
        <v>-4.9445201479463297E-3</v>
      </c>
      <c r="R16" s="3">
        <v>233.75</v>
      </c>
      <c r="S16" s="7">
        <f t="shared" si="8"/>
        <v>4.2799058420706082E-4</v>
      </c>
      <c r="T16" s="3">
        <v>1084.1500000000001</v>
      </c>
      <c r="U16" s="7">
        <f t="shared" si="9"/>
        <v>-1.3632637270525327E-3</v>
      </c>
      <c r="V16" s="3">
        <v>887.42</v>
      </c>
      <c r="W16" s="7">
        <f t="shared" si="10"/>
        <v>3.0434537564105746E-4</v>
      </c>
      <c r="X16" s="3">
        <v>4622.93</v>
      </c>
      <c r="Y16" s="7">
        <f t="shared" si="11"/>
        <v>-1.7684706939141703E-3</v>
      </c>
      <c r="Z16" s="3">
        <v>875.35</v>
      </c>
      <c r="AA16" s="7">
        <f t="shared" si="12"/>
        <v>-1.9155559102880249E-3</v>
      </c>
      <c r="AB16" s="3">
        <v>878.5</v>
      </c>
      <c r="AC16" s="7">
        <f t="shared" si="13"/>
        <v>-5.4608751052354076E-4</v>
      </c>
      <c r="AD16" s="3">
        <v>165.84</v>
      </c>
      <c r="AE16" s="7">
        <f t="shared" si="14"/>
        <v>-3.2455824017308954E-3</v>
      </c>
      <c r="AF16" s="3">
        <v>56493.498899999999</v>
      </c>
      <c r="AG16" s="7">
        <f t="shared" si="15"/>
        <v>-8.9041166074765865E-4</v>
      </c>
    </row>
    <row r="17" spans="1:33" x14ac:dyDescent="0.25">
      <c r="A17" s="2">
        <v>46115</v>
      </c>
      <c r="B17" s="3">
        <v>2140.8200000000002</v>
      </c>
      <c r="C17" s="7">
        <f t="shared" si="0"/>
        <v>1.3075019283642408E-2</v>
      </c>
      <c r="D17" s="3">
        <v>7926.18</v>
      </c>
      <c r="E17" s="7">
        <f t="shared" si="1"/>
        <v>1.9503379616826688E-2</v>
      </c>
      <c r="F17" s="3">
        <v>2710.38</v>
      </c>
      <c r="G17" s="7">
        <f t="shared" si="2"/>
        <v>1.4511848660545557E-2</v>
      </c>
      <c r="H17" s="3">
        <v>9641.8799999999992</v>
      </c>
      <c r="I17" s="7">
        <f t="shared" si="3"/>
        <v>3.2056784520348991E-3</v>
      </c>
      <c r="J17" s="3">
        <v>1374.17</v>
      </c>
      <c r="K17" s="7">
        <f t="shared" si="4"/>
        <v>1.0337399180948781E-2</v>
      </c>
      <c r="L17" s="3">
        <v>1117.51</v>
      </c>
      <c r="M17" s="7">
        <f t="shared" si="5"/>
        <v>2.1153916444314635E-2</v>
      </c>
      <c r="N17" s="3">
        <v>242.67</v>
      </c>
      <c r="O17" s="7">
        <f t="shared" si="6"/>
        <v>1.5908234604596672E-2</v>
      </c>
      <c r="P17" s="3">
        <v>259.11</v>
      </c>
      <c r="Q17" s="7">
        <f t="shared" si="7"/>
        <v>1.3811722356992018E-2</v>
      </c>
      <c r="R17" s="3">
        <v>237.85</v>
      </c>
      <c r="S17" s="7">
        <f t="shared" si="8"/>
        <v>1.7540106951871692E-2</v>
      </c>
      <c r="T17" s="3">
        <v>1105.24</v>
      </c>
      <c r="U17" s="7">
        <f t="shared" si="9"/>
        <v>1.9453027717566629E-2</v>
      </c>
      <c r="V17" s="3">
        <v>903.71</v>
      </c>
      <c r="W17" s="7">
        <f t="shared" si="10"/>
        <v>1.8356584255482256E-2</v>
      </c>
      <c r="X17" s="3">
        <v>4656.17</v>
      </c>
      <c r="Y17" s="7">
        <f t="shared" si="11"/>
        <v>7.1902451475578388E-3</v>
      </c>
      <c r="Z17" s="3">
        <v>889.81</v>
      </c>
      <c r="AA17" s="7">
        <f t="shared" si="12"/>
        <v>1.6519106643057002E-2</v>
      </c>
      <c r="AB17" s="3">
        <v>892.66</v>
      </c>
      <c r="AC17" s="7">
        <f t="shared" si="13"/>
        <v>1.6118383608423326E-2</v>
      </c>
      <c r="AD17" s="3">
        <v>168.76</v>
      </c>
      <c r="AE17" s="7">
        <f t="shared" si="14"/>
        <v>1.7607332368547945E-2</v>
      </c>
      <c r="AF17" s="3">
        <v>57457.125800000002</v>
      </c>
      <c r="AG17" s="7">
        <f t="shared" si="15"/>
        <v>1.7057306039863773E-2</v>
      </c>
    </row>
    <row r="18" spans="1:33" x14ac:dyDescent="0.25">
      <c r="A18" s="2">
        <v>46122</v>
      </c>
      <c r="B18" s="3">
        <v>2224.31</v>
      </c>
      <c r="C18" s="7">
        <f t="shared" si="0"/>
        <v>3.8999075120748072E-2</v>
      </c>
      <c r="D18" s="3">
        <v>8378.9599999999991</v>
      </c>
      <c r="E18" s="7">
        <f t="shared" si="1"/>
        <v>5.7124617407124045E-2</v>
      </c>
      <c r="F18" s="3">
        <v>2847.52</v>
      </c>
      <c r="G18" s="7">
        <f t="shared" si="2"/>
        <v>5.0598071119178911E-2</v>
      </c>
      <c r="H18" s="3">
        <v>10091.65</v>
      </c>
      <c r="I18" s="7">
        <f t="shared" si="3"/>
        <v>4.6647541765713729E-2</v>
      </c>
      <c r="J18" s="3">
        <v>1432.61</v>
      </c>
      <c r="K18" s="7">
        <f t="shared" si="4"/>
        <v>4.2527489320826284E-2</v>
      </c>
      <c r="L18" s="3">
        <v>1185.29</v>
      </c>
      <c r="M18" s="7">
        <f t="shared" si="5"/>
        <v>6.0652701094397354E-2</v>
      </c>
      <c r="N18" s="3">
        <v>254.78</v>
      </c>
      <c r="O18" s="7">
        <f t="shared" si="6"/>
        <v>4.9903160670869973E-2</v>
      </c>
      <c r="P18" s="3">
        <v>270.99</v>
      </c>
      <c r="Q18" s="7">
        <f t="shared" si="7"/>
        <v>4.5849253212921104E-2</v>
      </c>
      <c r="R18" s="3">
        <v>251.51</v>
      </c>
      <c r="S18" s="7">
        <f t="shared" si="8"/>
        <v>5.7431154088711356E-2</v>
      </c>
      <c r="T18" s="3">
        <v>1167.8900000000001</v>
      </c>
      <c r="U18" s="7">
        <f t="shared" si="9"/>
        <v>5.6684521009011668E-2</v>
      </c>
      <c r="V18" s="3">
        <v>955.47</v>
      </c>
      <c r="W18" s="7">
        <f t="shared" si="10"/>
        <v>5.7275010788859326E-2</v>
      </c>
      <c r="X18" s="3">
        <v>4851.49</v>
      </c>
      <c r="Y18" s="7">
        <f t="shared" si="11"/>
        <v>4.1948640191401987E-2</v>
      </c>
      <c r="Z18" s="3">
        <v>932.77</v>
      </c>
      <c r="AA18" s="7">
        <f t="shared" si="12"/>
        <v>4.8279969881210638E-2</v>
      </c>
      <c r="AB18" s="3">
        <v>934.21</v>
      </c>
      <c r="AC18" s="7">
        <f t="shared" si="13"/>
        <v>4.6546277418054061E-2</v>
      </c>
      <c r="AD18" s="3">
        <v>177.76</v>
      </c>
      <c r="AE18" s="7">
        <f t="shared" si="14"/>
        <v>5.3330173026783667E-2</v>
      </c>
      <c r="AF18" s="3">
        <v>60516.35</v>
      </c>
      <c r="AG18" s="7">
        <f t="shared" si="15"/>
        <v>5.324359959543945E-2</v>
      </c>
    </row>
    <row r="19" spans="1:33" x14ac:dyDescent="0.25">
      <c r="A19" s="2">
        <v>46129</v>
      </c>
      <c r="B19" s="3">
        <v>2321.14</v>
      </c>
      <c r="C19" s="7">
        <f t="shared" si="0"/>
        <v>4.3532601121246461E-2</v>
      </c>
      <c r="D19" s="3">
        <v>8799.6299999999992</v>
      </c>
      <c r="E19" s="7">
        <f t="shared" si="1"/>
        <v>5.020551476555557E-2</v>
      </c>
      <c r="F19" s="3">
        <v>2981.78</v>
      </c>
      <c r="G19" s="7">
        <f t="shared" si="2"/>
        <v>4.7149800528178964E-2</v>
      </c>
      <c r="H19" s="3">
        <v>10516.17</v>
      </c>
      <c r="I19" s="7">
        <f t="shared" si="3"/>
        <v>4.2066460885979984E-2</v>
      </c>
      <c r="J19" s="3">
        <v>1483.89</v>
      </c>
      <c r="K19" s="7">
        <f t="shared" si="4"/>
        <v>3.5794808077564966E-2</v>
      </c>
      <c r="L19" s="3">
        <v>1240.6099999999999</v>
      </c>
      <c r="M19" s="7">
        <f t="shared" si="5"/>
        <v>4.6672122434172181E-2</v>
      </c>
      <c r="N19" s="3">
        <v>266.04000000000002</v>
      </c>
      <c r="O19" s="7">
        <f t="shared" si="6"/>
        <v>4.4194991757594781E-2</v>
      </c>
      <c r="P19" s="3">
        <v>282.24</v>
      </c>
      <c r="Q19" s="7">
        <f t="shared" si="7"/>
        <v>4.1514447027565682E-2</v>
      </c>
      <c r="R19" s="3">
        <v>263.56</v>
      </c>
      <c r="S19" s="7">
        <f t="shared" si="8"/>
        <v>4.7910619856069481E-2</v>
      </c>
      <c r="T19" s="3">
        <v>1217.77</v>
      </c>
      <c r="U19" s="7">
        <f t="shared" si="9"/>
        <v>4.2709501751021062E-2</v>
      </c>
      <c r="V19" s="3">
        <v>1002.67</v>
      </c>
      <c r="W19" s="7">
        <f t="shared" si="10"/>
        <v>4.9399771840036744E-2</v>
      </c>
      <c r="X19" s="3">
        <v>5078.29</v>
      </c>
      <c r="Y19" s="7">
        <f t="shared" si="11"/>
        <v>4.6748524680046755E-2</v>
      </c>
      <c r="Z19" s="3">
        <v>970.6</v>
      </c>
      <c r="AA19" s="7">
        <f t="shared" si="12"/>
        <v>4.0556621675225557E-2</v>
      </c>
      <c r="AB19" s="3">
        <v>969.09</v>
      </c>
      <c r="AC19" s="7">
        <f t="shared" si="13"/>
        <v>3.7336359062737579E-2</v>
      </c>
      <c r="AD19" s="3">
        <v>186.67</v>
      </c>
      <c r="AE19" s="7">
        <f t="shared" si="14"/>
        <v>5.0123762376237613E-2</v>
      </c>
      <c r="AF19" s="3">
        <v>63111.400900000001</v>
      </c>
      <c r="AG19" s="7">
        <f t="shared" si="15"/>
        <v>4.288181458399265E-2</v>
      </c>
    </row>
    <row r="20" spans="1:33" x14ac:dyDescent="0.25">
      <c r="A20" s="2">
        <v>46136</v>
      </c>
      <c r="B20" s="3">
        <v>2247.0300000000002</v>
      </c>
      <c r="C20" s="7">
        <f t="shared" si="0"/>
        <v>-3.192827662269393E-2</v>
      </c>
      <c r="D20" s="3">
        <v>8585.5</v>
      </c>
      <c r="E20" s="7">
        <f t="shared" si="1"/>
        <v>-2.43339776786069E-2</v>
      </c>
      <c r="F20" s="3">
        <v>2899.7</v>
      </c>
      <c r="G20" s="7">
        <f t="shared" si="2"/>
        <v>-2.7527181750498175E-2</v>
      </c>
      <c r="H20" s="3">
        <v>10215.719999999999</v>
      </c>
      <c r="I20" s="7">
        <f t="shared" si="3"/>
        <v>-2.8570287471579525E-2</v>
      </c>
      <c r="J20" s="3">
        <v>1447.99</v>
      </c>
      <c r="K20" s="7">
        <f t="shared" si="4"/>
        <v>-2.4193167957193618E-2</v>
      </c>
      <c r="L20" s="3">
        <v>1208.94</v>
      </c>
      <c r="M20" s="7">
        <f t="shared" si="5"/>
        <v>-2.5527764567430444E-2</v>
      </c>
      <c r="N20" s="3">
        <v>259.27</v>
      </c>
      <c r="O20" s="7">
        <f t="shared" si="6"/>
        <v>-2.5447301157720759E-2</v>
      </c>
      <c r="P20" s="3">
        <v>274.54000000000002</v>
      </c>
      <c r="Q20" s="7">
        <f t="shared" si="7"/>
        <v>-2.7281746031746046E-2</v>
      </c>
      <c r="R20" s="3">
        <v>257.13</v>
      </c>
      <c r="S20" s="7">
        <f t="shared" si="8"/>
        <v>-2.4396721809075705E-2</v>
      </c>
      <c r="T20" s="3">
        <v>1186.8800000000001</v>
      </c>
      <c r="U20" s="7">
        <f t="shared" si="9"/>
        <v>-2.5366037921774942E-2</v>
      </c>
      <c r="V20" s="3">
        <v>979.5</v>
      </c>
      <c r="W20" s="7">
        <f t="shared" si="10"/>
        <v>-2.3108300836765849E-2</v>
      </c>
      <c r="X20" s="3">
        <v>4893.3999999999996</v>
      </c>
      <c r="Y20" s="7">
        <f t="shared" si="11"/>
        <v>-3.6407924714815465E-2</v>
      </c>
      <c r="Z20" s="3">
        <v>945.34</v>
      </c>
      <c r="AA20" s="7">
        <f t="shared" si="12"/>
        <v>-2.6025139089223104E-2</v>
      </c>
      <c r="AB20" s="3">
        <v>940.87</v>
      </c>
      <c r="AC20" s="7">
        <f t="shared" si="13"/>
        <v>-2.9120102364073586E-2</v>
      </c>
      <c r="AD20" s="3">
        <v>182.06</v>
      </c>
      <c r="AE20" s="7">
        <f t="shared" si="14"/>
        <v>-2.469598757165048E-2</v>
      </c>
      <c r="AF20" s="3">
        <v>61724.390800000001</v>
      </c>
      <c r="AG20" s="7">
        <f t="shared" si="15"/>
        <v>-2.1977171798130635E-2</v>
      </c>
    </row>
    <row r="21" spans="1:33" x14ac:dyDescent="0.25">
      <c r="A21" s="2">
        <v>46146</v>
      </c>
      <c r="B21" s="3">
        <v>2227.1</v>
      </c>
      <c r="C21" s="7">
        <f t="shared" si="0"/>
        <v>-8.8694854986360872E-3</v>
      </c>
      <c r="D21" s="3">
        <v>8483.86</v>
      </c>
      <c r="E21" s="7">
        <f t="shared" si="1"/>
        <v>-1.1838565022421421E-2</v>
      </c>
      <c r="F21" s="3">
        <v>2868.97</v>
      </c>
      <c r="G21" s="7">
        <f t="shared" si="2"/>
        <v>-1.059764803255514E-2</v>
      </c>
      <c r="H21" s="3">
        <v>10101.74</v>
      </c>
      <c r="I21" s="7">
        <f t="shared" si="3"/>
        <v>-1.1157314413472563E-2</v>
      </c>
      <c r="J21" s="3">
        <v>1436.32</v>
      </c>
      <c r="K21" s="7">
        <f t="shared" si="4"/>
        <v>-8.0594479243641937E-3</v>
      </c>
      <c r="L21" s="3">
        <v>1197.3800000000001</v>
      </c>
      <c r="M21" s="7">
        <f t="shared" si="5"/>
        <v>-9.5620957202177115E-3</v>
      </c>
      <c r="N21" s="3">
        <v>256.79000000000002</v>
      </c>
      <c r="O21" s="7">
        <f t="shared" si="6"/>
        <v>-9.5653180082537759E-3</v>
      </c>
      <c r="P21" s="3">
        <v>272.08</v>
      </c>
      <c r="Q21" s="7">
        <f t="shared" si="7"/>
        <v>-8.9604429227072568E-3</v>
      </c>
      <c r="R21" s="3">
        <v>254.68</v>
      </c>
      <c r="S21" s="7">
        <f t="shared" si="8"/>
        <v>-9.5282541904873064E-3</v>
      </c>
      <c r="T21" s="3">
        <v>1179.45</v>
      </c>
      <c r="U21" s="7">
        <f t="shared" si="9"/>
        <v>-6.2601105419251013E-3</v>
      </c>
      <c r="V21" s="3">
        <v>969.03</v>
      </c>
      <c r="W21" s="7">
        <f t="shared" si="10"/>
        <v>-1.0689127105666163E-2</v>
      </c>
      <c r="X21" s="3">
        <v>4836.09</v>
      </c>
      <c r="Y21" s="7">
        <f t="shared" si="11"/>
        <v>-1.1711693301181048E-2</v>
      </c>
      <c r="Z21" s="3">
        <v>938.55</v>
      </c>
      <c r="AA21" s="7">
        <f t="shared" si="12"/>
        <v>-7.182600968963615E-3</v>
      </c>
      <c r="AB21" s="3">
        <v>935.41</v>
      </c>
      <c r="AC21" s="7">
        <f t="shared" si="13"/>
        <v>-5.8031396473476882E-3</v>
      </c>
      <c r="AD21" s="3">
        <v>180.5</v>
      </c>
      <c r="AE21" s="7">
        <f t="shared" si="14"/>
        <v>-8.5686037570031903E-3</v>
      </c>
      <c r="AF21" s="3">
        <v>61337.347199999997</v>
      </c>
      <c r="AG21" s="7">
        <f t="shared" si="15"/>
        <v>-6.2705130821639754E-3</v>
      </c>
    </row>
    <row r="22" spans="1:33" x14ac:dyDescent="0.25">
      <c r="A22" s="2">
        <v>46150</v>
      </c>
      <c r="B22" s="3">
        <v>2279.13</v>
      </c>
      <c r="C22" s="7">
        <f t="shared" si="0"/>
        <v>2.3362219927259842E-2</v>
      </c>
      <c r="D22" s="3">
        <v>8619.27</v>
      </c>
      <c r="E22" s="7">
        <f t="shared" si="1"/>
        <v>1.5960895158571686E-2</v>
      </c>
      <c r="F22" s="3">
        <v>2914.18</v>
      </c>
      <c r="G22" s="7">
        <f t="shared" si="2"/>
        <v>1.5758268646935969E-2</v>
      </c>
      <c r="H22" s="3">
        <v>10287.18</v>
      </c>
      <c r="I22" s="7">
        <f t="shared" si="3"/>
        <v>1.8357233506306914E-2</v>
      </c>
      <c r="J22" s="3">
        <v>1456.64</v>
      </c>
      <c r="K22" s="7">
        <f t="shared" si="4"/>
        <v>1.4147265233374284E-2</v>
      </c>
      <c r="L22" s="3">
        <v>1217.96</v>
      </c>
      <c r="M22" s="7">
        <f t="shared" si="5"/>
        <v>1.7187526098648709E-2</v>
      </c>
      <c r="N22" s="3">
        <v>260.68</v>
      </c>
      <c r="O22" s="7">
        <f t="shared" si="6"/>
        <v>1.5148564975271617E-2</v>
      </c>
      <c r="P22" s="3">
        <v>275.62</v>
      </c>
      <c r="Q22" s="7">
        <f t="shared" si="7"/>
        <v>1.3010879153190213E-2</v>
      </c>
      <c r="R22" s="3">
        <v>258.85000000000002</v>
      </c>
      <c r="S22" s="7">
        <f t="shared" si="8"/>
        <v>1.637348829904206E-2</v>
      </c>
      <c r="T22" s="3">
        <v>1198.42</v>
      </c>
      <c r="U22" s="7">
        <f t="shared" si="9"/>
        <v>1.60837678579E-2</v>
      </c>
      <c r="V22" s="3">
        <v>986.21</v>
      </c>
      <c r="W22" s="7">
        <f t="shared" si="10"/>
        <v>1.7729069275461029E-2</v>
      </c>
      <c r="X22" s="3">
        <v>4914.8999999999996</v>
      </c>
      <c r="Y22" s="7">
        <f t="shared" si="11"/>
        <v>1.6296222775010305E-2</v>
      </c>
      <c r="Z22" s="3">
        <v>950.98</v>
      </c>
      <c r="AA22" s="7">
        <f t="shared" si="12"/>
        <v>1.3243833573064911E-2</v>
      </c>
      <c r="AB22" s="3">
        <v>944.35</v>
      </c>
      <c r="AC22" s="7">
        <f t="shared" si="13"/>
        <v>9.5573064217830961E-3</v>
      </c>
      <c r="AD22" s="3">
        <v>183.24</v>
      </c>
      <c r="AE22" s="7">
        <f t="shared" si="14"/>
        <v>1.5180055401662118E-2</v>
      </c>
      <c r="AF22" s="3">
        <v>62171.7644</v>
      </c>
      <c r="AG22" s="7">
        <f t="shared" si="15"/>
        <v>1.3603737984938524E-2</v>
      </c>
    </row>
    <row r="23" spans="1:33" x14ac:dyDescent="0.25">
      <c r="A23" s="2">
        <v>46157</v>
      </c>
      <c r="B23" s="3">
        <v>2207.1</v>
      </c>
      <c r="C23" s="7">
        <f t="shared" si="0"/>
        <v>-3.1604164747074615E-2</v>
      </c>
      <c r="D23" s="3">
        <v>8344.84</v>
      </c>
      <c r="E23" s="7">
        <f t="shared" si="1"/>
        <v>-3.1839123266819591E-2</v>
      </c>
      <c r="F23" s="3">
        <v>2822.91</v>
      </c>
      <c r="G23" s="7">
        <f t="shared" si="2"/>
        <v>-3.1319273346190002E-2</v>
      </c>
      <c r="H23" s="3">
        <v>9913.1</v>
      </c>
      <c r="I23" s="7">
        <f t="shared" si="3"/>
        <v>-3.6363707060632744E-2</v>
      </c>
      <c r="J23" s="3">
        <v>1406</v>
      </c>
      <c r="K23" s="7">
        <f t="shared" si="4"/>
        <v>-3.4764938488576536E-2</v>
      </c>
      <c r="L23" s="3">
        <v>1177.33</v>
      </c>
      <c r="M23" s="7">
        <f t="shared" si="5"/>
        <v>-3.3359059410818181E-2</v>
      </c>
      <c r="N23" s="3">
        <v>256.79000000000002</v>
      </c>
      <c r="O23" s="7">
        <f t="shared" si="6"/>
        <v>-1.4922510357526453E-2</v>
      </c>
      <c r="P23" s="3">
        <v>266.39999999999998</v>
      </c>
      <c r="Q23" s="7">
        <f t="shared" si="7"/>
        <v>-3.3451854001886772E-2</v>
      </c>
      <c r="R23" s="3">
        <v>251.37</v>
      </c>
      <c r="S23" s="7">
        <f t="shared" si="8"/>
        <v>-2.8897044620436629E-2</v>
      </c>
      <c r="T23" s="3">
        <v>1162.44</v>
      </c>
      <c r="U23" s="7">
        <f t="shared" si="9"/>
        <v>-3.002286343685856E-2</v>
      </c>
      <c r="V23" s="3">
        <v>955.33</v>
      </c>
      <c r="W23" s="7">
        <f t="shared" si="10"/>
        <v>-3.131178957828451E-2</v>
      </c>
      <c r="X23" s="3">
        <v>4746.0200000000004</v>
      </c>
      <c r="Y23" s="7">
        <f t="shared" si="11"/>
        <v>-3.4360821176422585E-2</v>
      </c>
      <c r="Z23" s="3">
        <v>926.58</v>
      </c>
      <c r="AA23" s="7">
        <f t="shared" si="12"/>
        <v>-2.5657742539275219E-2</v>
      </c>
      <c r="AB23" s="3">
        <v>918.39</v>
      </c>
      <c r="AC23" s="7">
        <f t="shared" si="13"/>
        <v>-2.7489807804309874E-2</v>
      </c>
      <c r="AD23" s="3">
        <v>178.18</v>
      </c>
      <c r="AE23" s="7">
        <f t="shared" si="14"/>
        <v>-2.7614058065924429E-2</v>
      </c>
      <c r="AF23" s="3">
        <v>60431.765399999997</v>
      </c>
      <c r="AG23" s="7">
        <f t="shared" si="15"/>
        <v>-2.7986965092468896E-2</v>
      </c>
    </row>
    <row r="24" spans="1:33" x14ac:dyDescent="0.25">
      <c r="A24" s="2">
        <v>46164</v>
      </c>
      <c r="B24" s="3">
        <v>2183.36</v>
      </c>
      <c r="C24" s="7">
        <f t="shared" si="0"/>
        <v>-1.0756195913189104E-2</v>
      </c>
      <c r="D24" s="3">
        <v>8309.33</v>
      </c>
      <c r="E24" s="7">
        <f t="shared" si="1"/>
        <v>-4.255324248278014E-3</v>
      </c>
      <c r="F24" s="3">
        <v>2816.39</v>
      </c>
      <c r="G24" s="7">
        <f t="shared" si="2"/>
        <v>-2.3096733512580903E-3</v>
      </c>
      <c r="H24" s="3">
        <v>9763.58</v>
      </c>
      <c r="I24" s="7">
        <f t="shared" si="3"/>
        <v>-1.5083071894765543E-2</v>
      </c>
      <c r="J24" s="3">
        <v>1402.25</v>
      </c>
      <c r="K24" s="7">
        <f t="shared" si="4"/>
        <v>-2.6671408250356077E-3</v>
      </c>
      <c r="L24" s="3">
        <v>1167.0999999999999</v>
      </c>
      <c r="M24" s="7">
        <f t="shared" si="5"/>
        <v>-8.6891525740446784E-3</v>
      </c>
      <c r="N24" s="3">
        <v>251.79</v>
      </c>
      <c r="O24" s="7">
        <f t="shared" si="6"/>
        <v>-1.9471163207290143E-2</v>
      </c>
      <c r="P24" s="3">
        <v>264.89999999999998</v>
      </c>
      <c r="Q24" s="7">
        <f t="shared" si="7"/>
        <v>-5.6306306306306286E-3</v>
      </c>
      <c r="R24" s="3">
        <v>250.44</v>
      </c>
      <c r="S24" s="7">
        <f t="shared" si="8"/>
        <v>-3.699725504236806E-3</v>
      </c>
      <c r="T24" s="3">
        <v>1155.07</v>
      </c>
      <c r="U24" s="7">
        <f t="shared" si="9"/>
        <v>-6.3401121778329239E-3</v>
      </c>
      <c r="V24" s="3">
        <v>949.99</v>
      </c>
      <c r="W24" s="7">
        <f t="shared" si="10"/>
        <v>-5.589691520207718E-3</v>
      </c>
      <c r="X24" s="3">
        <v>4685.25</v>
      </c>
      <c r="Y24" s="7">
        <f t="shared" si="11"/>
        <v>-1.280441296075463E-2</v>
      </c>
      <c r="Z24" s="3">
        <v>924.48</v>
      </c>
      <c r="AA24" s="7">
        <f t="shared" si="12"/>
        <v>-2.266399015735332E-3</v>
      </c>
      <c r="AB24" s="3">
        <v>917.2</v>
      </c>
      <c r="AC24" s="7">
        <f t="shared" si="13"/>
        <v>-1.2957458160476332E-3</v>
      </c>
      <c r="AD24" s="3">
        <v>178.04</v>
      </c>
      <c r="AE24" s="7">
        <f t="shared" si="14"/>
        <v>-7.8572230328888271E-4</v>
      </c>
      <c r="AF24" s="3">
        <v>60269.314100000003</v>
      </c>
      <c r="AG24" s="7">
        <f t="shared" si="15"/>
        <v>-2.6881773008735621E-3</v>
      </c>
    </row>
    <row r="25" spans="1:33" x14ac:dyDescent="0.25">
      <c r="A25" s="2">
        <v>46174</v>
      </c>
      <c r="B25" s="3">
        <v>2203.1</v>
      </c>
      <c r="C25" s="7">
        <f t="shared" si="0"/>
        <v>9.041110948263098E-3</v>
      </c>
      <c r="D25" s="3">
        <v>8526.75</v>
      </c>
      <c r="E25" s="7">
        <f t="shared" si="1"/>
        <v>2.6165767877795121E-2</v>
      </c>
      <c r="F25" s="3">
        <v>2887.34</v>
      </c>
      <c r="G25" s="7">
        <f t="shared" si="2"/>
        <v>2.5191823575570149E-2</v>
      </c>
      <c r="H25" s="3">
        <v>9769.4599999999991</v>
      </c>
      <c r="I25" s="7">
        <f t="shared" si="3"/>
        <v>6.022381134787036E-4</v>
      </c>
      <c r="J25" s="3">
        <v>1446.35</v>
      </c>
      <c r="K25" s="7">
        <f t="shared" si="4"/>
        <v>3.1449456231057216E-2</v>
      </c>
      <c r="L25" s="3">
        <v>1202.96</v>
      </c>
      <c r="M25" s="7">
        <f t="shared" si="5"/>
        <v>3.0725730442978438E-2</v>
      </c>
      <c r="N25" s="3">
        <v>258.31</v>
      </c>
      <c r="O25" s="7">
        <f t="shared" si="6"/>
        <v>2.5894594701934226E-2</v>
      </c>
      <c r="P25" s="3">
        <v>271.48</v>
      </c>
      <c r="Q25" s="7">
        <f t="shared" si="7"/>
        <v>2.4839562098905477E-2</v>
      </c>
      <c r="R25" s="3">
        <v>257.42</v>
      </c>
      <c r="S25" s="7">
        <f t="shared" si="8"/>
        <v>2.7870947133045831E-2</v>
      </c>
      <c r="T25" s="3">
        <v>1192.6199999999999</v>
      </c>
      <c r="U25" s="7">
        <f t="shared" si="9"/>
        <v>3.2508852277351119E-2</v>
      </c>
      <c r="V25" s="3">
        <v>975.34</v>
      </c>
      <c r="W25" s="7">
        <f t="shared" si="10"/>
        <v>2.6684491415699174E-2</v>
      </c>
      <c r="X25" s="3">
        <v>4700.43</v>
      </c>
      <c r="Y25" s="7">
        <f t="shared" si="11"/>
        <v>3.2399551784856317E-3</v>
      </c>
      <c r="Z25" s="3">
        <v>943.9</v>
      </c>
      <c r="AA25" s="7">
        <f t="shared" si="12"/>
        <v>2.100640359986139E-2</v>
      </c>
      <c r="AB25" s="3">
        <v>941.48</v>
      </c>
      <c r="AC25" s="7">
        <f t="shared" si="13"/>
        <v>2.6471870911469741E-2</v>
      </c>
      <c r="AD25" s="3">
        <v>183.19</v>
      </c>
      <c r="AE25" s="7">
        <f t="shared" si="14"/>
        <v>2.8926084026061671E-2</v>
      </c>
      <c r="AF25" s="3">
        <v>62082.123899999999</v>
      </c>
      <c r="AG25" s="7">
        <f t="shared" si="15"/>
        <v>3.0078487320963188E-2</v>
      </c>
    </row>
    <row r="26" spans="1:33" x14ac:dyDescent="0.25">
      <c r="A26" s="2">
        <v>46178</v>
      </c>
      <c r="B26" s="3">
        <v>2183.1999999999998</v>
      </c>
      <c r="C26" s="7">
        <f t="shared" si="0"/>
        <v>-9.0327266125006522E-3</v>
      </c>
      <c r="D26" s="3">
        <v>8340.24</v>
      </c>
      <c r="E26" s="7">
        <f t="shared" si="1"/>
        <v>-2.1873515700589374E-2</v>
      </c>
      <c r="F26" s="3">
        <v>2838.9</v>
      </c>
      <c r="G26" s="7">
        <f t="shared" si="2"/>
        <v>-1.6776687193056583E-2</v>
      </c>
      <c r="H26" s="3">
        <v>9643.9500000000007</v>
      </c>
      <c r="I26" s="7">
        <f t="shared" si="3"/>
        <v>-1.2847178861472242E-2</v>
      </c>
      <c r="J26" s="3">
        <v>1416.49</v>
      </c>
      <c r="K26" s="7">
        <f t="shared" si="4"/>
        <v>-2.0645072077989379E-2</v>
      </c>
      <c r="L26" s="3">
        <v>1173.7</v>
      </c>
      <c r="M26" s="7">
        <f t="shared" si="5"/>
        <v>-2.4323335771762933E-2</v>
      </c>
      <c r="N26" s="3">
        <v>253.36</v>
      </c>
      <c r="O26" s="7">
        <f t="shared" si="6"/>
        <v>-1.9163021176106132E-2</v>
      </c>
      <c r="P26" s="3">
        <v>266.01</v>
      </c>
      <c r="Q26" s="7">
        <f t="shared" si="7"/>
        <v>-2.014881390894363E-2</v>
      </c>
      <c r="R26" s="3">
        <v>251.49</v>
      </c>
      <c r="S26" s="7">
        <f t="shared" si="8"/>
        <v>-2.3036283117084944E-2</v>
      </c>
      <c r="T26" s="3">
        <v>1166.1600000000001</v>
      </c>
      <c r="U26" s="7">
        <f t="shared" si="9"/>
        <v>-2.2186446646878188E-2</v>
      </c>
      <c r="V26" s="3">
        <v>954.16</v>
      </c>
      <c r="W26" s="7">
        <f t="shared" si="10"/>
        <v>-2.1715504336949243E-2</v>
      </c>
      <c r="X26" s="3">
        <v>4651.8</v>
      </c>
      <c r="Y26" s="7">
        <f t="shared" si="11"/>
        <v>-1.0345861974330073E-2</v>
      </c>
      <c r="Z26" s="3">
        <v>933.57</v>
      </c>
      <c r="AA26" s="7">
        <f t="shared" si="12"/>
        <v>-1.094395592753461E-2</v>
      </c>
      <c r="AB26" s="3">
        <v>924.89</v>
      </c>
      <c r="AC26" s="7">
        <f t="shared" si="13"/>
        <v>-1.76211921655266E-2</v>
      </c>
      <c r="AD26" s="3">
        <v>179.93</v>
      </c>
      <c r="AE26" s="7">
        <f t="shared" si="14"/>
        <v>-1.7795731208035348E-2</v>
      </c>
      <c r="AF26" s="3">
        <v>60804.638599999998</v>
      </c>
      <c r="AG26" s="7">
        <f t="shared" si="15"/>
        <v>-2.0577345292788873E-2</v>
      </c>
    </row>
    <row r="27" spans="1:33" x14ac:dyDescent="0.25">
      <c r="A27" s="2">
        <v>46185</v>
      </c>
      <c r="B27" s="3">
        <v>2148.2800000000002</v>
      </c>
      <c r="C27" s="7">
        <f t="shared" si="0"/>
        <v>-1.5994869915719856E-2</v>
      </c>
      <c r="D27" s="3">
        <v>8109.41</v>
      </c>
      <c r="E27" s="7">
        <f t="shared" si="1"/>
        <v>-2.7676661582880069E-2</v>
      </c>
      <c r="F27" s="3">
        <v>2764.09</v>
      </c>
      <c r="G27" s="7">
        <f t="shared" si="2"/>
        <v>-2.6351755961816159E-2</v>
      </c>
      <c r="H27" s="3">
        <v>9592.48</v>
      </c>
      <c r="I27" s="7">
        <f t="shared" si="3"/>
        <v>-5.337024766822851E-3</v>
      </c>
      <c r="J27" s="3">
        <v>1375.87</v>
      </c>
      <c r="K27" s="7">
        <f t="shared" si="4"/>
        <v>-2.8676517306864269E-2</v>
      </c>
      <c r="L27" s="3">
        <v>1136.3599999999999</v>
      </c>
      <c r="M27" s="7">
        <f t="shared" si="5"/>
        <v>-3.1813921785805666E-2</v>
      </c>
      <c r="N27" s="3">
        <v>246.69</v>
      </c>
      <c r="O27" s="7">
        <f t="shared" si="6"/>
        <v>-2.6326176191979855E-2</v>
      </c>
      <c r="P27" s="3">
        <v>259.58</v>
      </c>
      <c r="Q27" s="7">
        <f t="shared" si="7"/>
        <v>-2.4172023608135085E-2</v>
      </c>
      <c r="R27" s="3">
        <v>243.77</v>
      </c>
      <c r="S27" s="7">
        <f t="shared" si="8"/>
        <v>-3.0697045608175322E-2</v>
      </c>
      <c r="T27" s="3">
        <v>1131.51</v>
      </c>
      <c r="U27" s="7">
        <f t="shared" si="9"/>
        <v>-2.9712903889689279E-2</v>
      </c>
      <c r="V27" s="3">
        <v>926.09</v>
      </c>
      <c r="W27" s="7">
        <f t="shared" si="10"/>
        <v>-2.9418546155780989E-2</v>
      </c>
      <c r="X27" s="3">
        <v>4607.28</v>
      </c>
      <c r="Y27" s="7">
        <f t="shared" si="11"/>
        <v>-9.5704888430285795E-3</v>
      </c>
      <c r="Z27" s="3">
        <v>913.24</v>
      </c>
      <c r="AA27" s="7">
        <f t="shared" si="12"/>
        <v>-2.1776620928264712E-2</v>
      </c>
      <c r="AB27" s="3">
        <v>902.63</v>
      </c>
      <c r="AC27" s="7">
        <f t="shared" si="13"/>
        <v>-2.4067726972937353E-2</v>
      </c>
      <c r="AD27" s="3">
        <v>175.17</v>
      </c>
      <c r="AE27" s="7">
        <f t="shared" si="14"/>
        <v>-2.6454732395931879E-2</v>
      </c>
      <c r="AF27" s="3">
        <v>59163.669199999997</v>
      </c>
      <c r="AG27" s="7">
        <f t="shared" si="15"/>
        <v>-2.6987569333238315E-2</v>
      </c>
    </row>
    <row r="28" spans="1:33" x14ac:dyDescent="0.25">
      <c r="A28" s="2">
        <v>46192</v>
      </c>
      <c r="B28" s="3">
        <v>2203.27</v>
      </c>
      <c r="C28" s="7">
        <f t="shared" si="0"/>
        <v>2.5597221963617356E-2</v>
      </c>
      <c r="D28" s="3">
        <v>8337.65</v>
      </c>
      <c r="E28" s="7">
        <f t="shared" si="1"/>
        <v>2.8145080838186676E-2</v>
      </c>
      <c r="F28" s="3">
        <v>2838.43</v>
      </c>
      <c r="G28" s="7">
        <f t="shared" si="2"/>
        <v>2.6894927444475192E-2</v>
      </c>
      <c r="H28" s="3">
        <v>9879.9</v>
      </c>
      <c r="I28" s="7">
        <f t="shared" si="3"/>
        <v>2.9963054392607491E-2</v>
      </c>
      <c r="J28" s="3">
        <v>1416.45</v>
      </c>
      <c r="K28" s="7">
        <f t="shared" si="4"/>
        <v>2.9494065573055783E-2</v>
      </c>
      <c r="L28" s="3">
        <v>1166.33</v>
      </c>
      <c r="M28" s="7">
        <f t="shared" si="5"/>
        <v>2.637368439579002E-2</v>
      </c>
      <c r="N28" s="3">
        <v>252.95</v>
      </c>
      <c r="O28" s="7">
        <f t="shared" si="6"/>
        <v>2.5375977948031814E-2</v>
      </c>
      <c r="P28" s="3">
        <v>265.75</v>
      </c>
      <c r="Q28" s="7">
        <f t="shared" si="7"/>
        <v>2.3769165575159956E-2</v>
      </c>
      <c r="R28" s="3">
        <v>249.67</v>
      </c>
      <c r="S28" s="7">
        <f t="shared" si="8"/>
        <v>2.4203142306272296E-2</v>
      </c>
      <c r="T28" s="3">
        <v>1161.06</v>
      </c>
      <c r="U28" s="7">
        <f t="shared" si="9"/>
        <v>2.6115544714584882E-2</v>
      </c>
      <c r="V28" s="3">
        <v>952.66</v>
      </c>
      <c r="W28" s="7">
        <f t="shared" si="10"/>
        <v>2.8690516040557501E-2</v>
      </c>
      <c r="X28" s="3">
        <v>4732.8599999999997</v>
      </c>
      <c r="Y28" s="7">
        <f t="shared" si="11"/>
        <v>2.7256863051518421E-2</v>
      </c>
      <c r="Z28" s="3">
        <v>935.43</v>
      </c>
      <c r="AA28" s="7">
        <f t="shared" si="12"/>
        <v>2.4298103455827613E-2</v>
      </c>
      <c r="AB28" s="3">
        <v>923.1</v>
      </c>
      <c r="AC28" s="7">
        <f t="shared" si="13"/>
        <v>2.2678173781061961E-2</v>
      </c>
      <c r="AD28" s="3">
        <v>179.25</v>
      </c>
      <c r="AE28" s="7">
        <f t="shared" si="14"/>
        <v>2.3291659530741748E-2</v>
      </c>
      <c r="AF28" s="3">
        <v>60598.133199999997</v>
      </c>
      <c r="AG28" s="7">
        <f t="shared" si="15"/>
        <v>2.4245690292650002E-2</v>
      </c>
    </row>
    <row r="29" spans="1:33" x14ac:dyDescent="0.25">
      <c r="A29" s="2">
        <v>46199</v>
      </c>
      <c r="B29" s="3">
        <v>2190.36</v>
      </c>
      <c r="C29" s="7">
        <f t="shared" si="0"/>
        <v>-5.8594725113126911E-3</v>
      </c>
      <c r="D29" s="3">
        <v>8176.86</v>
      </c>
      <c r="E29" s="7">
        <f t="shared" si="1"/>
        <v>-1.9284810468177427E-2</v>
      </c>
      <c r="F29" s="3">
        <v>2793.4</v>
      </c>
      <c r="G29" s="7">
        <f t="shared" si="2"/>
        <v>-1.5864403913430913E-2</v>
      </c>
      <c r="H29" s="3">
        <v>9812.0400000000009</v>
      </c>
      <c r="I29" s="7">
        <f t="shared" si="3"/>
        <v>-6.8684905717667499E-3</v>
      </c>
      <c r="J29" s="3">
        <v>1388.35</v>
      </c>
      <c r="K29" s="7">
        <f t="shared" si="4"/>
        <v>-1.98383282149035E-2</v>
      </c>
      <c r="L29" s="3">
        <v>1143.03</v>
      </c>
      <c r="M29" s="7">
        <f t="shared" si="5"/>
        <v>-1.9977193418672212E-2</v>
      </c>
      <c r="N29" s="3">
        <v>248.67</v>
      </c>
      <c r="O29" s="7">
        <f t="shared" si="6"/>
        <v>-1.692033998813991E-2</v>
      </c>
      <c r="P29" s="3">
        <v>261.77</v>
      </c>
      <c r="Q29" s="7">
        <f t="shared" si="7"/>
        <v>-1.4976481655691543E-2</v>
      </c>
      <c r="R29" s="3">
        <v>244.82</v>
      </c>
      <c r="S29" s="7">
        <f t="shared" si="8"/>
        <v>-1.9425641847238384E-2</v>
      </c>
      <c r="T29" s="3">
        <v>1140.6500000000001</v>
      </c>
      <c r="U29" s="7">
        <f t="shared" si="9"/>
        <v>-1.7578764232683786E-2</v>
      </c>
      <c r="V29" s="3">
        <v>935.77</v>
      </c>
      <c r="W29" s="7">
        <f t="shared" si="10"/>
        <v>-1.7729305313543109E-2</v>
      </c>
      <c r="X29" s="3">
        <v>4695</v>
      </c>
      <c r="Y29" s="7">
        <f t="shared" si="11"/>
        <v>-7.9993914884445294E-3</v>
      </c>
      <c r="Z29" s="3">
        <v>920.81</v>
      </c>
      <c r="AA29" s="7">
        <f t="shared" si="12"/>
        <v>-1.5629175887025171E-2</v>
      </c>
      <c r="AB29" s="3">
        <v>909.54</v>
      </c>
      <c r="AC29" s="7">
        <f t="shared" si="13"/>
        <v>-1.4689632759181115E-2</v>
      </c>
      <c r="AD29" s="3">
        <v>176.15</v>
      </c>
      <c r="AE29" s="7">
        <f t="shared" si="14"/>
        <v>-1.7294281729428151E-2</v>
      </c>
      <c r="AF29" s="3">
        <v>59531.242400000003</v>
      </c>
      <c r="AG29" s="7">
        <f t="shared" si="15"/>
        <v>-1.7606001103677493E-2</v>
      </c>
    </row>
    <row r="30" spans="1:33" x14ac:dyDescent="0.25">
      <c r="A30" s="2">
        <v>46206</v>
      </c>
      <c r="B30" s="3">
        <v>2225.14</v>
      </c>
      <c r="C30" s="7">
        <f t="shared" si="0"/>
        <v>1.5878668346755775E-2</v>
      </c>
      <c r="D30" s="3">
        <v>8385.7999999999993</v>
      </c>
      <c r="E30" s="7">
        <f t="shared" si="1"/>
        <v>2.5552595984277504E-2</v>
      </c>
      <c r="F30" s="3">
        <v>2865.27</v>
      </c>
      <c r="G30" s="7">
        <f t="shared" si="2"/>
        <v>2.5728502899692085E-2</v>
      </c>
      <c r="H30" s="3">
        <v>9871.81</v>
      </c>
      <c r="I30" s="7">
        <f t="shared" si="3"/>
        <v>6.0914957541957637E-3</v>
      </c>
      <c r="J30" s="3">
        <v>1420.13</v>
      </c>
      <c r="K30" s="7">
        <f t="shared" si="4"/>
        <v>2.2890481506824711E-2</v>
      </c>
      <c r="L30" s="3">
        <v>1173.2</v>
      </c>
      <c r="M30" s="7">
        <f t="shared" si="5"/>
        <v>2.6394757792883805E-2</v>
      </c>
      <c r="N30" s="3">
        <v>255.05</v>
      </c>
      <c r="O30" s="7">
        <f t="shared" si="6"/>
        <v>2.5656492540314657E-2</v>
      </c>
      <c r="P30" s="3">
        <v>267.89</v>
      </c>
      <c r="Q30" s="7">
        <f t="shared" si="7"/>
        <v>2.3379302441074223E-2</v>
      </c>
      <c r="R30" s="3">
        <v>251.35</v>
      </c>
      <c r="S30" s="7">
        <f t="shared" si="8"/>
        <v>2.6672657462625704E-2</v>
      </c>
      <c r="T30" s="3">
        <v>1170.01</v>
      </c>
      <c r="U30" s="7">
        <f t="shared" si="9"/>
        <v>2.5739709814579292E-2</v>
      </c>
      <c r="V30" s="3">
        <v>958.81</v>
      </c>
      <c r="W30" s="7">
        <f t="shared" si="10"/>
        <v>2.4621434754266591E-2</v>
      </c>
      <c r="X30" s="3">
        <v>4774.2299999999996</v>
      </c>
      <c r="Y30" s="7">
        <f t="shared" si="11"/>
        <v>1.6875399361022225E-2</v>
      </c>
      <c r="Z30" s="3">
        <v>942.3</v>
      </c>
      <c r="AA30" s="7">
        <f t="shared" si="12"/>
        <v>2.3338147934970355E-2</v>
      </c>
      <c r="AB30" s="3">
        <v>931.38</v>
      </c>
      <c r="AC30" s="7">
        <f t="shared" si="13"/>
        <v>2.4012138003826067E-2</v>
      </c>
      <c r="AD30" s="3">
        <v>181.07</v>
      </c>
      <c r="AE30" s="7">
        <f t="shared" si="14"/>
        <v>2.7930740845869995E-2</v>
      </c>
      <c r="AF30" s="3">
        <v>61116.426500000001</v>
      </c>
      <c r="AG30" s="7">
        <f t="shared" si="15"/>
        <v>2.6627767808857339E-2</v>
      </c>
    </row>
    <row r="31" spans="1:33" x14ac:dyDescent="0.25">
      <c r="A31" s="2">
        <v>46213</v>
      </c>
      <c r="B31" s="3">
        <v>2186.2199999999998</v>
      </c>
      <c r="C31" s="7">
        <f t="shared" si="0"/>
        <v>-1.7491034272000938E-2</v>
      </c>
      <c r="D31" s="3">
        <v>8220.91</v>
      </c>
      <c r="E31" s="7">
        <f t="shared" si="1"/>
        <v>-1.96630017410383E-2</v>
      </c>
      <c r="F31" s="3">
        <v>2805.77</v>
      </c>
      <c r="G31" s="7">
        <f t="shared" si="2"/>
        <v>-2.0765931308393326E-2</v>
      </c>
      <c r="H31" s="3">
        <v>9675.59</v>
      </c>
      <c r="I31" s="7">
        <f t="shared" si="3"/>
        <v>-1.9876800708279352E-2</v>
      </c>
      <c r="J31" s="3">
        <v>1394.03</v>
      </c>
      <c r="K31" s="7">
        <f t="shared" si="4"/>
        <v>-1.8378599142332086E-2</v>
      </c>
      <c r="L31" s="3">
        <v>1148.53</v>
      </c>
      <c r="M31" s="7">
        <f t="shared" si="5"/>
        <v>-2.1027957722468571E-2</v>
      </c>
      <c r="N31" s="3">
        <v>249.88</v>
      </c>
      <c r="O31" s="7">
        <f t="shared" si="6"/>
        <v>-2.0270535189178651E-2</v>
      </c>
      <c r="P31" s="3">
        <v>262.83999999999997</v>
      </c>
      <c r="Q31" s="7">
        <f t="shared" si="7"/>
        <v>-1.8851020941431207E-2</v>
      </c>
      <c r="R31" s="3">
        <v>246.1</v>
      </c>
      <c r="S31" s="7">
        <f t="shared" si="8"/>
        <v>-2.0887209071016488E-2</v>
      </c>
      <c r="T31" s="3">
        <v>1147.0999999999999</v>
      </c>
      <c r="U31" s="7">
        <f t="shared" si="9"/>
        <v>-1.9581029221972579E-2</v>
      </c>
      <c r="V31" s="3">
        <v>938.68</v>
      </c>
      <c r="W31" s="7">
        <f t="shared" si="10"/>
        <v>-2.0994774772895575E-2</v>
      </c>
      <c r="X31" s="3">
        <v>4693.1000000000004</v>
      </c>
      <c r="Y31" s="7">
        <f t="shared" si="11"/>
        <v>-1.6993316199680253E-2</v>
      </c>
      <c r="Z31" s="3">
        <v>928.45</v>
      </c>
      <c r="AA31" s="7">
        <f t="shared" si="12"/>
        <v>-1.469807916799315E-2</v>
      </c>
      <c r="AB31" s="3">
        <v>913.85</v>
      </c>
      <c r="AC31" s="7">
        <f t="shared" si="13"/>
        <v>-1.8821533638257226E-2</v>
      </c>
      <c r="AD31" s="3">
        <v>178.04</v>
      </c>
      <c r="AE31" s="7">
        <f t="shared" si="14"/>
        <v>-1.6733859833213627E-2</v>
      </c>
      <c r="AF31" s="3">
        <v>59969.1</v>
      </c>
      <c r="AG31" s="7">
        <f t="shared" si="15"/>
        <v>-1.8772800795216704E-2</v>
      </c>
    </row>
    <row r="32" spans="1:33" x14ac:dyDescent="0.25">
      <c r="A32" s="2">
        <v>46220</v>
      </c>
      <c r="B32" s="3">
        <v>2152.04</v>
      </c>
      <c r="C32" s="7">
        <f t="shared" si="0"/>
        <v>-1.5634291150936286E-2</v>
      </c>
      <c r="D32" s="3">
        <v>8046.51</v>
      </c>
      <c r="E32" s="7">
        <f t="shared" si="1"/>
        <v>-2.1214196481897929E-2</v>
      </c>
      <c r="F32" s="3">
        <v>2754.23</v>
      </c>
      <c r="G32" s="7">
        <f t="shared" si="2"/>
        <v>-1.8369289000880307E-2</v>
      </c>
      <c r="H32" s="3">
        <v>9488.4</v>
      </c>
      <c r="I32" s="7">
        <f t="shared" si="3"/>
        <v>-1.9346623823456865E-2</v>
      </c>
      <c r="J32" s="3">
        <v>1363.66</v>
      </c>
      <c r="K32" s="7">
        <f t="shared" si="4"/>
        <v>-2.1785757838783892E-2</v>
      </c>
      <c r="L32" s="3">
        <v>1121.94</v>
      </c>
      <c r="M32" s="7">
        <f t="shared" si="5"/>
        <v>-2.3151332572940997E-2</v>
      </c>
      <c r="N32" s="3">
        <v>244.86</v>
      </c>
      <c r="O32" s="7">
        <f t="shared" si="6"/>
        <v>-2.0089643028653681E-2</v>
      </c>
      <c r="P32" s="3">
        <v>258.10000000000002</v>
      </c>
      <c r="Q32" s="7">
        <f t="shared" si="7"/>
        <v>-1.8033784812052756E-2</v>
      </c>
      <c r="R32" s="3">
        <v>240.99</v>
      </c>
      <c r="S32" s="7">
        <f t="shared" si="8"/>
        <v>-2.0763917106867091E-2</v>
      </c>
      <c r="T32" s="3">
        <v>1126.6099999999999</v>
      </c>
      <c r="U32" s="7">
        <f t="shared" si="9"/>
        <v>-1.7862435707436175E-2</v>
      </c>
      <c r="V32" s="3">
        <v>920.18</v>
      </c>
      <c r="W32" s="7">
        <f t="shared" si="10"/>
        <v>-1.9708526867516118E-2</v>
      </c>
      <c r="X32" s="3">
        <v>4594.6000000000004</v>
      </c>
      <c r="Y32" s="7">
        <f t="shared" si="11"/>
        <v>-2.0988259359485228E-2</v>
      </c>
      <c r="Z32" s="3">
        <v>913.79</v>
      </c>
      <c r="AA32" s="7">
        <f t="shared" si="12"/>
        <v>-1.5789757122085302E-2</v>
      </c>
      <c r="AB32" s="3">
        <v>899.37</v>
      </c>
      <c r="AC32" s="7">
        <f t="shared" si="13"/>
        <v>-1.5845051157192147E-2</v>
      </c>
      <c r="AD32" s="3">
        <v>175.28</v>
      </c>
      <c r="AE32" s="7">
        <f t="shared" si="14"/>
        <v>-1.550213435183101E-2</v>
      </c>
      <c r="AF32" s="3">
        <v>58840.223100000003</v>
      </c>
      <c r="AG32" s="7">
        <f t="shared" si="15"/>
        <v>-1.8824309519402393E-2</v>
      </c>
    </row>
    <row r="33" spans="1:33" x14ac:dyDescent="0.25">
      <c r="A33" s="2">
        <v>46227</v>
      </c>
      <c r="B33" s="3">
        <v>2171.1</v>
      </c>
      <c r="C33" s="7">
        <f t="shared" si="0"/>
        <v>8.8567127005074742E-3</v>
      </c>
      <c r="D33" s="3">
        <v>8138.16</v>
      </c>
      <c r="E33" s="7">
        <f t="shared" si="1"/>
        <v>1.1390031206075735E-2</v>
      </c>
      <c r="F33" s="3">
        <v>2782.76</v>
      </c>
      <c r="G33" s="7">
        <f t="shared" si="2"/>
        <v>1.0358612025865632E-2</v>
      </c>
      <c r="H33" s="3">
        <v>9535.24</v>
      </c>
      <c r="I33" s="7">
        <f t="shared" si="3"/>
        <v>4.9365541081742847E-3</v>
      </c>
      <c r="J33" s="3">
        <v>1379.48</v>
      </c>
      <c r="K33" s="7">
        <f t="shared" si="4"/>
        <v>1.1601132247041068E-2</v>
      </c>
      <c r="L33" s="3">
        <v>1133.79</v>
      </c>
      <c r="M33" s="7">
        <f t="shared" si="5"/>
        <v>1.0562062142360551E-2</v>
      </c>
      <c r="N33" s="3">
        <v>247.44</v>
      </c>
      <c r="O33" s="7">
        <f t="shared" si="6"/>
        <v>1.0536633178142463E-2</v>
      </c>
      <c r="P33" s="3">
        <v>261.36</v>
      </c>
      <c r="Q33" s="7">
        <f t="shared" si="7"/>
        <v>1.2630763270050416E-2</v>
      </c>
      <c r="R33" s="3">
        <v>243.65</v>
      </c>
      <c r="S33" s="7">
        <f t="shared" si="8"/>
        <v>1.1037802398439656E-2</v>
      </c>
      <c r="T33" s="3">
        <v>1137.08</v>
      </c>
      <c r="U33" s="7">
        <f t="shared" si="9"/>
        <v>9.2933668261421243E-3</v>
      </c>
      <c r="V33" s="3">
        <v>930.31</v>
      </c>
      <c r="W33" s="7">
        <f t="shared" si="10"/>
        <v>1.1008715686061432E-2</v>
      </c>
      <c r="X33" s="3">
        <v>4640.21</v>
      </c>
      <c r="Y33" s="7">
        <f t="shared" si="11"/>
        <v>9.9268706742696722E-3</v>
      </c>
      <c r="Z33" s="3">
        <v>926.86</v>
      </c>
      <c r="AA33" s="7">
        <f t="shared" si="12"/>
        <v>1.4303067444380035E-2</v>
      </c>
      <c r="AB33" s="3">
        <v>911.24</v>
      </c>
      <c r="AC33" s="7">
        <f t="shared" si="13"/>
        <v>1.3198127578193608E-2</v>
      </c>
      <c r="AD33" s="3">
        <v>177.54</v>
      </c>
      <c r="AE33" s="7">
        <f t="shared" si="14"/>
        <v>1.2893655864901765E-2</v>
      </c>
      <c r="AF33" s="3">
        <v>59482.730799999998</v>
      </c>
      <c r="AG33" s="7">
        <f t="shared" si="15"/>
        <v>1.091953201652629E-2</v>
      </c>
    </row>
    <row r="34" spans="1:33" x14ac:dyDescent="0.25">
      <c r="A34" s="2">
        <v>46234</v>
      </c>
      <c r="B34" s="3">
        <v>2179.9</v>
      </c>
      <c r="C34" s="7">
        <f t="shared" si="0"/>
        <v>4.0532448988992442E-3</v>
      </c>
      <c r="D34" s="3">
        <v>8163.32</v>
      </c>
      <c r="E34" s="7">
        <f t="shared" si="1"/>
        <v>3.0916079310310263E-3</v>
      </c>
      <c r="F34" s="3">
        <v>2800.7</v>
      </c>
      <c r="G34" s="7">
        <f t="shared" si="2"/>
        <v>6.4468369532404424E-3</v>
      </c>
      <c r="H34" s="3">
        <v>9582.11</v>
      </c>
      <c r="I34" s="7">
        <f t="shared" si="3"/>
        <v>4.9154504763384566E-3</v>
      </c>
      <c r="J34" s="3">
        <v>1386.11</v>
      </c>
      <c r="K34" s="7">
        <f t="shared" si="4"/>
        <v>4.8061588424623825E-3</v>
      </c>
      <c r="L34" s="3">
        <v>1137.6300000000001</v>
      </c>
      <c r="M34" s="7">
        <f t="shared" si="5"/>
        <v>3.3868705844999347E-3</v>
      </c>
      <c r="N34" s="3">
        <v>248.64</v>
      </c>
      <c r="O34" s="7">
        <f t="shared" si="6"/>
        <v>4.8496605237633439E-3</v>
      </c>
      <c r="P34" s="3">
        <v>262.10000000000002</v>
      </c>
      <c r="Q34" s="7">
        <f t="shared" si="7"/>
        <v>2.8313437404345887E-3</v>
      </c>
      <c r="R34" s="3">
        <v>245.07</v>
      </c>
      <c r="S34" s="7">
        <f t="shared" si="8"/>
        <v>5.8280320131336438E-3</v>
      </c>
      <c r="T34" s="3">
        <v>1144.6300000000001</v>
      </c>
      <c r="U34" s="7">
        <f t="shared" si="9"/>
        <v>6.6398142610899491E-3</v>
      </c>
      <c r="V34" s="3">
        <v>934.4</v>
      </c>
      <c r="W34" s="7">
        <f t="shared" si="10"/>
        <v>4.3963840010319277E-3</v>
      </c>
      <c r="X34" s="3">
        <v>4651.83</v>
      </c>
      <c r="Y34" s="7">
        <f t="shared" si="11"/>
        <v>2.5041970083250487E-3</v>
      </c>
      <c r="Z34" s="3">
        <v>929.7</v>
      </c>
      <c r="AA34" s="7">
        <f t="shared" si="12"/>
        <v>3.0641089269145549E-3</v>
      </c>
      <c r="AB34" s="3">
        <v>911.52</v>
      </c>
      <c r="AC34" s="7">
        <f t="shared" si="13"/>
        <v>3.0727360519722247E-4</v>
      </c>
      <c r="AD34" s="3">
        <v>177.84</v>
      </c>
      <c r="AE34" s="7">
        <f t="shared" si="14"/>
        <v>1.6897600540723978E-3</v>
      </c>
      <c r="AF34" s="3">
        <v>59822.7716</v>
      </c>
      <c r="AG34" s="7">
        <f t="shared" si="15"/>
        <v>5.7166306157552249E-3</v>
      </c>
    </row>
    <row r="35" spans="1:33" x14ac:dyDescent="0.25">
      <c r="A35" s="2">
        <v>46241</v>
      </c>
      <c r="B35" s="3">
        <v>2265.42</v>
      </c>
      <c r="C35" s="7">
        <f t="shared" si="0"/>
        <v>3.9231157392541016E-2</v>
      </c>
      <c r="D35" s="3">
        <v>8667.56</v>
      </c>
      <c r="E35" s="7">
        <f t="shared" si="1"/>
        <v>6.1768986147792804E-2</v>
      </c>
      <c r="F35" s="3">
        <v>2969.53</v>
      </c>
      <c r="G35" s="7">
        <f t="shared" si="2"/>
        <v>6.0281358231870641E-2</v>
      </c>
      <c r="H35" s="3">
        <v>10063.81</v>
      </c>
      <c r="I35" s="7">
        <f t="shared" si="3"/>
        <v>5.0270764998523232E-2</v>
      </c>
      <c r="J35" s="3">
        <v>1465.25</v>
      </c>
      <c r="K35" s="7">
        <f t="shared" si="4"/>
        <v>5.7095035747523726E-2</v>
      </c>
      <c r="L35" s="3">
        <v>1204.26</v>
      </c>
      <c r="M35" s="7">
        <f t="shared" si="5"/>
        <v>5.8569130560902849E-2</v>
      </c>
      <c r="N35" s="55">
        <v>262.91000000000003</v>
      </c>
      <c r="O35" s="56">
        <f t="shared" si="6"/>
        <v>5.7392213642213807E-2</v>
      </c>
      <c r="P35" s="3">
        <v>275.66000000000003</v>
      </c>
      <c r="Q35" s="7">
        <f t="shared" si="7"/>
        <v>5.173597863410917E-2</v>
      </c>
      <c r="R35" s="3">
        <v>259.35000000000002</v>
      </c>
      <c r="S35" s="7">
        <f t="shared" si="8"/>
        <v>5.8269065981148449E-2</v>
      </c>
      <c r="T35" s="3">
        <v>1206.57</v>
      </c>
      <c r="U35" s="7">
        <f t="shared" si="9"/>
        <v>5.4113556345718461E-2</v>
      </c>
      <c r="V35" s="3">
        <v>990.37</v>
      </c>
      <c r="W35" s="7">
        <f t="shared" si="10"/>
        <v>5.9899400684931603E-2</v>
      </c>
      <c r="X35" s="3">
        <v>4888.87</v>
      </c>
      <c r="Y35" s="7">
        <f t="shared" si="11"/>
        <v>5.0956290320153474E-2</v>
      </c>
      <c r="Z35" s="3">
        <v>971.58</v>
      </c>
      <c r="AA35" s="7">
        <f t="shared" si="12"/>
        <v>4.5046789286866673E-2</v>
      </c>
      <c r="AB35" s="3">
        <v>958.25</v>
      </c>
      <c r="AC35" s="7">
        <f t="shared" si="13"/>
        <v>5.1266017202036274E-2</v>
      </c>
      <c r="AD35" s="3">
        <v>187.42</v>
      </c>
      <c r="AE35" s="7">
        <f t="shared" si="14"/>
        <v>5.3868645973909057E-2</v>
      </c>
      <c r="AF35" s="3">
        <v>63290.01</v>
      </c>
      <c r="AG35" s="7">
        <f t="shared" si="15"/>
        <v>5.7958504884785489E-2</v>
      </c>
    </row>
    <row r="36" spans="1:33" x14ac:dyDescent="0.25">
      <c r="A36" s="2">
        <v>46251</v>
      </c>
      <c r="B36" s="3">
        <v>2255.4699999999998</v>
      </c>
      <c r="C36" s="7">
        <f t="shared" si="0"/>
        <v>-4.3921215492050969E-3</v>
      </c>
      <c r="D36" s="3">
        <v>8632.2900000000009</v>
      </c>
      <c r="E36" s="7">
        <f t="shared" si="1"/>
        <v>-4.0691959444179027E-3</v>
      </c>
      <c r="F36" s="3">
        <v>2962.24</v>
      </c>
      <c r="G36" s="7">
        <f t="shared" si="2"/>
        <v>-2.4549339457761166E-3</v>
      </c>
      <c r="H36" s="3">
        <v>9990.7099999999991</v>
      </c>
      <c r="I36" s="7">
        <f t="shared" si="3"/>
        <v>-7.263650645232822E-3</v>
      </c>
      <c r="J36" s="3">
        <v>1461.35</v>
      </c>
      <c r="K36" s="7">
        <f t="shared" si="4"/>
        <v>-2.661661832451867E-3</v>
      </c>
      <c r="L36" s="3">
        <v>1201</v>
      </c>
      <c r="M36" s="7">
        <f t="shared" si="5"/>
        <v>-2.7070566156809361E-3</v>
      </c>
      <c r="N36" s="55">
        <v>262.24</v>
      </c>
      <c r="O36" s="56">
        <f t="shared" si="6"/>
        <v>-2.5484005933590348E-3</v>
      </c>
      <c r="P36" s="3">
        <v>275.27</v>
      </c>
      <c r="Q36" s="7">
        <f t="shared" si="7"/>
        <v>-1.4147863309875719E-3</v>
      </c>
      <c r="R36" s="3">
        <v>258.61</v>
      </c>
      <c r="S36" s="7">
        <f t="shared" si="8"/>
        <v>-2.8532870638133812E-3</v>
      </c>
      <c r="T36" s="3">
        <v>1203.8699999999999</v>
      </c>
      <c r="U36" s="7">
        <f t="shared" si="9"/>
        <v>-2.2377483279047983E-3</v>
      </c>
      <c r="V36" s="3">
        <v>988.25</v>
      </c>
      <c r="W36" s="7">
        <f t="shared" si="10"/>
        <v>-2.1406141139169721E-3</v>
      </c>
      <c r="X36" s="3">
        <v>4857.0200000000004</v>
      </c>
      <c r="Y36" s="7">
        <f t="shared" si="11"/>
        <v>-6.5147978980826249E-3</v>
      </c>
      <c r="Z36" s="3">
        <v>972.17</v>
      </c>
      <c r="AA36" s="7">
        <f t="shared" si="12"/>
        <v>6.072582803267057E-4</v>
      </c>
      <c r="AB36" s="3">
        <v>958.85</v>
      </c>
      <c r="AC36" s="7">
        <f t="shared" si="13"/>
        <v>6.2614140360039983E-4</v>
      </c>
      <c r="AD36" s="3">
        <v>187.65</v>
      </c>
      <c r="AE36" s="7">
        <f t="shared" si="14"/>
        <v>1.2271902678477886E-3</v>
      </c>
      <c r="AF36" s="3">
        <v>63212.09</v>
      </c>
      <c r="AG36" s="7">
        <f t="shared" si="15"/>
        <v>-1.2311579663205618E-3</v>
      </c>
    </row>
    <row r="37" spans="1:33" x14ac:dyDescent="0.25">
      <c r="A37" s="2">
        <f>A36+7</f>
        <v>46258</v>
      </c>
      <c r="B37" s="3">
        <v>2271.62</v>
      </c>
      <c r="C37" s="7">
        <f t="shared" si="0"/>
        <v>7.1603701224136618E-3</v>
      </c>
      <c r="D37" s="3">
        <v>8743.67</v>
      </c>
      <c r="E37" s="7">
        <f t="shared" si="1"/>
        <v>1.2902717587105927E-2</v>
      </c>
      <c r="F37" s="3">
        <v>3008.6</v>
      </c>
      <c r="G37" s="7">
        <f t="shared" si="2"/>
        <v>1.5650318677757458E-2</v>
      </c>
      <c r="H37" s="3">
        <v>9988.1200000000008</v>
      </c>
      <c r="I37" s="7">
        <f t="shared" si="3"/>
        <v>-2.5924083473527482E-4</v>
      </c>
      <c r="J37" s="3">
        <v>1482.37</v>
      </c>
      <c r="K37" s="7">
        <f t="shared" si="4"/>
        <v>1.4383960036952192E-2</v>
      </c>
      <c r="L37" s="3">
        <v>1216.49</v>
      </c>
      <c r="M37" s="7">
        <f t="shared" si="5"/>
        <v>1.2897585345545304E-2</v>
      </c>
      <c r="N37" s="55">
        <v>266.10000000000002</v>
      </c>
      <c r="O37" s="56">
        <f t="shared" si="6"/>
        <v>1.4719341061623092E-2</v>
      </c>
      <c r="P37" s="3">
        <v>278.88</v>
      </c>
      <c r="Q37" s="7">
        <f t="shared" si="7"/>
        <v>1.3114396774076331E-2</v>
      </c>
      <c r="R37" s="3">
        <v>262.60000000000002</v>
      </c>
      <c r="S37" s="7">
        <f t="shared" si="8"/>
        <v>1.5428637717025628E-2</v>
      </c>
      <c r="T37" s="3">
        <v>1219.33</v>
      </c>
      <c r="U37" s="7">
        <f t="shared" si="9"/>
        <v>1.2841918147308284E-2</v>
      </c>
      <c r="V37" s="3">
        <v>1003.74</v>
      </c>
      <c r="W37" s="7">
        <f t="shared" si="10"/>
        <v>1.5674171515304813E-2</v>
      </c>
      <c r="X37" s="3">
        <v>4891.8</v>
      </c>
      <c r="Y37" s="7">
        <f t="shared" si="11"/>
        <v>7.1607693606368095E-3</v>
      </c>
      <c r="Z37" s="3">
        <v>977.96</v>
      </c>
      <c r="AA37" s="7">
        <f t="shared" si="12"/>
        <v>5.9557484802041927E-3</v>
      </c>
      <c r="AB37" s="3">
        <v>973.26</v>
      </c>
      <c r="AC37" s="7">
        <f t="shared" si="13"/>
        <v>1.5028419460812348E-2</v>
      </c>
      <c r="AD37" s="3">
        <v>190.34</v>
      </c>
      <c r="AE37" s="7">
        <f t="shared" si="14"/>
        <v>1.4335198507860358E-2</v>
      </c>
      <c r="AF37" s="3">
        <v>64194.33</v>
      </c>
      <c r="AG37" s="7">
        <f t="shared" si="15"/>
        <v>1.5538799618870502E-2</v>
      </c>
    </row>
    <row r="38" spans="1:33" x14ac:dyDescent="0.25">
      <c r="A38" s="2">
        <v>46262</v>
      </c>
      <c r="B38" s="3">
        <v>2255.0500000000002</v>
      </c>
      <c r="C38" s="7">
        <f t="shared" si="0"/>
        <v>-7.2943538091757576E-3</v>
      </c>
      <c r="D38" s="3">
        <v>8656.5300000000007</v>
      </c>
      <c r="E38" s="7">
        <f t="shared" si="1"/>
        <v>-9.9660668803831509E-3</v>
      </c>
      <c r="F38" s="3">
        <v>2976.25</v>
      </c>
      <c r="G38" s="7">
        <f t="shared" si="2"/>
        <v>-1.0752509472844451E-2</v>
      </c>
      <c r="H38" s="3">
        <v>9927.86</v>
      </c>
      <c r="I38" s="7">
        <f t="shared" si="3"/>
        <v>-6.0331674028746285E-3</v>
      </c>
      <c r="J38" s="3">
        <v>1467.89</v>
      </c>
      <c r="K38" s="7">
        <f t="shared" si="4"/>
        <v>-9.7681415571010399E-3</v>
      </c>
      <c r="L38" s="3">
        <v>1204.06</v>
      </c>
      <c r="M38" s="7">
        <f t="shared" si="5"/>
        <v>-1.0217922054435391E-2</v>
      </c>
      <c r="N38" s="55">
        <v>263.42</v>
      </c>
      <c r="O38" s="56">
        <f t="shared" si="6"/>
        <v>-1.007140172867349E-2</v>
      </c>
      <c r="P38" s="3">
        <v>276.18</v>
      </c>
      <c r="Q38" s="7">
        <f t="shared" si="7"/>
        <v>-9.6815834767641773E-3</v>
      </c>
      <c r="R38" s="3">
        <v>259.75</v>
      </c>
      <c r="S38" s="7">
        <f t="shared" si="8"/>
        <v>-1.0853008377760931E-2</v>
      </c>
      <c r="T38" s="3">
        <v>1207.72</v>
      </c>
      <c r="U38" s="7">
        <f t="shared" si="9"/>
        <v>-9.5216225304060043E-3</v>
      </c>
      <c r="V38" s="3">
        <v>992.99</v>
      </c>
      <c r="W38" s="7">
        <f t="shared" si="10"/>
        <v>-1.0709944806423954E-2</v>
      </c>
      <c r="X38" s="3">
        <v>4857.3599999999997</v>
      </c>
      <c r="Y38" s="7">
        <f t="shared" si="11"/>
        <v>-7.0403532442047112E-3</v>
      </c>
      <c r="Z38" s="3">
        <v>967.96</v>
      </c>
      <c r="AA38" s="7">
        <f t="shared" si="12"/>
        <v>-1.0225367090678561E-2</v>
      </c>
      <c r="AB38" s="3">
        <v>962.54</v>
      </c>
      <c r="AC38" s="7">
        <f t="shared" si="13"/>
        <v>-1.1014528491872677E-2</v>
      </c>
      <c r="AD38" s="3">
        <v>188.32</v>
      </c>
      <c r="AE38" s="7">
        <f t="shared" si="14"/>
        <v>-1.0612588000420309E-2</v>
      </c>
      <c r="AF38" s="3">
        <v>63548.52</v>
      </c>
      <c r="AG38" s="7">
        <f t="shared" si="15"/>
        <v>-1.0060234291720205E-2</v>
      </c>
    </row>
    <row r="39" spans="1:33" x14ac:dyDescent="0.25">
      <c r="A39" s="2">
        <v>46263</v>
      </c>
      <c r="B39" s="3">
        <v>2238.9499999999998</v>
      </c>
      <c r="C39" s="7">
        <f t="shared" si="0"/>
        <v>-7.1395312742512651E-3</v>
      </c>
      <c r="D39" s="1">
        <v>8615.82</v>
      </c>
      <c r="E39" s="7">
        <f t="shared" si="1"/>
        <v>-4.7028081690932977E-3</v>
      </c>
      <c r="F39" s="3">
        <v>2953.19</v>
      </c>
      <c r="G39" s="7">
        <f t="shared" si="2"/>
        <v>-7.7480050398991418E-3</v>
      </c>
      <c r="H39" s="3">
        <v>9801.58</v>
      </c>
      <c r="I39" s="7">
        <f t="shared" si="3"/>
        <v>-1.2719760351173393E-2</v>
      </c>
      <c r="J39" s="3">
        <v>1454.6</v>
      </c>
      <c r="K39" s="7">
        <f t="shared" si="4"/>
        <v>-9.0538119341369017E-3</v>
      </c>
      <c r="L39" s="3">
        <v>1194.83</v>
      </c>
      <c r="M39" s="7">
        <f t="shared" si="5"/>
        <v>-7.6657309436406473E-3</v>
      </c>
      <c r="N39" s="55">
        <v>261.58999999999997</v>
      </c>
      <c r="O39" s="56">
        <f t="shared" si="6"/>
        <v>-6.9470807076154051E-3</v>
      </c>
      <c r="P39" s="3">
        <v>274.97000000000003</v>
      </c>
      <c r="Q39" s="7">
        <f t="shared" si="7"/>
        <v>-4.3812006662320435E-3</v>
      </c>
      <c r="R39" s="3">
        <v>257.82</v>
      </c>
      <c r="S39" s="7">
        <f t="shared" si="8"/>
        <v>-7.4302213666987971E-3</v>
      </c>
      <c r="T39" s="3">
        <v>1200.6600000000001</v>
      </c>
      <c r="U39" s="7">
        <f t="shared" si="9"/>
        <v>-5.845725830490478E-3</v>
      </c>
      <c r="V39" s="3">
        <v>985.54</v>
      </c>
      <c r="W39" s="7">
        <f t="shared" si="10"/>
        <v>-7.5025931781790289E-3</v>
      </c>
      <c r="X39" s="3">
        <v>4814.75</v>
      </c>
      <c r="Y39" s="7">
        <f t="shared" si="11"/>
        <v>-8.7722548874284989E-3</v>
      </c>
      <c r="Z39" s="3">
        <v>969.81</v>
      </c>
      <c r="AA39" s="7">
        <f t="shared" si="12"/>
        <v>1.9112360014876817E-3</v>
      </c>
      <c r="AB39" s="3">
        <v>962.8</v>
      </c>
      <c r="AC39" s="7">
        <f t="shared" si="13"/>
        <v>2.7011864442005873E-4</v>
      </c>
      <c r="AD39" s="3">
        <v>188.7</v>
      </c>
      <c r="AE39" s="7">
        <f t="shared" si="14"/>
        <v>2.017841971112988E-3</v>
      </c>
      <c r="AF39" s="3">
        <v>63239.06</v>
      </c>
      <c r="AG39" s="7">
        <f t="shared" si="15"/>
        <v>-4.8696649426296368E-3</v>
      </c>
    </row>
    <row r="40" spans="1:33" x14ac:dyDescent="0.25">
      <c r="Q40" s="7"/>
    </row>
    <row r="41" spans="1:33" ht="30" x14ac:dyDescent="0.25">
      <c r="B41" s="1" t="str">
        <f>+B1</f>
        <v>AD MOROCCAN EQUITY FUND</v>
      </c>
      <c r="C41" s="1">
        <f t="shared" ref="C41:AG41" si="16">+C1</f>
        <v>0</v>
      </c>
      <c r="D41" s="1" t="str">
        <f t="shared" si="16"/>
        <v>AFG DYNAMIC FUND</v>
      </c>
      <c r="E41" s="1">
        <f t="shared" si="16"/>
        <v>0</v>
      </c>
      <c r="F41" s="1" t="str">
        <f t="shared" si="16"/>
        <v>AFRICAPITAL EQUITY</v>
      </c>
      <c r="G41" s="1">
        <f t="shared" si="16"/>
        <v>0</v>
      </c>
      <c r="H41" s="1" t="str">
        <f t="shared" si="16"/>
        <v>FCP CAPITAL PARTICIPATIONS</v>
      </c>
      <c r="I41" s="1">
        <f t="shared" si="16"/>
        <v>0</v>
      </c>
      <c r="J41" s="1" t="str">
        <f t="shared" si="16"/>
        <v>FCP Capital Trust Equity</v>
      </c>
      <c r="K41" s="1">
        <f t="shared" si="16"/>
        <v>0</v>
      </c>
      <c r="L41" s="1" t="str">
        <f t="shared" si="16"/>
        <v>FCP CFG PERFORMANCE</v>
      </c>
      <c r="M41" s="1">
        <f t="shared" si="16"/>
        <v>0</v>
      </c>
      <c r="N41" s="1" t="str">
        <f t="shared" si="16"/>
        <v xml:space="preserve">FCP IRGAM ACTIONS </v>
      </c>
      <c r="O41" s="1">
        <f t="shared" si="16"/>
        <v>0</v>
      </c>
      <c r="P41" s="1" t="str">
        <f t="shared" si="16"/>
        <v>ALPHA DYNAMIC FUND</v>
      </c>
      <c r="Q41" s="1">
        <f t="shared" si="16"/>
        <v>0</v>
      </c>
      <c r="R41" s="1" t="str">
        <f t="shared" si="16"/>
        <v>HORIZON EPARGNE</v>
      </c>
      <c r="S41" s="1">
        <f t="shared" si="16"/>
        <v>0</v>
      </c>
      <c r="T41" s="1" t="str">
        <f t="shared" si="16"/>
        <v>FCP KENZ ACTIONS</v>
      </c>
      <c r="U41" s="1">
        <f t="shared" si="16"/>
        <v>0</v>
      </c>
      <c r="V41" s="1" t="str">
        <f t="shared" si="16"/>
        <v>FCP OPTIMA PERFORMANCE</v>
      </c>
      <c r="W41" s="1">
        <f t="shared" si="16"/>
        <v>0</v>
      </c>
      <c r="X41" s="1" t="str">
        <f t="shared" si="16"/>
        <v>FCP CAM INVESTISSEMENT</v>
      </c>
      <c r="Y41" s="1">
        <f t="shared" si="16"/>
        <v>0</v>
      </c>
      <c r="Z41" s="1" t="str">
        <f t="shared" si="16"/>
        <v>STERLING EQUITY</v>
      </c>
      <c r="AA41" s="1">
        <f t="shared" si="16"/>
        <v>0</v>
      </c>
      <c r="AB41" s="1" t="str">
        <f t="shared" si="16"/>
        <v>CKG ISR SELECTION</v>
      </c>
      <c r="AC41" s="1">
        <f t="shared" si="16"/>
        <v>0</v>
      </c>
      <c r="AD41" s="1" t="str">
        <f t="shared" si="16"/>
        <v>ATTIJARI VALEURS ESG</v>
      </c>
      <c r="AE41" s="1">
        <f t="shared" si="16"/>
        <v>0</v>
      </c>
      <c r="AF41" s="1" t="str">
        <f t="shared" si="16"/>
        <v>MASI RB (Benchmark)</v>
      </c>
      <c r="AG41" s="1">
        <f t="shared" si="16"/>
        <v>0</v>
      </c>
    </row>
    <row r="49" spans="1:3" x14ac:dyDescent="0.25">
      <c r="A49" s="63" t="s">
        <v>18</v>
      </c>
      <c r="B49" s="63" t="s">
        <v>56</v>
      </c>
      <c r="C49" s="64" t="s">
        <v>1718</v>
      </c>
    </row>
    <row r="50" spans="1:3" ht="42.75" x14ac:dyDescent="0.25">
      <c r="A50" s="57">
        <v>3574</v>
      </c>
      <c r="B50" s="57" t="s">
        <v>3</v>
      </c>
      <c r="C50" s="58">
        <v>1194.83</v>
      </c>
    </row>
    <row r="51" spans="1:3" ht="28.5" x14ac:dyDescent="0.25">
      <c r="A51" s="57">
        <v>3692</v>
      </c>
      <c r="B51" s="57" t="s">
        <v>4</v>
      </c>
      <c r="C51" s="58">
        <v>261.58999999999997</v>
      </c>
    </row>
    <row r="52" spans="1:3" ht="28.5" x14ac:dyDescent="0.25">
      <c r="A52" s="57">
        <v>3909</v>
      </c>
      <c r="B52" s="57" t="s">
        <v>2</v>
      </c>
      <c r="C52" s="58">
        <v>1454.6</v>
      </c>
    </row>
    <row r="53" spans="1:3" ht="42.75" x14ac:dyDescent="0.25">
      <c r="A53" s="57">
        <v>3984</v>
      </c>
      <c r="B53" s="57" t="s">
        <v>63</v>
      </c>
      <c r="C53" s="58">
        <v>969.81</v>
      </c>
    </row>
    <row r="54" spans="1:3" ht="28.5" x14ac:dyDescent="0.25">
      <c r="A54" s="57">
        <v>4170</v>
      </c>
      <c r="B54" s="57" t="s">
        <v>6</v>
      </c>
      <c r="C54" s="58">
        <v>257.82</v>
      </c>
    </row>
    <row r="55" spans="1:3" ht="57" x14ac:dyDescent="0.25">
      <c r="A55" s="57">
        <v>4213</v>
      </c>
      <c r="B55" s="57" t="s">
        <v>64</v>
      </c>
      <c r="C55" s="58">
        <v>188.7</v>
      </c>
    </row>
    <row r="56" spans="1:3" ht="42.75" x14ac:dyDescent="0.25">
      <c r="A56" s="57">
        <v>3516</v>
      </c>
      <c r="B56" s="57" t="s">
        <v>9</v>
      </c>
      <c r="C56" s="58">
        <v>4814.75</v>
      </c>
    </row>
    <row r="57" spans="1:3" ht="42.75" x14ac:dyDescent="0.25">
      <c r="A57" s="57">
        <v>3587</v>
      </c>
      <c r="B57" s="57" t="s">
        <v>1</v>
      </c>
      <c r="C57" s="58">
        <v>9801.58</v>
      </c>
    </row>
    <row r="58" spans="1:3" ht="42.75" x14ac:dyDescent="0.25">
      <c r="A58" s="57">
        <v>3679</v>
      </c>
      <c r="B58" s="57" t="s">
        <v>65</v>
      </c>
      <c r="C58" s="58">
        <v>2953.19</v>
      </c>
    </row>
    <row r="59" spans="1:3" ht="42.75" x14ac:dyDescent="0.25">
      <c r="A59" s="57">
        <v>3707</v>
      </c>
      <c r="B59" s="57" t="s">
        <v>66</v>
      </c>
      <c r="C59" s="58">
        <v>2238.9499999999998</v>
      </c>
    </row>
    <row r="60" spans="1:3" ht="42.75" x14ac:dyDescent="0.25">
      <c r="A60" s="57">
        <v>3899</v>
      </c>
      <c r="B60" s="57" t="s">
        <v>14</v>
      </c>
      <c r="C60" s="58">
        <v>8615.82</v>
      </c>
    </row>
    <row r="61" spans="1:3" ht="28.5" x14ac:dyDescent="0.25">
      <c r="A61" s="57">
        <v>3913</v>
      </c>
      <c r="B61" s="57" t="s">
        <v>11</v>
      </c>
      <c r="C61" s="58">
        <v>962.8</v>
      </c>
    </row>
    <row r="62" spans="1:3" ht="28.5" x14ac:dyDescent="0.25">
      <c r="A62" s="83">
        <v>3921</v>
      </c>
      <c r="B62" s="83" t="s">
        <v>67</v>
      </c>
      <c r="C62" s="84">
        <v>1470.52</v>
      </c>
    </row>
    <row r="63" spans="1:3" ht="42.75" x14ac:dyDescent="0.25">
      <c r="A63" s="57">
        <v>3972</v>
      </c>
      <c r="B63" s="57" t="s">
        <v>8</v>
      </c>
      <c r="C63" s="58">
        <v>985.54</v>
      </c>
    </row>
    <row r="64" spans="1:3" ht="57" x14ac:dyDescent="0.25">
      <c r="A64" s="83">
        <v>3988</v>
      </c>
      <c r="B64" s="83" t="s">
        <v>68</v>
      </c>
      <c r="C64" s="84">
        <v>1071.25</v>
      </c>
    </row>
    <row r="65" spans="1:3" ht="42.75" x14ac:dyDescent="0.25">
      <c r="A65" s="83">
        <v>3992</v>
      </c>
      <c r="B65" s="83" t="s">
        <v>69</v>
      </c>
      <c r="C65" s="84">
        <v>100.38</v>
      </c>
    </row>
    <row r="66" spans="1:3" ht="28.5" x14ac:dyDescent="0.25">
      <c r="A66" s="57">
        <v>4008</v>
      </c>
      <c r="B66" s="57" t="s">
        <v>7</v>
      </c>
      <c r="C66" s="58">
        <v>1200.6600000000001</v>
      </c>
    </row>
    <row r="67" spans="1:3" ht="42.75" x14ac:dyDescent="0.25">
      <c r="A67" s="57">
        <v>4100</v>
      </c>
      <c r="B67" s="57" t="s">
        <v>70</v>
      </c>
      <c r="C67" s="58">
        <v>274.97000000000003</v>
      </c>
    </row>
    <row r="68" spans="1:3" ht="28.5" x14ac:dyDescent="0.25">
      <c r="A68" s="83">
        <v>4198</v>
      </c>
      <c r="B68" s="83" t="s">
        <v>71</v>
      </c>
      <c r="C68" s="84">
        <v>4563.91</v>
      </c>
    </row>
  </sheetData>
  <mergeCells count="16">
    <mergeCell ref="AB1:AC1"/>
    <mergeCell ref="AD1:AE1"/>
    <mergeCell ref="AF1:AG1"/>
    <mergeCell ref="B1:C1"/>
    <mergeCell ref="D1:E1"/>
    <mergeCell ref="F1:G1"/>
    <mergeCell ref="H1:I1"/>
    <mergeCell ref="J1:K1"/>
    <mergeCell ref="L1:M1"/>
    <mergeCell ref="T1:U1"/>
    <mergeCell ref="V1:W1"/>
    <mergeCell ref="X1:Y1"/>
    <mergeCell ref="Z1:AA1"/>
    <mergeCell ref="N1:O1"/>
    <mergeCell ref="P1:Q1"/>
    <mergeCell ref="R1:S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7297-1995-4EB1-9E09-CDBAFE0AC4D3}">
  <sheetPr>
    <tabColor rgb="FFFF0000"/>
  </sheetPr>
  <dimension ref="A1:M43"/>
  <sheetViews>
    <sheetView workbookViewId="0">
      <selection activeCell="B3" sqref="B3:C629"/>
    </sheetView>
  </sheetViews>
  <sheetFormatPr baseColWidth="10" defaultColWidth="9.140625" defaultRowHeight="14.25" x14ac:dyDescent="0.25"/>
  <cols>
    <col min="1" max="1" width="6.7109375" style="59" bestFit="1" customWidth="1"/>
    <col min="2" max="2" width="35" style="59" bestFit="1" customWidth="1"/>
    <col min="3" max="3" width="17" style="59" customWidth="1"/>
    <col min="4" max="4" width="15.28515625" style="59" bestFit="1" customWidth="1"/>
    <col min="5" max="5" width="20.28515625" style="60" bestFit="1" customWidth="1"/>
    <col min="6" max="6" width="12.42578125" style="60" bestFit="1" customWidth="1"/>
    <col min="7" max="7" width="20.85546875" style="60" bestFit="1" customWidth="1"/>
    <col min="8" max="8" width="18.5703125" style="60" bestFit="1" customWidth="1"/>
    <col min="9" max="9" width="20" style="59" customWidth="1"/>
    <col min="10" max="10" width="15.28515625" style="60" customWidth="1"/>
    <col min="11" max="11" width="20.85546875" style="60" bestFit="1" customWidth="1"/>
    <col min="12" max="12" width="12.85546875" style="61" customWidth="1"/>
    <col min="13" max="13" width="26.7109375" style="59" bestFit="1" customWidth="1"/>
    <col min="14" max="16384" width="9.140625" style="59"/>
  </cols>
  <sheetData>
    <row r="1" spans="1:13" ht="42.75" customHeight="1" x14ac:dyDescent="0.25">
      <c r="A1" s="63" t="s">
        <v>18</v>
      </c>
      <c r="B1" s="63" t="s">
        <v>56</v>
      </c>
      <c r="C1" s="63" t="s">
        <v>57</v>
      </c>
      <c r="D1" s="63" t="s">
        <v>58</v>
      </c>
      <c r="E1" s="64" t="s">
        <v>59</v>
      </c>
      <c r="F1" s="64" t="s">
        <v>1720</v>
      </c>
      <c r="G1" s="64" t="s">
        <v>1719</v>
      </c>
      <c r="H1" s="64" t="s">
        <v>60</v>
      </c>
      <c r="I1" s="63" t="s">
        <v>1717</v>
      </c>
      <c r="J1" s="64" t="s">
        <v>1718</v>
      </c>
      <c r="K1" s="64" t="s">
        <v>1721</v>
      </c>
      <c r="L1" s="65" t="s">
        <v>61</v>
      </c>
      <c r="M1" s="63" t="s">
        <v>1717</v>
      </c>
    </row>
    <row r="2" spans="1:13" x14ac:dyDescent="0.25">
      <c r="A2" s="57">
        <v>3574</v>
      </c>
      <c r="B2" s="57" t="s">
        <v>3</v>
      </c>
      <c r="C2" s="58">
        <v>111573</v>
      </c>
      <c r="D2" s="58">
        <v>1062.0999999999999</v>
      </c>
      <c r="E2" s="58">
        <f>D2*C2</f>
        <v>118501683.3</v>
      </c>
      <c r="F2" s="58">
        <f>+_xlfn.XLOOKUP(Comitie_Portfolio!A2,'28_08'!B3:B629,'28_08'!R3:R629,"non trouvé",1)</f>
        <v>1204.06</v>
      </c>
      <c r="G2" s="58">
        <f>+F2*C2</f>
        <v>134340586.38</v>
      </c>
      <c r="H2" s="58">
        <f>+(F2-D2)*C2</f>
        <v>15838903.080000004</v>
      </c>
      <c r="I2" s="62">
        <f>+F2/D2-1</f>
        <v>0.13365973072215431</v>
      </c>
      <c r="J2" s="58">
        <f>+_xlfn.XLOOKUP(Comitie_Portfolio!A2,'04_09'!$B$3:$B$629,'04_09'!$R$3:$R$629,"non trouvé",1)</f>
        <v>1194.83</v>
      </c>
      <c r="K2" s="58">
        <f t="shared" ref="K2:K20" si="0">+J2*C2</f>
        <v>133310767.58999999</v>
      </c>
      <c r="L2" s="58">
        <f>+J2/D2-1</f>
        <v>0.12496940024479808</v>
      </c>
      <c r="M2" s="62">
        <f>+J2/D2-1</f>
        <v>0.12496940024479808</v>
      </c>
    </row>
    <row r="3" spans="1:13" x14ac:dyDescent="0.25">
      <c r="A3" s="57">
        <v>3692</v>
      </c>
      <c r="B3" s="57" t="s">
        <v>4</v>
      </c>
      <c r="C3" s="58">
        <v>454538</v>
      </c>
      <c r="D3" s="58">
        <v>233.17</v>
      </c>
      <c r="E3" s="58">
        <f t="shared" ref="E3:E20" si="1">D3*C3</f>
        <v>105984625.45999999</v>
      </c>
      <c r="F3" s="58">
        <f>+_xlfn.XLOOKUP(Comitie_Portfolio!A3,'28_08'!B4:B630,'28_08'!R4:R630,"non trouvé",1)</f>
        <v>263.42</v>
      </c>
      <c r="G3" s="58">
        <f t="shared" ref="G3:G20" si="2">+F3*C3</f>
        <v>119734399.96000001</v>
      </c>
      <c r="H3" s="58">
        <f t="shared" ref="H3:H20" si="3">+(F3-D3)*C3</f>
        <v>13749774.500000013</v>
      </c>
      <c r="I3" s="62">
        <f t="shared" ref="I3:I20" si="4">+F3/D3-1</f>
        <v>0.12973367071235598</v>
      </c>
      <c r="J3" s="58">
        <f>+_xlfn.XLOOKUP(Comitie_Portfolio!A3,'04_09'!$B$3:$B$629,'04_09'!$R$3:$R$629,"non trouvé",1)</f>
        <v>261.58999999999997</v>
      </c>
      <c r="K3" s="58">
        <f t="shared" si="0"/>
        <v>118902595.41999999</v>
      </c>
      <c r="L3" s="58">
        <f t="shared" ref="L3:L20" si="5">+J3/D3-1</f>
        <v>0.12188531972380656</v>
      </c>
      <c r="M3" s="62">
        <f t="shared" ref="M3:M20" si="6">+J3/D3-1</f>
        <v>0.12188531972380656</v>
      </c>
    </row>
    <row r="4" spans="1:13" x14ac:dyDescent="0.25">
      <c r="A4" s="57">
        <v>3909</v>
      </c>
      <c r="B4" s="57" t="s">
        <v>2</v>
      </c>
      <c r="C4" s="58">
        <v>48657</v>
      </c>
      <c r="D4" s="58">
        <v>1294.02</v>
      </c>
      <c r="E4" s="58">
        <f t="shared" si="1"/>
        <v>62963131.140000001</v>
      </c>
      <c r="F4" s="58">
        <f>+_xlfn.XLOOKUP(Comitie_Portfolio!A4,'28_08'!B5:B631,'28_08'!R5:R631,"non trouvé",1)</f>
        <v>1467.89</v>
      </c>
      <c r="G4" s="58">
        <f t="shared" si="2"/>
        <v>71423123.730000004</v>
      </c>
      <c r="H4" s="58">
        <f t="shared" si="3"/>
        <v>8459992.5900000054</v>
      </c>
      <c r="I4" s="62">
        <f t="shared" si="4"/>
        <v>0.13436422930093816</v>
      </c>
      <c r="J4" s="58">
        <f>+_xlfn.XLOOKUP(Comitie_Portfolio!A4,'04_09'!$B$3:$B$629,'04_09'!$R$3:$R$629,"non trouvé",1)</f>
        <v>1454.6</v>
      </c>
      <c r="K4" s="58">
        <f t="shared" si="0"/>
        <v>70776472.200000003</v>
      </c>
      <c r="L4" s="58">
        <f t="shared" si="5"/>
        <v>0.12409390890403538</v>
      </c>
      <c r="M4" s="62">
        <f t="shared" si="6"/>
        <v>0.12409390890403538</v>
      </c>
    </row>
    <row r="5" spans="1:13" x14ac:dyDescent="0.25">
      <c r="A5" s="57">
        <v>3984</v>
      </c>
      <c r="B5" s="57" t="s">
        <v>63</v>
      </c>
      <c r="C5" s="58">
        <v>88726</v>
      </c>
      <c r="D5" s="58">
        <v>969.27</v>
      </c>
      <c r="E5" s="58">
        <f t="shared" si="1"/>
        <v>85999450.019999996</v>
      </c>
      <c r="F5" s="58">
        <f>+_xlfn.XLOOKUP(Comitie_Portfolio!A5,'28_08'!B6:B632,'28_08'!R6:R632,"non trouvé",1)</f>
        <v>967.96</v>
      </c>
      <c r="G5" s="58">
        <f t="shared" si="2"/>
        <v>85883218.960000008</v>
      </c>
      <c r="H5" s="58">
        <f t="shared" si="3"/>
        <v>-116231.05999999515</v>
      </c>
      <c r="I5" s="62">
        <f t="shared" si="4"/>
        <v>-1.3515325966964031E-3</v>
      </c>
      <c r="J5" s="58">
        <f>+_xlfn.XLOOKUP(Comitie_Portfolio!A5,'04_09'!$B$3:$B$629,'04_09'!$R$3:$R$629,"non trouvé",1)</f>
        <v>969.81</v>
      </c>
      <c r="K5" s="58">
        <f t="shared" si="0"/>
        <v>86047362.060000002</v>
      </c>
      <c r="L5" s="58">
        <f t="shared" si="5"/>
        <v>5.5712030703514159E-4</v>
      </c>
      <c r="M5" s="62">
        <f t="shared" si="6"/>
        <v>5.5712030703514159E-4</v>
      </c>
    </row>
    <row r="6" spans="1:13" x14ac:dyDescent="0.25">
      <c r="A6" s="57">
        <v>4170</v>
      </c>
      <c r="B6" s="57" t="s">
        <v>6</v>
      </c>
      <c r="C6" s="58">
        <v>113191</v>
      </c>
      <c r="D6" s="58">
        <v>234.63</v>
      </c>
      <c r="E6" s="58">
        <f t="shared" si="1"/>
        <v>26558004.329999998</v>
      </c>
      <c r="F6" s="58">
        <f>+_xlfn.XLOOKUP(Comitie_Portfolio!A6,'28_08'!B7:B633,'28_08'!R7:R633,"non trouvé",1)</f>
        <v>259.75</v>
      </c>
      <c r="G6" s="58">
        <f t="shared" si="2"/>
        <v>29401362.25</v>
      </c>
      <c r="H6" s="58">
        <f t="shared" si="3"/>
        <v>2843357.9200000004</v>
      </c>
      <c r="I6" s="62">
        <f t="shared" si="4"/>
        <v>0.10706218301155013</v>
      </c>
      <c r="J6" s="58">
        <f>+_xlfn.XLOOKUP(Comitie_Portfolio!A6,'04_09'!$B$3:$B$629,'04_09'!$R$3:$R$629,"non trouvé",1)</f>
        <v>257.82</v>
      </c>
      <c r="K6" s="58">
        <f t="shared" si="0"/>
        <v>29182903.620000001</v>
      </c>
      <c r="L6" s="58">
        <f t="shared" si="5"/>
        <v>9.8836465925073558E-2</v>
      </c>
      <c r="M6" s="62">
        <f t="shared" si="6"/>
        <v>9.8836465925073558E-2</v>
      </c>
    </row>
    <row r="7" spans="1:13" x14ac:dyDescent="0.25">
      <c r="A7" s="57">
        <v>4213</v>
      </c>
      <c r="B7" s="57" t="s">
        <v>64</v>
      </c>
      <c r="C7" s="58">
        <v>166335</v>
      </c>
      <c r="D7" s="58">
        <v>180.36</v>
      </c>
      <c r="E7" s="58">
        <f t="shared" si="1"/>
        <v>30000180.600000001</v>
      </c>
      <c r="F7" s="58">
        <f>+_xlfn.XLOOKUP(Comitie_Portfolio!A7,'28_08'!B8:B634,'28_08'!R8:R634,"non trouvé",1)</f>
        <v>188.32</v>
      </c>
      <c r="G7" s="58">
        <f t="shared" si="2"/>
        <v>31324207.199999999</v>
      </c>
      <c r="H7" s="58">
        <f t="shared" si="3"/>
        <v>1324026.5999999966</v>
      </c>
      <c r="I7" s="62">
        <f t="shared" si="4"/>
        <v>4.4133954313595014E-2</v>
      </c>
      <c r="J7" s="58">
        <f>+_xlfn.XLOOKUP(Comitie_Portfolio!A7,'04_09'!$B$3:$B$629,'04_09'!$R$3:$R$629,"non trouvé",1)</f>
        <v>188.7</v>
      </c>
      <c r="K7" s="58">
        <f t="shared" si="0"/>
        <v>31387414.499999996</v>
      </c>
      <c r="L7" s="58">
        <f t="shared" si="5"/>
        <v>4.6240851630072966E-2</v>
      </c>
      <c r="M7" s="62">
        <f t="shared" si="6"/>
        <v>4.6240851630072966E-2</v>
      </c>
    </row>
    <row r="8" spans="1:13" x14ac:dyDescent="0.25">
      <c r="A8" s="57">
        <v>3516</v>
      </c>
      <c r="B8" s="57" t="s">
        <v>9</v>
      </c>
      <c r="C8" s="58">
        <v>2874</v>
      </c>
      <c r="D8" s="58">
        <v>5218.72</v>
      </c>
      <c r="E8" s="58">
        <f t="shared" si="1"/>
        <v>14998601.280000001</v>
      </c>
      <c r="F8" s="58">
        <f>+_xlfn.XLOOKUP(Comitie_Portfolio!A8,'28_08'!B9:B635,'28_08'!R9:R635,"non trouvé",1)</f>
        <v>4857.3599999999997</v>
      </c>
      <c r="G8" s="58">
        <f t="shared" si="2"/>
        <v>13960052.639999999</v>
      </c>
      <c r="H8" s="58">
        <f t="shared" si="3"/>
        <v>-1038548.6400000016</v>
      </c>
      <c r="I8" s="62">
        <f t="shared" si="4"/>
        <v>-6.9243032774320201E-2</v>
      </c>
      <c r="J8" s="58">
        <f>+_xlfn.XLOOKUP(Comitie_Portfolio!A8,'04_09'!$B$3:$B$629,'04_09'!$R$3:$R$629,"non trouvé",1)</f>
        <v>4814.75</v>
      </c>
      <c r="K8" s="58">
        <f t="shared" si="0"/>
        <v>13837591.5</v>
      </c>
      <c r="L8" s="58">
        <f t="shared" si="5"/>
        <v>-7.7407870129073797E-2</v>
      </c>
      <c r="M8" s="62">
        <f t="shared" si="6"/>
        <v>-7.7407870129073797E-2</v>
      </c>
    </row>
    <row r="9" spans="1:13" ht="28.5" x14ac:dyDescent="0.25">
      <c r="A9" s="57">
        <v>3587</v>
      </c>
      <c r="B9" s="57" t="s">
        <v>1</v>
      </c>
      <c r="C9" s="58">
        <v>10790</v>
      </c>
      <c r="D9" s="58">
        <v>9743.94</v>
      </c>
      <c r="E9" s="58">
        <f t="shared" si="1"/>
        <v>105137112.60000001</v>
      </c>
      <c r="F9" s="58">
        <f>+_xlfn.XLOOKUP(Comitie_Portfolio!A9,'28_08'!B10:B636,'28_08'!R10:R636,"non trouvé",1)</f>
        <v>9927.86</v>
      </c>
      <c r="G9" s="58">
        <f t="shared" si="2"/>
        <v>107121609.40000001</v>
      </c>
      <c r="H9" s="58">
        <f t="shared" si="3"/>
        <v>1984496.8000000007</v>
      </c>
      <c r="I9" s="62">
        <f t="shared" si="4"/>
        <v>1.887532148186466E-2</v>
      </c>
      <c r="J9" s="58">
        <f>+_xlfn.XLOOKUP(Comitie_Portfolio!A9,'04_09'!$B$3:$B$629,'04_09'!$R$3:$R$629,"non trouvé",1)</f>
        <v>9801.58</v>
      </c>
      <c r="K9" s="58">
        <f t="shared" si="0"/>
        <v>105759048.2</v>
      </c>
      <c r="L9" s="58">
        <f t="shared" si="5"/>
        <v>5.9154715648905842E-3</v>
      </c>
      <c r="M9" s="62">
        <f t="shared" si="6"/>
        <v>5.9154715648905842E-3</v>
      </c>
    </row>
    <row r="10" spans="1:13" x14ac:dyDescent="0.25">
      <c r="A10" s="57">
        <v>3679</v>
      </c>
      <c r="B10" s="57" t="s">
        <v>65</v>
      </c>
      <c r="C10" s="58">
        <v>19189</v>
      </c>
      <c r="D10" s="58">
        <v>2654.75</v>
      </c>
      <c r="E10" s="58">
        <f t="shared" si="1"/>
        <v>50941997.75</v>
      </c>
      <c r="F10" s="58">
        <f>+_xlfn.XLOOKUP(Comitie_Portfolio!A10,'28_08'!B11:B637,'28_08'!R11:R637,"non trouvé",1)</f>
        <v>2976.25</v>
      </c>
      <c r="G10" s="58">
        <f t="shared" si="2"/>
        <v>57111261.25</v>
      </c>
      <c r="H10" s="58">
        <f t="shared" si="3"/>
        <v>6169263.5</v>
      </c>
      <c r="I10" s="62">
        <f t="shared" si="4"/>
        <v>0.1211036820792919</v>
      </c>
      <c r="J10" s="58">
        <f>+_xlfn.XLOOKUP(Comitie_Portfolio!A10,'04_09'!$B$3:$B$629,'04_09'!$R$3:$R$629,"non trouvé",1)</f>
        <v>2953.19</v>
      </c>
      <c r="K10" s="58">
        <f t="shared" si="0"/>
        <v>56668762.910000004</v>
      </c>
      <c r="L10" s="58">
        <f t="shared" si="5"/>
        <v>0.11241736510029199</v>
      </c>
      <c r="M10" s="62">
        <f t="shared" si="6"/>
        <v>0.11241736510029199</v>
      </c>
    </row>
    <row r="11" spans="1:13" ht="28.5" x14ac:dyDescent="0.25">
      <c r="A11" s="57">
        <v>3707</v>
      </c>
      <c r="B11" s="57" t="s">
        <v>66</v>
      </c>
      <c r="C11" s="58">
        <v>172410</v>
      </c>
      <c r="D11" s="58">
        <v>1974.15</v>
      </c>
      <c r="E11" s="58">
        <f t="shared" si="1"/>
        <v>340363201.5</v>
      </c>
      <c r="F11" s="58">
        <f>+_xlfn.XLOOKUP(Comitie_Portfolio!A11,'28_08'!B12:B638,'28_08'!R12:R638,"non trouvé",1)</f>
        <v>2255.0500000000002</v>
      </c>
      <c r="G11" s="58">
        <f t="shared" si="2"/>
        <v>388793170.50000006</v>
      </c>
      <c r="H11" s="58">
        <f t="shared" si="3"/>
        <v>48429969.000000015</v>
      </c>
      <c r="I11" s="62">
        <f t="shared" si="4"/>
        <v>0.14228908644226634</v>
      </c>
      <c r="J11" s="58">
        <f>+_xlfn.XLOOKUP(Comitie_Portfolio!A11,'04_09'!$B$3:$B$629,'04_09'!$R$3:$R$629,"non trouvé",1)</f>
        <v>2238.9499999999998</v>
      </c>
      <c r="K11" s="58">
        <f t="shared" si="0"/>
        <v>386017369.49999994</v>
      </c>
      <c r="L11" s="58">
        <f t="shared" si="5"/>
        <v>0.13413367778537588</v>
      </c>
      <c r="M11" s="62">
        <f t="shared" si="6"/>
        <v>0.13413367778537588</v>
      </c>
    </row>
    <row r="12" spans="1:13" x14ac:dyDescent="0.25">
      <c r="A12" s="57">
        <v>3899</v>
      </c>
      <c r="B12" s="57" t="s">
        <v>14</v>
      </c>
      <c r="C12" s="58">
        <v>16295</v>
      </c>
      <c r="D12" s="58">
        <v>8775.8700000000008</v>
      </c>
      <c r="E12" s="58">
        <f t="shared" si="1"/>
        <v>143002801.65000001</v>
      </c>
      <c r="F12" s="58">
        <f>+_xlfn.XLOOKUP(Comitie_Portfolio!A12,'28_08'!B13:B639,'28_08'!R13:R639,"non trouvé",1)</f>
        <v>8656.5300000000007</v>
      </c>
      <c r="G12" s="58">
        <f t="shared" si="2"/>
        <v>141058156.35000002</v>
      </c>
      <c r="H12" s="58">
        <f t="shared" si="3"/>
        <v>-1944645.3000000024</v>
      </c>
      <c r="I12" s="62">
        <f t="shared" si="4"/>
        <v>-1.3598651757603553E-2</v>
      </c>
      <c r="J12" s="58">
        <f>+_xlfn.XLOOKUP(Comitie_Portfolio!A12,'04_09'!$B$3:$B$629,'04_09'!$R$3:$R$629,"non trouvé",1)</f>
        <v>8615.82</v>
      </c>
      <c r="K12" s="58">
        <f t="shared" si="0"/>
        <v>140394786.90000001</v>
      </c>
      <c r="L12" s="58">
        <f t="shared" si="5"/>
        <v>-1.8237508076122455E-2</v>
      </c>
      <c r="M12" s="62">
        <f t="shared" si="6"/>
        <v>-1.8237508076122455E-2</v>
      </c>
    </row>
    <row r="13" spans="1:13" x14ac:dyDescent="0.25">
      <c r="A13" s="57">
        <v>3913</v>
      </c>
      <c r="B13" s="57" t="s">
        <v>11</v>
      </c>
      <c r="C13" s="58">
        <v>10780</v>
      </c>
      <c r="D13" s="58">
        <v>926.34</v>
      </c>
      <c r="E13" s="58">
        <f t="shared" si="1"/>
        <v>9985945.2000000011</v>
      </c>
      <c r="F13" s="58">
        <f>+_xlfn.XLOOKUP(Comitie_Portfolio!A13,'28_08'!B14:B640,'28_08'!R14:R640,"non trouvé",1)</f>
        <v>962.54</v>
      </c>
      <c r="G13" s="58">
        <f t="shared" si="2"/>
        <v>10376181.199999999</v>
      </c>
      <c r="H13" s="58">
        <f t="shared" si="3"/>
        <v>390235.99999999924</v>
      </c>
      <c r="I13" s="62">
        <f t="shared" si="4"/>
        <v>3.9078524084029453E-2</v>
      </c>
      <c r="J13" s="58">
        <f>+_xlfn.XLOOKUP(Comitie_Portfolio!A13,'04_09'!$B$3:$B$629,'04_09'!$R$3:$R$629,"non trouvé",1)</f>
        <v>962.8</v>
      </c>
      <c r="K13" s="58">
        <f t="shared" si="0"/>
        <v>10378984</v>
      </c>
      <c r="L13" s="58">
        <f t="shared" si="5"/>
        <v>3.9359198566401021E-2</v>
      </c>
      <c r="M13" s="62">
        <f t="shared" si="6"/>
        <v>3.9359198566401021E-2</v>
      </c>
    </row>
    <row r="14" spans="1:13" x14ac:dyDescent="0.25">
      <c r="A14" s="57">
        <v>3921</v>
      </c>
      <c r="B14" s="57" t="s">
        <v>67</v>
      </c>
      <c r="C14" s="58">
        <v>41545</v>
      </c>
      <c r="D14" s="58">
        <v>1444.23</v>
      </c>
      <c r="E14" s="58">
        <f t="shared" si="1"/>
        <v>60000535.350000001</v>
      </c>
      <c r="F14" s="58">
        <f>+_xlfn.XLOOKUP(Comitie_Portfolio!A14,'28_08'!B15:B641,'28_08'!R15:R641,"non trouvé",1)</f>
        <v>1469.15</v>
      </c>
      <c r="G14" s="58">
        <f t="shared" si="2"/>
        <v>61035836.750000007</v>
      </c>
      <c r="H14" s="58">
        <f t="shared" si="3"/>
        <v>1035301.4000000031</v>
      </c>
      <c r="I14" s="62">
        <f t="shared" si="4"/>
        <v>1.725486937676135E-2</v>
      </c>
      <c r="J14" s="58">
        <f>+_xlfn.XLOOKUP(Comitie_Portfolio!A14,'04_09'!$B$3:$B$629,'04_09'!$R$3:$R$629,"non trouvé",1)</f>
        <v>1470.52</v>
      </c>
      <c r="K14" s="58">
        <f t="shared" si="0"/>
        <v>61092753.399999999</v>
      </c>
      <c r="L14" s="58">
        <f t="shared" si="5"/>
        <v>1.8203471746190081E-2</v>
      </c>
      <c r="M14" s="62">
        <f t="shared" si="6"/>
        <v>1.8203471746190081E-2</v>
      </c>
    </row>
    <row r="15" spans="1:13" x14ac:dyDescent="0.25">
      <c r="A15" s="57">
        <v>3972</v>
      </c>
      <c r="B15" s="57" t="s">
        <v>8</v>
      </c>
      <c r="C15" s="58">
        <v>24658</v>
      </c>
      <c r="D15" s="58">
        <v>992.77</v>
      </c>
      <c r="E15" s="58">
        <f t="shared" si="1"/>
        <v>24479722.66</v>
      </c>
      <c r="F15" s="58">
        <f>+_xlfn.XLOOKUP(Comitie_Portfolio!A15,'28_08'!B16:B642,'28_08'!R16:R642,"non trouvé",1)</f>
        <v>992.99</v>
      </c>
      <c r="G15" s="58">
        <f t="shared" si="2"/>
        <v>24485147.420000002</v>
      </c>
      <c r="H15" s="58">
        <f t="shared" si="3"/>
        <v>5424.7600000006732</v>
      </c>
      <c r="I15" s="62">
        <f t="shared" si="4"/>
        <v>2.2160218378886043E-4</v>
      </c>
      <c r="J15" s="58">
        <f>+_xlfn.XLOOKUP(Comitie_Portfolio!A15,'04_09'!$B$3:$B$629,'04_09'!$R$3:$R$629,"non trouvé",1)</f>
        <v>985.54</v>
      </c>
      <c r="K15" s="58">
        <f t="shared" si="0"/>
        <v>24301445.32</v>
      </c>
      <c r="L15" s="58">
        <f t="shared" si="5"/>
        <v>-7.2826535854225716E-3</v>
      </c>
      <c r="M15" s="62">
        <f t="shared" si="6"/>
        <v>-7.2826535854225716E-3</v>
      </c>
    </row>
    <row r="16" spans="1:13" ht="28.5" x14ac:dyDescent="0.25">
      <c r="A16" s="57">
        <v>3988</v>
      </c>
      <c r="B16" s="57" t="s">
        <v>68</v>
      </c>
      <c r="C16" s="58">
        <v>28797</v>
      </c>
      <c r="D16" s="58">
        <v>1041.77</v>
      </c>
      <c r="E16" s="58">
        <f t="shared" si="1"/>
        <v>29999850.689999998</v>
      </c>
      <c r="F16" s="58">
        <f>+_xlfn.XLOOKUP(Comitie_Portfolio!A16,'28_08'!B17:B643,'28_08'!R17:R643,"non trouvé",1)</f>
        <v>1072.58</v>
      </c>
      <c r="G16" s="58">
        <f t="shared" si="2"/>
        <v>30887086.259999998</v>
      </c>
      <c r="H16" s="58">
        <f t="shared" si="3"/>
        <v>887235.56999999844</v>
      </c>
      <c r="I16" s="62">
        <f t="shared" si="4"/>
        <v>2.9574666193113552E-2</v>
      </c>
      <c r="J16" s="58">
        <f>+_xlfn.XLOOKUP(Comitie_Portfolio!A16,'04_09'!$B$3:$B$629,'04_09'!$R$3:$R$629,"non trouvé",1)</f>
        <v>1071.25</v>
      </c>
      <c r="K16" s="58">
        <f t="shared" si="0"/>
        <v>30848786.25</v>
      </c>
      <c r="L16" s="58">
        <f t="shared" si="5"/>
        <v>2.8297992839110275E-2</v>
      </c>
      <c r="M16" s="62">
        <f t="shared" si="6"/>
        <v>2.8297992839110275E-2</v>
      </c>
    </row>
    <row r="17" spans="1:13" x14ac:dyDescent="0.25">
      <c r="A17" s="57">
        <v>3992</v>
      </c>
      <c r="B17" s="57" t="s">
        <v>69</v>
      </c>
      <c r="C17" s="58">
        <v>204069</v>
      </c>
      <c r="D17" s="58">
        <v>98.01</v>
      </c>
      <c r="E17" s="58">
        <f t="shared" si="1"/>
        <v>20000802.690000001</v>
      </c>
      <c r="F17" s="58">
        <f>+_xlfn.XLOOKUP(Comitie_Portfolio!A17,'28_08'!B18:B644,'28_08'!R18:R644,"non trouvé",1)</f>
        <v>100.87</v>
      </c>
      <c r="G17" s="58">
        <f t="shared" si="2"/>
        <v>20584440.030000001</v>
      </c>
      <c r="H17" s="58">
        <f t="shared" si="3"/>
        <v>583637.33999999985</v>
      </c>
      <c r="I17" s="62">
        <f t="shared" si="4"/>
        <v>2.9180695847362603E-2</v>
      </c>
      <c r="J17" s="58">
        <f>+_xlfn.XLOOKUP(Comitie_Portfolio!A17,'04_09'!$B$3:$B$629,'04_09'!$R$3:$R$629,"non trouvé",1)</f>
        <v>100.38</v>
      </c>
      <c r="K17" s="58">
        <f t="shared" si="0"/>
        <v>20484446.219999999</v>
      </c>
      <c r="L17" s="58">
        <f t="shared" si="5"/>
        <v>2.4181205999387778E-2</v>
      </c>
      <c r="M17" s="62">
        <f t="shared" si="6"/>
        <v>2.4181205999387778E-2</v>
      </c>
    </row>
    <row r="18" spans="1:13" x14ac:dyDescent="0.25">
      <c r="A18" s="57">
        <v>4008</v>
      </c>
      <c r="B18" s="57" t="s">
        <v>7</v>
      </c>
      <c r="C18" s="58">
        <v>99143.546000000002</v>
      </c>
      <c r="D18" s="58">
        <v>1008.44</v>
      </c>
      <c r="E18" s="58">
        <f t="shared" si="1"/>
        <v>99980317.52824001</v>
      </c>
      <c r="F18" s="58">
        <f>+_xlfn.XLOOKUP(Comitie_Portfolio!A18,'28_08'!B19:B645,'28_08'!R19:R645,"non trouvé",1)</f>
        <v>1207.72</v>
      </c>
      <c r="G18" s="58">
        <f t="shared" si="2"/>
        <v>119737643.37512</v>
      </c>
      <c r="H18" s="58">
        <f t="shared" si="3"/>
        <v>19757325.846879996</v>
      </c>
      <c r="I18" s="62">
        <f t="shared" si="4"/>
        <v>0.19761215342509209</v>
      </c>
      <c r="J18" s="58">
        <f>+_xlfn.XLOOKUP(Comitie_Portfolio!A18,'04_09'!$B$3:$B$629,'04_09'!$R$3:$R$629,"non trouvé",1)</f>
        <v>1200.6600000000001</v>
      </c>
      <c r="K18" s="58">
        <f t="shared" si="0"/>
        <v>119037689.94036001</v>
      </c>
      <c r="L18" s="58">
        <f t="shared" si="5"/>
        <v>0.19061124112490591</v>
      </c>
      <c r="M18" s="62">
        <f t="shared" si="6"/>
        <v>0.19061124112490591</v>
      </c>
    </row>
    <row r="19" spans="1:13" x14ac:dyDescent="0.25">
      <c r="A19" s="57">
        <v>4100</v>
      </c>
      <c r="B19" s="57" t="s">
        <v>70</v>
      </c>
      <c r="C19" s="58">
        <v>1136468</v>
      </c>
      <c r="D19" s="58">
        <v>243.12</v>
      </c>
      <c r="E19" s="58">
        <f t="shared" si="1"/>
        <v>276298100.16000003</v>
      </c>
      <c r="F19" s="58">
        <f>+_xlfn.XLOOKUP(Comitie_Portfolio!A19,'28_08'!B20:B646,'28_08'!R20:R646,"non trouvé",1)</f>
        <v>276.18</v>
      </c>
      <c r="G19" s="58">
        <f t="shared" si="2"/>
        <v>313869732.24000001</v>
      </c>
      <c r="H19" s="58">
        <f t="shared" si="3"/>
        <v>37571632.080000006</v>
      </c>
      <c r="I19" s="62">
        <f t="shared" si="4"/>
        <v>0.13598223099703843</v>
      </c>
      <c r="J19" s="58">
        <f>+_xlfn.XLOOKUP(Comitie_Portfolio!A19,'04_09'!$B$3:$B$629,'04_09'!$R$3:$R$629,"non trouvé",1)</f>
        <v>274.97000000000003</v>
      </c>
      <c r="K19" s="58">
        <f t="shared" si="0"/>
        <v>312494605.96000004</v>
      </c>
      <c r="L19" s="58">
        <f t="shared" si="5"/>
        <v>0.13100526488976638</v>
      </c>
      <c r="M19" s="62">
        <f t="shared" si="6"/>
        <v>0.13100526488976638</v>
      </c>
    </row>
    <row r="20" spans="1:13" x14ac:dyDescent="0.25">
      <c r="A20" s="57">
        <v>4198</v>
      </c>
      <c r="B20" s="57" t="s">
        <v>71</v>
      </c>
      <c r="C20" s="58">
        <v>11506</v>
      </c>
      <c r="D20" s="58">
        <v>4345.47</v>
      </c>
      <c r="E20" s="58">
        <f t="shared" si="1"/>
        <v>49998977.82</v>
      </c>
      <c r="F20" s="58">
        <f>+_xlfn.XLOOKUP(Comitie_Portfolio!A20,'28_08'!B21:B647,'28_08'!R21:R647,"non trouvé",1)</f>
        <v>4560.43</v>
      </c>
      <c r="G20" s="58">
        <f t="shared" si="2"/>
        <v>52472307.580000006</v>
      </c>
      <c r="H20" s="58">
        <f t="shared" si="3"/>
        <v>2473329.7600000002</v>
      </c>
      <c r="I20" s="62">
        <f t="shared" si="4"/>
        <v>4.946760649596027E-2</v>
      </c>
      <c r="J20" s="58">
        <f>+_xlfn.XLOOKUP(Comitie_Portfolio!A20,'04_09'!$B$3:$B$629,'04_09'!$R$3:$R$629,"non trouvé",1)</f>
        <v>4563.91</v>
      </c>
      <c r="K20" s="58">
        <f t="shared" si="0"/>
        <v>52512348.460000001</v>
      </c>
      <c r="L20" s="58">
        <f t="shared" si="5"/>
        <v>5.0268440467889475E-2</v>
      </c>
      <c r="M20" s="62">
        <f t="shared" si="6"/>
        <v>5.0268440467889475E-2</v>
      </c>
    </row>
    <row r="21" spans="1:13" ht="21" customHeight="1" x14ac:dyDescent="0.25">
      <c r="A21" s="68"/>
      <c r="B21" s="68"/>
      <c r="C21" s="66"/>
      <c r="D21" s="66"/>
      <c r="E21" s="66">
        <f>SUM(E2:E20)</f>
        <v>1655195041.7282403</v>
      </c>
      <c r="F21" s="66"/>
      <c r="G21" s="66">
        <f>SUM(G2:G20)</f>
        <v>1813599523.4751198</v>
      </c>
      <c r="H21" s="66">
        <f>SUM(H2:H20)</f>
        <v>158404481.74688005</v>
      </c>
      <c r="I21" s="67">
        <f>+H21/E21</f>
        <v>9.570139938401763E-2</v>
      </c>
      <c r="J21" s="66"/>
      <c r="K21" s="66">
        <f>SUM(K2:K20)</f>
        <v>1803436133.9503603</v>
      </c>
      <c r="L21" s="66">
        <f>+K21/H21</f>
        <v>11.385007002719359</v>
      </c>
      <c r="M21" s="67">
        <f>+K21/E21-1</f>
        <v>8.9561102157083017E-2</v>
      </c>
    </row>
    <row r="23" spans="1:13" ht="15" thickBot="1" x14ac:dyDescent="0.3"/>
    <row r="24" spans="1:13" ht="18.75" thickTop="1" x14ac:dyDescent="0.25">
      <c r="B24" s="69" t="s">
        <v>1722</v>
      </c>
      <c r="C24" s="69" t="s">
        <v>75</v>
      </c>
      <c r="D24" s="69" t="s">
        <v>1723</v>
      </c>
      <c r="E24" s="69" t="s">
        <v>62</v>
      </c>
      <c r="F24" s="69" t="s">
        <v>1724</v>
      </c>
      <c r="G24" s="69" t="s">
        <v>1725</v>
      </c>
      <c r="H24" s="69" t="s">
        <v>1726</v>
      </c>
      <c r="I24" s="69" t="s">
        <v>1727</v>
      </c>
      <c r="J24" s="69" t="s">
        <v>1728</v>
      </c>
    </row>
    <row r="25" spans="1:13" ht="18" x14ac:dyDescent="0.25">
      <c r="B25" s="70" t="s">
        <v>13</v>
      </c>
      <c r="C25" s="70" t="s">
        <v>342</v>
      </c>
      <c r="D25" s="71">
        <v>340.36</v>
      </c>
      <c r="E25" s="71">
        <v>388.79</v>
      </c>
      <c r="F25" s="71">
        <v>48.43</v>
      </c>
      <c r="G25" s="72">
        <v>-7.3000000000000001E-3</v>
      </c>
      <c r="H25" s="72">
        <v>0.28960000000000002</v>
      </c>
      <c r="I25" s="73">
        <v>45590</v>
      </c>
      <c r="J25" s="74">
        <v>0.11899999999999999</v>
      </c>
    </row>
    <row r="26" spans="1:13" ht="18" x14ac:dyDescent="0.25">
      <c r="B26" s="70" t="s">
        <v>14</v>
      </c>
      <c r="C26" s="70" t="s">
        <v>570</v>
      </c>
      <c r="D26" s="71">
        <v>143</v>
      </c>
      <c r="E26" s="71">
        <v>141.06</v>
      </c>
      <c r="F26" s="71">
        <v>-1.94</v>
      </c>
      <c r="G26" s="72">
        <v>-0.01</v>
      </c>
      <c r="H26" s="72">
        <v>-9.5200000000000007E-2</v>
      </c>
      <c r="I26" s="73">
        <v>45922</v>
      </c>
      <c r="J26" s="74">
        <v>-0.1212</v>
      </c>
    </row>
    <row r="27" spans="1:13" ht="18" x14ac:dyDescent="0.25">
      <c r="B27" s="70" t="s">
        <v>0</v>
      </c>
      <c r="C27" s="70" t="s">
        <v>316</v>
      </c>
      <c r="D27" s="71">
        <v>50.94</v>
      </c>
      <c r="E27" s="71">
        <v>57.11</v>
      </c>
      <c r="F27" s="71">
        <v>6.17</v>
      </c>
      <c r="G27" s="72">
        <v>-1.0800000000000001E-2</v>
      </c>
      <c r="H27" s="72">
        <v>0.29780000000000001</v>
      </c>
      <c r="I27" s="73">
        <v>45590</v>
      </c>
      <c r="J27" s="74">
        <v>0.15210000000000001</v>
      </c>
    </row>
    <row r="28" spans="1:13" ht="18" x14ac:dyDescent="0.25">
      <c r="B28" s="70" t="s">
        <v>8</v>
      </c>
      <c r="C28" s="70" t="s">
        <v>679</v>
      </c>
      <c r="D28" s="71">
        <v>24.48</v>
      </c>
      <c r="E28" s="71">
        <v>24.49</v>
      </c>
      <c r="F28" s="71">
        <v>0.01</v>
      </c>
      <c r="G28" s="72">
        <v>-1.0699999999999999E-2</v>
      </c>
      <c r="H28" s="72">
        <v>-8.3199999999999996E-2</v>
      </c>
      <c r="I28" s="73">
        <v>45901</v>
      </c>
      <c r="J28" s="74">
        <v>-0.1181</v>
      </c>
    </row>
    <row r="29" spans="1:13" ht="18" x14ac:dyDescent="0.25">
      <c r="B29" s="70" t="s">
        <v>1</v>
      </c>
      <c r="C29" s="70" t="s">
        <v>145</v>
      </c>
      <c r="D29" s="71">
        <v>105.14</v>
      </c>
      <c r="E29" s="71">
        <v>107.12</v>
      </c>
      <c r="F29" s="71">
        <v>1.98</v>
      </c>
      <c r="G29" s="72">
        <v>-6.0000000000000001E-3</v>
      </c>
      <c r="H29" s="72">
        <v>0.1767</v>
      </c>
      <c r="I29" s="73">
        <v>45590</v>
      </c>
      <c r="J29" s="74">
        <v>8.6E-3</v>
      </c>
    </row>
    <row r="30" spans="1:13" ht="18" x14ac:dyDescent="0.25">
      <c r="B30" s="70" t="s">
        <v>2</v>
      </c>
      <c r="C30" s="70" t="s">
        <v>355</v>
      </c>
      <c r="D30" s="71">
        <v>62.96</v>
      </c>
      <c r="E30" s="71">
        <v>71.42</v>
      </c>
      <c r="F30" s="71">
        <v>8.4600000000000009</v>
      </c>
      <c r="G30" s="72">
        <v>-9.7999999999999997E-3</v>
      </c>
      <c r="H30" s="72">
        <v>0.1966</v>
      </c>
      <c r="I30" s="73">
        <v>45604</v>
      </c>
      <c r="J30" s="74">
        <v>0.1115</v>
      </c>
    </row>
    <row r="31" spans="1:13" x14ac:dyDescent="0.25">
      <c r="B31" s="70" t="s">
        <v>3</v>
      </c>
      <c r="C31" s="70" t="s">
        <v>137</v>
      </c>
      <c r="D31" s="71">
        <v>118.5</v>
      </c>
      <c r="E31" s="71">
        <v>134.34</v>
      </c>
      <c r="F31" s="71">
        <v>15.84</v>
      </c>
      <c r="G31" s="72">
        <v>-1.0200000000000001E-2</v>
      </c>
      <c r="H31" s="72">
        <v>0.26040000000000002</v>
      </c>
      <c r="I31" s="73">
        <v>45604</v>
      </c>
      <c r="J31" s="74">
        <v>9.8500000000000004E-2</v>
      </c>
    </row>
    <row r="32" spans="1:13" ht="18" x14ac:dyDescent="0.25">
      <c r="B32" s="70" t="s">
        <v>4</v>
      </c>
      <c r="C32" s="70" t="s">
        <v>322</v>
      </c>
      <c r="D32" s="71">
        <v>105.98</v>
      </c>
      <c r="E32" s="71">
        <v>119.73</v>
      </c>
      <c r="F32" s="71">
        <v>13.75</v>
      </c>
      <c r="G32" s="72">
        <v>-1.01E-2</v>
      </c>
      <c r="H32" s="72">
        <v>0.23469999999999999</v>
      </c>
      <c r="I32" s="73">
        <v>45604</v>
      </c>
      <c r="J32" s="74">
        <v>0.125</v>
      </c>
    </row>
    <row r="33" spans="2:10" x14ac:dyDescent="0.25">
      <c r="B33" s="70" t="s">
        <v>9</v>
      </c>
      <c r="C33" s="70" t="s">
        <v>261</v>
      </c>
      <c r="D33" s="71">
        <v>15</v>
      </c>
      <c r="E33" s="71">
        <v>13.96</v>
      </c>
      <c r="F33" s="71">
        <v>-1.04</v>
      </c>
      <c r="G33" s="72">
        <v>-7.0000000000000001E-3</v>
      </c>
      <c r="H33" s="72">
        <v>-6.7400000000000002E-2</v>
      </c>
      <c r="I33" s="73">
        <v>46003</v>
      </c>
      <c r="J33" s="74">
        <v>-9.6199999999999994E-2</v>
      </c>
    </row>
    <row r="34" spans="2:10" ht="18" x14ac:dyDescent="0.25">
      <c r="B34" s="70" t="s">
        <v>5</v>
      </c>
      <c r="C34" s="70" t="s">
        <v>504</v>
      </c>
      <c r="D34" s="71">
        <v>276.3</v>
      </c>
      <c r="E34" s="71">
        <v>313.87</v>
      </c>
      <c r="F34" s="71">
        <v>37.57</v>
      </c>
      <c r="G34" s="72">
        <v>-9.7000000000000003E-3</v>
      </c>
      <c r="H34" s="72">
        <v>0.29160000000000003</v>
      </c>
      <c r="I34" s="73">
        <v>45590</v>
      </c>
      <c r="J34" s="74">
        <v>8.2199999999999995E-2</v>
      </c>
    </row>
    <row r="35" spans="2:10" ht="18" x14ac:dyDescent="0.25">
      <c r="B35" s="70" t="s">
        <v>6</v>
      </c>
      <c r="C35" s="70" t="s">
        <v>127</v>
      </c>
      <c r="D35" s="71">
        <v>26.56</v>
      </c>
      <c r="E35" s="71">
        <v>29.4</v>
      </c>
      <c r="F35" s="71">
        <v>2.84</v>
      </c>
      <c r="G35" s="72">
        <v>-1.09E-2</v>
      </c>
      <c r="H35" s="72">
        <v>0.21829999999999999</v>
      </c>
      <c r="I35" s="73">
        <v>45604</v>
      </c>
      <c r="J35" s="74">
        <v>0.19170000000000001</v>
      </c>
    </row>
    <row r="36" spans="2:10" ht="18" x14ac:dyDescent="0.25">
      <c r="B36" s="70" t="s">
        <v>10</v>
      </c>
      <c r="C36" s="70" t="s">
        <v>712</v>
      </c>
      <c r="D36" s="71">
        <v>86</v>
      </c>
      <c r="E36" s="71">
        <v>85.88</v>
      </c>
      <c r="F36" s="71">
        <v>-0.12</v>
      </c>
      <c r="G36" s="72">
        <v>-1.0200000000000001E-2</v>
      </c>
      <c r="H36" s="72">
        <v>-6.4999999999999997E-3</v>
      </c>
      <c r="I36" s="73">
        <v>46038</v>
      </c>
      <c r="J36" s="74">
        <v>-2.5999999999999999E-3</v>
      </c>
    </row>
    <row r="37" spans="2:10" ht="18" x14ac:dyDescent="0.25">
      <c r="B37" s="70" t="s">
        <v>7</v>
      </c>
      <c r="C37" s="70" t="s">
        <v>159</v>
      </c>
      <c r="D37" s="71">
        <v>99.98</v>
      </c>
      <c r="E37" s="71">
        <v>119.74</v>
      </c>
      <c r="F37" s="71">
        <v>19.760000000000002</v>
      </c>
      <c r="G37" s="72">
        <v>-9.4999999999999998E-3</v>
      </c>
      <c r="H37" s="72">
        <v>0.35439999999999999</v>
      </c>
      <c r="I37" s="73">
        <v>45590</v>
      </c>
      <c r="J37" s="74">
        <v>0.21870000000000001</v>
      </c>
    </row>
    <row r="38" spans="2:10" x14ac:dyDescent="0.25">
      <c r="B38" s="70" t="s">
        <v>69</v>
      </c>
      <c r="C38" s="70" t="s">
        <v>524</v>
      </c>
      <c r="D38" s="71">
        <v>20</v>
      </c>
      <c r="E38" s="71">
        <v>20.58</v>
      </c>
      <c r="F38" s="71">
        <v>0.57999999999999996</v>
      </c>
      <c r="G38" s="72">
        <v>-1.2999999999999999E-2</v>
      </c>
      <c r="H38" s="72">
        <v>3.1300000000000001E-2</v>
      </c>
      <c r="I38" s="73">
        <v>46213</v>
      </c>
      <c r="J38" s="74">
        <v>0.2394</v>
      </c>
    </row>
    <row r="39" spans="2:10" ht="18" x14ac:dyDescent="0.25">
      <c r="B39" s="70" t="s">
        <v>68</v>
      </c>
      <c r="C39" s="70" t="s">
        <v>718</v>
      </c>
      <c r="D39" s="71">
        <v>30</v>
      </c>
      <c r="E39" s="71">
        <v>30.89</v>
      </c>
      <c r="F39" s="71">
        <v>0.89</v>
      </c>
      <c r="G39" s="72">
        <v>-8.6E-3</v>
      </c>
      <c r="H39" s="72">
        <v>3.3700000000000001E-2</v>
      </c>
      <c r="I39" s="73">
        <v>46213</v>
      </c>
      <c r="J39" s="74">
        <v>0.24249999999999999</v>
      </c>
    </row>
    <row r="40" spans="2:10" ht="15" thickBot="1" x14ac:dyDescent="0.3">
      <c r="B40" s="75" t="s">
        <v>71</v>
      </c>
      <c r="C40" s="75" t="s">
        <v>908</v>
      </c>
      <c r="D40" s="76">
        <v>50</v>
      </c>
      <c r="E40" s="76">
        <v>52.47</v>
      </c>
      <c r="F40" s="76">
        <v>2.4700000000000002</v>
      </c>
      <c r="G40" s="77">
        <v>-1.0200000000000001E-2</v>
      </c>
      <c r="H40" s="77">
        <v>5.4699999999999999E-2</v>
      </c>
      <c r="I40" s="78">
        <v>46213</v>
      </c>
      <c r="J40" s="79">
        <v>0.43280000000000002</v>
      </c>
    </row>
    <row r="41" spans="2:10" ht="15" thickTop="1" x14ac:dyDescent="0.25">
      <c r="B41" s="95"/>
      <c r="C41" s="96"/>
      <c r="D41" s="80" t="s">
        <v>1729</v>
      </c>
      <c r="E41" s="80" t="s">
        <v>1730</v>
      </c>
      <c r="F41" s="80">
        <v>22.68</v>
      </c>
      <c r="G41" s="81">
        <v>-9.7000000000000003E-3</v>
      </c>
      <c r="H41" s="81">
        <v>0.2172</v>
      </c>
      <c r="I41" s="82"/>
      <c r="J41" s="81">
        <v>7.9699999999999993E-2</v>
      </c>
    </row>
    <row r="43" spans="2:10" x14ac:dyDescent="0.25">
      <c r="E43" s="58"/>
    </row>
  </sheetData>
  <mergeCells count="1">
    <mergeCell ref="B41:C4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3656-449C-4976-8852-E5AF6A9EC0CC}">
  <sheetPr>
    <tabColor rgb="FFC00000"/>
  </sheetPr>
  <dimension ref="A1:AV49"/>
  <sheetViews>
    <sheetView topLeftCell="D7" workbookViewId="0">
      <selection activeCell="V41" sqref="V41"/>
    </sheetView>
  </sheetViews>
  <sheetFormatPr baseColWidth="10" defaultColWidth="16.5703125" defaultRowHeight="15" x14ac:dyDescent="0.25"/>
  <cols>
    <col min="1" max="1" width="10.7109375" style="1" bestFit="1" customWidth="1"/>
    <col min="2" max="2" width="8.85546875" style="1" bestFit="1" customWidth="1"/>
    <col min="3" max="3" width="6.85546875" style="1" bestFit="1" customWidth="1"/>
    <col min="4" max="4" width="15.7109375" style="1" bestFit="1" customWidth="1"/>
    <col min="5" max="5" width="8.85546875" style="1" bestFit="1" customWidth="1"/>
    <col min="6" max="6" width="6.85546875" style="1" bestFit="1" customWidth="1"/>
    <col min="7" max="7" width="15.7109375" style="1" bestFit="1" customWidth="1"/>
    <col min="8" max="8" width="8.85546875" style="1" bestFit="1" customWidth="1"/>
    <col min="9" max="9" width="6.85546875" style="1" bestFit="1" customWidth="1"/>
    <col min="10" max="10" width="15.7109375" style="1" bestFit="1" customWidth="1"/>
    <col min="11" max="11" width="9.85546875" style="1" bestFit="1" customWidth="1"/>
    <col min="12" max="12" width="6.85546875" style="1" bestFit="1" customWidth="1"/>
    <col min="13" max="13" width="15.7109375" style="1" bestFit="1" customWidth="1"/>
    <col min="14" max="14" width="8.85546875" style="1" bestFit="1" customWidth="1"/>
    <col min="15" max="15" width="6.85546875" style="1" bestFit="1" customWidth="1"/>
    <col min="16" max="16" width="15.7109375" style="1" bestFit="1" customWidth="1"/>
    <col min="17" max="17" width="8.85546875" style="1" bestFit="1" customWidth="1"/>
    <col min="18" max="18" width="6.85546875" style="1" bestFit="1" customWidth="1"/>
    <col min="19" max="19" width="15.7109375" style="1" bestFit="1" customWidth="1"/>
    <col min="20" max="20" width="7.42578125" style="1" bestFit="1" customWidth="1"/>
    <col min="21" max="21" width="6.85546875" style="1" bestFit="1" customWidth="1"/>
    <col min="22" max="22" width="15.7109375" style="1" bestFit="1" customWidth="1"/>
    <col min="23" max="23" width="7.42578125" style="1" bestFit="1" customWidth="1"/>
    <col min="24" max="24" width="6.85546875" style="1" bestFit="1" customWidth="1"/>
    <col min="25" max="25" width="15.7109375" style="1" bestFit="1" customWidth="1"/>
    <col min="26" max="26" width="7.42578125" style="1" bestFit="1" customWidth="1"/>
    <col min="27" max="27" width="6.85546875" style="1" bestFit="1" customWidth="1"/>
    <col min="28" max="28" width="15.7109375" style="1" bestFit="1" customWidth="1"/>
    <col min="29" max="29" width="8.85546875" style="1" bestFit="1" customWidth="1"/>
    <col min="30" max="30" width="6.85546875" style="1" bestFit="1" customWidth="1"/>
    <col min="31" max="31" width="15.7109375" style="1" bestFit="1" customWidth="1"/>
    <col min="32" max="32" width="8.85546875" style="1" bestFit="1" customWidth="1"/>
    <col min="33" max="33" width="6.85546875" style="1" bestFit="1" customWidth="1"/>
    <col min="34" max="34" width="15.7109375" style="1" bestFit="1" customWidth="1"/>
    <col min="35" max="35" width="8.85546875" style="1" bestFit="1" customWidth="1"/>
    <col min="36" max="36" width="6.85546875" style="1" bestFit="1" customWidth="1"/>
    <col min="37" max="37" width="15.7109375" style="1" bestFit="1" customWidth="1"/>
    <col min="38" max="38" width="7.42578125" style="1" bestFit="1" customWidth="1"/>
    <col min="39" max="39" width="6.85546875" style="1" bestFit="1" customWidth="1"/>
    <col min="40" max="40" width="15.7109375" style="1" bestFit="1" customWidth="1"/>
    <col min="41" max="41" width="7.42578125" style="1" bestFit="1" customWidth="1"/>
    <col min="42" max="42" width="6.85546875" style="1" bestFit="1" customWidth="1"/>
    <col min="43" max="43" width="15.7109375" style="1" bestFit="1" customWidth="1"/>
    <col min="44" max="44" width="7.42578125" style="1" bestFit="1" customWidth="1"/>
    <col min="45" max="45" width="6.85546875" style="1" bestFit="1" customWidth="1"/>
    <col min="46" max="46" width="15.7109375" style="1" bestFit="1" customWidth="1"/>
    <col min="47" max="47" width="9.85546875" style="1" bestFit="1" customWidth="1"/>
    <col min="48" max="48" width="6.85546875" style="1" bestFit="1" customWidth="1"/>
    <col min="49" max="16384" width="16.5703125" style="1"/>
  </cols>
  <sheetData>
    <row r="1" spans="1:48" ht="45" customHeight="1" x14ac:dyDescent="0.25">
      <c r="A1" s="5" t="s">
        <v>19</v>
      </c>
      <c r="B1" s="94" t="s">
        <v>13</v>
      </c>
      <c r="C1" s="94"/>
      <c r="D1" s="94"/>
      <c r="E1" s="94" t="s">
        <v>14</v>
      </c>
      <c r="F1" s="94"/>
      <c r="G1" s="94"/>
      <c r="H1" s="94" t="s">
        <v>0</v>
      </c>
      <c r="I1" s="94"/>
      <c r="J1" s="94"/>
      <c r="K1" s="94" t="s">
        <v>1</v>
      </c>
      <c r="L1" s="94"/>
      <c r="M1" s="94"/>
      <c r="N1" s="94" t="s">
        <v>2</v>
      </c>
      <c r="O1" s="94"/>
      <c r="P1" s="94"/>
      <c r="Q1" s="94" t="s">
        <v>3</v>
      </c>
      <c r="R1" s="94"/>
      <c r="S1" s="94"/>
      <c r="T1" s="94" t="s">
        <v>4</v>
      </c>
      <c r="U1" s="94"/>
      <c r="V1" s="94"/>
      <c r="W1" s="94" t="s">
        <v>5</v>
      </c>
      <c r="X1" s="94"/>
      <c r="Y1" s="94"/>
      <c r="Z1" s="94" t="s">
        <v>6</v>
      </c>
      <c r="AA1" s="94"/>
      <c r="AB1" s="94"/>
      <c r="AC1" s="94" t="s">
        <v>7</v>
      </c>
      <c r="AD1" s="94"/>
      <c r="AE1" s="94"/>
      <c r="AF1" s="94" t="s">
        <v>8</v>
      </c>
      <c r="AG1" s="94"/>
      <c r="AH1" s="94"/>
      <c r="AI1" s="94" t="s">
        <v>9</v>
      </c>
      <c r="AJ1" s="94"/>
      <c r="AK1" s="94"/>
      <c r="AL1" s="94" t="s">
        <v>10</v>
      </c>
      <c r="AM1" s="94"/>
      <c r="AN1" s="94"/>
      <c r="AO1" s="94" t="s">
        <v>11</v>
      </c>
      <c r="AP1" s="94"/>
      <c r="AQ1" s="94"/>
      <c r="AR1" s="94" t="s">
        <v>12</v>
      </c>
      <c r="AS1" s="94"/>
      <c r="AT1" s="94"/>
      <c r="AU1" s="94" t="s">
        <v>15</v>
      </c>
      <c r="AV1" s="94"/>
    </row>
    <row r="2" spans="1:48" x14ac:dyDescent="0.25">
      <c r="A2" s="4" t="s">
        <v>16</v>
      </c>
      <c r="B2" s="4" t="s">
        <v>17</v>
      </c>
      <c r="C2" s="4" t="s">
        <v>20</v>
      </c>
      <c r="D2" s="4" t="s">
        <v>21</v>
      </c>
      <c r="E2" s="4" t="s">
        <v>17</v>
      </c>
      <c r="F2" s="4" t="s">
        <v>20</v>
      </c>
      <c r="G2" s="4" t="s">
        <v>21</v>
      </c>
      <c r="H2" s="4" t="s">
        <v>17</v>
      </c>
      <c r="I2" s="4" t="s">
        <v>20</v>
      </c>
      <c r="J2" s="4" t="s">
        <v>21</v>
      </c>
      <c r="K2" s="4" t="s">
        <v>17</v>
      </c>
      <c r="L2" s="4" t="s">
        <v>20</v>
      </c>
      <c r="M2" s="4" t="s">
        <v>21</v>
      </c>
      <c r="N2" s="4" t="s">
        <v>17</v>
      </c>
      <c r="O2" s="4" t="s">
        <v>20</v>
      </c>
      <c r="P2" s="4" t="s">
        <v>21</v>
      </c>
      <c r="Q2" s="4" t="s">
        <v>17</v>
      </c>
      <c r="R2" s="4" t="s">
        <v>20</v>
      </c>
      <c r="S2" s="4" t="s">
        <v>21</v>
      </c>
      <c r="T2" s="4" t="s">
        <v>17</v>
      </c>
      <c r="U2" s="4" t="s">
        <v>20</v>
      </c>
      <c r="V2" s="4" t="s">
        <v>21</v>
      </c>
      <c r="W2" s="4" t="s">
        <v>17</v>
      </c>
      <c r="X2" s="4" t="s">
        <v>20</v>
      </c>
      <c r="Y2" s="4" t="s">
        <v>21</v>
      </c>
      <c r="Z2" s="4" t="s">
        <v>17</v>
      </c>
      <c r="AA2" s="4" t="s">
        <v>20</v>
      </c>
      <c r="AB2" s="4" t="s">
        <v>21</v>
      </c>
      <c r="AC2" s="4" t="s">
        <v>17</v>
      </c>
      <c r="AD2" s="4" t="s">
        <v>20</v>
      </c>
      <c r="AE2" s="4" t="s">
        <v>21</v>
      </c>
      <c r="AF2" s="4" t="s">
        <v>17</v>
      </c>
      <c r="AG2" s="4" t="s">
        <v>20</v>
      </c>
      <c r="AH2" s="4" t="s">
        <v>21</v>
      </c>
      <c r="AI2" s="4" t="s">
        <v>17</v>
      </c>
      <c r="AJ2" s="4" t="s">
        <v>20</v>
      </c>
      <c r="AK2" s="4" t="s">
        <v>21</v>
      </c>
      <c r="AL2" s="4" t="s">
        <v>17</v>
      </c>
      <c r="AM2" s="4" t="s">
        <v>20</v>
      </c>
      <c r="AN2" s="4" t="s">
        <v>21</v>
      </c>
      <c r="AO2" s="4" t="s">
        <v>17</v>
      </c>
      <c r="AP2" s="4" t="s">
        <v>20</v>
      </c>
      <c r="AQ2" s="4" t="s">
        <v>21</v>
      </c>
      <c r="AR2" s="4" t="s">
        <v>17</v>
      </c>
      <c r="AS2" s="4" t="s">
        <v>20</v>
      </c>
      <c r="AT2" s="4" t="s">
        <v>21</v>
      </c>
      <c r="AU2" s="4" t="s">
        <v>17</v>
      </c>
      <c r="AV2" s="4" t="s">
        <v>20</v>
      </c>
    </row>
    <row r="3" spans="1:48" x14ac:dyDescent="0.25">
      <c r="A3" s="2">
        <v>46017</v>
      </c>
      <c r="B3" s="3">
        <v>2354.81</v>
      </c>
      <c r="C3" s="3"/>
      <c r="D3" s="3"/>
      <c r="E3" s="3">
        <v>8502.5300000000007</v>
      </c>
      <c r="F3" s="3"/>
      <c r="G3" s="3"/>
      <c r="H3" s="3">
        <v>2946.92</v>
      </c>
      <c r="I3" s="3"/>
      <c r="J3" s="3"/>
      <c r="K3" s="3">
        <v>11152.36</v>
      </c>
      <c r="L3" s="3"/>
      <c r="M3" s="3"/>
      <c r="N3" s="3">
        <v>1507.93</v>
      </c>
      <c r="O3" s="3"/>
      <c r="P3" s="3"/>
      <c r="Q3" s="3">
        <v>1199.27</v>
      </c>
      <c r="R3" s="3"/>
      <c r="S3" s="3"/>
      <c r="T3" s="3">
        <v>262.54000000000002</v>
      </c>
      <c r="U3" s="3"/>
      <c r="V3" s="3"/>
      <c r="W3" s="3">
        <v>283.41000000000003</v>
      </c>
      <c r="X3" s="3"/>
      <c r="Y3" s="3"/>
      <c r="Z3" s="3">
        <v>256.99</v>
      </c>
      <c r="AA3" s="3"/>
      <c r="AB3" s="3"/>
      <c r="AC3" s="3">
        <v>1190.22</v>
      </c>
      <c r="AD3" s="3"/>
      <c r="AE3" s="3"/>
      <c r="AF3" s="3">
        <v>971.45</v>
      </c>
      <c r="AG3" s="3"/>
      <c r="AH3" s="3"/>
      <c r="AI3" s="3">
        <v>5105.37</v>
      </c>
      <c r="AJ3" s="3"/>
      <c r="AK3" s="3"/>
      <c r="AL3" s="3">
        <v>929.03</v>
      </c>
      <c r="AM3" s="3"/>
      <c r="AN3" s="3"/>
      <c r="AO3" s="3">
        <v>945.48</v>
      </c>
      <c r="AP3" s="3"/>
      <c r="AQ3" s="3"/>
      <c r="AR3" s="3">
        <v>174.88</v>
      </c>
      <c r="AS3" s="3"/>
      <c r="AT3" s="3"/>
      <c r="AU3" s="3">
        <v>60568.292500000003</v>
      </c>
    </row>
    <row r="4" spans="1:48" x14ac:dyDescent="0.25">
      <c r="A4" s="2">
        <v>46024</v>
      </c>
      <c r="B4" s="3">
        <v>2460</v>
      </c>
      <c r="C4" s="7">
        <f>B4/B3-1</f>
        <v>4.4670270637546139E-2</v>
      </c>
      <c r="D4" s="7">
        <f t="shared" ref="D4:D36" si="0">C4-AV4</f>
        <v>5.042777423997169E-3</v>
      </c>
      <c r="E4" s="3">
        <v>8856.09</v>
      </c>
      <c r="F4" s="7">
        <f>E4/E3-1</f>
        <v>4.1582917084679538E-2</v>
      </c>
      <c r="G4" s="7">
        <f t="shared" ref="G4:G36" si="1">F4-AV4</f>
        <v>1.9554238711305683E-3</v>
      </c>
      <c r="H4" s="3">
        <v>3074.6</v>
      </c>
      <c r="I4" s="7">
        <f>H4/H3-1</f>
        <v>4.3326591831471362E-2</v>
      </c>
      <c r="J4" s="7">
        <f t="shared" ref="J4:J36" si="2">I4-AV4</f>
        <v>3.6990986179223917E-3</v>
      </c>
      <c r="K4" s="3">
        <v>11430</v>
      </c>
      <c r="L4" s="7">
        <f>K4/K3-1</f>
        <v>2.4895179136971812E-2</v>
      </c>
      <c r="M4" s="7">
        <f t="shared" ref="M4:M36" si="3">L4-AV4</f>
        <v>-1.4732314076577158E-2</v>
      </c>
      <c r="N4" s="3">
        <v>1566.8</v>
      </c>
      <c r="O4" s="7">
        <f>N4/N3-1</f>
        <v>3.9040273752760424E-2</v>
      </c>
      <c r="P4" s="7">
        <f t="shared" ref="P4:P36" si="4">O4-AV4</f>
        <v>-5.8721946078854614E-4</v>
      </c>
      <c r="Q4" s="3">
        <v>1251.26</v>
      </c>
      <c r="R4" s="7">
        <f>Q4/Q3-1</f>
        <v>4.3351372084684758E-2</v>
      </c>
      <c r="S4" s="7">
        <f t="shared" ref="S4:S36" si="5">R4-AV4</f>
        <v>3.7238788711357884E-3</v>
      </c>
      <c r="T4" s="3">
        <v>273.25</v>
      </c>
      <c r="U4" s="7">
        <f>T4/T3-1</f>
        <v>4.0793783804372596E-2</v>
      </c>
      <c r="V4" s="7">
        <f t="shared" ref="V4:V36" si="6">U4-AV4</f>
        <v>1.1662905908236265E-3</v>
      </c>
      <c r="W4" s="3">
        <v>294.38</v>
      </c>
      <c r="X4" s="7">
        <f>W4/W3-1</f>
        <v>3.8707173353092594E-2</v>
      </c>
      <c r="Y4" s="7">
        <f t="shared" ref="Y4:Y36" si="7">X4-AV4</f>
        <v>-9.2031986045637559E-4</v>
      </c>
      <c r="Z4" s="3">
        <v>268.02999999999997</v>
      </c>
      <c r="AA4" s="7">
        <f>Z4/Z3-1</f>
        <v>4.2958869994941251E-2</v>
      </c>
      <c r="AB4" s="7">
        <f t="shared" ref="AB4:AB36" si="8">AA4-AV4</f>
        <v>3.3313767813922812E-3</v>
      </c>
      <c r="AC4" s="3">
        <v>1236.79</v>
      </c>
      <c r="AD4" s="7">
        <f>AC4/AC3-1</f>
        <v>3.912722017778214E-2</v>
      </c>
      <c r="AE4" s="7">
        <f t="shared" ref="AE4:AE36" si="9">AD4-AV4</f>
        <v>-5.0027303576682947E-4</v>
      </c>
      <c r="AF4" s="3">
        <v>1011.42</v>
      </c>
      <c r="AG4" s="7">
        <f>AF4/AF3-1</f>
        <v>4.1144680632044794E-2</v>
      </c>
      <c r="AH4" s="7">
        <f t="shared" ref="AH4:AH36" si="10">AG4-AV4</f>
        <v>1.5171874184958245E-3</v>
      </c>
      <c r="AI4" s="3">
        <v>5280.46</v>
      </c>
      <c r="AJ4" s="7">
        <f>AI4/AI3-1</f>
        <v>3.4295261655864273E-2</v>
      </c>
      <c r="AK4" s="7">
        <f t="shared" ref="AK4:AK36" si="11">AJ4-AV4</f>
        <v>-5.3322315576846968E-3</v>
      </c>
      <c r="AL4" s="3">
        <v>969.79</v>
      </c>
      <c r="AM4" s="7">
        <f>AL4/AL3-1</f>
        <v>4.3873717748619478E-2</v>
      </c>
      <c r="AN4" s="7">
        <f t="shared" ref="AN4:AN36" si="12">AM4-AV4</f>
        <v>4.2462245350705086E-3</v>
      </c>
      <c r="AO4" s="3">
        <v>984.12</v>
      </c>
      <c r="AP4" s="7">
        <f>AO4/AO3-1</f>
        <v>4.0868130473410424E-2</v>
      </c>
      <c r="AQ4" s="7">
        <f t="shared" ref="AQ4:AQ36" si="13">AP4-AV4</f>
        <v>1.2406372598614546E-3</v>
      </c>
      <c r="AR4" s="3">
        <v>183.42</v>
      </c>
      <c r="AS4" s="7">
        <f>AR4/AR3-1</f>
        <v>4.8833485818847056E-2</v>
      </c>
      <c r="AT4" s="7">
        <f t="shared" ref="AT4:AT36" si="14">AS4-AV4</f>
        <v>9.2059926052980856E-3</v>
      </c>
      <c r="AU4" s="3">
        <v>62968.462099999997</v>
      </c>
      <c r="AV4" s="7">
        <f>AU4/AU3-1</f>
        <v>3.962749321354897E-2</v>
      </c>
    </row>
    <row r="5" spans="1:48" x14ac:dyDescent="0.25">
      <c r="A5" s="2">
        <v>46031</v>
      </c>
      <c r="B5" s="3">
        <v>2483.4499999999998</v>
      </c>
      <c r="C5" s="7">
        <f t="shared" ref="C5:C39" si="15">B5/B4-1</f>
        <v>9.532520325203242E-3</v>
      </c>
      <c r="D5" s="7">
        <f t="shared" si="0"/>
        <v>-4.0613943338623226E-3</v>
      </c>
      <c r="E5" s="3">
        <v>8971.5499999999993</v>
      </c>
      <c r="F5" s="7">
        <f t="shared" ref="F5:F39" si="16">E5/E4-1</f>
        <v>1.3037356214762763E-2</v>
      </c>
      <c r="G5" s="7">
        <f t="shared" si="1"/>
        <v>-5.5655844430280155E-4</v>
      </c>
      <c r="H5" s="3">
        <v>3112.31</v>
      </c>
      <c r="I5" s="7">
        <f t="shared" ref="I5:I39" si="17">H5/H4-1</f>
        <v>1.2265010082612493E-2</v>
      </c>
      <c r="J5" s="7">
        <f t="shared" si="2"/>
        <v>-1.3289045764530716E-3</v>
      </c>
      <c r="K5" s="3">
        <v>11617.75</v>
      </c>
      <c r="L5" s="7">
        <f t="shared" ref="L5:L39" si="18">K5/K4-1</f>
        <v>1.6426071741032278E-2</v>
      </c>
      <c r="M5" s="7">
        <f t="shared" si="3"/>
        <v>2.832157081966713E-3</v>
      </c>
      <c r="N5" s="3">
        <v>1583.91</v>
      </c>
      <c r="O5" s="7">
        <f t="shared" ref="O5:O39" si="19">N5/N4-1</f>
        <v>1.0920347204493419E-2</v>
      </c>
      <c r="P5" s="7">
        <f t="shared" si="4"/>
        <v>-2.6735674545721455E-3</v>
      </c>
      <c r="Q5" s="3">
        <v>1264.24</v>
      </c>
      <c r="R5" s="7">
        <f t="shared" ref="R5:R39" si="20">Q5/Q4-1</f>
        <v>1.0373543468183977E-2</v>
      </c>
      <c r="S5" s="7">
        <f t="shared" si="5"/>
        <v>-3.220371190881588E-3</v>
      </c>
      <c r="T5" s="3">
        <v>276.58</v>
      </c>
      <c r="U5" s="7">
        <f t="shared" ref="U5:U39" si="21">T5/T4-1</f>
        <v>1.2186642268984471E-2</v>
      </c>
      <c r="V5" s="7">
        <f t="shared" si="6"/>
        <v>-1.4072723900810935E-3</v>
      </c>
      <c r="W5" s="3">
        <v>297.58</v>
      </c>
      <c r="X5" s="7">
        <f t="shared" ref="X5:X39" si="22">W5/W4-1</f>
        <v>1.0870303689109351E-2</v>
      </c>
      <c r="Y5" s="7">
        <f t="shared" si="7"/>
        <v>-2.7236109699562139E-3</v>
      </c>
      <c r="Z5" s="3">
        <v>271.39</v>
      </c>
      <c r="AA5" s="7">
        <f t="shared" ref="AA5:AA39" si="23">Z5/Z4-1</f>
        <v>1.2535910159310548E-2</v>
      </c>
      <c r="AB5" s="7">
        <f t="shared" si="8"/>
        <v>-1.0580044997550164E-3</v>
      </c>
      <c r="AC5" s="3">
        <v>1251.92</v>
      </c>
      <c r="AD5" s="7">
        <f t="shared" ref="AD5:AD39" si="24">AC5/AC4-1</f>
        <v>1.2233281316957667E-2</v>
      </c>
      <c r="AE5" s="7">
        <f t="shared" si="9"/>
        <v>-1.3606333421078975E-3</v>
      </c>
      <c r="AF5" s="3">
        <v>1026.3399999999999</v>
      </c>
      <c r="AG5" s="7">
        <f t="shared" ref="AG5:AG39" si="25">AF5/AF4-1</f>
        <v>1.4751537442407647E-2</v>
      </c>
      <c r="AH5" s="7">
        <f t="shared" si="10"/>
        <v>1.1576227833420827E-3</v>
      </c>
      <c r="AI5" s="3">
        <v>5387.19</v>
      </c>
      <c r="AJ5" s="7">
        <f t="shared" ref="AJ5:AJ39" si="26">AI5/AI4-1</f>
        <v>2.0212254235426386E-2</v>
      </c>
      <c r="AK5" s="7">
        <f t="shared" si="11"/>
        <v>6.618339576360821E-3</v>
      </c>
      <c r="AL5" s="3">
        <v>984.93</v>
      </c>
      <c r="AM5" s="7">
        <f t="shared" ref="AM5:AM39" si="27">AL5/AL4-1</f>
        <v>1.5611627259509708E-2</v>
      </c>
      <c r="AN5" s="7">
        <f t="shared" si="12"/>
        <v>2.0177126004441437E-3</v>
      </c>
      <c r="AO5" s="3">
        <v>995.46</v>
      </c>
      <c r="AP5" s="7">
        <f t="shared" ref="AP5:AP39" si="28">AO5/AO4-1</f>
        <v>1.1522985001829023E-2</v>
      </c>
      <c r="AQ5" s="7">
        <f t="shared" si="13"/>
        <v>-2.0709296572365421E-3</v>
      </c>
      <c r="AR5" s="3">
        <v>186.47</v>
      </c>
      <c r="AS5" s="7">
        <f t="shared" ref="AS5:AS39" si="29">AR5/AR4-1</f>
        <v>1.6628502889543206E-2</v>
      </c>
      <c r="AT5" s="7">
        <f t="shared" si="14"/>
        <v>3.0345882304776417E-3</v>
      </c>
      <c r="AU5" s="3">
        <v>63824.45</v>
      </c>
      <c r="AV5" s="7">
        <f t="shared" ref="AV5:AV39" si="30">AU5/AU4-1</f>
        <v>1.3593914659065565E-2</v>
      </c>
    </row>
    <row r="6" spans="1:48" x14ac:dyDescent="0.25">
      <c r="A6" s="2">
        <v>46038</v>
      </c>
      <c r="B6" s="3">
        <v>2436.31</v>
      </c>
      <c r="C6" s="7">
        <f t="shared" si="15"/>
        <v>-1.8981658579798166E-2</v>
      </c>
      <c r="D6" s="7">
        <f t="shared" si="0"/>
        <v>-5.1651525229501338E-3</v>
      </c>
      <c r="E6" s="3">
        <v>8798.35</v>
      </c>
      <c r="F6" s="7">
        <f t="shared" si="16"/>
        <v>-1.9305471183909018E-2</v>
      </c>
      <c r="G6" s="7">
        <f t="shared" si="1"/>
        <v>-5.4889651270609852E-3</v>
      </c>
      <c r="H6" s="3">
        <v>3050.25</v>
      </c>
      <c r="I6" s="7">
        <f t="shared" si="17"/>
        <v>-1.9940173054740717E-2</v>
      </c>
      <c r="J6" s="7">
        <f t="shared" si="2"/>
        <v>-6.123666997892685E-3</v>
      </c>
      <c r="K6" s="3">
        <v>11334.3</v>
      </c>
      <c r="L6" s="7">
        <f t="shared" si="18"/>
        <v>-2.4398011663187891E-2</v>
      </c>
      <c r="M6" s="7">
        <f t="shared" si="3"/>
        <v>-1.0581505606339858E-2</v>
      </c>
      <c r="N6" s="3">
        <v>1557.74</v>
      </c>
      <c r="O6" s="7">
        <f t="shared" si="19"/>
        <v>-1.6522403419386267E-2</v>
      </c>
      <c r="P6" s="7">
        <f t="shared" si="4"/>
        <v>-2.7058973625382343E-3</v>
      </c>
      <c r="Q6" s="3">
        <v>1248.05</v>
      </c>
      <c r="R6" s="7">
        <f t="shared" si="20"/>
        <v>-1.280611276339938E-2</v>
      </c>
      <c r="S6" s="7">
        <f t="shared" si="5"/>
        <v>1.0103932934486526E-3</v>
      </c>
      <c r="T6" s="3">
        <v>271.36</v>
      </c>
      <c r="U6" s="7">
        <f t="shared" si="21"/>
        <v>-1.8873382023284258E-2</v>
      </c>
      <c r="V6" s="7">
        <f t="shared" si="6"/>
        <v>-5.0568759664362251E-3</v>
      </c>
      <c r="W6" s="3">
        <v>291.5</v>
      </c>
      <c r="X6" s="7">
        <f t="shared" si="22"/>
        <v>-2.0431480610256014E-2</v>
      </c>
      <c r="Y6" s="7">
        <f t="shared" si="7"/>
        <v>-6.6149745534079818E-3</v>
      </c>
      <c r="Z6" s="3">
        <v>266.44</v>
      </c>
      <c r="AA6" s="7">
        <f t="shared" si="23"/>
        <v>-1.8239434024835077E-2</v>
      </c>
      <c r="AB6" s="7">
        <f t="shared" si="8"/>
        <v>-4.4229279679870448E-3</v>
      </c>
      <c r="AC6" s="3">
        <v>1232.9100000000001</v>
      </c>
      <c r="AD6" s="7">
        <f t="shared" si="24"/>
        <v>-1.5184676337146152E-2</v>
      </c>
      <c r="AE6" s="7">
        <f t="shared" si="9"/>
        <v>-1.3681702802981199E-3</v>
      </c>
      <c r="AF6" s="3">
        <v>1008.99</v>
      </c>
      <c r="AG6" s="7">
        <f t="shared" si="25"/>
        <v>-1.6904729426895471E-2</v>
      </c>
      <c r="AH6" s="7">
        <f t="shared" si="10"/>
        <v>-3.0882233700474382E-3</v>
      </c>
      <c r="AI6" s="3">
        <v>5287.34</v>
      </c>
      <c r="AJ6" s="7">
        <f t="shared" si="26"/>
        <v>-1.8534709189763077E-2</v>
      </c>
      <c r="AK6" s="7">
        <f t="shared" si="11"/>
        <v>-4.7182031329150442E-3</v>
      </c>
      <c r="AL6" s="3">
        <v>974.27</v>
      </c>
      <c r="AM6" s="7">
        <f t="shared" si="27"/>
        <v>-1.0823104179992438E-2</v>
      </c>
      <c r="AN6" s="7">
        <f t="shared" si="12"/>
        <v>2.9934018768555948E-3</v>
      </c>
      <c r="AO6" s="3">
        <v>979.99</v>
      </c>
      <c r="AP6" s="7">
        <f t="shared" si="28"/>
        <v>-1.5540554115685223E-2</v>
      </c>
      <c r="AQ6" s="7">
        <f t="shared" si="13"/>
        <v>-1.7240480588371909E-3</v>
      </c>
      <c r="AR6" s="3">
        <v>184.23</v>
      </c>
      <c r="AS6" s="7">
        <f t="shared" si="29"/>
        <v>-1.2012656191344506E-2</v>
      </c>
      <c r="AT6" s="7">
        <f t="shared" si="14"/>
        <v>1.8038498655035262E-3</v>
      </c>
      <c r="AU6" s="3">
        <v>62942.619100000004</v>
      </c>
      <c r="AV6" s="7">
        <f t="shared" si="30"/>
        <v>-1.3816506056848032E-2</v>
      </c>
    </row>
    <row r="7" spans="1:48" x14ac:dyDescent="0.25">
      <c r="A7" s="2">
        <v>46045</v>
      </c>
      <c r="B7" s="3">
        <v>2352.91</v>
      </c>
      <c r="C7" s="7">
        <f t="shared" si="15"/>
        <v>-3.4232096900640774E-2</v>
      </c>
      <c r="D7" s="7">
        <f t="shared" si="0"/>
        <v>-5.2266833016377801E-3</v>
      </c>
      <c r="E7" s="3">
        <v>8501.0400000000009</v>
      </c>
      <c r="F7" s="7">
        <f t="shared" si="16"/>
        <v>-3.3791563190825546E-2</v>
      </c>
      <c r="G7" s="7">
        <f t="shared" si="1"/>
        <v>-4.7861495918225527E-3</v>
      </c>
      <c r="H7" s="3">
        <v>2950.52</v>
      </c>
      <c r="I7" s="7">
        <f t="shared" si="17"/>
        <v>-3.269568068191131E-2</v>
      </c>
      <c r="J7" s="7">
        <f t="shared" si="2"/>
        <v>-3.6902670829083162E-3</v>
      </c>
      <c r="K7" s="3">
        <v>10980.79</v>
      </c>
      <c r="L7" s="7">
        <f t="shared" si="18"/>
        <v>-3.1189398551299874E-2</v>
      </c>
      <c r="M7" s="7">
        <f t="shared" si="3"/>
        <v>-2.1839849522968802E-3</v>
      </c>
      <c r="N7" s="3">
        <v>1512.09</v>
      </c>
      <c r="O7" s="7">
        <f t="shared" si="19"/>
        <v>-2.9305275591562152E-2</v>
      </c>
      <c r="P7" s="7">
        <f t="shared" si="4"/>
        <v>-2.9986199255915835E-4</v>
      </c>
      <c r="Q7" s="3">
        <v>1210.6400000000001</v>
      </c>
      <c r="R7" s="7">
        <f t="shared" si="20"/>
        <v>-2.9974760626577335E-2</v>
      </c>
      <c r="S7" s="7">
        <f t="shared" si="5"/>
        <v>-9.6934702757434099E-4</v>
      </c>
      <c r="T7" s="3">
        <v>262.14</v>
      </c>
      <c r="U7" s="7">
        <f t="shared" si="21"/>
        <v>-3.3977004716981285E-2</v>
      </c>
      <c r="V7" s="7">
        <f t="shared" si="6"/>
        <v>-4.9715911179782912E-3</v>
      </c>
      <c r="W7" s="3">
        <v>281.92</v>
      </c>
      <c r="X7" s="7">
        <f t="shared" si="22"/>
        <v>-3.2864493996569433E-2</v>
      </c>
      <c r="Y7" s="7">
        <f t="shared" si="7"/>
        <v>-3.8590803975664389E-3</v>
      </c>
      <c r="Z7" s="3">
        <v>257.62</v>
      </c>
      <c r="AA7" s="7">
        <f t="shared" si="23"/>
        <v>-3.3103137667016891E-2</v>
      </c>
      <c r="AB7" s="7">
        <f t="shared" si="8"/>
        <v>-4.0977240680138971E-3</v>
      </c>
      <c r="AC7" s="3">
        <v>1193.77</v>
      </c>
      <c r="AD7" s="7">
        <f t="shared" si="24"/>
        <v>-3.1746031746031855E-2</v>
      </c>
      <c r="AE7" s="7">
        <f t="shared" si="9"/>
        <v>-2.7406181470288615E-3</v>
      </c>
      <c r="AF7" s="3">
        <v>976.17</v>
      </c>
      <c r="AG7" s="7">
        <f t="shared" si="25"/>
        <v>-3.2527577082032577E-2</v>
      </c>
      <c r="AH7" s="7">
        <f t="shared" si="10"/>
        <v>-3.5221634830295834E-3</v>
      </c>
      <c r="AI7" s="3">
        <v>5132.82</v>
      </c>
      <c r="AJ7" s="7">
        <f t="shared" si="26"/>
        <v>-2.9224524997446766E-2</v>
      </c>
      <c r="AK7" s="7">
        <f t="shared" si="11"/>
        <v>-2.1911139844377203E-4</v>
      </c>
      <c r="AL7" s="3">
        <v>948.48</v>
      </c>
      <c r="AM7" s="7">
        <f t="shared" si="27"/>
        <v>-2.6471101440052491E-2</v>
      </c>
      <c r="AN7" s="7">
        <f t="shared" si="12"/>
        <v>2.5343121589505024E-3</v>
      </c>
      <c r="AO7" s="3">
        <v>947.69</v>
      </c>
      <c r="AP7" s="7">
        <f t="shared" si="28"/>
        <v>-3.2959519995101938E-2</v>
      </c>
      <c r="AQ7" s="7">
        <f t="shared" si="13"/>
        <v>-3.9541063960989442E-3</v>
      </c>
      <c r="AR7" s="3">
        <v>177.86</v>
      </c>
      <c r="AS7" s="7">
        <f t="shared" si="29"/>
        <v>-3.4576344786408142E-2</v>
      </c>
      <c r="AT7" s="7">
        <f t="shared" si="14"/>
        <v>-5.5709311874051481E-3</v>
      </c>
      <c r="AU7" s="3">
        <v>61116.9424</v>
      </c>
      <c r="AV7" s="7">
        <f t="shared" si="30"/>
        <v>-2.9005413599002994E-2</v>
      </c>
    </row>
    <row r="8" spans="1:48" x14ac:dyDescent="0.25">
      <c r="A8" s="2">
        <v>46052</v>
      </c>
      <c r="B8" s="3">
        <v>2341.56</v>
      </c>
      <c r="C8" s="7">
        <f t="shared" si="15"/>
        <v>-4.8238139155343251E-3</v>
      </c>
      <c r="D8" s="7">
        <f t="shared" si="0"/>
        <v>-6.0783531151262782E-3</v>
      </c>
      <c r="E8" s="3">
        <v>8492.08</v>
      </c>
      <c r="F8" s="7">
        <f t="shared" si="16"/>
        <v>-1.053988688442975E-3</v>
      </c>
      <c r="G8" s="7">
        <f t="shared" si="1"/>
        <v>-2.308527888034928E-3</v>
      </c>
      <c r="H8" s="3">
        <v>2946.72</v>
      </c>
      <c r="I8" s="7">
        <f t="shared" si="17"/>
        <v>-1.2879085720484129E-3</v>
      </c>
      <c r="J8" s="7">
        <f t="shared" si="2"/>
        <v>-2.5424477716403659E-3</v>
      </c>
      <c r="K8" s="3">
        <v>10881.05</v>
      </c>
      <c r="L8" s="7">
        <f t="shared" si="18"/>
        <v>-9.0831351842628472E-3</v>
      </c>
      <c r="M8" s="7">
        <f t="shared" si="3"/>
        <v>-1.03376743838548E-2</v>
      </c>
      <c r="N8" s="3">
        <v>1510.73</v>
      </c>
      <c r="O8" s="7">
        <f t="shared" si="19"/>
        <v>-8.9941736272303174E-4</v>
      </c>
      <c r="P8" s="7">
        <f t="shared" si="4"/>
        <v>-2.1539565623149848E-3</v>
      </c>
      <c r="Q8" s="3">
        <v>1210.93</v>
      </c>
      <c r="R8" s="7">
        <f t="shared" si="20"/>
        <v>2.3954272120518816E-4</v>
      </c>
      <c r="S8" s="7">
        <f t="shared" si="5"/>
        <v>-1.0149964783867649E-3</v>
      </c>
      <c r="T8" s="3">
        <v>261.45</v>
      </c>
      <c r="U8" s="7">
        <f t="shared" si="21"/>
        <v>-2.6321812771801234E-3</v>
      </c>
      <c r="V8" s="7">
        <f t="shared" si="6"/>
        <v>-3.8867204767720764E-3</v>
      </c>
      <c r="W8" s="3">
        <v>281.77</v>
      </c>
      <c r="X8" s="7">
        <f t="shared" si="22"/>
        <v>-5.3206583427933829E-4</v>
      </c>
      <c r="Y8" s="7">
        <f t="shared" si="7"/>
        <v>-1.7866050338712913E-3</v>
      </c>
      <c r="Z8" s="3">
        <v>257.83</v>
      </c>
      <c r="AA8" s="7">
        <f t="shared" si="23"/>
        <v>8.1515410294219492E-4</v>
      </c>
      <c r="AB8" s="7">
        <f t="shared" si="8"/>
        <v>-4.3938509664975811E-4</v>
      </c>
      <c r="AC8" s="3">
        <v>1197.32</v>
      </c>
      <c r="AD8" s="7">
        <f t="shared" si="24"/>
        <v>2.9737721671678763E-3</v>
      </c>
      <c r="AE8" s="7">
        <f t="shared" si="9"/>
        <v>1.7192329675759233E-3</v>
      </c>
      <c r="AF8" s="3">
        <v>975.43</v>
      </c>
      <c r="AG8" s="7">
        <f t="shared" si="25"/>
        <v>-7.5806468135675154E-4</v>
      </c>
      <c r="AH8" s="7">
        <f t="shared" si="10"/>
        <v>-2.0126038809487046E-3</v>
      </c>
      <c r="AI8" s="3">
        <v>5109.8599999999997</v>
      </c>
      <c r="AJ8" s="7">
        <f t="shared" si="26"/>
        <v>-4.4731745901862574E-3</v>
      </c>
      <c r="AK8" s="7">
        <f t="shared" si="11"/>
        <v>-5.7277137897782104E-3</v>
      </c>
      <c r="AL8" s="3">
        <v>952.1</v>
      </c>
      <c r="AM8" s="7">
        <f t="shared" si="27"/>
        <v>3.8166329284750056E-3</v>
      </c>
      <c r="AN8" s="7">
        <f t="shared" si="12"/>
        <v>2.5620937288830525E-3</v>
      </c>
      <c r="AO8" s="3">
        <v>947.13</v>
      </c>
      <c r="AP8" s="7">
        <f t="shared" si="28"/>
        <v>-5.9091052981463665E-4</v>
      </c>
      <c r="AQ8" s="7">
        <f t="shared" si="13"/>
        <v>-1.8454497294065897E-3</v>
      </c>
      <c r="AR8" s="3">
        <v>178.42</v>
      </c>
      <c r="AS8" s="7">
        <f t="shared" si="29"/>
        <v>3.1485437984930531E-3</v>
      </c>
      <c r="AT8" s="7">
        <f t="shared" si="14"/>
        <v>1.8940045989011001E-3</v>
      </c>
      <c r="AU8" s="3">
        <v>61193.616000000002</v>
      </c>
      <c r="AV8" s="7">
        <f t="shared" si="30"/>
        <v>1.254539199591953E-3</v>
      </c>
    </row>
    <row r="9" spans="1:48" x14ac:dyDescent="0.25">
      <c r="A9" s="2">
        <v>46059</v>
      </c>
      <c r="B9" s="3">
        <v>2304.6799999999998</v>
      </c>
      <c r="C9" s="7">
        <f t="shared" si="15"/>
        <v>-1.5750183638258308E-2</v>
      </c>
      <c r="D9" s="7">
        <f t="shared" si="0"/>
        <v>3.5428435951708748E-3</v>
      </c>
      <c r="E9" s="3">
        <v>8312.24</v>
      </c>
      <c r="F9" s="7">
        <f t="shared" si="16"/>
        <v>-2.1177379393505502E-2</v>
      </c>
      <c r="G9" s="7">
        <f t="shared" si="1"/>
        <v>-1.8843521600763191E-3</v>
      </c>
      <c r="H9" s="3">
        <v>2886.93</v>
      </c>
      <c r="I9" s="7">
        <f t="shared" si="17"/>
        <v>-2.0290356735624737E-2</v>
      </c>
      <c r="J9" s="7">
        <f t="shared" si="2"/>
        <v>-9.9732950219555416E-4</v>
      </c>
      <c r="K9" s="3">
        <v>10598.01</v>
      </c>
      <c r="L9" s="7">
        <f t="shared" si="18"/>
        <v>-2.6012195514219627E-2</v>
      </c>
      <c r="M9" s="7">
        <f t="shared" si="3"/>
        <v>-6.719168280790444E-3</v>
      </c>
      <c r="N9" s="3">
        <v>1473.77</v>
      </c>
      <c r="O9" s="7">
        <f t="shared" si="19"/>
        <v>-2.4464993744745978E-2</v>
      </c>
      <c r="P9" s="7">
        <f t="shared" si="4"/>
        <v>-5.1719665113167945E-3</v>
      </c>
      <c r="Q9" s="3">
        <v>1181.48</v>
      </c>
      <c r="R9" s="7">
        <f t="shared" si="20"/>
        <v>-2.4320150628029724E-2</v>
      </c>
      <c r="S9" s="7">
        <f t="shared" si="5"/>
        <v>-5.0271233946005411E-3</v>
      </c>
      <c r="T9" s="3">
        <v>256.5</v>
      </c>
      <c r="U9" s="7">
        <f t="shared" si="21"/>
        <v>-1.8932874354561036E-2</v>
      </c>
      <c r="V9" s="7">
        <f t="shared" si="6"/>
        <v>3.601528788681474E-4</v>
      </c>
      <c r="W9" s="3">
        <v>276.57</v>
      </c>
      <c r="X9" s="7">
        <f t="shared" si="22"/>
        <v>-1.8454768073251193E-2</v>
      </c>
      <c r="Y9" s="7">
        <f t="shared" si="7"/>
        <v>8.3825916017798985E-4</v>
      </c>
      <c r="Z9" s="3">
        <v>252.6</v>
      </c>
      <c r="AA9" s="7">
        <f t="shared" si="23"/>
        <v>-2.0284683706318085E-2</v>
      </c>
      <c r="AB9" s="7">
        <f t="shared" si="8"/>
        <v>-9.9165647288890213E-4</v>
      </c>
      <c r="AC9" s="3">
        <v>1170.2</v>
      </c>
      <c r="AD9" s="7">
        <f t="shared" si="24"/>
        <v>-2.2650586309424292E-2</v>
      </c>
      <c r="AE9" s="7">
        <f t="shared" si="9"/>
        <v>-3.3575590759951091E-3</v>
      </c>
      <c r="AF9" s="3">
        <v>952.99</v>
      </c>
      <c r="AG9" s="7">
        <f t="shared" si="25"/>
        <v>-2.3005238715233189E-2</v>
      </c>
      <c r="AH9" s="7">
        <f t="shared" si="10"/>
        <v>-3.7122114818040064E-3</v>
      </c>
      <c r="AI9" s="3">
        <v>5077.26</v>
      </c>
      <c r="AJ9" s="7">
        <f t="shared" si="26"/>
        <v>-6.3798225391692442E-3</v>
      </c>
      <c r="AK9" s="7">
        <f t="shared" si="11"/>
        <v>1.2913204694259939E-2</v>
      </c>
      <c r="AL9" s="3">
        <v>932.1</v>
      </c>
      <c r="AM9" s="7">
        <f t="shared" si="27"/>
        <v>-2.1006196828064261E-2</v>
      </c>
      <c r="AN9" s="7">
        <f t="shared" si="12"/>
        <v>-1.7131695946350778E-3</v>
      </c>
      <c r="AO9" s="3">
        <v>933.13</v>
      </c>
      <c r="AP9" s="7">
        <f t="shared" si="28"/>
        <v>-1.4781497788054487E-2</v>
      </c>
      <c r="AQ9" s="7">
        <f t="shared" si="13"/>
        <v>4.5115294453746957E-3</v>
      </c>
      <c r="AR9" s="3">
        <v>175.72</v>
      </c>
      <c r="AS9" s="7">
        <f t="shared" si="29"/>
        <v>-1.5132832642080429E-2</v>
      </c>
      <c r="AT9" s="7">
        <f t="shared" si="14"/>
        <v>4.1601945913487537E-3</v>
      </c>
      <c r="AU9" s="3">
        <v>60013.005899999996</v>
      </c>
      <c r="AV9" s="7">
        <f t="shared" si="30"/>
        <v>-1.9293027233429183E-2</v>
      </c>
    </row>
    <row r="10" spans="1:48" x14ac:dyDescent="0.25">
      <c r="A10" s="2">
        <v>46066</v>
      </c>
      <c r="B10" s="3">
        <v>2327.56</v>
      </c>
      <c r="C10" s="7">
        <f t="shared" si="15"/>
        <v>9.9276255271882885E-3</v>
      </c>
      <c r="D10" s="7">
        <f t="shared" si="0"/>
        <v>-4.6199160749562651E-3</v>
      </c>
      <c r="E10" s="3">
        <v>8436.74</v>
      </c>
      <c r="F10" s="7">
        <f t="shared" si="16"/>
        <v>1.49779120910849E-2</v>
      </c>
      <c r="G10" s="7">
        <f t="shared" si="1"/>
        <v>4.3037048894034591E-4</v>
      </c>
      <c r="H10" s="3">
        <v>2921.65</v>
      </c>
      <c r="I10" s="7">
        <f t="shared" si="17"/>
        <v>1.202661650957948E-2</v>
      </c>
      <c r="J10" s="7">
        <f t="shared" si="2"/>
        <v>-2.5209250925650739E-3</v>
      </c>
      <c r="K10" s="3">
        <v>10669.58</v>
      </c>
      <c r="L10" s="7">
        <f t="shared" si="18"/>
        <v>6.7531546016657007E-3</v>
      </c>
      <c r="M10" s="7">
        <f t="shared" si="3"/>
        <v>-7.7943870004788529E-3</v>
      </c>
      <c r="N10" s="3">
        <v>1494.53</v>
      </c>
      <c r="O10" s="7">
        <f t="shared" si="19"/>
        <v>1.4086322831920794E-2</v>
      </c>
      <c r="P10" s="7">
        <f t="shared" si="4"/>
        <v>-4.6121877022375912E-4</v>
      </c>
      <c r="Q10" s="3">
        <v>1204.6500000000001</v>
      </c>
      <c r="R10" s="7">
        <f t="shared" si="20"/>
        <v>1.9610996377424916E-2</v>
      </c>
      <c r="S10" s="7">
        <f t="shared" si="5"/>
        <v>5.0634547752803627E-3</v>
      </c>
      <c r="T10" s="3">
        <v>259.93</v>
      </c>
      <c r="U10" s="7">
        <f t="shared" si="21"/>
        <v>1.3372319688109258E-2</v>
      </c>
      <c r="V10" s="7">
        <f t="shared" si="6"/>
        <v>-1.175221914035296E-3</v>
      </c>
      <c r="W10" s="3">
        <v>279.99</v>
      </c>
      <c r="X10" s="7">
        <f t="shared" si="22"/>
        <v>1.2365766352099072E-2</v>
      </c>
      <c r="Y10" s="7">
        <f t="shared" si="7"/>
        <v>-2.1817752500454812E-3</v>
      </c>
      <c r="Z10" s="3">
        <v>256.08999999999997</v>
      </c>
      <c r="AA10" s="7">
        <f t="shared" si="23"/>
        <v>1.3816310372129825E-2</v>
      </c>
      <c r="AB10" s="7">
        <f t="shared" si="8"/>
        <v>-7.3123123001472834E-4</v>
      </c>
      <c r="AC10" s="3">
        <v>1188.25</v>
      </c>
      <c r="AD10" s="7">
        <f t="shared" si="24"/>
        <v>1.5424713724149663E-2</v>
      </c>
      <c r="AE10" s="7">
        <f t="shared" si="9"/>
        <v>8.7717212200510986E-4</v>
      </c>
      <c r="AF10" s="3">
        <v>966.41</v>
      </c>
      <c r="AG10" s="7">
        <f t="shared" si="25"/>
        <v>1.4081994564475897E-2</v>
      </c>
      <c r="AH10" s="7">
        <f t="shared" si="10"/>
        <v>-4.6554703766865657E-4</v>
      </c>
      <c r="AI10" s="3">
        <v>5129.03</v>
      </c>
      <c r="AJ10" s="7">
        <f t="shared" si="26"/>
        <v>1.0196444538983496E-2</v>
      </c>
      <c r="AK10" s="7">
        <f t="shared" si="11"/>
        <v>-4.3510970631610579E-3</v>
      </c>
      <c r="AL10" s="3">
        <v>944.64</v>
      </c>
      <c r="AM10" s="7">
        <f t="shared" si="27"/>
        <v>1.3453492114579912E-2</v>
      </c>
      <c r="AN10" s="7">
        <f t="shared" si="12"/>
        <v>-1.0940494875646412E-3</v>
      </c>
      <c r="AO10" s="3">
        <v>943.57</v>
      </c>
      <c r="AP10" s="7">
        <f t="shared" si="28"/>
        <v>1.1188151704478511E-2</v>
      </c>
      <c r="AQ10" s="7">
        <f t="shared" si="13"/>
        <v>-3.359389897666043E-3</v>
      </c>
      <c r="AR10" s="3">
        <v>178.29</v>
      </c>
      <c r="AS10" s="7">
        <f t="shared" si="29"/>
        <v>1.4625540632824841E-2</v>
      </c>
      <c r="AT10" s="7">
        <f t="shared" si="14"/>
        <v>7.7999030680286907E-5</v>
      </c>
      <c r="AU10" s="3">
        <v>60886.047599999998</v>
      </c>
      <c r="AV10" s="7">
        <f t="shared" si="30"/>
        <v>1.4547541602144554E-2</v>
      </c>
    </row>
    <row r="11" spans="1:48" x14ac:dyDescent="0.25">
      <c r="A11" s="2">
        <v>46073</v>
      </c>
      <c r="B11" s="3">
        <v>2347.75</v>
      </c>
      <c r="C11" s="7">
        <f t="shared" si="15"/>
        <v>8.6743198886387596E-3</v>
      </c>
      <c r="D11" s="7">
        <f t="shared" si="0"/>
        <v>1.7868667441189867E-3</v>
      </c>
      <c r="E11" s="3">
        <v>8479.4599999999991</v>
      </c>
      <c r="F11" s="7">
        <f t="shared" si="16"/>
        <v>5.0635672072387727E-3</v>
      </c>
      <c r="G11" s="7">
        <f t="shared" si="1"/>
        <v>-1.8238859372810001E-3</v>
      </c>
      <c r="H11" s="3">
        <v>2934.75</v>
      </c>
      <c r="I11" s="7">
        <f t="shared" si="17"/>
        <v>4.483767733985955E-3</v>
      </c>
      <c r="J11" s="7">
        <f t="shared" si="2"/>
        <v>-2.4036854105338179E-3</v>
      </c>
      <c r="K11" s="3">
        <v>10761.88</v>
      </c>
      <c r="L11" s="7">
        <f t="shared" si="18"/>
        <v>8.6507622605576096E-3</v>
      </c>
      <c r="M11" s="7">
        <f t="shared" si="3"/>
        <v>1.7633091160378367E-3</v>
      </c>
      <c r="N11" s="3">
        <v>1503.38</v>
      </c>
      <c r="O11" s="7">
        <f t="shared" si="19"/>
        <v>5.9215940797441302E-3</v>
      </c>
      <c r="P11" s="7">
        <f t="shared" si="4"/>
        <v>-9.6585906477564265E-4</v>
      </c>
      <c r="Q11" s="3">
        <v>1211.1600000000001</v>
      </c>
      <c r="R11" s="7">
        <f t="shared" si="20"/>
        <v>5.4040592703274992E-3</v>
      </c>
      <c r="S11" s="7">
        <f t="shared" si="5"/>
        <v>-1.4833938741922736E-3</v>
      </c>
      <c r="T11" s="3">
        <v>261.52999999999997</v>
      </c>
      <c r="U11" s="7">
        <f t="shared" si="21"/>
        <v>6.1555034047626744E-3</v>
      </c>
      <c r="V11" s="7">
        <f t="shared" si="6"/>
        <v>-7.3194973975709843E-4</v>
      </c>
      <c r="W11" s="3">
        <v>281.83999999999997</v>
      </c>
      <c r="X11" s="7">
        <f t="shared" si="22"/>
        <v>6.6073788349583218E-3</v>
      </c>
      <c r="Y11" s="7">
        <f t="shared" si="7"/>
        <v>-2.8007430956145107E-4</v>
      </c>
      <c r="Z11" s="3">
        <v>257.61</v>
      </c>
      <c r="AA11" s="7">
        <f t="shared" si="23"/>
        <v>5.9354133312508051E-3</v>
      </c>
      <c r="AB11" s="7">
        <f t="shared" si="8"/>
        <v>-9.5203981326896781E-4</v>
      </c>
      <c r="AC11" s="3">
        <v>1195.73</v>
      </c>
      <c r="AD11" s="7">
        <f t="shared" si="24"/>
        <v>6.2949715968863007E-3</v>
      </c>
      <c r="AE11" s="7">
        <f t="shared" si="9"/>
        <v>-5.9248154763347216E-4</v>
      </c>
      <c r="AF11" s="3">
        <v>974.31</v>
      </c>
      <c r="AG11" s="7">
        <f t="shared" si="25"/>
        <v>8.1745842861724594E-3</v>
      </c>
      <c r="AH11" s="7">
        <f t="shared" si="10"/>
        <v>1.2871311416526865E-3</v>
      </c>
      <c r="AI11" s="3">
        <v>5164.29</v>
      </c>
      <c r="AJ11" s="7">
        <f t="shared" si="26"/>
        <v>6.8745942215195921E-3</v>
      </c>
      <c r="AK11" s="7">
        <f t="shared" si="11"/>
        <v>-1.2858923000180766E-5</v>
      </c>
      <c r="AL11" s="3">
        <v>948.39</v>
      </c>
      <c r="AM11" s="7">
        <f t="shared" si="27"/>
        <v>3.9697662601625439E-3</v>
      </c>
      <c r="AN11" s="7">
        <f t="shared" si="12"/>
        <v>-2.917686884357229E-3</v>
      </c>
      <c r="AO11" s="3">
        <v>947.15</v>
      </c>
      <c r="AP11" s="7">
        <f t="shared" si="28"/>
        <v>3.7941011265723024E-3</v>
      </c>
      <c r="AQ11" s="7">
        <f t="shared" si="13"/>
        <v>-3.0933520179474705E-3</v>
      </c>
      <c r="AR11" s="3">
        <v>179.64</v>
      </c>
      <c r="AS11" s="7">
        <f t="shared" si="29"/>
        <v>7.5719333669863609E-3</v>
      </c>
      <c r="AT11" s="7">
        <f t="shared" si="14"/>
        <v>6.8448022246658802E-4</v>
      </c>
      <c r="AU11" s="3">
        <v>61305.397400000002</v>
      </c>
      <c r="AV11" s="7">
        <f t="shared" si="30"/>
        <v>6.8874531445197729E-3</v>
      </c>
    </row>
    <row r="12" spans="1:48" x14ac:dyDescent="0.25">
      <c r="A12" s="2">
        <v>46080</v>
      </c>
      <c r="B12" s="3">
        <v>2262.37</v>
      </c>
      <c r="C12" s="7">
        <f t="shared" si="15"/>
        <v>-3.6366734107123877E-2</v>
      </c>
      <c r="D12" s="7">
        <f t="shared" si="0"/>
        <v>-6.3955459585253172E-3</v>
      </c>
      <c r="E12" s="3">
        <v>8208.8700000000008</v>
      </c>
      <c r="F12" s="7">
        <f t="shared" si="16"/>
        <v>-3.1911230196262297E-2</v>
      </c>
      <c r="G12" s="7">
        <f t="shared" si="1"/>
        <v>-1.940042047663737E-3</v>
      </c>
      <c r="H12" s="3">
        <v>2829.67</v>
      </c>
      <c r="I12" s="7">
        <f t="shared" si="17"/>
        <v>-3.5805434875202269E-2</v>
      </c>
      <c r="J12" s="7">
        <f t="shared" si="2"/>
        <v>-5.834246726603709E-3</v>
      </c>
      <c r="K12" s="3">
        <v>10327.42</v>
      </c>
      <c r="L12" s="7">
        <f t="shared" si="18"/>
        <v>-4.0370269878497012E-2</v>
      </c>
      <c r="M12" s="7">
        <f t="shared" si="3"/>
        <v>-1.0399081729898452E-2</v>
      </c>
      <c r="N12" s="3">
        <v>1449.73</v>
      </c>
      <c r="O12" s="7">
        <f t="shared" si="19"/>
        <v>-3.5686253641793897E-2</v>
      </c>
      <c r="P12" s="7">
        <f t="shared" si="4"/>
        <v>-5.7150654931953371E-3</v>
      </c>
      <c r="Q12" s="3">
        <v>1172.99</v>
      </c>
      <c r="R12" s="7">
        <f t="shared" si="20"/>
        <v>-3.1515241586578258E-2</v>
      </c>
      <c r="S12" s="7">
        <f t="shared" si="5"/>
        <v>-1.5440534379796977E-3</v>
      </c>
      <c r="T12" s="3">
        <v>252.83</v>
      </c>
      <c r="U12" s="7">
        <f t="shared" si="21"/>
        <v>-3.3265782128245158E-2</v>
      </c>
      <c r="V12" s="7">
        <f t="shared" si="6"/>
        <v>-3.2945939796465984E-3</v>
      </c>
      <c r="W12" s="3">
        <v>271.75</v>
      </c>
      <c r="X12" s="7">
        <f t="shared" si="22"/>
        <v>-3.5800454158387618E-2</v>
      </c>
      <c r="Y12" s="7">
        <f t="shared" si="7"/>
        <v>-5.8292660097890581E-3</v>
      </c>
      <c r="Z12" s="3">
        <v>248.54</v>
      </c>
      <c r="AA12" s="7">
        <f t="shared" si="23"/>
        <v>-3.5208260548891812E-2</v>
      </c>
      <c r="AB12" s="7">
        <f t="shared" si="8"/>
        <v>-5.2370724002932523E-3</v>
      </c>
      <c r="AC12" s="3">
        <v>1156.3</v>
      </c>
      <c r="AD12" s="7">
        <f t="shared" si="24"/>
        <v>-3.2975671765365089E-2</v>
      </c>
      <c r="AE12" s="7">
        <f t="shared" si="9"/>
        <v>-3.004483616766529E-3</v>
      </c>
      <c r="AF12" s="3">
        <v>943.06</v>
      </c>
      <c r="AG12" s="7">
        <f t="shared" si="25"/>
        <v>-3.2073980560601845E-2</v>
      </c>
      <c r="AH12" s="7">
        <f t="shared" si="10"/>
        <v>-2.1027924120032848E-3</v>
      </c>
      <c r="AI12" s="3">
        <v>4951.62</v>
      </c>
      <c r="AJ12" s="7">
        <f t="shared" si="26"/>
        <v>-4.1180878688067524E-2</v>
      </c>
      <c r="AK12" s="7">
        <f t="shared" si="11"/>
        <v>-1.1209690539468964E-2</v>
      </c>
      <c r="AL12" s="3">
        <v>918.25</v>
      </c>
      <c r="AM12" s="7">
        <f t="shared" si="27"/>
        <v>-3.1780174822594098E-2</v>
      </c>
      <c r="AN12" s="7">
        <f t="shared" si="12"/>
        <v>-1.8089866739955385E-3</v>
      </c>
      <c r="AO12" s="3">
        <v>914.11</v>
      </c>
      <c r="AP12" s="7">
        <f t="shared" si="28"/>
        <v>-3.4883598162909757E-2</v>
      </c>
      <c r="AQ12" s="7">
        <f t="shared" si="13"/>
        <v>-4.9124100143111971E-3</v>
      </c>
      <c r="AR12" s="3">
        <v>174.33</v>
      </c>
      <c r="AS12" s="7">
        <f t="shared" si="29"/>
        <v>-2.9559118236472837E-2</v>
      </c>
      <c r="AT12" s="7">
        <f t="shared" si="14"/>
        <v>4.1206991212572319E-4</v>
      </c>
      <c r="AU12" s="3">
        <v>59468.001799999998</v>
      </c>
      <c r="AV12" s="7">
        <f t="shared" si="30"/>
        <v>-2.997118814859856E-2</v>
      </c>
    </row>
    <row r="13" spans="1:48" x14ac:dyDescent="0.25">
      <c r="A13" s="2">
        <v>46087</v>
      </c>
      <c r="B13" s="3">
        <v>2114.92</v>
      </c>
      <c r="C13" s="7">
        <f t="shared" si="15"/>
        <v>-6.5175015581005691E-2</v>
      </c>
      <c r="D13" s="7">
        <f t="shared" si="0"/>
        <v>-7.6788630871110763E-3</v>
      </c>
      <c r="E13" s="3">
        <v>7665.33</v>
      </c>
      <c r="F13" s="7">
        <f t="shared" si="16"/>
        <v>-6.6213741964484818E-2</v>
      </c>
      <c r="G13" s="7">
        <f t="shared" si="1"/>
        <v>-8.7175894705902035E-3</v>
      </c>
      <c r="H13" s="3">
        <v>2666.19</v>
      </c>
      <c r="I13" s="7">
        <f t="shared" si="17"/>
        <v>-5.7773521294002483E-2</v>
      </c>
      <c r="J13" s="7">
        <f t="shared" si="2"/>
        <v>-2.7736880010786891E-4</v>
      </c>
      <c r="K13" s="3">
        <v>9548.9599999999991</v>
      </c>
      <c r="L13" s="7">
        <f t="shared" si="18"/>
        <v>-7.5377974363393885E-2</v>
      </c>
      <c r="M13" s="7">
        <f t="shared" si="3"/>
        <v>-1.788182186949927E-2</v>
      </c>
      <c r="N13" s="3">
        <v>1352.23</v>
      </c>
      <c r="O13" s="7">
        <f t="shared" si="19"/>
        <v>-6.7253902450801206E-2</v>
      </c>
      <c r="P13" s="7">
        <f t="shared" si="4"/>
        <v>-9.7577499569065917E-3</v>
      </c>
      <c r="Q13" s="3">
        <v>1091.06</v>
      </c>
      <c r="R13" s="7">
        <f t="shared" si="20"/>
        <v>-6.9847142771890747E-2</v>
      </c>
      <c r="S13" s="7">
        <f t="shared" si="5"/>
        <v>-1.2350990277996132E-2</v>
      </c>
      <c r="T13" s="3">
        <v>237.86</v>
      </c>
      <c r="U13" s="7">
        <f t="shared" si="21"/>
        <v>-5.9209745678914683E-2</v>
      </c>
      <c r="V13" s="7">
        <f t="shared" si="6"/>
        <v>-1.7135931850200681E-3</v>
      </c>
      <c r="W13" s="3">
        <v>254.98</v>
      </c>
      <c r="X13" s="7">
        <f t="shared" si="22"/>
        <v>-6.1711131554737841E-2</v>
      </c>
      <c r="Y13" s="7">
        <f t="shared" si="7"/>
        <v>-4.2149790608432269E-3</v>
      </c>
      <c r="Z13" s="3">
        <v>232.68</v>
      </c>
      <c r="AA13" s="7">
        <f t="shared" si="23"/>
        <v>-6.3812665969260385E-2</v>
      </c>
      <c r="AB13" s="7">
        <f t="shared" si="8"/>
        <v>-6.3165134753657703E-3</v>
      </c>
      <c r="AC13" s="3">
        <v>1081.76</v>
      </c>
      <c r="AD13" s="7">
        <f t="shared" si="24"/>
        <v>-6.4464239384242839E-2</v>
      </c>
      <c r="AE13" s="7">
        <f t="shared" si="9"/>
        <v>-6.968086890348224E-3</v>
      </c>
      <c r="AF13" s="3">
        <v>882.03</v>
      </c>
      <c r="AG13" s="7">
        <f t="shared" si="25"/>
        <v>-6.4714864377664161E-2</v>
      </c>
      <c r="AH13" s="7">
        <f t="shared" si="10"/>
        <v>-7.2187118837695463E-3</v>
      </c>
      <c r="AI13" s="3">
        <v>4635.76</v>
      </c>
      <c r="AJ13" s="7">
        <f t="shared" si="26"/>
        <v>-6.3789224536616285E-2</v>
      </c>
      <c r="AK13" s="7">
        <f t="shared" si="11"/>
        <v>-6.2930720427216702E-3</v>
      </c>
      <c r="AL13" s="3">
        <v>871.25</v>
      </c>
      <c r="AM13" s="7">
        <f t="shared" si="27"/>
        <v>-5.1184317996188389E-2</v>
      </c>
      <c r="AN13" s="7">
        <f t="shared" si="12"/>
        <v>6.3118344977062257E-3</v>
      </c>
      <c r="AO13" s="3">
        <v>870.29</v>
      </c>
      <c r="AP13" s="7">
        <f t="shared" si="28"/>
        <v>-4.7937337957138726E-2</v>
      </c>
      <c r="AQ13" s="7">
        <f t="shared" si="13"/>
        <v>9.5588145367558885E-3</v>
      </c>
      <c r="AR13" s="3">
        <v>164.83</v>
      </c>
      <c r="AS13" s="7">
        <f t="shared" si="29"/>
        <v>-5.4494349796363251E-2</v>
      </c>
      <c r="AT13" s="7">
        <f t="shared" si="14"/>
        <v>3.0018026975313639E-3</v>
      </c>
      <c r="AU13" s="3">
        <v>56048.820500000002</v>
      </c>
      <c r="AV13" s="7">
        <f t="shared" si="30"/>
        <v>-5.7496152493894614E-2</v>
      </c>
    </row>
    <row r="14" spans="1:48" x14ac:dyDescent="0.25">
      <c r="A14" s="2">
        <v>46094</v>
      </c>
      <c r="B14" s="3">
        <v>2053.86</v>
      </c>
      <c r="C14" s="7">
        <f t="shared" si="15"/>
        <v>-2.8871068409206946E-2</v>
      </c>
      <c r="D14" s="7">
        <f t="shared" si="0"/>
        <v>-1.4733209790041113E-2</v>
      </c>
      <c r="E14" s="3">
        <v>7535.75</v>
      </c>
      <c r="F14" s="7">
        <f t="shared" si="16"/>
        <v>-1.6904686425763815E-2</v>
      </c>
      <c r="G14" s="7">
        <f t="shared" si="1"/>
        <v>-2.7668278065979823E-3</v>
      </c>
      <c r="H14" s="3">
        <v>2611.6799999999998</v>
      </c>
      <c r="I14" s="7">
        <f t="shared" si="17"/>
        <v>-2.0444904526684238E-2</v>
      </c>
      <c r="J14" s="7">
        <f t="shared" si="2"/>
        <v>-6.3070459075184049E-3</v>
      </c>
      <c r="K14" s="3">
        <v>9344.9</v>
      </c>
      <c r="L14" s="7">
        <f t="shared" si="18"/>
        <v>-2.1369866456661168E-2</v>
      </c>
      <c r="M14" s="7">
        <f t="shared" si="3"/>
        <v>-7.2320078374953356E-3</v>
      </c>
      <c r="N14" s="3">
        <v>1330.78</v>
      </c>
      <c r="O14" s="7">
        <f t="shared" si="19"/>
        <v>-1.5862686081509869E-2</v>
      </c>
      <c r="P14" s="7">
        <f t="shared" si="4"/>
        <v>-1.7248274623440363E-3</v>
      </c>
      <c r="Q14" s="3">
        <v>1069</v>
      </c>
      <c r="R14" s="7">
        <f t="shared" si="20"/>
        <v>-2.021886972302156E-2</v>
      </c>
      <c r="S14" s="7">
        <f t="shared" si="5"/>
        <v>-6.0810111038557269E-3</v>
      </c>
      <c r="T14" s="3">
        <v>233.41</v>
      </c>
      <c r="U14" s="7">
        <f t="shared" si="21"/>
        <v>-1.8708483982174506E-2</v>
      </c>
      <c r="V14" s="7">
        <f t="shared" si="6"/>
        <v>-4.5706253630086735E-3</v>
      </c>
      <c r="W14" s="3">
        <v>250.5</v>
      </c>
      <c r="X14" s="7">
        <f t="shared" si="22"/>
        <v>-1.7570005490626706E-2</v>
      </c>
      <c r="Y14" s="7">
        <f t="shared" si="7"/>
        <v>-3.4321468714608727E-3</v>
      </c>
      <c r="Z14" s="3">
        <v>228.38</v>
      </c>
      <c r="AA14" s="7">
        <f t="shared" si="23"/>
        <v>-1.8480316314251399E-2</v>
      </c>
      <c r="AB14" s="7">
        <f t="shared" si="8"/>
        <v>-4.3424576950855664E-3</v>
      </c>
      <c r="AC14" s="3">
        <v>1062.3399999999999</v>
      </c>
      <c r="AD14" s="7">
        <f t="shared" si="24"/>
        <v>-1.7952226002070804E-2</v>
      </c>
      <c r="AE14" s="7">
        <f t="shared" si="9"/>
        <v>-3.8143673829049707E-3</v>
      </c>
      <c r="AF14" s="3">
        <v>867.17</v>
      </c>
      <c r="AG14" s="7">
        <f t="shared" si="25"/>
        <v>-1.6847499518157005E-2</v>
      </c>
      <c r="AH14" s="7">
        <f t="shared" si="10"/>
        <v>-2.7096408989911724E-3</v>
      </c>
      <c r="AI14" s="3">
        <v>4502.45</v>
      </c>
      <c r="AJ14" s="7">
        <f t="shared" si="26"/>
        <v>-2.8756881288073632E-2</v>
      </c>
      <c r="AK14" s="7">
        <f t="shared" si="11"/>
        <v>-1.46190226689078E-2</v>
      </c>
      <c r="AL14" s="3">
        <v>858.88</v>
      </c>
      <c r="AM14" s="7">
        <f t="shared" si="27"/>
        <v>-1.4197991391678655E-2</v>
      </c>
      <c r="AN14" s="7">
        <f t="shared" si="12"/>
        <v>-6.0132772512822008E-5</v>
      </c>
      <c r="AO14" s="3">
        <v>858.67</v>
      </c>
      <c r="AP14" s="7">
        <f t="shared" si="28"/>
        <v>-1.3351871215341982E-2</v>
      </c>
      <c r="AQ14" s="7">
        <f t="shared" si="13"/>
        <v>7.8598740382385124E-4</v>
      </c>
      <c r="AR14" s="3">
        <v>162.77000000000001</v>
      </c>
      <c r="AS14" s="7">
        <f t="shared" si="29"/>
        <v>-1.2497724928714482E-2</v>
      </c>
      <c r="AT14" s="7">
        <f t="shared" si="14"/>
        <v>1.6401336904513508E-3</v>
      </c>
      <c r="AU14" s="3">
        <v>55256.410199999998</v>
      </c>
      <c r="AV14" s="7">
        <f t="shared" si="30"/>
        <v>-1.4137858619165833E-2</v>
      </c>
    </row>
    <row r="15" spans="1:48" x14ac:dyDescent="0.25">
      <c r="A15" s="2">
        <v>46105</v>
      </c>
      <c r="B15" s="3">
        <v>2113.5500000000002</v>
      </c>
      <c r="C15" s="7">
        <f t="shared" si="15"/>
        <v>2.906235089051834E-2</v>
      </c>
      <c r="D15" s="7">
        <f t="shared" si="0"/>
        <v>5.7630450662684574E-3</v>
      </c>
      <c r="E15" s="3">
        <v>7740.9</v>
      </c>
      <c r="F15" s="7">
        <f t="shared" si="16"/>
        <v>2.7223567660816794E-2</v>
      </c>
      <c r="G15" s="7">
        <f t="shared" si="1"/>
        <v>3.9242618365669113E-3</v>
      </c>
      <c r="H15" s="3">
        <v>2676.74</v>
      </c>
      <c r="I15" s="7">
        <f t="shared" si="17"/>
        <v>2.4911168290142616E-2</v>
      </c>
      <c r="J15" s="7">
        <f t="shared" si="2"/>
        <v>1.6118624658927327E-3</v>
      </c>
      <c r="K15" s="3">
        <v>9598.56</v>
      </c>
      <c r="L15" s="7">
        <f t="shared" si="18"/>
        <v>2.714421770163411E-2</v>
      </c>
      <c r="M15" s="7">
        <f t="shared" si="3"/>
        <v>3.8449118773842272E-3</v>
      </c>
      <c r="N15" s="3">
        <v>1361.3</v>
      </c>
      <c r="O15" s="7">
        <f t="shared" si="19"/>
        <v>2.2933918453839075E-2</v>
      </c>
      <c r="P15" s="7">
        <f t="shared" si="4"/>
        <v>-3.6538737041080793E-4</v>
      </c>
      <c r="Q15" s="3">
        <v>1092.3800000000001</v>
      </c>
      <c r="R15" s="7">
        <f t="shared" si="20"/>
        <v>2.1870907390084238E-2</v>
      </c>
      <c r="S15" s="7">
        <f t="shared" si="5"/>
        <v>-1.4283984341656453E-3</v>
      </c>
      <c r="T15" s="3">
        <v>238.99</v>
      </c>
      <c r="U15" s="7">
        <f t="shared" si="21"/>
        <v>2.3906430744184082E-2</v>
      </c>
      <c r="V15" s="7">
        <f t="shared" si="6"/>
        <v>6.0712491993419881E-4</v>
      </c>
      <c r="W15" s="3">
        <v>256.85000000000002</v>
      </c>
      <c r="X15" s="7">
        <f t="shared" si="22"/>
        <v>2.5349301397205704E-2</v>
      </c>
      <c r="Y15" s="7">
        <f t="shared" si="7"/>
        <v>2.0499955729558206E-3</v>
      </c>
      <c r="Z15" s="3">
        <v>233.65</v>
      </c>
      <c r="AA15" s="7">
        <f t="shared" si="23"/>
        <v>2.3075575794728076E-2</v>
      </c>
      <c r="AB15" s="7">
        <f t="shared" si="8"/>
        <v>-2.2373002952180698E-4</v>
      </c>
      <c r="AC15" s="3">
        <v>1085.6300000000001</v>
      </c>
      <c r="AD15" s="7">
        <f t="shared" si="24"/>
        <v>2.1923301391268524E-2</v>
      </c>
      <c r="AE15" s="7">
        <f t="shared" si="9"/>
        <v>-1.3760044329813592E-3</v>
      </c>
      <c r="AF15" s="3">
        <v>887.15</v>
      </c>
      <c r="AG15" s="7">
        <f t="shared" si="25"/>
        <v>2.3040464960734308E-2</v>
      </c>
      <c r="AH15" s="7">
        <f t="shared" si="10"/>
        <v>-2.5884086351557478E-4</v>
      </c>
      <c r="AI15" s="3">
        <v>4631.12</v>
      </c>
      <c r="AJ15" s="7">
        <f t="shared" si="26"/>
        <v>2.8577774322868787E-2</v>
      </c>
      <c r="AK15" s="7">
        <f t="shared" si="11"/>
        <v>5.2784684986189045E-3</v>
      </c>
      <c r="AL15" s="3">
        <v>877.03</v>
      </c>
      <c r="AM15" s="7">
        <f t="shared" si="27"/>
        <v>2.1132172131147486E-2</v>
      </c>
      <c r="AN15" s="7">
        <f t="shared" si="12"/>
        <v>-2.1671336931023966E-3</v>
      </c>
      <c r="AO15" s="3">
        <v>878.98</v>
      </c>
      <c r="AP15" s="7">
        <f t="shared" si="28"/>
        <v>2.3652858490456286E-2</v>
      </c>
      <c r="AQ15" s="7">
        <f t="shared" si="13"/>
        <v>3.5355266620640258E-4</v>
      </c>
      <c r="AR15" s="3">
        <v>166.38</v>
      </c>
      <c r="AS15" s="7">
        <f t="shared" si="29"/>
        <v>2.2178534127910376E-2</v>
      </c>
      <c r="AT15" s="7">
        <f t="shared" si="14"/>
        <v>-1.1207716963395065E-3</v>
      </c>
      <c r="AU15" s="3">
        <v>56543.8462</v>
      </c>
      <c r="AV15" s="7">
        <f t="shared" si="30"/>
        <v>2.3299305824249883E-2</v>
      </c>
    </row>
    <row r="16" spans="1:48" x14ac:dyDescent="0.25">
      <c r="A16" s="2">
        <v>46108</v>
      </c>
      <c r="B16" s="3">
        <v>2113.19</v>
      </c>
      <c r="C16" s="7">
        <f t="shared" si="15"/>
        <v>-1.7032954034690295E-4</v>
      </c>
      <c r="D16" s="7">
        <f t="shared" si="0"/>
        <v>7.200821204007557E-4</v>
      </c>
      <c r="E16" s="3">
        <v>7774.55</v>
      </c>
      <c r="F16" s="7">
        <f t="shared" si="16"/>
        <v>4.3470397498999169E-3</v>
      </c>
      <c r="G16" s="7">
        <f t="shared" si="1"/>
        <v>5.2374514106475756E-3</v>
      </c>
      <c r="H16" s="3">
        <v>2671.61</v>
      </c>
      <c r="I16" s="7">
        <f t="shared" si="17"/>
        <v>-1.9165103820317775E-3</v>
      </c>
      <c r="J16" s="7">
        <f t="shared" si="2"/>
        <v>-1.0260987212841188E-3</v>
      </c>
      <c r="K16" s="3">
        <v>9611.07</v>
      </c>
      <c r="L16" s="7">
        <f t="shared" si="18"/>
        <v>1.3033204980748003E-3</v>
      </c>
      <c r="M16" s="7">
        <f t="shared" si="3"/>
        <v>2.193732158822459E-3</v>
      </c>
      <c r="N16" s="3">
        <v>1360.11</v>
      </c>
      <c r="O16" s="7">
        <f t="shared" si="19"/>
        <v>-8.7416440167487064E-4</v>
      </c>
      <c r="P16" s="7">
        <f t="shared" si="4"/>
        <v>1.6247259072788012E-5</v>
      </c>
      <c r="Q16" s="3">
        <v>1094.3599999999999</v>
      </c>
      <c r="R16" s="7">
        <f t="shared" si="20"/>
        <v>1.8125560702317856E-3</v>
      </c>
      <c r="S16" s="7">
        <f t="shared" si="5"/>
        <v>2.7029677309794442E-3</v>
      </c>
      <c r="T16" s="3">
        <v>238.87</v>
      </c>
      <c r="U16" s="7">
        <f t="shared" si="21"/>
        <v>-5.0211305912384319E-4</v>
      </c>
      <c r="V16" s="7">
        <f t="shared" si="6"/>
        <v>3.8829860162381546E-4</v>
      </c>
      <c r="W16" s="3">
        <v>255.58</v>
      </c>
      <c r="X16" s="7">
        <f t="shared" si="22"/>
        <v>-4.9445201479463297E-3</v>
      </c>
      <c r="Y16" s="7">
        <f t="shared" si="7"/>
        <v>-4.054108487198671E-3</v>
      </c>
      <c r="Z16" s="3">
        <v>233.75</v>
      </c>
      <c r="AA16" s="7">
        <f t="shared" si="23"/>
        <v>4.2799058420706082E-4</v>
      </c>
      <c r="AB16" s="7">
        <f t="shared" si="8"/>
        <v>1.3184022449547195E-3</v>
      </c>
      <c r="AC16" s="3">
        <v>1084.1500000000001</v>
      </c>
      <c r="AD16" s="7">
        <f t="shared" si="24"/>
        <v>-1.3632637270525327E-3</v>
      </c>
      <c r="AE16" s="7">
        <f t="shared" si="9"/>
        <v>-4.7285206630487409E-4</v>
      </c>
      <c r="AF16" s="3">
        <v>887.42</v>
      </c>
      <c r="AG16" s="7">
        <f t="shared" si="25"/>
        <v>3.0434537564105746E-4</v>
      </c>
      <c r="AH16" s="7">
        <f t="shared" si="10"/>
        <v>1.1947570363887161E-3</v>
      </c>
      <c r="AI16" s="3">
        <v>4622.93</v>
      </c>
      <c r="AJ16" s="7">
        <f t="shared" si="26"/>
        <v>-1.7684706939141703E-3</v>
      </c>
      <c r="AK16" s="7">
        <f t="shared" si="11"/>
        <v>-8.7805903316651168E-4</v>
      </c>
      <c r="AL16" s="3">
        <v>875.35</v>
      </c>
      <c r="AM16" s="7">
        <f t="shared" si="27"/>
        <v>-1.9155559102880249E-3</v>
      </c>
      <c r="AN16" s="7">
        <f t="shared" si="12"/>
        <v>-1.0251442495403662E-3</v>
      </c>
      <c r="AO16" s="3">
        <v>878.5</v>
      </c>
      <c r="AP16" s="7">
        <f t="shared" si="28"/>
        <v>-5.4608751052354076E-4</v>
      </c>
      <c r="AQ16" s="7">
        <f t="shared" si="13"/>
        <v>3.4432415022411789E-4</v>
      </c>
      <c r="AR16" s="3">
        <v>165.84</v>
      </c>
      <c r="AS16" s="7">
        <f t="shared" si="29"/>
        <v>-3.2455824017308954E-3</v>
      </c>
      <c r="AT16" s="7">
        <f t="shared" si="14"/>
        <v>-2.3551707409832368E-3</v>
      </c>
      <c r="AU16" s="3">
        <v>56493.498899999999</v>
      </c>
      <c r="AV16" s="7">
        <f t="shared" si="30"/>
        <v>-8.9041166074765865E-4</v>
      </c>
    </row>
    <row r="17" spans="1:48" x14ac:dyDescent="0.25">
      <c r="A17" s="2">
        <v>46115</v>
      </c>
      <c r="B17" s="3">
        <v>2140.8200000000002</v>
      </c>
      <c r="C17" s="7">
        <f t="shared" si="15"/>
        <v>1.3075019283642408E-2</v>
      </c>
      <c r="D17" s="7">
        <f t="shared" si="0"/>
        <v>-3.9822867562213649E-3</v>
      </c>
      <c r="E17" s="3">
        <v>7926.18</v>
      </c>
      <c r="F17" s="7">
        <f t="shared" si="16"/>
        <v>1.9503379616826688E-2</v>
      </c>
      <c r="G17" s="7">
        <f t="shared" si="1"/>
        <v>2.4460735769629149E-3</v>
      </c>
      <c r="H17" s="3">
        <v>2710.38</v>
      </c>
      <c r="I17" s="7">
        <f t="shared" si="17"/>
        <v>1.4511848660545557E-2</v>
      </c>
      <c r="J17" s="7">
        <f t="shared" si="2"/>
        <v>-2.5454573793182167E-3</v>
      </c>
      <c r="K17" s="3">
        <v>9641.8799999999992</v>
      </c>
      <c r="L17" s="7">
        <f t="shared" si="18"/>
        <v>3.2056784520348991E-3</v>
      </c>
      <c r="M17" s="7">
        <f t="shared" si="3"/>
        <v>-1.3851627587828874E-2</v>
      </c>
      <c r="N17" s="3">
        <v>1374.17</v>
      </c>
      <c r="O17" s="7">
        <f t="shared" si="19"/>
        <v>1.0337399180948781E-2</v>
      </c>
      <c r="P17" s="7">
        <f t="shared" si="4"/>
        <v>-6.7199068589149924E-3</v>
      </c>
      <c r="Q17" s="3">
        <v>1117.51</v>
      </c>
      <c r="R17" s="7">
        <f t="shared" si="20"/>
        <v>2.1153916444314635E-2</v>
      </c>
      <c r="S17" s="7">
        <f t="shared" si="5"/>
        <v>4.0966104044508622E-3</v>
      </c>
      <c r="T17" s="3">
        <v>242.67</v>
      </c>
      <c r="U17" s="7">
        <f t="shared" si="21"/>
        <v>1.5908234604596672E-2</v>
      </c>
      <c r="V17" s="7">
        <f t="shared" si="6"/>
        <v>-1.1490714352671016E-3</v>
      </c>
      <c r="W17" s="3">
        <v>259.11</v>
      </c>
      <c r="X17" s="7">
        <f t="shared" si="22"/>
        <v>1.3811722356992018E-2</v>
      </c>
      <c r="Y17" s="7">
        <f t="shared" si="7"/>
        <v>-3.2455836828717555E-3</v>
      </c>
      <c r="Z17" s="3">
        <v>237.85</v>
      </c>
      <c r="AA17" s="7">
        <f t="shared" si="23"/>
        <v>1.7540106951871692E-2</v>
      </c>
      <c r="AB17" s="7">
        <f t="shared" si="8"/>
        <v>4.8280091200791908E-4</v>
      </c>
      <c r="AC17" s="3">
        <v>1105.24</v>
      </c>
      <c r="AD17" s="7">
        <f t="shared" si="24"/>
        <v>1.9453027717566629E-2</v>
      </c>
      <c r="AE17" s="7">
        <f t="shared" si="9"/>
        <v>2.3957216777028556E-3</v>
      </c>
      <c r="AF17" s="3">
        <v>903.71</v>
      </c>
      <c r="AG17" s="7">
        <f t="shared" si="25"/>
        <v>1.8356584255482256E-2</v>
      </c>
      <c r="AH17" s="7">
        <f t="shared" si="10"/>
        <v>1.2992782156184823E-3</v>
      </c>
      <c r="AI17" s="3">
        <v>4656.17</v>
      </c>
      <c r="AJ17" s="7">
        <f t="shared" si="26"/>
        <v>7.1902451475578388E-3</v>
      </c>
      <c r="AK17" s="7">
        <f t="shared" si="11"/>
        <v>-9.8670608923059344E-3</v>
      </c>
      <c r="AL17" s="3">
        <v>889.81</v>
      </c>
      <c r="AM17" s="7">
        <f t="shared" si="27"/>
        <v>1.6519106643057002E-2</v>
      </c>
      <c r="AN17" s="7">
        <f t="shared" si="12"/>
        <v>-5.3819939680677109E-4</v>
      </c>
      <c r="AO17" s="3">
        <v>892.66</v>
      </c>
      <c r="AP17" s="7">
        <f t="shared" si="28"/>
        <v>1.6118383608423326E-2</v>
      </c>
      <c r="AQ17" s="7">
        <f t="shared" si="13"/>
        <v>-9.3892243144044762E-4</v>
      </c>
      <c r="AR17" s="3">
        <v>168.76</v>
      </c>
      <c r="AS17" s="7">
        <f t="shared" si="29"/>
        <v>1.7607332368547945E-2</v>
      </c>
      <c r="AT17" s="7">
        <f t="shared" si="14"/>
        <v>5.5002632868417223E-4</v>
      </c>
      <c r="AU17" s="3">
        <v>57457.125800000002</v>
      </c>
      <c r="AV17" s="7">
        <f t="shared" si="30"/>
        <v>1.7057306039863773E-2</v>
      </c>
    </row>
    <row r="18" spans="1:48" x14ac:dyDescent="0.25">
      <c r="A18" s="2">
        <v>46122</v>
      </c>
      <c r="B18" s="3">
        <v>2224.31</v>
      </c>
      <c r="C18" s="7">
        <f t="shared" si="15"/>
        <v>3.8999075120748072E-2</v>
      </c>
      <c r="D18" s="7">
        <f t="shared" si="0"/>
        <v>-1.4244524474691378E-2</v>
      </c>
      <c r="E18" s="3">
        <v>8378.9599999999991</v>
      </c>
      <c r="F18" s="7">
        <f t="shared" si="16"/>
        <v>5.7124617407124045E-2</v>
      </c>
      <c r="G18" s="7">
        <f t="shared" si="1"/>
        <v>3.881017811684595E-3</v>
      </c>
      <c r="H18" s="3">
        <v>2847.52</v>
      </c>
      <c r="I18" s="7">
        <f t="shared" si="17"/>
        <v>5.0598071119178911E-2</v>
      </c>
      <c r="J18" s="7">
        <f t="shared" si="2"/>
        <v>-2.6455284762605391E-3</v>
      </c>
      <c r="K18" s="3">
        <v>10091.65</v>
      </c>
      <c r="L18" s="7">
        <f t="shared" si="18"/>
        <v>4.6647541765713729E-2</v>
      </c>
      <c r="M18" s="7">
        <f t="shared" si="3"/>
        <v>-6.5960578297257211E-3</v>
      </c>
      <c r="N18" s="3">
        <v>1432.61</v>
      </c>
      <c r="O18" s="7">
        <f t="shared" si="19"/>
        <v>4.2527489320826284E-2</v>
      </c>
      <c r="P18" s="7">
        <f t="shared" si="4"/>
        <v>-1.0716110274613166E-2</v>
      </c>
      <c r="Q18" s="3">
        <v>1185.29</v>
      </c>
      <c r="R18" s="7">
        <f t="shared" si="20"/>
        <v>6.0652701094397354E-2</v>
      </c>
      <c r="S18" s="7">
        <f t="shared" si="5"/>
        <v>7.409101498957904E-3</v>
      </c>
      <c r="T18" s="3">
        <v>254.78</v>
      </c>
      <c r="U18" s="7">
        <f t="shared" si="21"/>
        <v>4.9903160670869973E-2</v>
      </c>
      <c r="V18" s="7">
        <f t="shared" si="6"/>
        <v>-3.3404389245694777E-3</v>
      </c>
      <c r="W18" s="3">
        <v>270.99</v>
      </c>
      <c r="X18" s="7">
        <f t="shared" si="22"/>
        <v>4.5849253212921104E-2</v>
      </c>
      <c r="Y18" s="7">
        <f t="shared" si="7"/>
        <v>-7.3943463825183464E-3</v>
      </c>
      <c r="Z18" s="3">
        <v>251.51</v>
      </c>
      <c r="AA18" s="7">
        <f t="shared" si="23"/>
        <v>5.7431154088711356E-2</v>
      </c>
      <c r="AB18" s="7">
        <f t="shared" si="8"/>
        <v>4.1875544932719055E-3</v>
      </c>
      <c r="AC18" s="3">
        <v>1167.8900000000001</v>
      </c>
      <c r="AD18" s="7">
        <f t="shared" si="24"/>
        <v>5.6684521009011668E-2</v>
      </c>
      <c r="AE18" s="7">
        <f t="shared" si="9"/>
        <v>3.4409214135722177E-3</v>
      </c>
      <c r="AF18" s="3">
        <v>955.47</v>
      </c>
      <c r="AG18" s="7">
        <f t="shared" si="25"/>
        <v>5.7275010788859326E-2</v>
      </c>
      <c r="AH18" s="7">
        <f t="shared" si="10"/>
        <v>4.031411193419876E-3</v>
      </c>
      <c r="AI18" s="3">
        <v>4851.49</v>
      </c>
      <c r="AJ18" s="7">
        <f t="shared" si="26"/>
        <v>4.1948640191401987E-2</v>
      </c>
      <c r="AK18" s="7">
        <f t="shared" si="11"/>
        <v>-1.1294959404037463E-2</v>
      </c>
      <c r="AL18" s="3">
        <v>932.77</v>
      </c>
      <c r="AM18" s="7">
        <f t="shared" si="27"/>
        <v>4.8279969881210638E-2</v>
      </c>
      <c r="AN18" s="7">
        <f t="shared" si="12"/>
        <v>-4.9636297142288122E-3</v>
      </c>
      <c r="AO18" s="3">
        <v>934.21</v>
      </c>
      <c r="AP18" s="7">
        <f t="shared" si="28"/>
        <v>4.6546277418054061E-2</v>
      </c>
      <c r="AQ18" s="7">
        <f t="shared" si="13"/>
        <v>-6.6973221773853897E-3</v>
      </c>
      <c r="AR18" s="3">
        <v>177.76</v>
      </c>
      <c r="AS18" s="7">
        <f t="shared" si="29"/>
        <v>5.3330173026783667E-2</v>
      </c>
      <c r="AT18" s="7">
        <f t="shared" si="14"/>
        <v>8.65734313442168E-5</v>
      </c>
      <c r="AU18" s="3">
        <v>60516.35</v>
      </c>
      <c r="AV18" s="7">
        <f t="shared" si="30"/>
        <v>5.324359959543945E-2</v>
      </c>
    </row>
    <row r="19" spans="1:48" x14ac:dyDescent="0.25">
      <c r="A19" s="2">
        <v>46129</v>
      </c>
      <c r="B19" s="3">
        <v>2321.14</v>
      </c>
      <c r="C19" s="7">
        <f t="shared" si="15"/>
        <v>4.3532601121246461E-2</v>
      </c>
      <c r="D19" s="7">
        <f t="shared" si="0"/>
        <v>6.507865372538113E-4</v>
      </c>
      <c r="E19" s="3">
        <v>8799.6299999999992</v>
      </c>
      <c r="F19" s="7">
        <f t="shared" si="16"/>
        <v>5.020551476555557E-2</v>
      </c>
      <c r="G19" s="7">
        <f t="shared" si="1"/>
        <v>7.3237001815629199E-3</v>
      </c>
      <c r="H19" s="3">
        <v>2981.78</v>
      </c>
      <c r="I19" s="7">
        <f t="shared" si="17"/>
        <v>4.7149800528178964E-2</v>
      </c>
      <c r="J19" s="7">
        <f t="shared" si="2"/>
        <v>4.2679859441863144E-3</v>
      </c>
      <c r="K19" s="3">
        <v>10516.17</v>
      </c>
      <c r="L19" s="7">
        <f t="shared" si="18"/>
        <v>4.2066460885979984E-2</v>
      </c>
      <c r="M19" s="7">
        <f t="shared" si="3"/>
        <v>-8.1535369801266633E-4</v>
      </c>
      <c r="N19" s="3">
        <v>1483.89</v>
      </c>
      <c r="O19" s="7">
        <f t="shared" si="19"/>
        <v>3.5794808077564966E-2</v>
      </c>
      <c r="P19" s="7">
        <f t="shared" si="4"/>
        <v>-7.0870065064276844E-3</v>
      </c>
      <c r="Q19" s="3">
        <v>1240.6099999999999</v>
      </c>
      <c r="R19" s="7">
        <f t="shared" si="20"/>
        <v>4.6672122434172181E-2</v>
      </c>
      <c r="S19" s="7">
        <f t="shared" si="5"/>
        <v>3.7903078501795306E-3</v>
      </c>
      <c r="T19" s="3">
        <v>266.04000000000002</v>
      </c>
      <c r="U19" s="7">
        <f t="shared" si="21"/>
        <v>4.4194991757594781E-2</v>
      </c>
      <c r="V19" s="7">
        <f t="shared" si="6"/>
        <v>1.3131771736021314E-3</v>
      </c>
      <c r="W19" s="3">
        <v>282.24</v>
      </c>
      <c r="X19" s="7">
        <f t="shared" si="22"/>
        <v>4.1514447027565682E-2</v>
      </c>
      <c r="Y19" s="7">
        <f t="shared" si="7"/>
        <v>-1.3673675564269683E-3</v>
      </c>
      <c r="Z19" s="3">
        <v>263.56</v>
      </c>
      <c r="AA19" s="7">
        <f t="shared" si="23"/>
        <v>4.7910619856069481E-2</v>
      </c>
      <c r="AB19" s="7">
        <f t="shared" si="8"/>
        <v>5.0288052720768306E-3</v>
      </c>
      <c r="AC19" s="3">
        <v>1217.77</v>
      </c>
      <c r="AD19" s="7">
        <f t="shared" si="24"/>
        <v>4.2709501751021062E-2</v>
      </c>
      <c r="AE19" s="7">
        <f t="shared" si="9"/>
        <v>-1.7231283297158839E-4</v>
      </c>
      <c r="AF19" s="3">
        <v>1002.67</v>
      </c>
      <c r="AG19" s="7">
        <f t="shared" si="25"/>
        <v>4.9399771840036744E-2</v>
      </c>
      <c r="AH19" s="7">
        <f t="shared" si="10"/>
        <v>6.5179572560440935E-3</v>
      </c>
      <c r="AI19" s="3">
        <v>5078.29</v>
      </c>
      <c r="AJ19" s="7">
        <f t="shared" si="26"/>
        <v>4.6748524680046755E-2</v>
      </c>
      <c r="AK19" s="7">
        <f t="shared" si="11"/>
        <v>3.8667100960541045E-3</v>
      </c>
      <c r="AL19" s="3">
        <v>970.6</v>
      </c>
      <c r="AM19" s="7">
        <f t="shared" si="27"/>
        <v>4.0556621675225557E-2</v>
      </c>
      <c r="AN19" s="7">
        <f t="shared" si="12"/>
        <v>-2.3251929087670931E-3</v>
      </c>
      <c r="AO19" s="3">
        <v>969.09</v>
      </c>
      <c r="AP19" s="7">
        <f t="shared" si="28"/>
        <v>3.7336359062737579E-2</v>
      </c>
      <c r="AQ19" s="7">
        <f t="shared" si="13"/>
        <v>-5.5454555212550716E-3</v>
      </c>
      <c r="AR19" s="3">
        <v>186.67</v>
      </c>
      <c r="AS19" s="7">
        <f t="shared" si="29"/>
        <v>5.0123762376237613E-2</v>
      </c>
      <c r="AT19" s="7">
        <f t="shared" si="14"/>
        <v>7.2419477922449627E-3</v>
      </c>
      <c r="AU19" s="3">
        <v>63111.400900000001</v>
      </c>
      <c r="AV19" s="7">
        <f t="shared" si="30"/>
        <v>4.288181458399265E-2</v>
      </c>
    </row>
    <row r="20" spans="1:48" x14ac:dyDescent="0.25">
      <c r="A20" s="2">
        <v>46136</v>
      </c>
      <c r="B20" s="3">
        <v>2247.0300000000002</v>
      </c>
      <c r="C20" s="7">
        <f t="shared" si="15"/>
        <v>-3.192827662269393E-2</v>
      </c>
      <c r="D20" s="7">
        <f t="shared" si="0"/>
        <v>-9.9511048245632949E-3</v>
      </c>
      <c r="E20" s="3">
        <v>8585.5</v>
      </c>
      <c r="F20" s="7">
        <f t="shared" si="16"/>
        <v>-2.43339776786069E-2</v>
      </c>
      <c r="G20" s="7">
        <f t="shared" si="1"/>
        <v>-2.3568058804762648E-3</v>
      </c>
      <c r="H20" s="3">
        <v>2899.7</v>
      </c>
      <c r="I20" s="7">
        <f t="shared" si="17"/>
        <v>-2.7527181750498175E-2</v>
      </c>
      <c r="J20" s="7">
        <f t="shared" si="2"/>
        <v>-5.5500099523675406E-3</v>
      </c>
      <c r="K20" s="3">
        <v>10215.719999999999</v>
      </c>
      <c r="L20" s="7">
        <f t="shared" si="18"/>
        <v>-2.8570287471579525E-2</v>
      </c>
      <c r="M20" s="7">
        <f t="shared" si="3"/>
        <v>-6.5931156734488905E-3</v>
      </c>
      <c r="N20" s="3">
        <v>1447.99</v>
      </c>
      <c r="O20" s="7">
        <f t="shared" si="19"/>
        <v>-2.4193167957193618E-2</v>
      </c>
      <c r="P20" s="7">
        <f t="shared" si="4"/>
        <v>-2.2159961590629829E-3</v>
      </c>
      <c r="Q20" s="3">
        <v>1208.94</v>
      </c>
      <c r="R20" s="7">
        <f t="shared" si="20"/>
        <v>-2.5527764567430444E-2</v>
      </c>
      <c r="S20" s="7">
        <f t="shared" si="5"/>
        <v>-3.5505927692998096E-3</v>
      </c>
      <c r="T20" s="3">
        <v>259.27</v>
      </c>
      <c r="U20" s="7">
        <f t="shared" si="21"/>
        <v>-2.5447301157720759E-2</v>
      </c>
      <c r="V20" s="7">
        <f t="shared" si="6"/>
        <v>-3.4701293595901239E-3</v>
      </c>
      <c r="W20" s="3">
        <v>274.54000000000002</v>
      </c>
      <c r="X20" s="7">
        <f t="shared" si="22"/>
        <v>-2.7281746031746046E-2</v>
      </c>
      <c r="Y20" s="7">
        <f t="shared" si="7"/>
        <v>-5.3045742336154111E-3</v>
      </c>
      <c r="Z20" s="3">
        <v>257.13</v>
      </c>
      <c r="AA20" s="7">
        <f t="shared" si="23"/>
        <v>-2.4396721809075705E-2</v>
      </c>
      <c r="AB20" s="7">
        <f t="shared" si="8"/>
        <v>-2.4195500109450707E-3</v>
      </c>
      <c r="AC20" s="3">
        <v>1186.8800000000001</v>
      </c>
      <c r="AD20" s="7">
        <f t="shared" si="24"/>
        <v>-2.5366037921774942E-2</v>
      </c>
      <c r="AE20" s="7">
        <f t="shared" si="9"/>
        <v>-3.3888661236443074E-3</v>
      </c>
      <c r="AF20" s="3">
        <v>979.5</v>
      </c>
      <c r="AG20" s="7">
        <f t="shared" si="25"/>
        <v>-2.3108300836765849E-2</v>
      </c>
      <c r="AH20" s="7">
        <f t="shared" si="10"/>
        <v>-1.1311290386352146E-3</v>
      </c>
      <c r="AI20" s="3">
        <v>4893.3999999999996</v>
      </c>
      <c r="AJ20" s="7">
        <f t="shared" si="26"/>
        <v>-3.6407924714815465E-2</v>
      </c>
      <c r="AK20" s="7">
        <f t="shared" si="11"/>
        <v>-1.443075291668483E-2</v>
      </c>
      <c r="AL20" s="3">
        <v>945.34</v>
      </c>
      <c r="AM20" s="7">
        <f t="shared" si="27"/>
        <v>-2.6025139089223104E-2</v>
      </c>
      <c r="AN20" s="7">
        <f t="shared" si="12"/>
        <v>-4.0479672910924691E-3</v>
      </c>
      <c r="AO20" s="3">
        <v>940.87</v>
      </c>
      <c r="AP20" s="7">
        <f t="shared" si="28"/>
        <v>-2.9120102364073586E-2</v>
      </c>
      <c r="AQ20" s="7">
        <f t="shared" si="13"/>
        <v>-7.1429305659429509E-3</v>
      </c>
      <c r="AR20" s="3">
        <v>182.06</v>
      </c>
      <c r="AS20" s="7">
        <f t="shared" si="29"/>
        <v>-2.469598757165048E-2</v>
      </c>
      <c r="AT20" s="7">
        <f t="shared" si="14"/>
        <v>-2.7188157735198448E-3</v>
      </c>
      <c r="AU20" s="3">
        <v>61724.390800000001</v>
      </c>
      <c r="AV20" s="7">
        <f t="shared" si="30"/>
        <v>-2.1977171798130635E-2</v>
      </c>
    </row>
    <row r="21" spans="1:48" x14ac:dyDescent="0.25">
      <c r="A21" s="2">
        <v>46146</v>
      </c>
      <c r="B21" s="3">
        <v>2227.1</v>
      </c>
      <c r="C21" s="7">
        <f t="shared" si="15"/>
        <v>-8.8694854986360872E-3</v>
      </c>
      <c r="D21" s="7">
        <f t="shared" si="0"/>
        <v>-2.5989724164721117E-3</v>
      </c>
      <c r="E21" s="3">
        <v>8483.86</v>
      </c>
      <c r="F21" s="7">
        <f t="shared" si="16"/>
        <v>-1.1838565022421421E-2</v>
      </c>
      <c r="G21" s="7">
        <f t="shared" si="1"/>
        <v>-5.5680519402574458E-3</v>
      </c>
      <c r="H21" s="3">
        <v>2868.97</v>
      </c>
      <c r="I21" s="7">
        <f t="shared" si="17"/>
        <v>-1.059764803255514E-2</v>
      </c>
      <c r="J21" s="7">
        <f t="shared" si="2"/>
        <v>-4.3271349503911649E-3</v>
      </c>
      <c r="K21" s="3">
        <v>10101.74</v>
      </c>
      <c r="L21" s="7">
        <f t="shared" si="18"/>
        <v>-1.1157314413472563E-2</v>
      </c>
      <c r="M21" s="7">
        <f t="shared" si="3"/>
        <v>-4.8868013313085878E-3</v>
      </c>
      <c r="N21" s="3">
        <v>1436.32</v>
      </c>
      <c r="O21" s="7">
        <f t="shared" si="19"/>
        <v>-8.0594479243641937E-3</v>
      </c>
      <c r="P21" s="7">
        <f t="shared" si="4"/>
        <v>-1.7889348422002183E-3</v>
      </c>
      <c r="Q21" s="3">
        <v>1197.3800000000001</v>
      </c>
      <c r="R21" s="7">
        <f t="shared" si="20"/>
        <v>-9.5620957202177115E-3</v>
      </c>
      <c r="S21" s="7">
        <f t="shared" si="5"/>
        <v>-3.2915826380537361E-3</v>
      </c>
      <c r="T21" s="3">
        <v>256.79000000000002</v>
      </c>
      <c r="U21" s="7">
        <f t="shared" si="21"/>
        <v>-9.5653180082537759E-3</v>
      </c>
      <c r="V21" s="7">
        <f t="shared" si="6"/>
        <v>-3.2948049260898005E-3</v>
      </c>
      <c r="W21" s="3">
        <v>272.08</v>
      </c>
      <c r="X21" s="7">
        <f t="shared" si="22"/>
        <v>-8.9604429227072568E-3</v>
      </c>
      <c r="Y21" s="7">
        <f t="shared" si="7"/>
        <v>-2.6899298405432814E-3</v>
      </c>
      <c r="Z21" s="3">
        <v>254.68</v>
      </c>
      <c r="AA21" s="7">
        <f t="shared" si="23"/>
        <v>-9.5282541904873064E-3</v>
      </c>
      <c r="AB21" s="7">
        <f t="shared" si="8"/>
        <v>-3.257741108323331E-3</v>
      </c>
      <c r="AC21" s="3">
        <v>1179.45</v>
      </c>
      <c r="AD21" s="7">
        <f t="shared" si="24"/>
        <v>-6.2601105419251013E-3</v>
      </c>
      <c r="AE21" s="7">
        <f t="shared" si="9"/>
        <v>1.0402540238874103E-5</v>
      </c>
      <c r="AF21" s="3">
        <v>969.03</v>
      </c>
      <c r="AG21" s="7">
        <f t="shared" si="25"/>
        <v>-1.0689127105666163E-2</v>
      </c>
      <c r="AH21" s="7">
        <f t="shared" si="10"/>
        <v>-4.4186140235021876E-3</v>
      </c>
      <c r="AI21" s="3">
        <v>4836.09</v>
      </c>
      <c r="AJ21" s="7">
        <f t="shared" si="26"/>
        <v>-1.1711693301181048E-2</v>
      </c>
      <c r="AK21" s="7">
        <f t="shared" si="11"/>
        <v>-5.4411802190170722E-3</v>
      </c>
      <c r="AL21" s="3">
        <v>938.55</v>
      </c>
      <c r="AM21" s="7">
        <f t="shared" si="27"/>
        <v>-7.182600968963615E-3</v>
      </c>
      <c r="AN21" s="7">
        <f t="shared" si="12"/>
        <v>-9.1208788679963959E-4</v>
      </c>
      <c r="AO21" s="3">
        <v>935.41</v>
      </c>
      <c r="AP21" s="7">
        <f t="shared" si="28"/>
        <v>-5.8031396473476882E-3</v>
      </c>
      <c r="AQ21" s="7">
        <f t="shared" si="13"/>
        <v>4.6737343481628724E-4</v>
      </c>
      <c r="AR21" s="3">
        <v>180.5</v>
      </c>
      <c r="AS21" s="7">
        <f t="shared" si="29"/>
        <v>-8.5686037570031903E-3</v>
      </c>
      <c r="AT21" s="7">
        <f t="shared" si="14"/>
        <v>-2.2980906748392149E-3</v>
      </c>
      <c r="AU21" s="3">
        <v>61337.347199999997</v>
      </c>
      <c r="AV21" s="7">
        <f t="shared" si="30"/>
        <v>-6.2705130821639754E-3</v>
      </c>
    </row>
    <row r="22" spans="1:48" x14ac:dyDescent="0.25">
      <c r="A22" s="2">
        <v>46150</v>
      </c>
      <c r="B22" s="3">
        <v>2279.13</v>
      </c>
      <c r="C22" s="7">
        <f t="shared" si="15"/>
        <v>2.3362219927259842E-2</v>
      </c>
      <c r="D22" s="7">
        <f t="shared" si="0"/>
        <v>9.7584819423213176E-3</v>
      </c>
      <c r="E22" s="3">
        <v>8619.27</v>
      </c>
      <c r="F22" s="7">
        <f t="shared" si="16"/>
        <v>1.5960895158571686E-2</v>
      </c>
      <c r="G22" s="7">
        <f t="shared" si="1"/>
        <v>2.357157173633162E-3</v>
      </c>
      <c r="H22" s="3">
        <v>2914.18</v>
      </c>
      <c r="I22" s="7">
        <f t="shared" si="17"/>
        <v>1.5758268646935969E-2</v>
      </c>
      <c r="J22" s="7">
        <f t="shared" si="2"/>
        <v>2.1545306619974447E-3</v>
      </c>
      <c r="K22" s="3">
        <v>10287.18</v>
      </c>
      <c r="L22" s="7">
        <f t="shared" si="18"/>
        <v>1.8357233506306914E-2</v>
      </c>
      <c r="M22" s="7">
        <f t="shared" si="3"/>
        <v>4.7534955213683894E-3</v>
      </c>
      <c r="N22" s="3">
        <v>1456.64</v>
      </c>
      <c r="O22" s="7">
        <f t="shared" si="19"/>
        <v>1.4147265233374284E-2</v>
      </c>
      <c r="P22" s="7">
        <f t="shared" si="4"/>
        <v>5.4352724843576006E-4</v>
      </c>
      <c r="Q22" s="3">
        <v>1217.96</v>
      </c>
      <c r="R22" s="7">
        <f t="shared" si="20"/>
        <v>1.7187526098648709E-2</v>
      </c>
      <c r="S22" s="7">
        <f t="shared" si="5"/>
        <v>3.5837881137101846E-3</v>
      </c>
      <c r="T22" s="3">
        <v>260.68</v>
      </c>
      <c r="U22" s="7">
        <f t="shared" si="21"/>
        <v>1.5148564975271617E-2</v>
      </c>
      <c r="V22" s="7">
        <f t="shared" si="6"/>
        <v>1.5448269903330925E-3</v>
      </c>
      <c r="W22" s="3">
        <v>275.62</v>
      </c>
      <c r="X22" s="7">
        <f t="shared" si="22"/>
        <v>1.3010879153190213E-2</v>
      </c>
      <c r="Y22" s="7">
        <f t="shared" si="7"/>
        <v>-5.9285883174831078E-4</v>
      </c>
      <c r="Z22" s="3">
        <v>258.85000000000002</v>
      </c>
      <c r="AA22" s="7">
        <f t="shared" si="23"/>
        <v>1.637348829904206E-2</v>
      </c>
      <c r="AB22" s="7">
        <f t="shared" si="8"/>
        <v>2.7697503141035362E-3</v>
      </c>
      <c r="AC22" s="3">
        <v>1198.42</v>
      </c>
      <c r="AD22" s="7">
        <f t="shared" si="24"/>
        <v>1.60837678579E-2</v>
      </c>
      <c r="AE22" s="7">
        <f t="shared" si="9"/>
        <v>2.4800298729614756E-3</v>
      </c>
      <c r="AF22" s="3">
        <v>986.21</v>
      </c>
      <c r="AG22" s="7">
        <f t="shared" si="25"/>
        <v>1.7729069275461029E-2</v>
      </c>
      <c r="AH22" s="7">
        <f t="shared" si="10"/>
        <v>4.1253312905225048E-3</v>
      </c>
      <c r="AI22" s="3">
        <v>4914.8999999999996</v>
      </c>
      <c r="AJ22" s="7">
        <f t="shared" si="26"/>
        <v>1.6296222775010305E-2</v>
      </c>
      <c r="AK22" s="7">
        <f t="shared" si="11"/>
        <v>2.6924847900717808E-3</v>
      </c>
      <c r="AL22" s="3">
        <v>950.98</v>
      </c>
      <c r="AM22" s="7">
        <f t="shared" si="27"/>
        <v>1.3243833573064911E-2</v>
      </c>
      <c r="AN22" s="7">
        <f t="shared" si="12"/>
        <v>-3.5990441187361277E-4</v>
      </c>
      <c r="AO22" s="3">
        <v>944.35</v>
      </c>
      <c r="AP22" s="7">
        <f t="shared" si="28"/>
        <v>9.5573064217830961E-3</v>
      </c>
      <c r="AQ22" s="7">
        <f t="shared" si="13"/>
        <v>-4.0464315631554282E-3</v>
      </c>
      <c r="AR22" s="3">
        <v>183.24</v>
      </c>
      <c r="AS22" s="7">
        <f t="shared" si="29"/>
        <v>1.5180055401662118E-2</v>
      </c>
      <c r="AT22" s="7">
        <f t="shared" si="14"/>
        <v>1.5763174167235938E-3</v>
      </c>
      <c r="AU22" s="3">
        <v>62171.7644</v>
      </c>
      <c r="AV22" s="7">
        <f t="shared" si="30"/>
        <v>1.3603737984938524E-2</v>
      </c>
    </row>
    <row r="23" spans="1:48" x14ac:dyDescent="0.25">
      <c r="A23" s="2">
        <v>46157</v>
      </c>
      <c r="B23" s="3">
        <v>2207.1</v>
      </c>
      <c r="C23" s="7">
        <f t="shared" si="15"/>
        <v>-3.1604164747074615E-2</v>
      </c>
      <c r="D23" s="7">
        <f t="shared" si="0"/>
        <v>-3.6171996546057184E-3</v>
      </c>
      <c r="E23" s="3">
        <v>8344.84</v>
      </c>
      <c r="F23" s="7">
        <f t="shared" si="16"/>
        <v>-3.1839123266819591E-2</v>
      </c>
      <c r="G23" s="7">
        <f t="shared" si="1"/>
        <v>-3.852158174350695E-3</v>
      </c>
      <c r="H23" s="3">
        <v>2822.91</v>
      </c>
      <c r="I23" s="7">
        <f t="shared" si="17"/>
        <v>-3.1319273346190002E-2</v>
      </c>
      <c r="J23" s="7">
        <f t="shared" si="2"/>
        <v>-3.3323082537211057E-3</v>
      </c>
      <c r="K23" s="3">
        <v>9913.1</v>
      </c>
      <c r="L23" s="7">
        <f t="shared" si="18"/>
        <v>-3.6363707060632744E-2</v>
      </c>
      <c r="M23" s="7">
        <f t="shared" si="3"/>
        <v>-8.3767419681638478E-3</v>
      </c>
      <c r="N23" s="3">
        <v>1406</v>
      </c>
      <c r="O23" s="7">
        <f t="shared" si="19"/>
        <v>-3.4764938488576536E-2</v>
      </c>
      <c r="P23" s="7">
        <f t="shared" si="4"/>
        <v>-6.7779733961076394E-3</v>
      </c>
      <c r="Q23" s="3">
        <v>1177.33</v>
      </c>
      <c r="R23" s="7">
        <f t="shared" si="20"/>
        <v>-3.3359059410818181E-2</v>
      </c>
      <c r="S23" s="7">
        <f t="shared" si="5"/>
        <v>-5.3720943183492853E-3</v>
      </c>
      <c r="T23" s="3">
        <v>256.79000000000002</v>
      </c>
      <c r="U23" s="7">
        <f t="shared" si="21"/>
        <v>-1.4922510357526453E-2</v>
      </c>
      <c r="V23" s="7">
        <f t="shared" si="6"/>
        <v>1.3064454734942443E-2</v>
      </c>
      <c r="W23" s="3">
        <v>266.39999999999998</v>
      </c>
      <c r="X23" s="7">
        <f t="shared" si="22"/>
        <v>-3.3451854001886772E-2</v>
      </c>
      <c r="Y23" s="7">
        <f t="shared" si="7"/>
        <v>-5.4648889094178754E-3</v>
      </c>
      <c r="Z23" s="3">
        <v>251.37</v>
      </c>
      <c r="AA23" s="7">
        <f t="shared" si="23"/>
        <v>-2.8897044620436629E-2</v>
      </c>
      <c r="AB23" s="7">
        <f t="shared" si="8"/>
        <v>-9.1007952796773317E-4</v>
      </c>
      <c r="AC23" s="3">
        <v>1162.44</v>
      </c>
      <c r="AD23" s="7">
        <f t="shared" si="24"/>
        <v>-3.002286343685856E-2</v>
      </c>
      <c r="AE23" s="7">
        <f t="shared" si="9"/>
        <v>-2.0358983443896639E-3</v>
      </c>
      <c r="AF23" s="3">
        <v>955.33</v>
      </c>
      <c r="AG23" s="7">
        <f t="shared" si="25"/>
        <v>-3.131178957828451E-2</v>
      </c>
      <c r="AH23" s="7">
        <f t="shared" si="10"/>
        <v>-3.324824485815614E-3</v>
      </c>
      <c r="AI23" s="3">
        <v>4746.0200000000004</v>
      </c>
      <c r="AJ23" s="7">
        <f t="shared" si="26"/>
        <v>-3.4360821176422585E-2</v>
      </c>
      <c r="AK23" s="7">
        <f t="shared" si="11"/>
        <v>-6.3738560839536884E-3</v>
      </c>
      <c r="AL23" s="3">
        <v>926.58</v>
      </c>
      <c r="AM23" s="7">
        <f t="shared" si="27"/>
        <v>-2.5657742539275219E-2</v>
      </c>
      <c r="AN23" s="7">
        <f t="shared" si="12"/>
        <v>2.3292225531936772E-3</v>
      </c>
      <c r="AO23" s="3">
        <v>918.39</v>
      </c>
      <c r="AP23" s="7">
        <f t="shared" si="28"/>
        <v>-2.7489807804309874E-2</v>
      </c>
      <c r="AQ23" s="7">
        <f t="shared" si="13"/>
        <v>4.9715728815902249E-4</v>
      </c>
      <c r="AR23" s="3">
        <v>178.18</v>
      </c>
      <c r="AS23" s="7">
        <f t="shared" si="29"/>
        <v>-2.7614058065924429E-2</v>
      </c>
      <c r="AT23" s="7">
        <f t="shared" si="14"/>
        <v>3.7290702654446672E-4</v>
      </c>
      <c r="AU23" s="3">
        <v>60431.765399999997</v>
      </c>
      <c r="AV23" s="7">
        <f t="shared" si="30"/>
        <v>-2.7986965092468896E-2</v>
      </c>
    </row>
    <row r="24" spans="1:48" x14ac:dyDescent="0.25">
      <c r="A24" s="2">
        <v>46164</v>
      </c>
      <c r="B24" s="3">
        <v>2183.36</v>
      </c>
      <c r="C24" s="7">
        <f t="shared" si="15"/>
        <v>-1.0756195913189104E-2</v>
      </c>
      <c r="D24" s="7">
        <f t="shared" si="0"/>
        <v>-8.0680186123155417E-3</v>
      </c>
      <c r="E24" s="3">
        <v>8309.33</v>
      </c>
      <c r="F24" s="7">
        <f t="shared" si="16"/>
        <v>-4.255324248278014E-3</v>
      </c>
      <c r="G24" s="7">
        <f t="shared" si="1"/>
        <v>-1.5671469474044519E-3</v>
      </c>
      <c r="H24" s="3">
        <v>2816.39</v>
      </c>
      <c r="I24" s="7">
        <f t="shared" si="17"/>
        <v>-2.3096733512580903E-3</v>
      </c>
      <c r="J24" s="7">
        <f t="shared" si="2"/>
        <v>3.7850394961547185E-4</v>
      </c>
      <c r="K24" s="3">
        <v>9763.58</v>
      </c>
      <c r="L24" s="7">
        <f t="shared" si="18"/>
        <v>-1.5083071894765543E-2</v>
      </c>
      <c r="M24" s="7">
        <f t="shared" si="3"/>
        <v>-1.2394894593891981E-2</v>
      </c>
      <c r="N24" s="3">
        <v>1402.25</v>
      </c>
      <c r="O24" s="7">
        <f t="shared" si="19"/>
        <v>-2.6671408250356077E-3</v>
      </c>
      <c r="P24" s="7">
        <f t="shared" si="4"/>
        <v>2.1036475837954427E-5</v>
      </c>
      <c r="Q24" s="3">
        <v>1167.0999999999999</v>
      </c>
      <c r="R24" s="7">
        <f t="shared" si="20"/>
        <v>-8.6891525740446784E-3</v>
      </c>
      <c r="S24" s="7">
        <f t="shared" si="5"/>
        <v>-6.0009752731711163E-3</v>
      </c>
      <c r="T24" s="3">
        <v>251.79</v>
      </c>
      <c r="U24" s="7">
        <f t="shared" si="21"/>
        <v>-1.9471163207290143E-2</v>
      </c>
      <c r="V24" s="7">
        <f t="shared" si="6"/>
        <v>-1.6782985906416581E-2</v>
      </c>
      <c r="W24" s="3">
        <v>264.89999999999998</v>
      </c>
      <c r="X24" s="7">
        <f t="shared" si="22"/>
        <v>-5.6306306306306286E-3</v>
      </c>
      <c r="Y24" s="7">
        <f t="shared" si="7"/>
        <v>-2.9424533297570665E-3</v>
      </c>
      <c r="Z24" s="3">
        <v>250.44</v>
      </c>
      <c r="AA24" s="7">
        <f t="shared" si="23"/>
        <v>-3.699725504236806E-3</v>
      </c>
      <c r="AB24" s="7">
        <f t="shared" si="8"/>
        <v>-1.0115482033632439E-3</v>
      </c>
      <c r="AC24" s="3">
        <v>1155.07</v>
      </c>
      <c r="AD24" s="7">
        <f t="shared" si="24"/>
        <v>-6.3401121778329239E-3</v>
      </c>
      <c r="AE24" s="7">
        <f t="shared" si="9"/>
        <v>-3.6519348769593618E-3</v>
      </c>
      <c r="AF24" s="3">
        <v>949.99</v>
      </c>
      <c r="AG24" s="7">
        <f t="shared" si="25"/>
        <v>-5.589691520207718E-3</v>
      </c>
      <c r="AH24" s="7">
        <f t="shared" si="10"/>
        <v>-2.9015142193341559E-3</v>
      </c>
      <c r="AI24" s="3">
        <v>4685.25</v>
      </c>
      <c r="AJ24" s="7">
        <f t="shared" si="26"/>
        <v>-1.280441296075463E-2</v>
      </c>
      <c r="AK24" s="7">
        <f t="shared" si="11"/>
        <v>-1.0116235659881068E-2</v>
      </c>
      <c r="AL24" s="3">
        <v>924.48</v>
      </c>
      <c r="AM24" s="7">
        <f t="shared" si="27"/>
        <v>-2.266399015735332E-3</v>
      </c>
      <c r="AN24" s="7">
        <f t="shared" si="12"/>
        <v>4.2177828513823012E-4</v>
      </c>
      <c r="AO24" s="3">
        <v>917.2</v>
      </c>
      <c r="AP24" s="7">
        <f t="shared" si="28"/>
        <v>-1.2957458160476332E-3</v>
      </c>
      <c r="AQ24" s="7">
        <f t="shared" si="13"/>
        <v>1.3924314848259289E-3</v>
      </c>
      <c r="AR24" s="3">
        <v>178.04</v>
      </c>
      <c r="AS24" s="7">
        <f t="shared" si="29"/>
        <v>-7.8572230328888271E-4</v>
      </c>
      <c r="AT24" s="7">
        <f t="shared" si="14"/>
        <v>1.9024549975846794E-3</v>
      </c>
      <c r="AU24" s="3">
        <v>60269.314100000003</v>
      </c>
      <c r="AV24" s="7">
        <f t="shared" si="30"/>
        <v>-2.6881773008735621E-3</v>
      </c>
    </row>
    <row r="25" spans="1:48" x14ac:dyDescent="0.25">
      <c r="A25" s="2">
        <v>46174</v>
      </c>
      <c r="B25" s="3">
        <v>2203.1</v>
      </c>
      <c r="C25" s="7">
        <f t="shared" si="15"/>
        <v>9.041110948263098E-3</v>
      </c>
      <c r="D25" s="7">
        <f t="shared" si="0"/>
        <v>-2.103737637270009E-2</v>
      </c>
      <c r="E25" s="3">
        <v>8526.75</v>
      </c>
      <c r="F25" s="7">
        <f t="shared" si="16"/>
        <v>2.6165767877795121E-2</v>
      </c>
      <c r="G25" s="7">
        <f t="shared" si="1"/>
        <v>-3.9127194431680667E-3</v>
      </c>
      <c r="H25" s="3">
        <v>2887.34</v>
      </c>
      <c r="I25" s="7">
        <f t="shared" si="17"/>
        <v>2.5191823575570149E-2</v>
      </c>
      <c r="J25" s="7">
        <f t="shared" si="2"/>
        <v>-4.8866637453930384E-3</v>
      </c>
      <c r="K25" s="3">
        <v>9769.4599999999991</v>
      </c>
      <c r="L25" s="7">
        <f t="shared" si="18"/>
        <v>6.022381134787036E-4</v>
      </c>
      <c r="M25" s="7">
        <f t="shared" si="3"/>
        <v>-2.9476249207484484E-2</v>
      </c>
      <c r="N25" s="3">
        <v>1446.35</v>
      </c>
      <c r="O25" s="7">
        <f t="shared" si="19"/>
        <v>3.1449456231057216E-2</v>
      </c>
      <c r="P25" s="7">
        <f t="shared" si="4"/>
        <v>1.3709689100940281E-3</v>
      </c>
      <c r="Q25" s="3">
        <v>1202.96</v>
      </c>
      <c r="R25" s="7">
        <f t="shared" si="20"/>
        <v>3.0725730442978438E-2</v>
      </c>
      <c r="S25" s="7">
        <f t="shared" si="5"/>
        <v>6.472431220152508E-4</v>
      </c>
      <c r="T25" s="3">
        <v>258.31</v>
      </c>
      <c r="U25" s="7">
        <f t="shared" si="21"/>
        <v>2.5894594701934226E-2</v>
      </c>
      <c r="V25" s="7">
        <f t="shared" si="6"/>
        <v>-4.1838926190289616E-3</v>
      </c>
      <c r="W25" s="3">
        <v>271.48</v>
      </c>
      <c r="X25" s="7">
        <f t="shared" si="22"/>
        <v>2.4839562098905477E-2</v>
      </c>
      <c r="Y25" s="7">
        <f t="shared" si="7"/>
        <v>-5.2389252220577109E-3</v>
      </c>
      <c r="Z25" s="3">
        <v>257.42</v>
      </c>
      <c r="AA25" s="7">
        <f t="shared" si="23"/>
        <v>2.7870947133045831E-2</v>
      </c>
      <c r="AB25" s="7">
        <f t="shared" si="8"/>
        <v>-2.2075401879173562E-3</v>
      </c>
      <c r="AC25" s="3">
        <v>1192.6199999999999</v>
      </c>
      <c r="AD25" s="7">
        <f t="shared" si="24"/>
        <v>3.2508852277351119E-2</v>
      </c>
      <c r="AE25" s="7">
        <f t="shared" si="9"/>
        <v>2.4303649563879315E-3</v>
      </c>
      <c r="AF25" s="3">
        <v>975.34</v>
      </c>
      <c r="AG25" s="7">
        <f t="shared" si="25"/>
        <v>2.6684491415699174E-2</v>
      </c>
      <c r="AH25" s="7">
        <f t="shared" si="10"/>
        <v>-3.3939959052640134E-3</v>
      </c>
      <c r="AI25" s="3">
        <v>4700.43</v>
      </c>
      <c r="AJ25" s="7">
        <f t="shared" si="26"/>
        <v>3.2399551784856317E-3</v>
      </c>
      <c r="AK25" s="7">
        <f t="shared" si="11"/>
        <v>-2.6838532142477556E-2</v>
      </c>
      <c r="AL25" s="3">
        <v>943.9</v>
      </c>
      <c r="AM25" s="7">
        <f t="shared" si="27"/>
        <v>2.100640359986139E-2</v>
      </c>
      <c r="AN25" s="7">
        <f t="shared" si="12"/>
        <v>-9.0720837211017979E-3</v>
      </c>
      <c r="AO25" s="3">
        <v>941.48</v>
      </c>
      <c r="AP25" s="7">
        <f t="shared" si="28"/>
        <v>2.6471870911469741E-2</v>
      </c>
      <c r="AQ25" s="7">
        <f t="shared" si="13"/>
        <v>-3.6066164094934461E-3</v>
      </c>
      <c r="AR25" s="3">
        <v>183.19</v>
      </c>
      <c r="AS25" s="7">
        <f t="shared" si="29"/>
        <v>2.8926084026061671E-2</v>
      </c>
      <c r="AT25" s="7">
        <f t="shared" si="14"/>
        <v>-1.1524032949015162E-3</v>
      </c>
      <c r="AU25" s="3">
        <v>62082.123899999999</v>
      </c>
      <c r="AV25" s="7">
        <f t="shared" si="30"/>
        <v>3.0078487320963188E-2</v>
      </c>
    </row>
    <row r="26" spans="1:48" x14ac:dyDescent="0.25">
      <c r="A26" s="2">
        <v>46178</v>
      </c>
      <c r="B26" s="3">
        <v>2183.1999999999998</v>
      </c>
      <c r="C26" s="7">
        <f t="shared" si="15"/>
        <v>-9.0327266125006522E-3</v>
      </c>
      <c r="D26" s="7">
        <f t="shared" si="0"/>
        <v>1.1544618680288221E-2</v>
      </c>
      <c r="E26" s="3">
        <v>8340.24</v>
      </c>
      <c r="F26" s="7">
        <f t="shared" si="16"/>
        <v>-2.1873515700589374E-2</v>
      </c>
      <c r="G26" s="7">
        <f t="shared" si="1"/>
        <v>-1.296170407800501E-3</v>
      </c>
      <c r="H26" s="3">
        <v>2838.9</v>
      </c>
      <c r="I26" s="7">
        <f t="shared" si="17"/>
        <v>-1.6776687193056583E-2</v>
      </c>
      <c r="J26" s="7">
        <f t="shared" si="2"/>
        <v>3.8006580997322903E-3</v>
      </c>
      <c r="K26" s="3">
        <v>9643.9500000000007</v>
      </c>
      <c r="L26" s="7">
        <f t="shared" si="18"/>
        <v>-1.2847178861472242E-2</v>
      </c>
      <c r="M26" s="7">
        <f t="shared" si="3"/>
        <v>7.7301664313166318E-3</v>
      </c>
      <c r="N26" s="3">
        <v>1416.49</v>
      </c>
      <c r="O26" s="7">
        <f t="shared" si="19"/>
        <v>-2.0645072077989379E-2</v>
      </c>
      <c r="P26" s="7">
        <f t="shared" si="4"/>
        <v>-6.7726785200505901E-5</v>
      </c>
      <c r="Q26" s="3">
        <v>1173.7</v>
      </c>
      <c r="R26" s="7">
        <f t="shared" si="20"/>
        <v>-2.4323335771762933E-2</v>
      </c>
      <c r="S26" s="7">
        <f t="shared" si="5"/>
        <v>-3.7459904789740595E-3</v>
      </c>
      <c r="T26" s="3">
        <v>253.36</v>
      </c>
      <c r="U26" s="7">
        <f t="shared" si="21"/>
        <v>-1.9163021176106132E-2</v>
      </c>
      <c r="V26" s="7">
        <f t="shared" si="6"/>
        <v>1.4143241166827414E-3</v>
      </c>
      <c r="W26" s="3">
        <v>266.01</v>
      </c>
      <c r="X26" s="7">
        <f t="shared" si="22"/>
        <v>-2.014881390894363E-2</v>
      </c>
      <c r="Y26" s="7">
        <f t="shared" si="7"/>
        <v>4.2853138384524314E-4</v>
      </c>
      <c r="Z26" s="3">
        <v>251.49</v>
      </c>
      <c r="AA26" s="7">
        <f t="shared" si="23"/>
        <v>-2.3036283117084944E-2</v>
      </c>
      <c r="AB26" s="7">
        <f t="shared" si="8"/>
        <v>-2.4589378242960702E-3</v>
      </c>
      <c r="AC26" s="3">
        <v>1166.1600000000001</v>
      </c>
      <c r="AD26" s="7">
        <f t="shared" si="24"/>
        <v>-2.2186446646878188E-2</v>
      </c>
      <c r="AE26" s="7">
        <f t="shared" si="9"/>
        <v>-1.6091013540893151E-3</v>
      </c>
      <c r="AF26" s="3">
        <v>954.16</v>
      </c>
      <c r="AG26" s="7">
        <f t="shared" si="25"/>
        <v>-2.1715504336949243E-2</v>
      </c>
      <c r="AH26" s="7">
        <f t="shared" si="10"/>
        <v>-1.1381590441603695E-3</v>
      </c>
      <c r="AI26" s="3">
        <v>4651.8</v>
      </c>
      <c r="AJ26" s="7">
        <f t="shared" si="26"/>
        <v>-1.0345861974330073E-2</v>
      </c>
      <c r="AK26" s="7">
        <f t="shared" si="11"/>
        <v>1.0231483318458801E-2</v>
      </c>
      <c r="AL26" s="3">
        <v>933.57</v>
      </c>
      <c r="AM26" s="7">
        <f t="shared" si="27"/>
        <v>-1.094395592753461E-2</v>
      </c>
      <c r="AN26" s="7">
        <f t="shared" si="12"/>
        <v>9.6333893652542635E-3</v>
      </c>
      <c r="AO26" s="3">
        <v>924.89</v>
      </c>
      <c r="AP26" s="7">
        <f t="shared" si="28"/>
        <v>-1.76211921655266E-2</v>
      </c>
      <c r="AQ26" s="7">
        <f t="shared" si="13"/>
        <v>2.9561531272622732E-3</v>
      </c>
      <c r="AR26" s="3">
        <v>179.93</v>
      </c>
      <c r="AS26" s="7">
        <f t="shared" si="29"/>
        <v>-1.7795731208035348E-2</v>
      </c>
      <c r="AT26" s="7">
        <f t="shared" si="14"/>
        <v>2.7816140847535253E-3</v>
      </c>
      <c r="AU26" s="3">
        <v>60804.638599999998</v>
      </c>
      <c r="AV26" s="7">
        <f t="shared" si="30"/>
        <v>-2.0577345292788873E-2</v>
      </c>
    </row>
    <row r="27" spans="1:48" x14ac:dyDescent="0.25">
      <c r="A27" s="2">
        <v>46185</v>
      </c>
      <c r="B27" s="3">
        <v>2148.2800000000002</v>
      </c>
      <c r="C27" s="7">
        <f t="shared" si="15"/>
        <v>-1.5994869915719856E-2</v>
      </c>
      <c r="D27" s="7">
        <f t="shared" si="0"/>
        <v>1.0992699417518459E-2</v>
      </c>
      <c r="E27" s="3">
        <v>8109.41</v>
      </c>
      <c r="F27" s="7">
        <f t="shared" si="16"/>
        <v>-2.7676661582880069E-2</v>
      </c>
      <c r="G27" s="7">
        <f t="shared" si="1"/>
        <v>-6.8909224964175397E-4</v>
      </c>
      <c r="H27" s="3">
        <v>2764.09</v>
      </c>
      <c r="I27" s="7">
        <f t="shared" si="17"/>
        <v>-2.6351755961816159E-2</v>
      </c>
      <c r="J27" s="7">
        <f t="shared" si="2"/>
        <v>6.3581337142215588E-4</v>
      </c>
      <c r="K27" s="3">
        <v>9592.48</v>
      </c>
      <c r="L27" s="7">
        <f t="shared" si="18"/>
        <v>-5.337024766822851E-3</v>
      </c>
      <c r="M27" s="7">
        <f t="shared" si="3"/>
        <v>2.1650544566415464E-2</v>
      </c>
      <c r="N27" s="3">
        <v>1375.87</v>
      </c>
      <c r="O27" s="7">
        <f t="shared" si="19"/>
        <v>-2.8676517306864269E-2</v>
      </c>
      <c r="P27" s="7">
        <f t="shared" si="4"/>
        <v>-1.6889479736259538E-3</v>
      </c>
      <c r="Q27" s="3">
        <v>1136.3599999999999</v>
      </c>
      <c r="R27" s="7">
        <f t="shared" si="20"/>
        <v>-3.1813921785805666E-2</v>
      </c>
      <c r="S27" s="7">
        <f t="shared" si="5"/>
        <v>-4.8263524525673507E-3</v>
      </c>
      <c r="T27" s="3">
        <v>246.69</v>
      </c>
      <c r="U27" s="7">
        <f t="shared" si="21"/>
        <v>-2.6326176191979855E-2</v>
      </c>
      <c r="V27" s="7">
        <f t="shared" si="6"/>
        <v>6.6139314125845949E-4</v>
      </c>
      <c r="W27" s="3">
        <v>259.58</v>
      </c>
      <c r="X27" s="7">
        <f t="shared" si="22"/>
        <v>-2.4172023608135085E-2</v>
      </c>
      <c r="Y27" s="7">
        <f t="shared" si="7"/>
        <v>2.8155457251032301E-3</v>
      </c>
      <c r="Z27" s="3">
        <v>243.77</v>
      </c>
      <c r="AA27" s="7">
        <f t="shared" si="23"/>
        <v>-3.0697045608175322E-2</v>
      </c>
      <c r="AB27" s="7">
        <f t="shared" si="8"/>
        <v>-3.7094762749370069E-3</v>
      </c>
      <c r="AC27" s="3">
        <v>1131.51</v>
      </c>
      <c r="AD27" s="7">
        <f t="shared" si="24"/>
        <v>-2.9712903889689279E-2</v>
      </c>
      <c r="AE27" s="7">
        <f t="shared" si="9"/>
        <v>-2.7253345564509646E-3</v>
      </c>
      <c r="AF27" s="3">
        <v>926.09</v>
      </c>
      <c r="AG27" s="7">
        <f t="shared" si="25"/>
        <v>-2.9418546155780989E-2</v>
      </c>
      <c r="AH27" s="7">
        <f t="shared" si="10"/>
        <v>-2.4309768225426742E-3</v>
      </c>
      <c r="AI27" s="3">
        <v>4607.28</v>
      </c>
      <c r="AJ27" s="7">
        <f t="shared" si="26"/>
        <v>-9.5704888430285795E-3</v>
      </c>
      <c r="AK27" s="7">
        <f t="shared" si="11"/>
        <v>1.7417080490209735E-2</v>
      </c>
      <c r="AL27" s="3">
        <v>913.24</v>
      </c>
      <c r="AM27" s="7">
        <f t="shared" si="27"/>
        <v>-2.1776620928264712E-2</v>
      </c>
      <c r="AN27" s="7">
        <f t="shared" si="12"/>
        <v>5.2109484049736032E-3</v>
      </c>
      <c r="AO27" s="3">
        <v>902.63</v>
      </c>
      <c r="AP27" s="7">
        <f t="shared" si="28"/>
        <v>-2.4067726972937353E-2</v>
      </c>
      <c r="AQ27" s="7">
        <f t="shared" si="13"/>
        <v>2.9198423603009616E-3</v>
      </c>
      <c r="AR27" s="3">
        <v>175.17</v>
      </c>
      <c r="AS27" s="7">
        <f t="shared" si="29"/>
        <v>-2.6454732395931879E-2</v>
      </c>
      <c r="AT27" s="7">
        <f t="shared" si="14"/>
        <v>5.3283693730643567E-4</v>
      </c>
      <c r="AU27" s="3">
        <v>59163.669199999997</v>
      </c>
      <c r="AV27" s="7">
        <f t="shared" si="30"/>
        <v>-2.6987569333238315E-2</v>
      </c>
    </row>
    <row r="28" spans="1:48" x14ac:dyDescent="0.25">
      <c r="A28" s="2">
        <v>46192</v>
      </c>
      <c r="B28" s="3">
        <v>2203.27</v>
      </c>
      <c r="C28" s="7">
        <f t="shared" si="15"/>
        <v>2.5597221963617356E-2</v>
      </c>
      <c r="D28" s="7">
        <f t="shared" si="0"/>
        <v>1.3515316709673542E-3</v>
      </c>
      <c r="E28" s="3">
        <v>8337.65</v>
      </c>
      <c r="F28" s="7">
        <f t="shared" si="16"/>
        <v>2.8145080838186676E-2</v>
      </c>
      <c r="G28" s="7">
        <f t="shared" si="1"/>
        <v>3.899390545536674E-3</v>
      </c>
      <c r="H28" s="3">
        <v>2838.43</v>
      </c>
      <c r="I28" s="7">
        <f t="shared" si="17"/>
        <v>2.6894927444475192E-2</v>
      </c>
      <c r="J28" s="7">
        <f t="shared" si="2"/>
        <v>2.64923715182519E-3</v>
      </c>
      <c r="K28" s="3">
        <v>9879.9</v>
      </c>
      <c r="L28" s="7">
        <f t="shared" si="18"/>
        <v>2.9963054392607491E-2</v>
      </c>
      <c r="M28" s="7">
        <f t="shared" si="3"/>
        <v>5.7173640999574893E-3</v>
      </c>
      <c r="N28" s="3">
        <v>1416.45</v>
      </c>
      <c r="O28" s="7">
        <f t="shared" si="19"/>
        <v>2.9494065573055783E-2</v>
      </c>
      <c r="P28" s="7">
        <f t="shared" si="4"/>
        <v>5.2483752804057815E-3</v>
      </c>
      <c r="Q28" s="3">
        <v>1166.33</v>
      </c>
      <c r="R28" s="7">
        <f t="shared" si="20"/>
        <v>2.637368439579002E-2</v>
      </c>
      <c r="S28" s="7">
        <f t="shared" si="5"/>
        <v>2.1279941031400185E-3</v>
      </c>
      <c r="T28" s="3">
        <v>252.95</v>
      </c>
      <c r="U28" s="7">
        <f t="shared" si="21"/>
        <v>2.5375977948031814E-2</v>
      </c>
      <c r="V28" s="7">
        <f t="shared" si="6"/>
        <v>1.130287655381812E-3</v>
      </c>
      <c r="W28" s="3">
        <v>265.75</v>
      </c>
      <c r="X28" s="7">
        <f t="shared" si="22"/>
        <v>2.3769165575159956E-2</v>
      </c>
      <c r="Y28" s="7">
        <f t="shared" si="7"/>
        <v>-4.7652471749004555E-4</v>
      </c>
      <c r="Z28" s="3">
        <v>249.67</v>
      </c>
      <c r="AA28" s="7">
        <f t="shared" si="23"/>
        <v>2.4203142306272296E-2</v>
      </c>
      <c r="AB28" s="7">
        <f t="shared" si="8"/>
        <v>-4.2547986377705627E-5</v>
      </c>
      <c r="AC28" s="3">
        <v>1161.06</v>
      </c>
      <c r="AD28" s="7">
        <f t="shared" si="24"/>
        <v>2.6115544714584882E-2</v>
      </c>
      <c r="AE28" s="7">
        <f t="shared" si="9"/>
        <v>1.8698544219348801E-3</v>
      </c>
      <c r="AF28" s="3">
        <v>952.66</v>
      </c>
      <c r="AG28" s="7">
        <f t="shared" si="25"/>
        <v>2.8690516040557501E-2</v>
      </c>
      <c r="AH28" s="7">
        <f t="shared" si="10"/>
        <v>4.4448257479074993E-3</v>
      </c>
      <c r="AI28" s="3">
        <v>4732.8599999999997</v>
      </c>
      <c r="AJ28" s="7">
        <f t="shared" si="26"/>
        <v>2.7256863051518421E-2</v>
      </c>
      <c r="AK28" s="7">
        <f t="shared" si="11"/>
        <v>3.011172758868419E-3</v>
      </c>
      <c r="AL28" s="3">
        <v>935.43</v>
      </c>
      <c r="AM28" s="7">
        <f t="shared" si="27"/>
        <v>2.4298103455827613E-2</v>
      </c>
      <c r="AN28" s="7">
        <f t="shared" si="12"/>
        <v>5.2413163177611466E-5</v>
      </c>
      <c r="AO28" s="3">
        <v>923.1</v>
      </c>
      <c r="AP28" s="7">
        <f t="shared" si="28"/>
        <v>2.2678173781061961E-2</v>
      </c>
      <c r="AQ28" s="7">
        <f t="shared" si="13"/>
        <v>-1.5675165115880407E-3</v>
      </c>
      <c r="AR28" s="3">
        <v>179.25</v>
      </c>
      <c r="AS28" s="7">
        <f t="shared" si="29"/>
        <v>2.3291659530741748E-2</v>
      </c>
      <c r="AT28" s="7">
        <f t="shared" si="14"/>
        <v>-9.5403076190825331E-4</v>
      </c>
      <c r="AU28" s="3">
        <v>60598.133199999997</v>
      </c>
      <c r="AV28" s="7">
        <f t="shared" si="30"/>
        <v>2.4245690292650002E-2</v>
      </c>
    </row>
    <row r="29" spans="1:48" x14ac:dyDescent="0.25">
      <c r="A29" s="2">
        <v>46199</v>
      </c>
      <c r="B29" s="3">
        <v>2190.36</v>
      </c>
      <c r="C29" s="7">
        <f t="shared" si="15"/>
        <v>-5.8594725113126911E-3</v>
      </c>
      <c r="D29" s="7">
        <f t="shared" si="0"/>
        <v>1.1746528592364802E-2</v>
      </c>
      <c r="E29" s="3">
        <v>8176.86</v>
      </c>
      <c r="F29" s="7">
        <f t="shared" si="16"/>
        <v>-1.9284810468177427E-2</v>
      </c>
      <c r="G29" s="7">
        <f t="shared" si="1"/>
        <v>-1.6788093644999336E-3</v>
      </c>
      <c r="H29" s="3">
        <v>2793.4</v>
      </c>
      <c r="I29" s="7">
        <f t="shared" si="17"/>
        <v>-1.5864403913430913E-2</v>
      </c>
      <c r="J29" s="7">
        <f t="shared" si="2"/>
        <v>1.7415971902465799E-3</v>
      </c>
      <c r="K29" s="3">
        <v>9812.0400000000009</v>
      </c>
      <c r="L29" s="7">
        <f t="shared" si="18"/>
        <v>-6.8684905717667499E-3</v>
      </c>
      <c r="M29" s="7">
        <f t="shared" si="3"/>
        <v>1.0737510531910743E-2</v>
      </c>
      <c r="N29" s="3">
        <v>1388.35</v>
      </c>
      <c r="O29" s="7">
        <f t="shared" si="19"/>
        <v>-1.98383282149035E-2</v>
      </c>
      <c r="P29" s="7">
        <f t="shared" si="4"/>
        <v>-2.2323271112260068E-3</v>
      </c>
      <c r="Q29" s="3">
        <v>1143.03</v>
      </c>
      <c r="R29" s="7">
        <f t="shared" si="20"/>
        <v>-1.9977193418672212E-2</v>
      </c>
      <c r="S29" s="7">
        <f t="shared" si="5"/>
        <v>-2.3711923149947189E-3</v>
      </c>
      <c r="T29" s="3">
        <v>248.67</v>
      </c>
      <c r="U29" s="7">
        <f t="shared" si="21"/>
        <v>-1.692033998813991E-2</v>
      </c>
      <c r="V29" s="7">
        <f t="shared" si="6"/>
        <v>6.8566111553758358E-4</v>
      </c>
      <c r="W29" s="3">
        <v>261.77</v>
      </c>
      <c r="X29" s="7">
        <f t="shared" si="22"/>
        <v>-1.4976481655691543E-2</v>
      </c>
      <c r="Y29" s="7">
        <f t="shared" si="7"/>
        <v>2.6295194479859507E-3</v>
      </c>
      <c r="Z29" s="3">
        <v>244.82</v>
      </c>
      <c r="AA29" s="7">
        <f t="shared" si="23"/>
        <v>-1.9425641847238384E-2</v>
      </c>
      <c r="AB29" s="7">
        <f t="shared" si="8"/>
        <v>-1.8196407435608908E-3</v>
      </c>
      <c r="AC29" s="3">
        <v>1140.6500000000001</v>
      </c>
      <c r="AD29" s="7">
        <f t="shared" si="24"/>
        <v>-1.7578764232683786E-2</v>
      </c>
      <c r="AE29" s="7">
        <f t="shared" si="9"/>
        <v>2.723687099370764E-5</v>
      </c>
      <c r="AF29" s="3">
        <v>935.77</v>
      </c>
      <c r="AG29" s="7">
        <f t="shared" si="25"/>
        <v>-1.7729305313543109E-2</v>
      </c>
      <c r="AH29" s="7">
        <f t="shared" si="10"/>
        <v>-1.2330420986561563E-4</v>
      </c>
      <c r="AI29" s="3">
        <v>4695</v>
      </c>
      <c r="AJ29" s="7">
        <f t="shared" si="26"/>
        <v>-7.9993914884445294E-3</v>
      </c>
      <c r="AK29" s="7">
        <f t="shared" si="11"/>
        <v>9.6066096152329639E-3</v>
      </c>
      <c r="AL29" s="3">
        <v>920.81</v>
      </c>
      <c r="AM29" s="7">
        <f t="shared" si="27"/>
        <v>-1.5629175887025171E-2</v>
      </c>
      <c r="AN29" s="7">
        <f t="shared" si="12"/>
        <v>1.9768252166523226E-3</v>
      </c>
      <c r="AO29" s="3">
        <v>909.54</v>
      </c>
      <c r="AP29" s="7">
        <f t="shared" si="28"/>
        <v>-1.4689632759181115E-2</v>
      </c>
      <c r="AQ29" s="7">
        <f t="shared" si="13"/>
        <v>2.9163683444963784E-3</v>
      </c>
      <c r="AR29" s="3">
        <v>176.15</v>
      </c>
      <c r="AS29" s="7">
        <f t="shared" si="29"/>
        <v>-1.7294281729428151E-2</v>
      </c>
      <c r="AT29" s="7">
        <f t="shared" si="14"/>
        <v>3.1171937424934182E-4</v>
      </c>
      <c r="AU29" s="3">
        <v>59531.242400000003</v>
      </c>
      <c r="AV29" s="7">
        <f t="shared" si="30"/>
        <v>-1.7606001103677493E-2</v>
      </c>
    </row>
    <row r="30" spans="1:48" x14ac:dyDescent="0.25">
      <c r="A30" s="2">
        <v>46206</v>
      </c>
      <c r="B30" s="3">
        <v>2225.14</v>
      </c>
      <c r="C30" s="7">
        <f t="shared" si="15"/>
        <v>1.5878668346755775E-2</v>
      </c>
      <c r="D30" s="7">
        <f t="shared" si="0"/>
        <v>-1.0749099462101563E-2</v>
      </c>
      <c r="E30" s="3">
        <v>8385.7999999999993</v>
      </c>
      <c r="F30" s="7">
        <f t="shared" si="16"/>
        <v>2.5552595984277504E-2</v>
      </c>
      <c r="G30" s="7">
        <f t="shared" si="1"/>
        <v>-1.0751718245798347E-3</v>
      </c>
      <c r="H30" s="3">
        <v>2865.27</v>
      </c>
      <c r="I30" s="7">
        <f t="shared" si="17"/>
        <v>2.5728502899692085E-2</v>
      </c>
      <c r="J30" s="7">
        <f t="shared" si="2"/>
        <v>-8.9926490916525381E-4</v>
      </c>
      <c r="K30" s="3">
        <v>9871.81</v>
      </c>
      <c r="L30" s="7">
        <f t="shared" si="18"/>
        <v>6.0914957541957637E-3</v>
      </c>
      <c r="M30" s="7">
        <f t="shared" si="3"/>
        <v>-2.0536272054661575E-2</v>
      </c>
      <c r="N30" s="3">
        <v>1420.13</v>
      </c>
      <c r="O30" s="7">
        <f t="shared" si="19"/>
        <v>2.2890481506824711E-2</v>
      </c>
      <c r="P30" s="7">
        <f t="shared" si="4"/>
        <v>-3.7372863020326275E-3</v>
      </c>
      <c r="Q30" s="3">
        <v>1173.2</v>
      </c>
      <c r="R30" s="7">
        <f t="shared" si="20"/>
        <v>2.6394757792883805E-2</v>
      </c>
      <c r="S30" s="7">
        <f t="shared" si="5"/>
        <v>-2.3301001597353377E-4</v>
      </c>
      <c r="T30" s="3">
        <v>255.05</v>
      </c>
      <c r="U30" s="7">
        <f t="shared" si="21"/>
        <v>2.5656492540314657E-2</v>
      </c>
      <c r="V30" s="7">
        <f t="shared" si="6"/>
        <v>-9.7127526854268176E-4</v>
      </c>
      <c r="W30" s="3">
        <v>267.89</v>
      </c>
      <c r="X30" s="7">
        <f t="shared" si="22"/>
        <v>2.3379302441074223E-2</v>
      </c>
      <c r="Y30" s="7">
        <f t="shared" si="7"/>
        <v>-3.2484653677831155E-3</v>
      </c>
      <c r="Z30" s="3">
        <v>251.35</v>
      </c>
      <c r="AA30" s="7">
        <f t="shared" si="23"/>
        <v>2.6672657462625704E-2</v>
      </c>
      <c r="AB30" s="7">
        <f t="shared" si="8"/>
        <v>4.4889653768365179E-5</v>
      </c>
      <c r="AC30" s="3">
        <v>1170.01</v>
      </c>
      <c r="AD30" s="7">
        <f t="shared" si="24"/>
        <v>2.5739709814579292E-2</v>
      </c>
      <c r="AE30" s="7">
        <f t="shared" si="9"/>
        <v>-8.8805799427804644E-4</v>
      </c>
      <c r="AF30" s="3">
        <v>958.81</v>
      </c>
      <c r="AG30" s="7">
        <f t="shared" si="25"/>
        <v>2.4621434754266591E-2</v>
      </c>
      <c r="AH30" s="7">
        <f t="shared" si="10"/>
        <v>-2.0063330545907476E-3</v>
      </c>
      <c r="AI30" s="3">
        <v>4774.2299999999996</v>
      </c>
      <c r="AJ30" s="7">
        <f t="shared" si="26"/>
        <v>1.6875399361022225E-2</v>
      </c>
      <c r="AK30" s="7">
        <f t="shared" si="11"/>
        <v>-9.7523684478351136E-3</v>
      </c>
      <c r="AL30" s="3">
        <v>942.3</v>
      </c>
      <c r="AM30" s="7">
        <f t="shared" si="27"/>
        <v>2.3338147934970355E-2</v>
      </c>
      <c r="AN30" s="7">
        <f t="shared" si="12"/>
        <v>-3.2896198738869842E-3</v>
      </c>
      <c r="AO30" s="3">
        <v>931.38</v>
      </c>
      <c r="AP30" s="7">
        <f t="shared" si="28"/>
        <v>2.4012138003826067E-2</v>
      </c>
      <c r="AQ30" s="7">
        <f t="shared" si="13"/>
        <v>-2.6156298050312721E-3</v>
      </c>
      <c r="AR30" s="3">
        <v>181.07</v>
      </c>
      <c r="AS30" s="7">
        <f t="shared" si="29"/>
        <v>2.7930740845869995E-2</v>
      </c>
      <c r="AT30" s="7">
        <f t="shared" si="14"/>
        <v>1.3029730370126558E-3</v>
      </c>
      <c r="AU30" s="3">
        <v>61116.426500000001</v>
      </c>
      <c r="AV30" s="7">
        <f t="shared" si="30"/>
        <v>2.6627767808857339E-2</v>
      </c>
    </row>
    <row r="31" spans="1:48" x14ac:dyDescent="0.25">
      <c r="A31" s="2">
        <v>46213</v>
      </c>
      <c r="B31" s="3">
        <v>2186.2199999999998</v>
      </c>
      <c r="C31" s="7">
        <f t="shared" si="15"/>
        <v>-1.7491034272000938E-2</v>
      </c>
      <c r="D31" s="7">
        <f t="shared" si="0"/>
        <v>1.281766523215766E-3</v>
      </c>
      <c r="E31" s="3">
        <v>8220.91</v>
      </c>
      <c r="F31" s="7">
        <f t="shared" si="16"/>
        <v>-1.96630017410383E-2</v>
      </c>
      <c r="G31" s="7">
        <f t="shared" si="1"/>
        <v>-8.9020094582159537E-4</v>
      </c>
      <c r="H31" s="3">
        <v>2805.77</v>
      </c>
      <c r="I31" s="7">
        <f t="shared" si="17"/>
        <v>-2.0765931308393326E-2</v>
      </c>
      <c r="J31" s="7">
        <f t="shared" si="2"/>
        <v>-1.9931305131766219E-3</v>
      </c>
      <c r="K31" s="3">
        <v>9675.59</v>
      </c>
      <c r="L31" s="7">
        <f t="shared" si="18"/>
        <v>-1.9876800708279352E-2</v>
      </c>
      <c r="M31" s="7">
        <f t="shared" si="3"/>
        <v>-1.1039999130626477E-3</v>
      </c>
      <c r="N31" s="3">
        <v>1394.03</v>
      </c>
      <c r="O31" s="7">
        <f t="shared" si="19"/>
        <v>-1.8378599142332086E-2</v>
      </c>
      <c r="P31" s="7">
        <f t="shared" si="4"/>
        <v>3.9420165288461817E-4</v>
      </c>
      <c r="Q31" s="3">
        <v>1148.53</v>
      </c>
      <c r="R31" s="7">
        <f t="shared" si="20"/>
        <v>-2.1027957722468571E-2</v>
      </c>
      <c r="S31" s="7">
        <f t="shared" si="5"/>
        <v>-2.2551569272518668E-3</v>
      </c>
      <c r="T31" s="3">
        <v>249.88</v>
      </c>
      <c r="U31" s="7">
        <f t="shared" si="21"/>
        <v>-2.0270535189178651E-2</v>
      </c>
      <c r="V31" s="7">
        <f t="shared" si="6"/>
        <v>-1.497734393961947E-3</v>
      </c>
      <c r="W31" s="3">
        <v>262.83999999999997</v>
      </c>
      <c r="X31" s="7">
        <f t="shared" si="22"/>
        <v>-1.8851020941431207E-2</v>
      </c>
      <c r="Y31" s="7">
        <f t="shared" si="7"/>
        <v>-7.8220146214502684E-5</v>
      </c>
      <c r="Z31" s="3">
        <v>246.1</v>
      </c>
      <c r="AA31" s="7">
        <f t="shared" si="23"/>
        <v>-2.0887209071016488E-2</v>
      </c>
      <c r="AB31" s="7">
        <f t="shared" si="8"/>
        <v>-2.114408275799784E-3</v>
      </c>
      <c r="AC31" s="3">
        <v>1147.0999999999999</v>
      </c>
      <c r="AD31" s="7">
        <f t="shared" si="24"/>
        <v>-1.9581029221972579E-2</v>
      </c>
      <c r="AE31" s="7">
        <f t="shared" si="9"/>
        <v>-8.0822842675587481E-4</v>
      </c>
      <c r="AF31" s="3">
        <v>938.68</v>
      </c>
      <c r="AG31" s="7">
        <f t="shared" si="25"/>
        <v>-2.0994774772895575E-2</v>
      </c>
      <c r="AH31" s="7">
        <f t="shared" si="10"/>
        <v>-2.2219739776788705E-3</v>
      </c>
      <c r="AI31" s="3">
        <v>4693.1000000000004</v>
      </c>
      <c r="AJ31" s="7">
        <f t="shared" si="26"/>
        <v>-1.6993316199680253E-2</v>
      </c>
      <c r="AK31" s="7">
        <f t="shared" si="11"/>
        <v>1.7794845955364513E-3</v>
      </c>
      <c r="AL31" s="3">
        <v>928.45</v>
      </c>
      <c r="AM31" s="7">
        <f t="shared" si="27"/>
        <v>-1.469807916799315E-2</v>
      </c>
      <c r="AN31" s="7">
        <f t="shared" si="12"/>
        <v>4.0747216272235542E-3</v>
      </c>
      <c r="AO31" s="3">
        <v>913.85</v>
      </c>
      <c r="AP31" s="7">
        <f t="shared" si="28"/>
        <v>-1.8821533638257226E-2</v>
      </c>
      <c r="AQ31" s="7">
        <f t="shared" si="13"/>
        <v>-4.8732843040522056E-5</v>
      </c>
      <c r="AR31" s="3">
        <v>178.04</v>
      </c>
      <c r="AS31" s="7">
        <f t="shared" si="29"/>
        <v>-1.6733859833213627E-2</v>
      </c>
      <c r="AT31" s="7">
        <f t="shared" si="14"/>
        <v>2.0389409620030774E-3</v>
      </c>
      <c r="AU31" s="3">
        <v>59969.1</v>
      </c>
      <c r="AV31" s="7">
        <f t="shared" si="30"/>
        <v>-1.8772800795216704E-2</v>
      </c>
    </row>
    <row r="32" spans="1:48" x14ac:dyDescent="0.25">
      <c r="A32" s="2">
        <v>46220</v>
      </c>
      <c r="B32" s="3">
        <v>2152.04</v>
      </c>
      <c r="C32" s="7">
        <f t="shared" si="15"/>
        <v>-1.5634291150936286E-2</v>
      </c>
      <c r="D32" s="7">
        <f t="shared" si="0"/>
        <v>3.1900183684661076E-3</v>
      </c>
      <c r="E32" s="3">
        <v>8046.51</v>
      </c>
      <c r="F32" s="7">
        <f t="shared" si="16"/>
        <v>-2.1214196481897929E-2</v>
      </c>
      <c r="G32" s="7">
        <f t="shared" si="1"/>
        <v>-2.3898869624955354E-3</v>
      </c>
      <c r="H32" s="3">
        <v>2754.23</v>
      </c>
      <c r="I32" s="7">
        <f t="shared" si="17"/>
        <v>-1.8369289000880307E-2</v>
      </c>
      <c r="J32" s="7">
        <f t="shared" si="2"/>
        <v>4.550205185220868E-4</v>
      </c>
      <c r="K32" s="3">
        <v>9488.4</v>
      </c>
      <c r="L32" s="7">
        <f t="shared" si="18"/>
        <v>-1.9346623823456865E-2</v>
      </c>
      <c r="M32" s="7">
        <f t="shared" si="3"/>
        <v>-5.2231430405447199E-4</v>
      </c>
      <c r="N32" s="3">
        <v>1363.66</v>
      </c>
      <c r="O32" s="7">
        <f t="shared" si="19"/>
        <v>-2.1785757838783892E-2</v>
      </c>
      <c r="P32" s="7">
        <f t="shared" si="4"/>
        <v>-2.9614483193814989E-3</v>
      </c>
      <c r="Q32" s="3">
        <v>1121.94</v>
      </c>
      <c r="R32" s="7">
        <f t="shared" si="20"/>
        <v>-2.3151332572940997E-2</v>
      </c>
      <c r="S32" s="7">
        <f t="shared" si="5"/>
        <v>-4.3270230535386034E-3</v>
      </c>
      <c r="T32" s="3">
        <v>244.86</v>
      </c>
      <c r="U32" s="7">
        <f t="shared" si="21"/>
        <v>-2.0089643028653681E-2</v>
      </c>
      <c r="V32" s="7">
        <f t="shared" si="6"/>
        <v>-1.2653335092512874E-3</v>
      </c>
      <c r="W32" s="3">
        <v>258.10000000000002</v>
      </c>
      <c r="X32" s="7">
        <f t="shared" si="22"/>
        <v>-1.8033784812052756E-2</v>
      </c>
      <c r="Y32" s="7">
        <f t="shared" si="7"/>
        <v>7.9052470734963798E-4</v>
      </c>
      <c r="Z32" s="3">
        <v>240.99</v>
      </c>
      <c r="AA32" s="7">
        <f t="shared" si="23"/>
        <v>-2.0763917106867091E-2</v>
      </c>
      <c r="AB32" s="7">
        <f t="shared" si="8"/>
        <v>-1.9396075874646979E-3</v>
      </c>
      <c r="AC32" s="3">
        <v>1126.6099999999999</v>
      </c>
      <c r="AD32" s="7">
        <f t="shared" si="24"/>
        <v>-1.7862435707436175E-2</v>
      </c>
      <c r="AE32" s="7">
        <f t="shared" si="9"/>
        <v>9.6187381196621846E-4</v>
      </c>
      <c r="AF32" s="3">
        <v>920.18</v>
      </c>
      <c r="AG32" s="7">
        <f t="shared" si="25"/>
        <v>-1.9708526867516118E-2</v>
      </c>
      <c r="AH32" s="7">
        <f t="shared" si="10"/>
        <v>-8.8421734811372499E-4</v>
      </c>
      <c r="AI32" s="3">
        <v>4594.6000000000004</v>
      </c>
      <c r="AJ32" s="7">
        <f t="shared" si="26"/>
        <v>-2.0988259359485228E-2</v>
      </c>
      <c r="AK32" s="7">
        <f t="shared" si="11"/>
        <v>-2.163949840082835E-3</v>
      </c>
      <c r="AL32" s="3">
        <v>913.79</v>
      </c>
      <c r="AM32" s="7">
        <f t="shared" si="27"/>
        <v>-1.5789757122085302E-2</v>
      </c>
      <c r="AN32" s="7">
        <f t="shared" si="12"/>
        <v>3.0345523973170918E-3</v>
      </c>
      <c r="AO32" s="3">
        <v>899.37</v>
      </c>
      <c r="AP32" s="7">
        <f t="shared" si="28"/>
        <v>-1.5845051157192147E-2</v>
      </c>
      <c r="AQ32" s="7">
        <f t="shared" si="13"/>
        <v>2.9792583622102464E-3</v>
      </c>
      <c r="AR32" s="3">
        <v>175.28</v>
      </c>
      <c r="AS32" s="7">
        <f t="shared" si="29"/>
        <v>-1.550213435183101E-2</v>
      </c>
      <c r="AT32" s="7">
        <f t="shared" si="14"/>
        <v>3.322175167571384E-3</v>
      </c>
      <c r="AU32" s="3">
        <v>58840.223100000003</v>
      </c>
      <c r="AV32" s="7">
        <f t="shared" si="30"/>
        <v>-1.8824309519402393E-2</v>
      </c>
    </row>
    <row r="33" spans="1:48" x14ac:dyDescent="0.25">
      <c r="A33" s="2">
        <v>46227</v>
      </c>
      <c r="B33" s="3">
        <v>2171.1</v>
      </c>
      <c r="C33" s="7">
        <f t="shared" si="15"/>
        <v>8.8567127005074742E-3</v>
      </c>
      <c r="D33" s="7">
        <f t="shared" si="0"/>
        <v>-2.0628193160188157E-3</v>
      </c>
      <c r="E33" s="3">
        <v>8138.16</v>
      </c>
      <c r="F33" s="7">
        <f t="shared" si="16"/>
        <v>1.1390031206075735E-2</v>
      </c>
      <c r="G33" s="7">
        <f t="shared" si="1"/>
        <v>4.7049918954944481E-4</v>
      </c>
      <c r="H33" s="3">
        <v>2782.76</v>
      </c>
      <c r="I33" s="7">
        <f t="shared" si="17"/>
        <v>1.0358612025865632E-2</v>
      </c>
      <c r="J33" s="7">
        <f t="shared" si="2"/>
        <v>-5.6091999066065767E-4</v>
      </c>
      <c r="K33" s="3">
        <v>9535.24</v>
      </c>
      <c r="L33" s="7">
        <f t="shared" si="18"/>
        <v>4.9365541081742847E-3</v>
      </c>
      <c r="M33" s="7">
        <f t="shared" si="3"/>
        <v>-5.9829779083520052E-3</v>
      </c>
      <c r="N33" s="3">
        <v>1379.48</v>
      </c>
      <c r="O33" s="7">
        <f t="shared" si="19"/>
        <v>1.1601132247041068E-2</v>
      </c>
      <c r="P33" s="7">
        <f t="shared" si="4"/>
        <v>6.8160023051477836E-4</v>
      </c>
      <c r="Q33" s="3">
        <v>1133.79</v>
      </c>
      <c r="R33" s="7">
        <f t="shared" si="20"/>
        <v>1.0562062142360551E-2</v>
      </c>
      <c r="S33" s="7">
        <f t="shared" si="5"/>
        <v>-3.5746987416573894E-4</v>
      </c>
      <c r="T33" s="3">
        <v>247.44</v>
      </c>
      <c r="U33" s="7">
        <f t="shared" si="21"/>
        <v>1.0536633178142463E-2</v>
      </c>
      <c r="V33" s="7">
        <f t="shared" si="6"/>
        <v>-3.8289883838382721E-4</v>
      </c>
      <c r="W33" s="3">
        <v>261.36</v>
      </c>
      <c r="X33" s="7">
        <f t="shared" si="22"/>
        <v>1.2630763270050416E-2</v>
      </c>
      <c r="Y33" s="7">
        <f t="shared" si="7"/>
        <v>1.7112312535241259E-3</v>
      </c>
      <c r="Z33" s="3">
        <v>243.65</v>
      </c>
      <c r="AA33" s="7">
        <f t="shared" si="23"/>
        <v>1.1037802398439656E-2</v>
      </c>
      <c r="AB33" s="7">
        <f t="shared" si="8"/>
        <v>1.182703819133657E-4</v>
      </c>
      <c r="AC33" s="3">
        <v>1137.08</v>
      </c>
      <c r="AD33" s="7">
        <f t="shared" si="24"/>
        <v>9.2933668261421243E-3</v>
      </c>
      <c r="AE33" s="7">
        <f t="shared" si="9"/>
        <v>-1.6261651903841656E-3</v>
      </c>
      <c r="AF33" s="3">
        <v>930.31</v>
      </c>
      <c r="AG33" s="7">
        <f t="shared" si="25"/>
        <v>1.1008715686061432E-2</v>
      </c>
      <c r="AH33" s="7">
        <f t="shared" si="10"/>
        <v>8.9183669535142229E-5</v>
      </c>
      <c r="AI33" s="3">
        <v>4640.21</v>
      </c>
      <c r="AJ33" s="7">
        <f t="shared" si="26"/>
        <v>9.9268706742696722E-3</v>
      </c>
      <c r="AK33" s="7">
        <f t="shared" si="11"/>
        <v>-9.9266134225661773E-4</v>
      </c>
      <c r="AL33" s="3">
        <v>926.86</v>
      </c>
      <c r="AM33" s="7">
        <f t="shared" si="27"/>
        <v>1.4303067444380035E-2</v>
      </c>
      <c r="AN33" s="7">
        <f t="shared" si="12"/>
        <v>3.3835354278537455E-3</v>
      </c>
      <c r="AO33" s="3">
        <v>911.24</v>
      </c>
      <c r="AP33" s="7">
        <f t="shared" si="28"/>
        <v>1.3198127578193608E-2</v>
      </c>
      <c r="AQ33" s="7">
        <f t="shared" si="13"/>
        <v>2.2785955616673181E-3</v>
      </c>
      <c r="AR33" s="3">
        <v>177.54</v>
      </c>
      <c r="AS33" s="7">
        <f t="shared" si="29"/>
        <v>1.2893655864901765E-2</v>
      </c>
      <c r="AT33" s="7">
        <f t="shared" si="14"/>
        <v>1.9741238483754753E-3</v>
      </c>
      <c r="AU33" s="3">
        <v>59482.730799999998</v>
      </c>
      <c r="AV33" s="7">
        <f t="shared" si="30"/>
        <v>1.091953201652629E-2</v>
      </c>
    </row>
    <row r="34" spans="1:48" x14ac:dyDescent="0.25">
      <c r="A34" s="2">
        <v>46234</v>
      </c>
      <c r="B34" s="3">
        <v>2179.9</v>
      </c>
      <c r="C34" s="7">
        <f t="shared" si="15"/>
        <v>4.0532448988992442E-3</v>
      </c>
      <c r="D34" s="7">
        <f t="shared" si="0"/>
        <v>-1.6633857168559807E-3</v>
      </c>
      <c r="E34" s="3">
        <v>8163.32</v>
      </c>
      <c r="F34" s="7">
        <f t="shared" si="16"/>
        <v>3.0916079310310263E-3</v>
      </c>
      <c r="G34" s="7">
        <f t="shared" si="1"/>
        <v>-2.6250226847241986E-3</v>
      </c>
      <c r="H34" s="3">
        <v>2800.7</v>
      </c>
      <c r="I34" s="7">
        <f t="shared" si="17"/>
        <v>6.4468369532404424E-3</v>
      </c>
      <c r="J34" s="7">
        <f t="shared" si="2"/>
        <v>7.3020633748521746E-4</v>
      </c>
      <c r="K34" s="3">
        <v>9582.11</v>
      </c>
      <c r="L34" s="7">
        <f t="shared" si="18"/>
        <v>4.9154504763384566E-3</v>
      </c>
      <c r="M34" s="7">
        <f t="shared" si="3"/>
        <v>-8.0118013941676836E-4</v>
      </c>
      <c r="N34" s="3">
        <v>1386.11</v>
      </c>
      <c r="O34" s="7">
        <f t="shared" si="19"/>
        <v>4.8061588424623825E-3</v>
      </c>
      <c r="P34" s="7">
        <f t="shared" si="4"/>
        <v>-9.1047177329284246E-4</v>
      </c>
      <c r="Q34" s="3">
        <v>1137.6300000000001</v>
      </c>
      <c r="R34" s="7">
        <f t="shared" si="20"/>
        <v>3.3868705844999347E-3</v>
      </c>
      <c r="S34" s="7">
        <f t="shared" si="5"/>
        <v>-2.3297600312552902E-3</v>
      </c>
      <c r="T34" s="3">
        <v>248.64</v>
      </c>
      <c r="U34" s="7">
        <f t="shared" si="21"/>
        <v>4.8496605237633439E-3</v>
      </c>
      <c r="V34" s="7">
        <f t="shared" si="6"/>
        <v>-8.6697009199188102E-4</v>
      </c>
      <c r="W34" s="3">
        <v>262.10000000000002</v>
      </c>
      <c r="X34" s="7">
        <f t="shared" si="22"/>
        <v>2.8313437404345887E-3</v>
      </c>
      <c r="Y34" s="7">
        <f t="shared" si="7"/>
        <v>-2.8852868753206362E-3</v>
      </c>
      <c r="Z34" s="3">
        <v>245.07</v>
      </c>
      <c r="AA34" s="7">
        <f t="shared" si="23"/>
        <v>5.8280320131336438E-3</v>
      </c>
      <c r="AB34" s="7">
        <f t="shared" si="8"/>
        <v>1.1140139737841892E-4</v>
      </c>
      <c r="AC34" s="3">
        <v>1144.6300000000001</v>
      </c>
      <c r="AD34" s="7">
        <f t="shared" si="24"/>
        <v>6.6398142610899491E-3</v>
      </c>
      <c r="AE34" s="7">
        <f t="shared" si="9"/>
        <v>9.2318364533472419E-4</v>
      </c>
      <c r="AF34" s="3">
        <v>934.4</v>
      </c>
      <c r="AG34" s="7">
        <f t="shared" si="25"/>
        <v>4.3963840010319277E-3</v>
      </c>
      <c r="AH34" s="7">
        <f t="shared" si="10"/>
        <v>-1.3202466147232972E-3</v>
      </c>
      <c r="AI34" s="3">
        <v>4651.83</v>
      </c>
      <c r="AJ34" s="7">
        <f t="shared" si="26"/>
        <v>2.5041970083250487E-3</v>
      </c>
      <c r="AK34" s="7">
        <f t="shared" si="11"/>
        <v>-3.2124336074301763E-3</v>
      </c>
      <c r="AL34" s="3">
        <v>929.7</v>
      </c>
      <c r="AM34" s="7">
        <f t="shared" si="27"/>
        <v>3.0641089269145549E-3</v>
      </c>
      <c r="AN34" s="7">
        <f t="shared" si="12"/>
        <v>-2.65252168884067E-3</v>
      </c>
      <c r="AO34" s="3">
        <v>911.52</v>
      </c>
      <c r="AP34" s="7">
        <f t="shared" si="28"/>
        <v>3.0727360519722247E-4</v>
      </c>
      <c r="AQ34" s="7">
        <f t="shared" si="13"/>
        <v>-5.4093570105580024E-3</v>
      </c>
      <c r="AR34" s="3">
        <v>177.84</v>
      </c>
      <c r="AS34" s="7">
        <f t="shared" si="29"/>
        <v>1.6897600540723978E-3</v>
      </c>
      <c r="AT34" s="7">
        <f t="shared" si="14"/>
        <v>-4.0268705616828271E-3</v>
      </c>
      <c r="AU34" s="3">
        <v>59822.7716</v>
      </c>
      <c r="AV34" s="7">
        <f t="shared" si="30"/>
        <v>5.7166306157552249E-3</v>
      </c>
    </row>
    <row r="35" spans="1:48" x14ac:dyDescent="0.25">
      <c r="A35" s="2">
        <v>46241</v>
      </c>
      <c r="B35" s="3">
        <v>2265.42</v>
      </c>
      <c r="C35" s="7">
        <f t="shared" si="15"/>
        <v>3.9231157392541016E-2</v>
      </c>
      <c r="D35" s="7">
        <f t="shared" si="0"/>
        <v>-1.8727347492244473E-2</v>
      </c>
      <c r="E35" s="3">
        <v>8667.56</v>
      </c>
      <c r="F35" s="7">
        <f t="shared" si="16"/>
        <v>6.1768986147792804E-2</v>
      </c>
      <c r="G35" s="7">
        <f t="shared" si="1"/>
        <v>3.8104812630073148E-3</v>
      </c>
      <c r="H35" s="3">
        <v>2969.53</v>
      </c>
      <c r="I35" s="7">
        <f t="shared" si="17"/>
        <v>6.0281358231870641E-2</v>
      </c>
      <c r="J35" s="7">
        <f t="shared" si="2"/>
        <v>2.322853347085152E-3</v>
      </c>
      <c r="K35" s="3">
        <v>10063.81</v>
      </c>
      <c r="L35" s="7">
        <f t="shared" si="18"/>
        <v>5.0270764998523232E-2</v>
      </c>
      <c r="M35" s="7">
        <f t="shared" si="3"/>
        <v>-7.687739886262257E-3</v>
      </c>
      <c r="N35" s="3">
        <v>1465.25</v>
      </c>
      <c r="O35" s="7">
        <f t="shared" si="19"/>
        <v>5.7095035747523726E-2</v>
      </c>
      <c r="P35" s="7">
        <f t="shared" si="4"/>
        <v>-8.6346913726176311E-4</v>
      </c>
      <c r="Q35" s="3">
        <v>1204.26</v>
      </c>
      <c r="R35" s="7">
        <f t="shared" si="20"/>
        <v>5.8569130560902849E-2</v>
      </c>
      <c r="S35" s="7">
        <f t="shared" si="5"/>
        <v>6.1062567611736007E-4</v>
      </c>
      <c r="T35" s="3">
        <v>262.91000000000003</v>
      </c>
      <c r="U35" s="7">
        <f t="shared" si="21"/>
        <v>5.7392213642213807E-2</v>
      </c>
      <c r="V35" s="7">
        <f t="shared" si="6"/>
        <v>-5.6629124257168151E-4</v>
      </c>
      <c r="W35" s="3">
        <v>275.66000000000003</v>
      </c>
      <c r="X35" s="7">
        <f t="shared" si="22"/>
        <v>5.173597863410917E-2</v>
      </c>
      <c r="Y35" s="7">
        <f t="shared" si="7"/>
        <v>-6.222526250676319E-3</v>
      </c>
      <c r="Z35" s="3">
        <v>259.35000000000002</v>
      </c>
      <c r="AA35" s="7">
        <f t="shared" si="23"/>
        <v>5.8269065981148449E-2</v>
      </c>
      <c r="AB35" s="7">
        <f t="shared" si="8"/>
        <v>3.1056109636296014E-4</v>
      </c>
      <c r="AC35" s="3">
        <v>1206.57</v>
      </c>
      <c r="AD35" s="7">
        <f t="shared" si="24"/>
        <v>5.4113556345718461E-2</v>
      </c>
      <c r="AE35" s="7">
        <f t="shared" si="9"/>
        <v>-3.8449485390670279E-3</v>
      </c>
      <c r="AF35" s="3">
        <v>990.37</v>
      </c>
      <c r="AG35" s="7">
        <f t="shared" si="25"/>
        <v>5.9899400684931603E-2</v>
      </c>
      <c r="AH35" s="7">
        <f t="shared" si="10"/>
        <v>1.9408958001461141E-3</v>
      </c>
      <c r="AI35" s="3">
        <v>4888.87</v>
      </c>
      <c r="AJ35" s="7">
        <f t="shared" si="26"/>
        <v>5.0956290320153474E-2</v>
      </c>
      <c r="AK35" s="7">
        <f t="shared" si="11"/>
        <v>-7.0022145646320144E-3</v>
      </c>
      <c r="AL35" s="3">
        <v>971.58</v>
      </c>
      <c r="AM35" s="7">
        <f t="shared" si="27"/>
        <v>4.5046789286866673E-2</v>
      </c>
      <c r="AN35" s="7">
        <f t="shared" si="12"/>
        <v>-1.2911715597918816E-2</v>
      </c>
      <c r="AO35" s="3">
        <v>958.25</v>
      </c>
      <c r="AP35" s="7">
        <f t="shared" si="28"/>
        <v>5.1266017202036274E-2</v>
      </c>
      <c r="AQ35" s="7">
        <f t="shared" si="13"/>
        <v>-6.6924876827492152E-3</v>
      </c>
      <c r="AR35" s="3">
        <v>187.42</v>
      </c>
      <c r="AS35" s="7">
        <f t="shared" si="29"/>
        <v>5.3868645973909057E-2</v>
      </c>
      <c r="AT35" s="7">
        <f t="shared" si="14"/>
        <v>-4.0898589108764316E-3</v>
      </c>
      <c r="AU35" s="3">
        <v>63290.01</v>
      </c>
      <c r="AV35" s="7">
        <f t="shared" si="30"/>
        <v>5.7958504884785489E-2</v>
      </c>
    </row>
    <row r="36" spans="1:48" x14ac:dyDescent="0.25">
      <c r="A36" s="2">
        <v>46251</v>
      </c>
      <c r="B36" s="3">
        <v>2255.4699999999998</v>
      </c>
      <c r="C36" s="7">
        <f t="shared" si="15"/>
        <v>-4.3921215492050969E-3</v>
      </c>
      <c r="D36" s="7">
        <f t="shared" si="0"/>
        <v>-3.1609635828845351E-3</v>
      </c>
      <c r="E36" s="3">
        <v>8632.2900000000009</v>
      </c>
      <c r="F36" s="7">
        <f t="shared" si="16"/>
        <v>-4.0691959444179027E-3</v>
      </c>
      <c r="G36" s="7">
        <f t="shared" si="1"/>
        <v>-2.8380379780973408E-3</v>
      </c>
      <c r="H36" s="3">
        <v>2962.24</v>
      </c>
      <c r="I36" s="7">
        <f t="shared" si="17"/>
        <v>-2.4549339457761166E-3</v>
      </c>
      <c r="J36" s="7">
        <f t="shared" si="2"/>
        <v>-1.2237759794555547E-3</v>
      </c>
      <c r="K36" s="3">
        <v>9990.7099999999991</v>
      </c>
      <c r="L36" s="7">
        <f t="shared" si="18"/>
        <v>-7.263650645232822E-3</v>
      </c>
      <c r="M36" s="7">
        <f t="shared" si="3"/>
        <v>-6.0324926789122602E-3</v>
      </c>
      <c r="N36" s="3">
        <v>1461.35</v>
      </c>
      <c r="O36" s="7">
        <f t="shared" si="19"/>
        <v>-2.661661832451867E-3</v>
      </c>
      <c r="P36" s="7">
        <f t="shared" si="4"/>
        <v>-1.4305038661313052E-3</v>
      </c>
      <c r="Q36" s="3">
        <v>1201</v>
      </c>
      <c r="R36" s="7">
        <f t="shared" si="20"/>
        <v>-2.7070566156809361E-3</v>
      </c>
      <c r="S36" s="7">
        <f t="shared" si="5"/>
        <v>-1.4758986493603743E-3</v>
      </c>
      <c r="T36" s="3">
        <v>262.24</v>
      </c>
      <c r="U36" s="7">
        <f t="shared" si="21"/>
        <v>-2.5484005933590348E-3</v>
      </c>
      <c r="V36" s="7">
        <f t="shared" si="6"/>
        <v>-1.3172426270384729E-3</v>
      </c>
      <c r="W36" s="3">
        <v>275.27</v>
      </c>
      <c r="X36" s="7">
        <f t="shared" si="22"/>
        <v>-1.4147863309875719E-3</v>
      </c>
      <c r="Y36" s="7">
        <f t="shared" si="7"/>
        <v>-1.8362836466701005E-4</v>
      </c>
      <c r="Z36" s="3">
        <v>258.61</v>
      </c>
      <c r="AA36" s="7">
        <f t="shared" si="23"/>
        <v>-2.8532870638133812E-3</v>
      </c>
      <c r="AB36" s="7">
        <f t="shared" si="8"/>
        <v>-1.6221290974928193E-3</v>
      </c>
      <c r="AC36" s="3">
        <v>1203.8699999999999</v>
      </c>
      <c r="AD36" s="7">
        <f t="shared" si="24"/>
        <v>-2.2377483279047983E-3</v>
      </c>
      <c r="AE36" s="7">
        <f t="shared" si="9"/>
        <v>-1.0065903615842364E-3</v>
      </c>
      <c r="AF36" s="3">
        <v>988.25</v>
      </c>
      <c r="AG36" s="7">
        <f t="shared" si="25"/>
        <v>-2.1406141139169721E-3</v>
      </c>
      <c r="AH36" s="7">
        <f t="shared" si="10"/>
        <v>-9.0945614759641025E-4</v>
      </c>
      <c r="AI36" s="3">
        <v>4857.0200000000004</v>
      </c>
      <c r="AJ36" s="7">
        <f t="shared" si="26"/>
        <v>-6.5147978980826249E-3</v>
      </c>
      <c r="AK36" s="7">
        <f t="shared" si="11"/>
        <v>-5.283639931762063E-3</v>
      </c>
      <c r="AL36" s="3">
        <v>972.17</v>
      </c>
      <c r="AM36" s="7">
        <f t="shared" si="27"/>
        <v>6.072582803267057E-4</v>
      </c>
      <c r="AN36" s="7">
        <f t="shared" si="12"/>
        <v>1.8384162466472675E-3</v>
      </c>
      <c r="AO36" s="3">
        <v>958.85</v>
      </c>
      <c r="AP36" s="7">
        <f t="shared" si="28"/>
        <v>6.2614140360039983E-4</v>
      </c>
      <c r="AQ36" s="7">
        <f t="shared" si="13"/>
        <v>1.8572993699209617E-3</v>
      </c>
      <c r="AR36" s="3">
        <v>187.65</v>
      </c>
      <c r="AS36" s="7">
        <f t="shared" si="29"/>
        <v>1.2271902678477886E-3</v>
      </c>
      <c r="AT36" s="7">
        <f t="shared" si="14"/>
        <v>2.4583482341683505E-3</v>
      </c>
      <c r="AU36" s="3">
        <v>63212.09</v>
      </c>
      <c r="AV36" s="7">
        <f t="shared" si="30"/>
        <v>-1.2311579663205618E-3</v>
      </c>
    </row>
    <row r="37" spans="1:48" s="3" customFormat="1" x14ac:dyDescent="0.25">
      <c r="A37" s="2">
        <f>+Data_base!A37</f>
        <v>46258</v>
      </c>
      <c r="B37" s="3">
        <v>2271.62</v>
      </c>
      <c r="C37" s="7">
        <f t="shared" si="15"/>
        <v>7.1603701224136618E-3</v>
      </c>
      <c r="D37" s="7">
        <f t="shared" ref="D37:D38" si="31">C37-AV37</f>
        <v>-8.3784294964568407E-3</v>
      </c>
      <c r="E37" s="3">
        <f>+Data_base!D37</f>
        <v>8743.67</v>
      </c>
      <c r="F37" s="7">
        <f t="shared" si="16"/>
        <v>1.2902717587105927E-2</v>
      </c>
      <c r="G37" s="7">
        <f t="shared" ref="G37:G38" si="32">F37-AV37</f>
        <v>-2.636082031764575E-3</v>
      </c>
      <c r="H37" s="3">
        <f>+Data_base!F37</f>
        <v>3008.6</v>
      </c>
      <c r="I37" s="7">
        <f t="shared" si="17"/>
        <v>1.5650318677757458E-2</v>
      </c>
      <c r="J37" s="7">
        <f t="shared" ref="J37:J38" si="33">I37-AV37</f>
        <v>1.1151905888695524E-4</v>
      </c>
      <c r="K37" s="3">
        <f>+Data_base!H37</f>
        <v>9988.1200000000008</v>
      </c>
      <c r="L37" s="7">
        <f t="shared" si="18"/>
        <v>-2.5924083473527482E-4</v>
      </c>
      <c r="M37" s="7">
        <f t="shared" ref="M37:M38" si="34">L37-AV37</f>
        <v>-1.5798040453605777E-2</v>
      </c>
      <c r="N37" s="3">
        <f>+Data_base!J37</f>
        <v>1482.37</v>
      </c>
      <c r="O37" s="7">
        <f t="shared" si="19"/>
        <v>1.4383960036952192E-2</v>
      </c>
      <c r="P37" s="7">
        <f t="shared" ref="P37:P38" si="35">O37-AV37</f>
        <v>-1.1548395819183099E-3</v>
      </c>
      <c r="Q37" s="3">
        <f>+Data_base!L37</f>
        <v>1216.49</v>
      </c>
      <c r="R37" s="7">
        <f t="shared" si="20"/>
        <v>1.2897585345545304E-2</v>
      </c>
      <c r="S37" s="7">
        <f t="shared" ref="S37:S38" si="36">R37-AV37</f>
        <v>-2.6412142733251986E-3</v>
      </c>
      <c r="T37" s="3">
        <f>+Data_base!P37</f>
        <v>278.88</v>
      </c>
      <c r="U37" s="7">
        <f t="shared" si="21"/>
        <v>6.345332519829161E-2</v>
      </c>
      <c r="V37" s="7">
        <f t="shared" ref="V37:V38" si="37">U37-AV37</f>
        <v>4.7914525579421108E-2</v>
      </c>
      <c r="W37" s="3">
        <f>+Data_base!P37</f>
        <v>278.88</v>
      </c>
      <c r="X37" s="7">
        <f t="shared" si="22"/>
        <v>1.3114396774076331E-2</v>
      </c>
      <c r="Y37" s="7">
        <f t="shared" ref="Y37:Y38" si="38">X37-AV37</f>
        <v>-2.4244028447941712E-3</v>
      </c>
      <c r="Z37" s="3">
        <f>+Data_base!R37</f>
        <v>262.60000000000002</v>
      </c>
      <c r="AA37" s="7">
        <f t="shared" si="23"/>
        <v>1.5428637717025628E-2</v>
      </c>
      <c r="AB37" s="7">
        <f t="shared" ref="AB37:AB38" si="39">AA37-AV37</f>
        <v>-1.1016190184487407E-4</v>
      </c>
      <c r="AC37" s="3">
        <f>+Data_base!T37</f>
        <v>1219.33</v>
      </c>
      <c r="AD37" s="7">
        <f t="shared" si="24"/>
        <v>1.2841918147308284E-2</v>
      </c>
      <c r="AE37" s="7">
        <f t="shared" ref="AE37:AE38" si="40">AD37-AV37</f>
        <v>-2.696881471562218E-3</v>
      </c>
      <c r="AF37" s="3">
        <f>+Data_base!Z37</f>
        <v>977.96</v>
      </c>
      <c r="AG37" s="7">
        <f t="shared" si="25"/>
        <v>-1.0412345054389038E-2</v>
      </c>
      <c r="AH37" s="7">
        <f t="shared" ref="AH37:AH38" si="41">AG37-AV37</f>
        <v>-2.5951144673259541E-2</v>
      </c>
      <c r="AI37" s="3">
        <f>+Data_base!X37</f>
        <v>4891.8</v>
      </c>
      <c r="AJ37" s="7">
        <f t="shared" si="26"/>
        <v>7.1607693606368095E-3</v>
      </c>
      <c r="AK37" s="7">
        <f t="shared" ref="AK37:AK38" si="42">AJ37-AV37</f>
        <v>-8.378030258233693E-3</v>
      </c>
      <c r="AL37" s="3">
        <f>+Data_base!Z37</f>
        <v>977.96</v>
      </c>
      <c r="AM37" s="7">
        <f t="shared" si="27"/>
        <v>5.9557484802041927E-3</v>
      </c>
      <c r="AN37" s="7">
        <f t="shared" ref="AN37:AN38" si="43">AM37-AV37</f>
        <v>-9.5830511386663098E-3</v>
      </c>
      <c r="AO37" s="3">
        <f>+Data_base!AB37</f>
        <v>973.26</v>
      </c>
      <c r="AP37" s="7">
        <f t="shared" si="28"/>
        <v>1.5028419460812348E-2</v>
      </c>
      <c r="AQ37" s="7">
        <f t="shared" ref="AQ37:AQ38" si="44">AP37-AV37</f>
        <v>-5.1038015805815462E-4</v>
      </c>
      <c r="AR37" s="3">
        <f>+Data_base!AD37</f>
        <v>190.34</v>
      </c>
      <c r="AS37" s="7">
        <f t="shared" si="29"/>
        <v>1.4335198507860358E-2</v>
      </c>
      <c r="AT37" s="7">
        <f t="shared" ref="AT37:AT38" si="45">AS37-AV37</f>
        <v>-1.2036011110101441E-3</v>
      </c>
      <c r="AU37" s="3">
        <f>+Data_base!AF37</f>
        <v>64194.33</v>
      </c>
      <c r="AV37" s="7">
        <f t="shared" si="30"/>
        <v>1.5538799618870502E-2</v>
      </c>
    </row>
    <row r="38" spans="1:48" s="3" customFormat="1" x14ac:dyDescent="0.25">
      <c r="A38" s="2">
        <f>+Data_base!A38</f>
        <v>46262</v>
      </c>
      <c r="B38" s="3">
        <v>2255.0500000000002</v>
      </c>
      <c r="C38" s="7">
        <f t="shared" si="15"/>
        <v>-7.2943538091757576E-3</v>
      </c>
      <c r="D38" s="7">
        <f t="shared" si="31"/>
        <v>2.7658804825444472E-3</v>
      </c>
      <c r="E38" s="3">
        <f>+Data_base!D38</f>
        <v>8656.5300000000007</v>
      </c>
      <c r="F38" s="7">
        <f t="shared" si="16"/>
        <v>-9.9660668803831509E-3</v>
      </c>
      <c r="G38" s="7">
        <f t="shared" si="32"/>
        <v>9.4167411337053863E-5</v>
      </c>
      <c r="H38" s="3">
        <f>+Data_base!F38</f>
        <v>2976.25</v>
      </c>
      <c r="I38" s="7">
        <f t="shared" si="17"/>
        <v>-1.0752509472844451E-2</v>
      </c>
      <c r="J38" s="7">
        <f t="shared" si="33"/>
        <v>-6.9227518112424669E-4</v>
      </c>
      <c r="K38" s="3">
        <f>+Data_base!H38</f>
        <v>9927.86</v>
      </c>
      <c r="L38" s="7">
        <f t="shared" si="18"/>
        <v>-6.0331674028746285E-3</v>
      </c>
      <c r="M38" s="7">
        <f t="shared" si="34"/>
        <v>4.0270668888455763E-3</v>
      </c>
      <c r="N38" s="3">
        <f>+Data_base!J38</f>
        <v>1467.89</v>
      </c>
      <c r="O38" s="7">
        <f t="shared" si="19"/>
        <v>-9.7681415571010399E-3</v>
      </c>
      <c r="P38" s="7">
        <f t="shared" si="35"/>
        <v>2.9209273461916485E-4</v>
      </c>
      <c r="Q38" s="3">
        <f>+Data_base!L38</f>
        <v>1204.06</v>
      </c>
      <c r="R38" s="7">
        <f t="shared" si="20"/>
        <v>-1.0217922054435391E-2</v>
      </c>
      <c r="S38" s="7">
        <f t="shared" si="36"/>
        <v>-1.5768776271518625E-4</v>
      </c>
      <c r="T38" s="3">
        <f>+Data_base!P38</f>
        <v>276.18</v>
      </c>
      <c r="U38" s="7">
        <f t="shared" si="21"/>
        <v>-9.6815834767641773E-3</v>
      </c>
      <c r="V38" s="7">
        <f t="shared" si="37"/>
        <v>3.7865081495602748E-4</v>
      </c>
      <c r="W38" s="3">
        <f>+Data_base!P38</f>
        <v>276.18</v>
      </c>
      <c r="X38" s="7">
        <f t="shared" si="22"/>
        <v>-9.6815834767641773E-3</v>
      </c>
      <c r="Y38" s="7">
        <f t="shared" si="38"/>
        <v>3.7865081495602748E-4</v>
      </c>
      <c r="Z38" s="3">
        <f>+Data_base!R38</f>
        <v>259.75</v>
      </c>
      <c r="AA38" s="7">
        <f t="shared" si="23"/>
        <v>-1.0853008377760931E-2</v>
      </c>
      <c r="AB38" s="7">
        <f t="shared" si="39"/>
        <v>-7.9277408604072619E-4</v>
      </c>
      <c r="AC38" s="3">
        <f>+Data_base!T38</f>
        <v>1207.72</v>
      </c>
      <c r="AD38" s="7">
        <f t="shared" si="24"/>
        <v>-9.5216225304060043E-3</v>
      </c>
      <c r="AE38" s="7">
        <f t="shared" si="40"/>
        <v>5.3861176131420052E-4</v>
      </c>
      <c r="AF38" s="3">
        <f>+Data_base!Z38</f>
        <v>967.96</v>
      </c>
      <c r="AG38" s="7">
        <f t="shared" si="25"/>
        <v>-1.0225367090678561E-2</v>
      </c>
      <c r="AH38" s="7">
        <f t="shared" si="41"/>
        <v>-1.651327989583562E-4</v>
      </c>
      <c r="AI38" s="3">
        <f>+Data_base!X38</f>
        <v>4857.3599999999997</v>
      </c>
      <c r="AJ38" s="7">
        <f t="shared" si="26"/>
        <v>-7.0403532442047112E-3</v>
      </c>
      <c r="AK38" s="7">
        <f t="shared" si="42"/>
        <v>3.0198810475154936E-3</v>
      </c>
      <c r="AL38" s="3">
        <f>+Data_base!Z38</f>
        <v>967.96</v>
      </c>
      <c r="AM38" s="7">
        <f t="shared" si="27"/>
        <v>-1.0225367090678561E-2</v>
      </c>
      <c r="AN38" s="7">
        <f t="shared" si="43"/>
        <v>-1.651327989583562E-4</v>
      </c>
      <c r="AO38" s="3">
        <f>+Data_base!AB38</f>
        <v>962.54</v>
      </c>
      <c r="AP38" s="7">
        <f t="shared" si="28"/>
        <v>-1.1014528491872677E-2</v>
      </c>
      <c r="AQ38" s="7">
        <f t="shared" si="44"/>
        <v>-9.5429420015247235E-4</v>
      </c>
      <c r="AR38" s="3">
        <f>+Data_base!AD38</f>
        <v>188.32</v>
      </c>
      <c r="AS38" s="7">
        <f t="shared" si="29"/>
        <v>-1.0612588000420309E-2</v>
      </c>
      <c r="AT38" s="7">
        <f t="shared" si="45"/>
        <v>-5.5235370870010403E-4</v>
      </c>
      <c r="AU38" s="3">
        <f>+Data_base!AF38</f>
        <v>63548.52</v>
      </c>
      <c r="AV38" s="7">
        <f t="shared" si="30"/>
        <v>-1.0060234291720205E-2</v>
      </c>
    </row>
    <row r="39" spans="1:48" x14ac:dyDescent="0.25">
      <c r="A39" s="2">
        <f>+A38+7</f>
        <v>46269</v>
      </c>
      <c r="B39" s="3">
        <v>2238.9499999999998</v>
      </c>
      <c r="C39" s="7">
        <f t="shared" si="15"/>
        <v>-7.1395312742512651E-3</v>
      </c>
      <c r="D39" s="7">
        <f t="shared" ref="D39" si="46">C39-AV39</f>
        <v>-2.2698663316216283E-3</v>
      </c>
      <c r="E39" s="3">
        <f>+Data_base!D39</f>
        <v>8615.82</v>
      </c>
      <c r="F39" s="7">
        <f t="shared" si="16"/>
        <v>-4.7028081690932977E-3</v>
      </c>
      <c r="G39" s="7">
        <f t="shared" ref="G39" si="47">F39-AV39</f>
        <v>1.668567735363391E-4</v>
      </c>
      <c r="H39" s="3">
        <f>+Data_base!F39</f>
        <v>2953.19</v>
      </c>
      <c r="I39" s="7">
        <f t="shared" si="17"/>
        <v>-7.7480050398991418E-3</v>
      </c>
      <c r="J39" s="7">
        <f t="shared" ref="J39" si="48">I39-AV39</f>
        <v>-2.878340097269505E-3</v>
      </c>
      <c r="K39" s="3">
        <f>+Data_base!H39</f>
        <v>9801.58</v>
      </c>
      <c r="L39" s="7">
        <f t="shared" si="18"/>
        <v>-1.2719760351173393E-2</v>
      </c>
      <c r="M39" s="7">
        <f t="shared" ref="M39" si="49">L39-AV39</f>
        <v>-7.8500954085437558E-3</v>
      </c>
      <c r="N39" s="3">
        <f>+Data_base!J39</f>
        <v>1454.6</v>
      </c>
      <c r="O39" s="7">
        <f t="shared" si="19"/>
        <v>-9.0538119341369017E-3</v>
      </c>
      <c r="P39" s="7">
        <f t="shared" ref="P39" si="50">O39-AV39</f>
        <v>-4.1841469915072649E-3</v>
      </c>
      <c r="Q39" s="3">
        <f>+Data_base!L39</f>
        <v>1194.83</v>
      </c>
      <c r="R39" s="7">
        <f t="shared" si="20"/>
        <v>-7.6657309436406473E-3</v>
      </c>
      <c r="S39" s="7">
        <f t="shared" ref="S39" si="51">R39-AV39</f>
        <v>-2.7960660010110105E-3</v>
      </c>
      <c r="T39" s="3">
        <f>+Data_base!P39</f>
        <v>274.97000000000003</v>
      </c>
      <c r="U39" s="7">
        <f t="shared" si="21"/>
        <v>-4.3812006662320435E-3</v>
      </c>
      <c r="V39" s="7">
        <f t="shared" ref="V39" si="52">U39-AV39</f>
        <v>4.8846427639759327E-4</v>
      </c>
      <c r="W39" s="3">
        <f>+Data_base!P39</f>
        <v>274.97000000000003</v>
      </c>
      <c r="X39" s="7">
        <f t="shared" si="22"/>
        <v>-4.3812006662320435E-3</v>
      </c>
      <c r="Y39" s="7">
        <f t="shared" ref="Y39" si="53">X39-AV39</f>
        <v>4.8846427639759327E-4</v>
      </c>
      <c r="Z39" s="3">
        <f>+Data_base!R39</f>
        <v>257.82</v>
      </c>
      <c r="AA39" s="7">
        <f t="shared" si="23"/>
        <v>-7.4302213666987971E-3</v>
      </c>
      <c r="AB39" s="7">
        <f t="shared" ref="AB39" si="54">AA39-AV39</f>
        <v>-2.5605564240691603E-3</v>
      </c>
      <c r="AC39" s="3">
        <f>+Data_base!T39</f>
        <v>1200.6600000000001</v>
      </c>
      <c r="AD39" s="7">
        <f t="shared" si="24"/>
        <v>-5.845725830490478E-3</v>
      </c>
      <c r="AE39" s="7">
        <f t="shared" ref="AE39" si="55">AD39-AV39</f>
        <v>-9.7606088786084122E-4</v>
      </c>
      <c r="AF39" s="3">
        <f>+Data_base!Z39</f>
        <v>969.81</v>
      </c>
      <c r="AG39" s="7">
        <f t="shared" si="25"/>
        <v>1.9112360014876817E-3</v>
      </c>
      <c r="AH39" s="7">
        <f t="shared" ref="AH39" si="56">AG39-AV39</f>
        <v>6.7809009441173185E-3</v>
      </c>
      <c r="AI39" s="3">
        <f>+Data_base!X39</f>
        <v>4814.75</v>
      </c>
      <c r="AJ39" s="7">
        <f t="shared" si="26"/>
        <v>-8.7722548874284989E-3</v>
      </c>
      <c r="AK39" s="7">
        <f t="shared" ref="AK39" si="57">AJ39-AV39</f>
        <v>-3.9025899447988621E-3</v>
      </c>
      <c r="AL39" s="3">
        <f>+Data_base!Z39</f>
        <v>969.81</v>
      </c>
      <c r="AM39" s="7">
        <f t="shared" si="27"/>
        <v>1.9112360014876817E-3</v>
      </c>
      <c r="AN39" s="7">
        <f t="shared" ref="AN39" si="58">AM39-AV39</f>
        <v>6.7809009441173185E-3</v>
      </c>
      <c r="AO39" s="3">
        <f>+Data_base!AB39</f>
        <v>962.8</v>
      </c>
      <c r="AP39" s="7">
        <f t="shared" si="28"/>
        <v>2.7011864442005873E-4</v>
      </c>
      <c r="AQ39" s="7">
        <f t="shared" ref="AQ39" si="59">AP39-AV39</f>
        <v>5.1397835870496955E-3</v>
      </c>
      <c r="AR39" s="3">
        <f>+Data_base!AD39</f>
        <v>188.7</v>
      </c>
      <c r="AS39" s="7">
        <f t="shared" si="29"/>
        <v>2.017841971112988E-3</v>
      </c>
      <c r="AT39" s="7">
        <f t="shared" ref="AT39" si="60">AS39-AV39</f>
        <v>6.8875069137426248E-3</v>
      </c>
      <c r="AU39" s="3">
        <f>+Data_base!AF39</f>
        <v>63239.06</v>
      </c>
      <c r="AV39" s="7">
        <f t="shared" si="30"/>
        <v>-4.8696649426296368E-3</v>
      </c>
    </row>
    <row r="41" spans="1:48" x14ac:dyDescent="0.25">
      <c r="L41" s="10"/>
    </row>
    <row r="49" spans="3:3" x14ac:dyDescent="0.25">
      <c r="C49" s="11"/>
    </row>
  </sheetData>
  <mergeCells count="16">
    <mergeCell ref="AU1:AV1"/>
    <mergeCell ref="K1:M1"/>
    <mergeCell ref="H1:J1"/>
    <mergeCell ref="E1:G1"/>
    <mergeCell ref="B1:D1"/>
    <mergeCell ref="N1:P1"/>
    <mergeCell ref="Q1:S1"/>
    <mergeCell ref="T1:V1"/>
    <mergeCell ref="W1:Y1"/>
    <mergeCell ref="Z1:AB1"/>
    <mergeCell ref="AL1:AN1"/>
    <mergeCell ref="AO1:AQ1"/>
    <mergeCell ref="AR1:AT1"/>
    <mergeCell ref="AC1:AE1"/>
    <mergeCell ref="AF1:AH1"/>
    <mergeCell ref="AI1:AK1"/>
  </mergeCells>
  <phoneticPr fontId="5"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F0DC-9A1B-4F06-AB93-F1BC6A94CB00}">
  <sheetPr>
    <tabColor rgb="FFC00000"/>
  </sheetPr>
  <dimension ref="A1:Q11"/>
  <sheetViews>
    <sheetView tabSelected="1" workbookViewId="0">
      <selection activeCell="F19" sqref="F19"/>
    </sheetView>
  </sheetViews>
  <sheetFormatPr baseColWidth="10" defaultRowHeight="15" x14ac:dyDescent="0.25"/>
  <cols>
    <col min="1" max="1" width="29.5703125" customWidth="1"/>
    <col min="2" max="2" width="11.42578125" customWidth="1"/>
  </cols>
  <sheetData>
    <row r="1" spans="1:17" s="1" customFormat="1" ht="45" customHeight="1" x14ac:dyDescent="0.25">
      <c r="A1" s="5" t="s">
        <v>19</v>
      </c>
      <c r="B1" s="8" t="s">
        <v>13</v>
      </c>
      <c r="C1" s="8" t="s">
        <v>14</v>
      </c>
      <c r="D1" s="8" t="s">
        <v>0</v>
      </c>
      <c r="E1" s="8" t="s">
        <v>1</v>
      </c>
      <c r="F1" s="8" t="s">
        <v>2</v>
      </c>
      <c r="G1" s="8" t="s">
        <v>3</v>
      </c>
      <c r="H1" s="8" t="s">
        <v>4</v>
      </c>
      <c r="I1" s="8" t="s">
        <v>5</v>
      </c>
      <c r="J1" s="8" t="s">
        <v>6</v>
      </c>
      <c r="K1" s="8" t="s">
        <v>7</v>
      </c>
      <c r="L1" s="8" t="s">
        <v>8</v>
      </c>
      <c r="M1" s="8" t="s">
        <v>9</v>
      </c>
      <c r="N1" s="8" t="s">
        <v>10</v>
      </c>
      <c r="O1" s="8" t="s">
        <v>11</v>
      </c>
      <c r="P1" s="8" t="s">
        <v>12</v>
      </c>
      <c r="Q1" s="8" t="s">
        <v>15</v>
      </c>
    </row>
    <row r="2" spans="1:17" s="1" customFormat="1" x14ac:dyDescent="0.25">
      <c r="A2" s="17" t="s">
        <v>24</v>
      </c>
      <c r="B2" s="7">
        <f>+Data_Analysis!B39/Data_Analysis!B3-1</f>
        <v>-4.9201421770758591E-2</v>
      </c>
      <c r="C2" s="7">
        <f>+Data_Analysis!E39/Data_Analysis!E3-1</f>
        <v>1.3324269364530128E-2</v>
      </c>
      <c r="D2" s="7">
        <f>+Data_Analysis!H39/Data_Analysis!H3-1</f>
        <v>2.1276451345810798E-3</v>
      </c>
      <c r="E2" s="7">
        <f>+Data_Analysis!K39/Data_Analysis!K3-1</f>
        <v>-0.12112055206252315</v>
      </c>
      <c r="F2" s="7">
        <f>+Data_Analysis!N39/Data_Analysis!N3-1</f>
        <v>-3.5366363160093783E-2</v>
      </c>
      <c r="G2" s="7">
        <f>+Data_Analysis!Q39/Data_Analysis!Q3-1</f>
        <v>-3.7022522034237948E-3</v>
      </c>
      <c r="H2" s="7">
        <f>+Data_Analysis!T39/Data_Analysis!T3-1</f>
        <v>4.7345166450826648E-2</v>
      </c>
      <c r="I2" s="7">
        <f>+Data_Analysis!W39/Data_Analysis!W3-1</f>
        <v>-2.9780177128541641E-2</v>
      </c>
      <c r="J2" s="7">
        <f>+Data_Analysis!Z39/Data_Analysis!Z3-1</f>
        <v>3.2296976536050348E-3</v>
      </c>
      <c r="K2" s="7">
        <f>+Data_Analysis!AC39/Data_Analysis!AC3-1</f>
        <v>8.771487624136709E-3</v>
      </c>
      <c r="L2" s="7">
        <f>+Data_Analysis!AF39/Data_Analysis!AF3-1</f>
        <v>-1.6881980544547481E-3</v>
      </c>
      <c r="M2" s="7">
        <f>+Data_Analysis!AI39/Data_Analysis!AI3-1</f>
        <v>-5.6924375706364105E-2</v>
      </c>
      <c r="N2" s="7">
        <f>+Data_Analysis!AL39/Data_Analysis!AL3-1</f>
        <v>4.389524557872182E-2</v>
      </c>
      <c r="O2" s="7">
        <f>+Data_Analysis!AO39/Data_Analysis!AO3-1</f>
        <v>1.8318737572449839E-2</v>
      </c>
      <c r="P2" s="7">
        <f>+Data_Analysis!AR39/Data_Analysis!AR3-1</f>
        <v>7.9025617566331086E-2</v>
      </c>
      <c r="Q2" s="7">
        <f>+Data_Analysis!AU39/Data_Analysis!AU3-1</f>
        <v>4.4095142685423916E-2</v>
      </c>
    </row>
    <row r="3" spans="1:17" s="1" customFormat="1" x14ac:dyDescent="0.25">
      <c r="A3" s="17" t="s">
        <v>46</v>
      </c>
      <c r="B3" s="16">
        <f>+(1+B2)^(365/(Data_Analysis!$A$38-Data_Analysis!$A$3))-1</f>
        <v>-7.2409329503879016E-2</v>
      </c>
      <c r="C3" s="16">
        <f>+(1+C2)^(365/(Data_Analysis!$A$38-Data_Analysis!$A$3))-1</f>
        <v>1.9915069775884531E-2</v>
      </c>
      <c r="D3" s="16">
        <f>+(1+D2)^(365/(Data_Analysis!$A$38-Data_Analysis!$A$3))-1</f>
        <v>3.1714080608513662E-3</v>
      </c>
      <c r="E3" s="16">
        <f>+(1+E2)^(365/(Data_Analysis!$A$38-Data_Analysis!$A$3))-1</f>
        <v>-0.17497689125894178</v>
      </c>
      <c r="F3" s="16">
        <f>+(1+F2)^(365/(Data_Analysis!$A$38-Data_Analysis!$A$3))-1</f>
        <v>-5.2229536973659063E-2</v>
      </c>
      <c r="G3" s="16">
        <f>+(1+G2)^(365/(Data_Analysis!$A$38-Data_Analysis!$A$3))-1</f>
        <v>-5.5105962169433864E-3</v>
      </c>
      <c r="H3" s="16">
        <f>+(1+H2)^(365/(Data_Analysis!$A$38-Data_Analysis!$A$3))-1</f>
        <v>7.1345996016689783E-2</v>
      </c>
      <c r="I3" s="16">
        <f>+(1+I2)^(365/(Data_Analysis!$A$38-Data_Analysis!$A$3))-1</f>
        <v>-4.4041160167962556E-2</v>
      </c>
      <c r="J3" s="16">
        <f>+(1+J2)^(365/(Data_Analysis!$A$38-Data_Analysis!$A$3))-1</f>
        <v>4.8153940040087662E-3</v>
      </c>
      <c r="K3" s="16">
        <f>+(1+K2)^(365/(Data_Analysis!$A$38-Data_Analysis!$A$3))-1</f>
        <v>1.3095755760520467E-2</v>
      </c>
      <c r="L3" s="16">
        <f>+(1+L2)^(365/(Data_Analysis!$A$38-Data_Analysis!$A$3))-1</f>
        <v>-2.5140304508243227E-3</v>
      </c>
      <c r="M3" s="16">
        <f>+(1+M2)^(365/(Data_Analysis!$A$38-Data_Analysis!$A$3))-1</f>
        <v>-8.3611756210975274E-2</v>
      </c>
      <c r="N3" s="16">
        <f>+(1+N2)^(365/(Data_Analysis!$A$38-Data_Analysis!$A$3))-1</f>
        <v>6.6092781266276601E-2</v>
      </c>
      <c r="O3" s="16">
        <f>+(1+O2)^(365/(Data_Analysis!$A$38-Data_Analysis!$A$3))-1</f>
        <v>2.7413235922661094E-2</v>
      </c>
      <c r="P3" s="16">
        <f>+(1+P2)^(365/(Data_Analysis!$A$38-Data_Analysis!$A$3))-1</f>
        <v>0.119980792394075</v>
      </c>
      <c r="Q3" s="16">
        <f>+(1+Q2)^(365/(Data_Analysis!$A$38-Data_Analysis!$A$3))-1</f>
        <v>6.6396934008826403E-2</v>
      </c>
    </row>
    <row r="4" spans="1:17" s="1" customFormat="1" ht="15" customHeight="1" x14ac:dyDescent="0.25">
      <c r="A4" s="18" t="s">
        <v>22</v>
      </c>
      <c r="B4" s="7">
        <f>STDEV(Data_Analysis!C4:C100)*52^0.5</f>
        <v>0.17803252122929877</v>
      </c>
      <c r="C4" s="7">
        <f>STDEV(Data_Analysis!F4:F100)*52^0.5</f>
        <v>0.20237550947067415</v>
      </c>
      <c r="D4" s="7">
        <f>STDEV(Data_Analysis!I4:I100)*52^0.5</f>
        <v>0.19292662582550874</v>
      </c>
      <c r="E4" s="7">
        <f>STDEV(Data_Analysis!L4:L100)*52^0.5</f>
        <v>0.18492444468887323</v>
      </c>
      <c r="F4" s="7">
        <f>STDEV(Data_Analysis!O4:O100)*52^0.5</f>
        <v>0.18913074521597073</v>
      </c>
      <c r="G4" s="7">
        <f>STDEV(Data_Analysis!R4:R100)*52^0.5</f>
        <v>0.20596445711015468</v>
      </c>
      <c r="H4" s="7">
        <f>STDEV(Data_Analysis!U4:U100)*52^0.5</f>
        <v>0.20145042465206217</v>
      </c>
      <c r="I4" s="7">
        <f>STDEV(Data_Analysis!X4:X100)*52^0.5</f>
        <v>0.18333330498602962</v>
      </c>
      <c r="J4" s="7">
        <f>STDEV(Data_Analysis!AA4:AA100)*52^0.5</f>
        <v>0.19922148435275494</v>
      </c>
      <c r="K4" s="7">
        <f>STDEV(Data_Analysis!AD4:AD100)*52^0.5</f>
        <v>0.19346964339736183</v>
      </c>
      <c r="L4" s="7">
        <f>STDEV(Data_Analysis!AG4:AG100)*52^0.5</f>
        <v>0.19909760942338725</v>
      </c>
      <c r="M4" s="7">
        <f>STDEV(Data_Analysis!AJ4:AJ100)*52^0.5</f>
        <v>0.18228575344381281</v>
      </c>
      <c r="N4" s="7">
        <f>STDEV(Data_Analysis!AM4:AM100)*52^0.5</f>
        <v>0.16769494648216651</v>
      </c>
      <c r="O4" s="7">
        <f>STDEV(Data_Analysis!AP4:AP100)*52^0.5</f>
        <v>0.17204863995438247</v>
      </c>
      <c r="P4" s="7">
        <f>STDEV(Data_Analysis!AS4:AS100)*52^0.5</f>
        <v>0.18698189048311406</v>
      </c>
      <c r="Q4" s="7">
        <f>STDEV(Data_Analysis!AV4:AV100)*52^0.5</f>
        <v>0.18484150954969786</v>
      </c>
    </row>
    <row r="5" spans="1:17" s="1" customFormat="1" ht="15" customHeight="1" x14ac:dyDescent="0.25">
      <c r="A5" s="18" t="s">
        <v>48</v>
      </c>
      <c r="B5" s="7">
        <v>2.2499999999999999E-2</v>
      </c>
      <c r="C5" s="7">
        <v>2.2499999999999999E-2</v>
      </c>
      <c r="D5" s="7">
        <v>2.2499999999999999E-2</v>
      </c>
      <c r="E5" s="7">
        <v>2.2499999999999999E-2</v>
      </c>
      <c r="F5" s="7">
        <v>2.2499999999999999E-2</v>
      </c>
      <c r="G5" s="7">
        <v>2.2499999999999999E-2</v>
      </c>
      <c r="H5" s="7">
        <v>2.2499999999999999E-2</v>
      </c>
      <c r="I5" s="7">
        <v>2.2499999999999999E-2</v>
      </c>
      <c r="J5" s="7">
        <v>2.2499999999999999E-2</v>
      </c>
      <c r="K5" s="7">
        <v>2.2499999999999999E-2</v>
      </c>
      <c r="L5" s="7">
        <v>2.2499999999999999E-2</v>
      </c>
      <c r="M5" s="7">
        <v>2.2499999999999999E-2</v>
      </c>
      <c r="N5" s="7">
        <v>2.2499999999999999E-2</v>
      </c>
      <c r="O5" s="7">
        <v>2.2499999999999999E-2</v>
      </c>
      <c r="P5" s="7">
        <v>2.2499999999999999E-2</v>
      </c>
      <c r="Q5" s="7">
        <v>2.2499999999999999E-2</v>
      </c>
    </row>
    <row r="6" spans="1:17" s="1" customFormat="1" x14ac:dyDescent="0.25">
      <c r="A6" s="18" t="s">
        <v>47</v>
      </c>
      <c r="B6" s="7">
        <f>STDEV(Data_Analysis!D4:D100)*52^0.5</f>
        <v>5.6994406260949974E-2</v>
      </c>
      <c r="C6" s="7">
        <f>STDEV(Data_Analysis!G4:G100)*52^0.5</f>
        <v>2.4147724826915559E-2</v>
      </c>
      <c r="D6" s="7">
        <f>STDEV(Data_Analysis!J4:J100)*52^0.5</f>
        <v>2.0634817797171131E-2</v>
      </c>
      <c r="E6" s="7">
        <f>STDEV(Data_Analysis!M4:M100)*52^0.5</f>
        <v>6.9103995562133952E-2</v>
      </c>
      <c r="F6" s="7">
        <f>STDEV(Data_Analysis!P4:P100)*52^0.5</f>
        <v>2.2958047212072792E-2</v>
      </c>
      <c r="G6" s="7">
        <f>STDEV(Data_Analysis!S4:S100)*52^0.5</f>
        <v>2.7512930326939054E-2</v>
      </c>
      <c r="H6" s="7">
        <f>STDEV(Data_Analysis!V4:V100)*52^0.5</f>
        <v>6.5895862618315634E-2</v>
      </c>
      <c r="I6" s="7">
        <f>STDEV(Data_Analysis!Y4:Y100)*52^0.5</f>
        <v>1.9696469891294748E-2</v>
      </c>
      <c r="J6" s="7">
        <f>STDEV(Data_Analysis!AB4:AB100)*52^0.5</f>
        <v>1.7834843289328602E-2</v>
      </c>
      <c r="K6" s="7">
        <f>STDEV(Data_Analysis!AE4:AE100)*52^0.5</f>
        <v>1.6012671463649906E-2</v>
      </c>
      <c r="L6" s="7">
        <f>STDEV(Data_Analysis!AH4:AH100)*52^0.5</f>
        <v>3.7588960495778166E-2</v>
      </c>
      <c r="M6" s="56">
        <f>STDEV(Data_Analysis!AK4:AK100)*52^0.5</f>
        <v>6.1854522295556158E-2</v>
      </c>
      <c r="N6" s="7">
        <f>STDEV(Data_Analysis!AN4:AN100)*52^0.5</f>
        <v>3.2886061411234957E-2</v>
      </c>
      <c r="O6" s="7">
        <f>STDEV(Data_Analysis!AQ4:AQ100)*52^0.5</f>
        <v>2.668732566700437E-2</v>
      </c>
      <c r="P6" s="7">
        <f>STDEV(Data_Analysis!AT4:AT100)*52^0.5</f>
        <v>2.2096896630559512E-2</v>
      </c>
    </row>
    <row r="7" spans="1:17" s="1" customFormat="1" x14ac:dyDescent="0.25">
      <c r="A7" s="18" t="s">
        <v>23</v>
      </c>
      <c r="B7" s="3">
        <f>+(B3-B5)/B4</f>
        <v>-0.53310108090667085</v>
      </c>
      <c r="C7" s="3">
        <f t="shared" ref="C7:Q7" si="0">+(C3-C5)/C4</f>
        <v>-1.2772939921814233E-2</v>
      </c>
      <c r="D7" s="3">
        <f t="shared" si="0"/>
        <v>-0.10018623327103775</v>
      </c>
      <c r="E7" s="3">
        <f t="shared" si="0"/>
        <v>-1.0678787847176583</v>
      </c>
      <c r="F7" s="3">
        <f t="shared" si="0"/>
        <v>-0.39512104120524916</v>
      </c>
      <c r="G7" s="3">
        <f t="shared" si="0"/>
        <v>-0.13599723277479209</v>
      </c>
      <c r="H7" s="3">
        <f t="shared" si="0"/>
        <v>0.24247154654081671</v>
      </c>
      <c r="I7" s="3">
        <f t="shared" si="0"/>
        <v>-0.36295183885455579</v>
      </c>
      <c r="J7" s="3">
        <f t="shared" si="0"/>
        <v>-8.8768568578064005E-2</v>
      </c>
      <c r="K7" s="3">
        <f t="shared" si="0"/>
        <v>-4.8608371185987154E-2</v>
      </c>
      <c r="L7" s="3">
        <f t="shared" si="0"/>
        <v>-0.12563702057130785</v>
      </c>
      <c r="M7" s="3">
        <f t="shared" si="0"/>
        <v>-0.58211765980758789</v>
      </c>
      <c r="N7" s="3">
        <f t="shared" si="0"/>
        <v>0.25995286191234429</v>
      </c>
      <c r="O7" s="3">
        <f t="shared" si="0"/>
        <v>2.8557249414838771E-2</v>
      </c>
      <c r="P7" s="3">
        <f t="shared" si="0"/>
        <v>0.52133814746556051</v>
      </c>
      <c r="Q7" s="3">
        <f t="shared" si="0"/>
        <v>0.2374841782874747</v>
      </c>
    </row>
    <row r="8" spans="1:17" s="1" customFormat="1" x14ac:dyDescent="0.25">
      <c r="A8" s="18" t="s">
        <v>25</v>
      </c>
      <c r="B8" s="3">
        <f>+SLOPE(Data_Analysis!C4:C100,Data_Analysis!$AV$4:$AV$100)</f>
        <v>0.91630417429397015</v>
      </c>
      <c r="C8" s="3">
        <f>+SLOPE(Data_Analysis!F4:F100,Data_Analysis!$AV$4:$AV$100)</f>
        <v>1.0908253947753284</v>
      </c>
      <c r="D8" s="55">
        <f>+SLOPE(Data_Analysis!I4:I100,Data_Analysis!$AV$4:$AV$100)</f>
        <v>1.0384662248865413</v>
      </c>
      <c r="E8" s="3">
        <f>+SLOPE(Data_Analysis!L4:L100,Data_Analysis!$AV$4:$AV$100)</f>
        <v>0.93056485491680441</v>
      </c>
      <c r="F8" s="3">
        <f>+SLOPE(Data_Analysis!O4:O100,Data_Analysis!$AV$4:$AV$100)</f>
        <v>1.0157608603312533</v>
      </c>
      <c r="G8" s="3">
        <f>+SLOPE(Data_Analysis!R4:R100,Data_Analysis!$AV$4:$AV$100)</f>
        <v>1.1097279226436607</v>
      </c>
      <c r="H8" s="3">
        <f>+SLOPE(Data_Analysis!U4:U100,Data_Analysis!$AV$4:$AV$100)</f>
        <v>1.0303459864344575</v>
      </c>
      <c r="I8" s="3">
        <f>+SLOPE(Data_Analysis!X4:X100,Data_Analysis!$AV$4:$AV$100)</f>
        <v>0.98619646329445398</v>
      </c>
      <c r="J8" s="3">
        <f>+SLOPE(Data_Analysis!AA4:AA100,Data_Analysis!$AV$4:$AV$100)</f>
        <v>1.0761674778470633</v>
      </c>
      <c r="K8" s="3">
        <f>+SLOPE(Data_Analysis!AD4:AD100,Data_Analysis!$AV$4:$AV$100)</f>
        <v>1.0440156858107905</v>
      </c>
      <c r="L8" s="3">
        <f>+SLOPE(Data_Analysis!AG4:AG100,Data_Analysis!$AV$4:$AV$100)</f>
        <v>1.0594230942851504</v>
      </c>
      <c r="M8" s="3">
        <f>+SLOPE(Data_Analysis!AJ4:AJ100,Data_Analysis!$AV$4:$AV$100)</f>
        <v>0.93027840287568886</v>
      </c>
      <c r="N8" s="3">
        <f>+SLOPE(Data_Analysis!AM4:AM100,Data_Analysis!$AV$4:$AV$100)</f>
        <v>0.89571208816603476</v>
      </c>
      <c r="O8" s="3">
        <f>+SLOPE(Data_Analysis!AP4:AP100,Data_Analysis!$AV$4:$AV$100)</f>
        <v>0.92276234811125957</v>
      </c>
      <c r="P8" s="3">
        <f>+SLOPE(Data_Analysis!AS4:AS100,Data_Analysis!$AV$4:$AV$100)</f>
        <v>1.0045010744838236</v>
      </c>
      <c r="Q8" s="3">
        <f>+SLOPE(Data_Analysis!AV4:AV100,Data_Analysis!$AV$4:$AV$100)</f>
        <v>1</v>
      </c>
    </row>
    <row r="9" spans="1:17" s="1" customFormat="1" x14ac:dyDescent="0.25">
      <c r="A9" s="18" t="s">
        <v>26</v>
      </c>
      <c r="B9" s="10">
        <f>(B3-2.25%)/B8</f>
        <v>-0.1035784100590925</v>
      </c>
      <c r="C9" s="10">
        <f t="shared" ref="C9:P9" si="1">(C3-2.25%)/C8</f>
        <v>-2.3697011790304655E-3</v>
      </c>
      <c r="D9" s="10">
        <f t="shared" si="1"/>
        <v>-1.8612634167529521E-2</v>
      </c>
      <c r="E9" s="10">
        <f t="shared" si="1"/>
        <v>-0.21221185199025905</v>
      </c>
      <c r="F9" s="10">
        <f t="shared" si="1"/>
        <v>-7.3570010316491963E-2</v>
      </c>
      <c r="G9" s="10">
        <f t="shared" si="1"/>
        <v>-2.5240958297431011E-2</v>
      </c>
      <c r="H9" s="10">
        <f t="shared" si="1"/>
        <v>4.7407372532912738E-2</v>
      </c>
      <c r="I9" s="10">
        <f t="shared" si="1"/>
        <v>-6.7472519568441192E-2</v>
      </c>
      <c r="J9" s="10">
        <f t="shared" si="1"/>
        <v>-1.6432949666319904E-2</v>
      </c>
      <c r="K9" s="10">
        <f t="shared" si="1"/>
        <v>-9.0077614419903328E-3</v>
      </c>
      <c r="L9" s="10">
        <f t="shared" si="1"/>
        <v>-2.361099223318577E-2</v>
      </c>
      <c r="M9" s="10">
        <f t="shared" si="1"/>
        <v>-0.11406451647481142</v>
      </c>
      <c r="N9" s="10">
        <f t="shared" si="1"/>
        <v>4.8668296255253811E-2</v>
      </c>
      <c r="O9" s="10">
        <f t="shared" si="1"/>
        <v>5.3244867789823333E-3</v>
      </c>
      <c r="P9" s="10">
        <f t="shared" si="1"/>
        <v>9.7043990166129801E-2</v>
      </c>
    </row>
    <row r="10" spans="1:17" s="1" customFormat="1" ht="15" customHeight="1" x14ac:dyDescent="0.25">
      <c r="A10" s="18" t="s">
        <v>27</v>
      </c>
      <c r="B10" s="10">
        <f>(B3-$Q$3)/B6</f>
        <v>-2.4354366089398019</v>
      </c>
      <c r="C10" s="10">
        <f t="shared" ref="C10:P10" si="2">(C3-$Q$3)/C6</f>
        <v>-1.924896219669201</v>
      </c>
      <c r="D10" s="10">
        <f t="shared" si="2"/>
        <v>-3.0640215275679705</v>
      </c>
      <c r="E10" s="10">
        <f t="shared" si="2"/>
        <v>-3.4929069340243877</v>
      </c>
      <c r="F10" s="10">
        <f t="shared" si="2"/>
        <v>-5.1670976144741161</v>
      </c>
      <c r="G10" s="10">
        <f t="shared" si="2"/>
        <v>-2.6135903871846811</v>
      </c>
      <c r="H10" s="10">
        <f t="shared" si="2"/>
        <v>7.510429048526937E-2</v>
      </c>
      <c r="I10" s="10">
        <f t="shared" si="2"/>
        <v>-5.6069993651806254</v>
      </c>
      <c r="J10" s="10">
        <f t="shared" si="2"/>
        <v>-3.4528781108867199</v>
      </c>
      <c r="K10" s="10">
        <f t="shared" si="2"/>
        <v>-3.3286874316571122</v>
      </c>
      <c r="L10" s="10">
        <f t="shared" si="2"/>
        <v>-1.8332766735433004</v>
      </c>
      <c r="M10" s="10">
        <f t="shared" si="2"/>
        <v>-2.4251854941668318</v>
      </c>
      <c r="N10" s="10">
        <f t="shared" si="2"/>
        <v>-9.2486825572214264E-3</v>
      </c>
      <c r="O10" s="10">
        <f t="shared" si="2"/>
        <v>-1.4607570114964312</v>
      </c>
      <c r="P10" s="10">
        <f t="shared" si="2"/>
        <v>2.4249494977110642</v>
      </c>
    </row>
    <row r="11" spans="1:17" s="1" customFormat="1" x14ac:dyDescent="0.25">
      <c r="A11" s="18" t="s">
        <v>28</v>
      </c>
      <c r="B11" s="9">
        <f>_xlfn.PERCENTILE.EXC(Data_Analysis!C4:C50,0.05)</f>
        <v>-4.0687976328206144E-2</v>
      </c>
      <c r="C11" s="9">
        <f>_xlfn.PERCENTILE.EXC(Data_Analysis!F4:F50,0.05)</f>
        <v>-3.8654890006874436E-2</v>
      </c>
      <c r="D11" s="9">
        <f>_xlfn.PERCENTILE.EXC(Data_Analysis!I4:I50,0.05)</f>
        <v>-3.91006478380223E-2</v>
      </c>
      <c r="E11" s="9">
        <f>_xlfn.PERCENTILE.EXC(Data_Analysis!L4:L50,0.05)</f>
        <v>-4.562142555123154E-2</v>
      </c>
      <c r="F11" s="9">
        <f>_xlfn.PERCENTILE.EXC(Data_Analysis!O4:O50,0.05)</f>
        <v>-4.0421400963144991E-2</v>
      </c>
      <c r="G11" s="9">
        <f>_xlfn.PERCENTILE.EXC(Data_Analysis!R4:R50,0.05)</f>
        <v>-3.8832271914979066E-2</v>
      </c>
      <c r="H11" s="9">
        <f>_xlfn.PERCENTILE.EXC(Data_Analysis!U4:U50,0.05)</f>
        <v>-3.7761915861271297E-2</v>
      </c>
      <c r="I11" s="9">
        <f>_xlfn.PERCENTILE.EXC(Data_Analysis!X4:X50,0.05)</f>
        <v>-3.9687055767840151E-2</v>
      </c>
      <c r="J11" s="9">
        <f>_xlfn.PERCENTILE.EXC(Data_Analysis!AA4:AA50,0.05)</f>
        <v>-3.9498921361947097E-2</v>
      </c>
      <c r="K11" s="9">
        <f>_xlfn.PERCENTILE.EXC(Data_Analysis!AD4:AD50,0.05)</f>
        <v>-3.7698956908196746E-2</v>
      </c>
      <c r="L11" s="9">
        <f>_xlfn.PERCENTILE.EXC(Data_Analysis!AG4:AG50,0.05)</f>
        <v>-3.7355670176377309E-2</v>
      </c>
      <c r="M11" s="9">
        <f>_xlfn.PERCENTILE.EXC(Data_Analysis!AJ4:AJ50,0.05)</f>
        <v>-4.4572130565349838E-2</v>
      </c>
      <c r="N11" s="9">
        <f>_xlfn.PERCENTILE.EXC(Data_Analysis!AM4:AM50,0.05)</f>
        <v>-3.4690796298633239E-2</v>
      </c>
      <c r="O11" s="9">
        <f>_xlfn.PERCENTILE.EXC(Data_Analysis!AP4:AP50,0.05)</f>
        <v>-3.6841659132044104E-2</v>
      </c>
      <c r="P11" s="9">
        <f>_xlfn.PERCENTILE.EXC(Data_Analysis!AS4:AS50,0.05)</f>
        <v>-3.7564045537901408E-2</v>
      </c>
      <c r="Q11" s="9">
        <f>_xlfn.PERCENTILE.EXC(Data_Analysis!AV4:AV50,0.05)</f>
        <v>-3.4099932800392967E-2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B969-344E-4E35-8E75-4195A5A5E16C}">
  <sheetPr>
    <tabColor rgb="FFFFC000"/>
  </sheetPr>
  <dimension ref="A1:AT38"/>
  <sheetViews>
    <sheetView workbookViewId="0">
      <selection activeCell="AR2" sqref="AR2:AR38"/>
    </sheetView>
  </sheetViews>
  <sheetFormatPr baseColWidth="10" defaultColWidth="9.140625" defaultRowHeight="15" x14ac:dyDescent="0.25"/>
  <cols>
    <col min="1" max="1" width="10.7109375" style="15" bestFit="1" customWidth="1"/>
    <col min="2" max="3" width="9.42578125" style="12" bestFit="1" customWidth="1"/>
    <col min="4" max="4" width="13.140625" style="13" bestFit="1" customWidth="1"/>
    <col min="5" max="6" width="9.42578125" style="12" bestFit="1" customWidth="1"/>
    <col min="7" max="7" width="13.140625" style="13" bestFit="1" customWidth="1"/>
    <col min="8" max="9" width="9.42578125" style="12" bestFit="1" customWidth="1"/>
    <col min="10" max="10" width="13.140625" style="14" bestFit="1" customWidth="1"/>
    <col min="11" max="12" width="10.5703125" style="12" bestFit="1" customWidth="1"/>
    <col min="13" max="13" width="13.140625" style="13" bestFit="1" customWidth="1"/>
    <col min="14" max="15" width="9.42578125" style="12" bestFit="1" customWidth="1"/>
    <col min="16" max="16" width="13.140625" style="13" bestFit="1" customWidth="1"/>
    <col min="17" max="18" width="9.42578125" style="12" bestFit="1" customWidth="1"/>
    <col min="19" max="19" width="13.140625" style="13" bestFit="1" customWidth="1"/>
    <col min="20" max="21" width="8" style="12" bestFit="1" customWidth="1"/>
    <col min="22" max="22" width="13.140625" style="13" bestFit="1" customWidth="1"/>
    <col min="23" max="24" width="8" style="12" bestFit="1" customWidth="1"/>
    <col min="25" max="25" width="13.140625" style="13" bestFit="1" customWidth="1"/>
    <col min="26" max="27" width="8" style="12" bestFit="1" customWidth="1"/>
    <col min="28" max="28" width="13.140625" style="13" bestFit="1" customWidth="1"/>
    <col min="29" max="30" width="9.42578125" style="12" bestFit="1" customWidth="1"/>
    <col min="31" max="31" width="13.140625" style="13" bestFit="1" customWidth="1"/>
    <col min="32" max="33" width="9.42578125" style="12" bestFit="1" customWidth="1"/>
    <col min="34" max="34" width="13.140625" style="13" bestFit="1" customWidth="1"/>
    <col min="35" max="36" width="9.42578125" style="12" bestFit="1" customWidth="1"/>
    <col min="37" max="37" width="13.140625" style="13" bestFit="1" customWidth="1"/>
    <col min="38" max="39" width="8" style="12" bestFit="1" customWidth="1"/>
    <col min="40" max="40" width="13.140625" style="13" bestFit="1" customWidth="1"/>
    <col min="41" max="42" width="8" style="12" bestFit="1" customWidth="1"/>
    <col min="43" max="43" width="13.140625" style="13" bestFit="1" customWidth="1"/>
    <col min="44" max="45" width="8" style="12" bestFit="1" customWidth="1"/>
    <col min="46" max="46" width="13.140625" style="13" bestFit="1" customWidth="1"/>
    <col min="47" max="16384" width="9.140625" style="15"/>
  </cols>
  <sheetData>
    <row r="1" spans="1:46" x14ac:dyDescent="0.25">
      <c r="A1" s="97" t="s">
        <v>16</v>
      </c>
      <c r="B1" s="12" t="s">
        <v>29</v>
      </c>
      <c r="C1" s="12" t="s">
        <v>30</v>
      </c>
      <c r="D1" s="13" t="s">
        <v>31</v>
      </c>
      <c r="E1" s="12" t="s">
        <v>32</v>
      </c>
      <c r="F1" s="12" t="s">
        <v>30</v>
      </c>
      <c r="G1" s="13" t="s">
        <v>31</v>
      </c>
      <c r="H1" s="12" t="s">
        <v>33</v>
      </c>
      <c r="I1" s="12" t="s">
        <v>30</v>
      </c>
      <c r="J1" s="14" t="s">
        <v>31</v>
      </c>
      <c r="K1" s="12" t="s">
        <v>34</v>
      </c>
      <c r="L1" s="12" t="s">
        <v>30</v>
      </c>
      <c r="M1" s="13" t="s">
        <v>31</v>
      </c>
      <c r="N1" s="12" t="s">
        <v>35</v>
      </c>
      <c r="O1" s="12" t="s">
        <v>30</v>
      </c>
      <c r="P1" s="13" t="s">
        <v>31</v>
      </c>
      <c r="Q1" s="12" t="s">
        <v>36</v>
      </c>
      <c r="R1" s="12" t="s">
        <v>30</v>
      </c>
      <c r="S1" s="13" t="s">
        <v>31</v>
      </c>
      <c r="T1" s="12" t="s">
        <v>37</v>
      </c>
      <c r="U1" s="12" t="s">
        <v>30</v>
      </c>
      <c r="V1" s="13" t="s">
        <v>31</v>
      </c>
      <c r="W1" s="12" t="s">
        <v>38</v>
      </c>
      <c r="X1" s="12" t="s">
        <v>30</v>
      </c>
      <c r="Y1" s="13" t="s">
        <v>31</v>
      </c>
      <c r="Z1" s="12" t="s">
        <v>39</v>
      </c>
      <c r="AA1" s="12" t="s">
        <v>30</v>
      </c>
      <c r="AB1" s="13" t="s">
        <v>31</v>
      </c>
      <c r="AC1" s="12" t="s">
        <v>40</v>
      </c>
      <c r="AD1" s="12" t="s">
        <v>30</v>
      </c>
      <c r="AE1" s="13" t="s">
        <v>31</v>
      </c>
      <c r="AF1" s="12" t="s">
        <v>41</v>
      </c>
      <c r="AG1" s="12" t="s">
        <v>30</v>
      </c>
      <c r="AH1" s="13" t="s">
        <v>31</v>
      </c>
      <c r="AI1" s="12" t="s">
        <v>42</v>
      </c>
      <c r="AJ1" s="12" t="s">
        <v>30</v>
      </c>
      <c r="AK1" s="13" t="s">
        <v>31</v>
      </c>
      <c r="AL1" s="12" t="s">
        <v>43</v>
      </c>
      <c r="AM1" s="12" t="s">
        <v>30</v>
      </c>
      <c r="AN1" s="13" t="s">
        <v>31</v>
      </c>
      <c r="AO1" s="12" t="s">
        <v>44</v>
      </c>
      <c r="AP1" s="12" t="s">
        <v>30</v>
      </c>
      <c r="AQ1" s="13" t="s">
        <v>31</v>
      </c>
      <c r="AR1" s="12" t="s">
        <v>45</v>
      </c>
      <c r="AS1" s="12" t="s">
        <v>30</v>
      </c>
      <c r="AT1" s="13" t="s">
        <v>31</v>
      </c>
    </row>
    <row r="2" spans="1:46" x14ac:dyDescent="0.25">
      <c r="A2" s="97">
        <v>46017</v>
      </c>
      <c r="B2" s="12">
        <f>+Data_Analysis!B3</f>
        <v>2354.81</v>
      </c>
      <c r="C2" s="12">
        <f>B2</f>
        <v>2354.81</v>
      </c>
      <c r="D2" s="13">
        <f t="shared" ref="D2:D38" si="0">B2/C2-1</f>
        <v>0</v>
      </c>
      <c r="E2" s="12">
        <f>+Data_Analysis!E3</f>
        <v>8502.5300000000007</v>
      </c>
      <c r="F2" s="12">
        <f>E2</f>
        <v>8502.5300000000007</v>
      </c>
      <c r="G2" s="13">
        <f t="shared" ref="G2:G38" si="1">E2/F2-1</f>
        <v>0</v>
      </c>
      <c r="H2" s="12">
        <f>+Data_Analysis!H3</f>
        <v>2946.92</v>
      </c>
      <c r="I2" s="12">
        <f>H2</f>
        <v>2946.92</v>
      </c>
      <c r="J2" s="14">
        <f t="shared" ref="J2:J38" si="2">H2/I2-1</f>
        <v>0</v>
      </c>
      <c r="K2" s="12">
        <f>+Data_Analysis!K3</f>
        <v>11152.36</v>
      </c>
      <c r="L2" s="12">
        <f>K2</f>
        <v>11152.36</v>
      </c>
      <c r="M2" s="13">
        <f t="shared" ref="M2:M38" si="3">K2/L2-1</f>
        <v>0</v>
      </c>
      <c r="N2" s="12">
        <f>+Data_Analysis!N3</f>
        <v>1507.93</v>
      </c>
      <c r="O2" s="12">
        <f>N2</f>
        <v>1507.93</v>
      </c>
      <c r="P2" s="13">
        <f t="shared" ref="P2:P38" si="4">N2/O2-1</f>
        <v>0</v>
      </c>
      <c r="Q2" s="12">
        <f>+Data_Analysis!Q3</f>
        <v>1199.27</v>
      </c>
      <c r="R2" s="12">
        <f>Q2</f>
        <v>1199.27</v>
      </c>
      <c r="S2" s="13">
        <f t="shared" ref="S2:S34" si="5">Q2/R2-1</f>
        <v>0</v>
      </c>
      <c r="T2" s="12">
        <f>+Data_Analysis!T3</f>
        <v>262.54000000000002</v>
      </c>
      <c r="U2" s="12">
        <f>T2</f>
        <v>262.54000000000002</v>
      </c>
      <c r="V2" s="13">
        <f t="shared" ref="V2:V34" si="6">T2/U2-1</f>
        <v>0</v>
      </c>
      <c r="W2" s="12">
        <f>+Data_Analysis!W3</f>
        <v>283.41000000000003</v>
      </c>
      <c r="X2" s="12">
        <f>W2</f>
        <v>283.41000000000003</v>
      </c>
      <c r="Y2" s="13">
        <f t="shared" ref="Y2:Y34" si="7">W2/X2-1</f>
        <v>0</v>
      </c>
      <c r="Z2" s="12">
        <f>+Data_Analysis!Z3</f>
        <v>256.99</v>
      </c>
      <c r="AA2" s="12">
        <f>Z2</f>
        <v>256.99</v>
      </c>
      <c r="AB2" s="13">
        <f t="shared" ref="AB2:AB34" si="8">Z2/AA2-1</f>
        <v>0</v>
      </c>
      <c r="AC2" s="12">
        <f>+Data_Analysis!AC3</f>
        <v>1190.22</v>
      </c>
      <c r="AD2" s="12">
        <f>AC2</f>
        <v>1190.22</v>
      </c>
      <c r="AE2" s="13">
        <f t="shared" ref="AE2:AE34" si="9">AC2/AD2-1</f>
        <v>0</v>
      </c>
      <c r="AF2" s="12">
        <f>+Data_Analysis!AF3</f>
        <v>971.45</v>
      </c>
      <c r="AG2" s="12">
        <f>AF2</f>
        <v>971.45</v>
      </c>
      <c r="AH2" s="13">
        <f t="shared" ref="AH2:AH38" si="10">AF2/AG2-1</f>
        <v>0</v>
      </c>
      <c r="AI2" s="12">
        <f>+Data_Analysis!AI3</f>
        <v>5105.37</v>
      </c>
      <c r="AJ2" s="12">
        <f>AI2</f>
        <v>5105.37</v>
      </c>
      <c r="AK2" s="13">
        <f t="shared" ref="AK2:AK34" si="11">AI2/AJ2-1</f>
        <v>0</v>
      </c>
      <c r="AL2" s="12">
        <f>+Data_Analysis!AL3</f>
        <v>929.03</v>
      </c>
      <c r="AM2" s="12">
        <f>AL2</f>
        <v>929.03</v>
      </c>
      <c r="AN2" s="13">
        <f t="shared" ref="AN2:AN34" si="12">AL2/AM2-1</f>
        <v>0</v>
      </c>
      <c r="AO2" s="12">
        <f>+Data_Analysis!AO3</f>
        <v>945.48</v>
      </c>
      <c r="AP2" s="12">
        <f>AO2</f>
        <v>945.48</v>
      </c>
      <c r="AQ2" s="13">
        <f t="shared" ref="AQ2:AQ34" si="13">AO2/AP2-1</f>
        <v>0</v>
      </c>
      <c r="AR2" s="12">
        <f>+Data_Analysis!AR3</f>
        <v>174.88</v>
      </c>
      <c r="AS2" s="12">
        <f>AR2</f>
        <v>174.88</v>
      </c>
      <c r="AT2" s="13">
        <f t="shared" ref="AT2:AT34" si="14">AR2/AS2-1</f>
        <v>0</v>
      </c>
    </row>
    <row r="3" spans="1:46" x14ac:dyDescent="0.25">
      <c r="A3" s="97">
        <v>46024</v>
      </c>
      <c r="B3" s="12">
        <f>+Data_Analysis!B4</f>
        <v>2460</v>
      </c>
      <c r="C3" s="12">
        <f t="shared" ref="C3:C38" si="15">MAX(C2,B3)</f>
        <v>2460</v>
      </c>
      <c r="D3" s="13">
        <f t="shared" si="0"/>
        <v>0</v>
      </c>
      <c r="E3" s="12">
        <f>+Data_Analysis!E4</f>
        <v>8856.09</v>
      </c>
      <c r="F3" s="12">
        <f t="shared" ref="F3:F38" si="16">MAX(F2,E3)</f>
        <v>8856.09</v>
      </c>
      <c r="G3" s="13">
        <f t="shared" si="1"/>
        <v>0</v>
      </c>
      <c r="H3" s="12">
        <f>+Data_Analysis!H4</f>
        <v>3074.6</v>
      </c>
      <c r="I3" s="12">
        <f t="shared" ref="I3:I38" si="17">MAX(I2,H3)</f>
        <v>3074.6</v>
      </c>
      <c r="J3" s="14">
        <f t="shared" si="2"/>
        <v>0</v>
      </c>
      <c r="K3" s="12">
        <f>+Data_Analysis!K4</f>
        <v>11430</v>
      </c>
      <c r="L3" s="12">
        <f t="shared" ref="L3:L38" si="18">MAX(L2,K3)</f>
        <v>11430</v>
      </c>
      <c r="M3" s="13">
        <f t="shared" si="3"/>
        <v>0</v>
      </c>
      <c r="N3" s="12">
        <f>+Data_Analysis!N4</f>
        <v>1566.8</v>
      </c>
      <c r="O3" s="12">
        <f t="shared" ref="O3:O38" si="19">MAX(O2,N3)</f>
        <v>1566.8</v>
      </c>
      <c r="P3" s="13">
        <f t="shared" si="4"/>
        <v>0</v>
      </c>
      <c r="Q3" s="12">
        <f>+Data_Analysis!Q4</f>
        <v>1251.26</v>
      </c>
      <c r="R3" s="12">
        <f t="shared" ref="R3:R34" si="20">MAX(R2,Q3)</f>
        <v>1251.26</v>
      </c>
      <c r="S3" s="13">
        <f t="shared" si="5"/>
        <v>0</v>
      </c>
      <c r="T3" s="12">
        <f>+Data_Analysis!T4</f>
        <v>273.25</v>
      </c>
      <c r="U3" s="12">
        <f t="shared" ref="U3:U34" si="21">MAX(U2,T3)</f>
        <v>273.25</v>
      </c>
      <c r="V3" s="13">
        <f t="shared" si="6"/>
        <v>0</v>
      </c>
      <c r="W3" s="12">
        <f>+Data_Analysis!W4</f>
        <v>294.38</v>
      </c>
      <c r="X3" s="12">
        <f t="shared" ref="X3:X34" si="22">MAX(X2,W3)</f>
        <v>294.38</v>
      </c>
      <c r="Y3" s="13">
        <f t="shared" si="7"/>
        <v>0</v>
      </c>
      <c r="Z3" s="12">
        <f>+Data_Analysis!Z4</f>
        <v>268.02999999999997</v>
      </c>
      <c r="AA3" s="12">
        <f t="shared" ref="AA3:AA34" si="23">MAX(AA2,Z3)</f>
        <v>268.02999999999997</v>
      </c>
      <c r="AB3" s="13">
        <f t="shared" si="8"/>
        <v>0</v>
      </c>
      <c r="AC3" s="12">
        <f>+Data_Analysis!AC4</f>
        <v>1236.79</v>
      </c>
      <c r="AD3" s="12">
        <f t="shared" ref="AD3:AD34" si="24">MAX(AD2,AC3)</f>
        <v>1236.79</v>
      </c>
      <c r="AE3" s="13">
        <f t="shared" si="9"/>
        <v>0</v>
      </c>
      <c r="AF3" s="12">
        <f>+Data_Analysis!AF4</f>
        <v>1011.42</v>
      </c>
      <c r="AG3" s="12">
        <f t="shared" ref="AG3:AG34" si="25">MAX(AG2,AF3)</f>
        <v>1011.42</v>
      </c>
      <c r="AH3" s="13">
        <f t="shared" si="10"/>
        <v>0</v>
      </c>
      <c r="AI3" s="12">
        <f>+Data_Analysis!AI4</f>
        <v>5280.46</v>
      </c>
      <c r="AJ3" s="12">
        <f t="shared" ref="AJ3:AJ34" si="26">MAX(AJ2,AI3)</f>
        <v>5280.46</v>
      </c>
      <c r="AK3" s="13">
        <f t="shared" si="11"/>
        <v>0</v>
      </c>
      <c r="AL3" s="12">
        <f>+Data_Analysis!AL4</f>
        <v>969.79</v>
      </c>
      <c r="AM3" s="12">
        <f t="shared" ref="AM3:AM34" si="27">MAX(AM2,AL3)</f>
        <v>969.79</v>
      </c>
      <c r="AN3" s="13">
        <f t="shared" si="12"/>
        <v>0</v>
      </c>
      <c r="AO3" s="12">
        <f>+Data_Analysis!AO4</f>
        <v>984.12</v>
      </c>
      <c r="AP3" s="12">
        <f t="shared" ref="AP3:AP34" si="28">MAX(AP2,AO3)</f>
        <v>984.12</v>
      </c>
      <c r="AQ3" s="13">
        <f t="shared" si="13"/>
        <v>0</v>
      </c>
      <c r="AR3" s="12">
        <f>+Data_Analysis!AR4</f>
        <v>183.42</v>
      </c>
      <c r="AS3" s="12">
        <f t="shared" ref="AS3:AS34" si="29">MAX(AS2,AR3)</f>
        <v>183.42</v>
      </c>
      <c r="AT3" s="13">
        <f t="shared" si="14"/>
        <v>0</v>
      </c>
    </row>
    <row r="4" spans="1:46" x14ac:dyDescent="0.25">
      <c r="A4" s="97">
        <v>46031</v>
      </c>
      <c r="B4" s="12">
        <f>+Data_Analysis!B5</f>
        <v>2483.4499999999998</v>
      </c>
      <c r="C4" s="12">
        <f t="shared" si="15"/>
        <v>2483.4499999999998</v>
      </c>
      <c r="D4" s="13">
        <f t="shared" si="0"/>
        <v>0</v>
      </c>
      <c r="E4" s="12">
        <f>+Data_Analysis!E5</f>
        <v>8971.5499999999993</v>
      </c>
      <c r="F4" s="12">
        <f t="shared" si="16"/>
        <v>8971.5499999999993</v>
      </c>
      <c r="G4" s="13">
        <f t="shared" si="1"/>
        <v>0</v>
      </c>
      <c r="H4" s="12">
        <f>+Data_Analysis!H5</f>
        <v>3112.31</v>
      </c>
      <c r="I4" s="12">
        <f t="shared" si="17"/>
        <v>3112.31</v>
      </c>
      <c r="J4" s="14">
        <f t="shared" si="2"/>
        <v>0</v>
      </c>
      <c r="K4" s="12">
        <f>+Data_Analysis!K5</f>
        <v>11617.75</v>
      </c>
      <c r="L4" s="12">
        <f t="shared" si="18"/>
        <v>11617.75</v>
      </c>
      <c r="M4" s="13">
        <f t="shared" si="3"/>
        <v>0</v>
      </c>
      <c r="N4" s="12">
        <f>+Data_Analysis!N5</f>
        <v>1583.91</v>
      </c>
      <c r="O4" s="12">
        <f t="shared" si="19"/>
        <v>1583.91</v>
      </c>
      <c r="P4" s="13">
        <f t="shared" si="4"/>
        <v>0</v>
      </c>
      <c r="Q4" s="12">
        <f>+Data_Analysis!Q5</f>
        <v>1264.24</v>
      </c>
      <c r="R4" s="12">
        <f t="shared" si="20"/>
        <v>1264.24</v>
      </c>
      <c r="S4" s="13">
        <f t="shared" si="5"/>
        <v>0</v>
      </c>
      <c r="T4" s="12">
        <f>+Data_Analysis!T5</f>
        <v>276.58</v>
      </c>
      <c r="U4" s="12">
        <f t="shared" si="21"/>
        <v>276.58</v>
      </c>
      <c r="V4" s="13">
        <f t="shared" si="6"/>
        <v>0</v>
      </c>
      <c r="W4" s="12">
        <f>+Data_Analysis!W5</f>
        <v>297.58</v>
      </c>
      <c r="X4" s="12">
        <f t="shared" si="22"/>
        <v>297.58</v>
      </c>
      <c r="Y4" s="13">
        <f t="shared" si="7"/>
        <v>0</v>
      </c>
      <c r="Z4" s="12">
        <f>+Data_Analysis!Z5</f>
        <v>271.39</v>
      </c>
      <c r="AA4" s="12">
        <f t="shared" si="23"/>
        <v>271.39</v>
      </c>
      <c r="AB4" s="13">
        <f t="shared" si="8"/>
        <v>0</v>
      </c>
      <c r="AC4" s="12">
        <f>+Data_Analysis!AC5</f>
        <v>1251.92</v>
      </c>
      <c r="AD4" s="12">
        <f t="shared" si="24"/>
        <v>1251.92</v>
      </c>
      <c r="AE4" s="13">
        <f t="shared" si="9"/>
        <v>0</v>
      </c>
      <c r="AF4" s="12">
        <f>+Data_Analysis!AF5</f>
        <v>1026.3399999999999</v>
      </c>
      <c r="AG4" s="12">
        <f t="shared" si="25"/>
        <v>1026.3399999999999</v>
      </c>
      <c r="AH4" s="13">
        <f t="shared" si="10"/>
        <v>0</v>
      </c>
      <c r="AI4" s="12">
        <f>+Data_Analysis!AI5</f>
        <v>5387.19</v>
      </c>
      <c r="AJ4" s="12">
        <f t="shared" si="26"/>
        <v>5387.19</v>
      </c>
      <c r="AK4" s="13">
        <f t="shared" si="11"/>
        <v>0</v>
      </c>
      <c r="AL4" s="12">
        <f>+Data_Analysis!AL5</f>
        <v>984.93</v>
      </c>
      <c r="AM4" s="12">
        <f t="shared" si="27"/>
        <v>984.93</v>
      </c>
      <c r="AN4" s="13">
        <f t="shared" si="12"/>
        <v>0</v>
      </c>
      <c r="AO4" s="12">
        <f>+Data_Analysis!AO5</f>
        <v>995.46</v>
      </c>
      <c r="AP4" s="12">
        <f t="shared" si="28"/>
        <v>995.46</v>
      </c>
      <c r="AQ4" s="13">
        <f t="shared" si="13"/>
        <v>0</v>
      </c>
      <c r="AR4" s="12">
        <f>+Data_Analysis!AR5</f>
        <v>186.47</v>
      </c>
      <c r="AS4" s="12">
        <f t="shared" si="29"/>
        <v>186.47</v>
      </c>
      <c r="AT4" s="13">
        <f t="shared" si="14"/>
        <v>0</v>
      </c>
    </row>
    <row r="5" spans="1:46" x14ac:dyDescent="0.25">
      <c r="A5" s="97">
        <v>46038</v>
      </c>
      <c r="B5" s="12">
        <f>+Data_Analysis!B6</f>
        <v>2436.31</v>
      </c>
      <c r="C5" s="12">
        <f t="shared" si="15"/>
        <v>2483.4499999999998</v>
      </c>
      <c r="D5" s="13">
        <f t="shared" si="0"/>
        <v>-1.8981658579798166E-2</v>
      </c>
      <c r="E5" s="12">
        <f>+Data_Analysis!E6</f>
        <v>8798.35</v>
      </c>
      <c r="F5" s="12">
        <f t="shared" si="16"/>
        <v>8971.5499999999993</v>
      </c>
      <c r="G5" s="13">
        <f t="shared" si="1"/>
        <v>-1.9305471183909018E-2</v>
      </c>
      <c r="H5" s="12">
        <f>+Data_Analysis!H6</f>
        <v>3050.25</v>
      </c>
      <c r="I5" s="12">
        <f t="shared" si="17"/>
        <v>3112.31</v>
      </c>
      <c r="J5" s="14">
        <f t="shared" si="2"/>
        <v>-1.9940173054740717E-2</v>
      </c>
      <c r="K5" s="12">
        <f>+Data_Analysis!K6</f>
        <v>11334.3</v>
      </c>
      <c r="L5" s="12">
        <f t="shared" si="18"/>
        <v>11617.75</v>
      </c>
      <c r="M5" s="13">
        <f t="shared" si="3"/>
        <v>-2.4398011663187891E-2</v>
      </c>
      <c r="N5" s="12">
        <f>+Data_Analysis!N6</f>
        <v>1557.74</v>
      </c>
      <c r="O5" s="12">
        <f t="shared" si="19"/>
        <v>1583.91</v>
      </c>
      <c r="P5" s="13">
        <f t="shared" si="4"/>
        <v>-1.6522403419386267E-2</v>
      </c>
      <c r="Q5" s="12">
        <f>+Data_Analysis!Q6</f>
        <v>1248.05</v>
      </c>
      <c r="R5" s="12">
        <f t="shared" si="20"/>
        <v>1264.24</v>
      </c>
      <c r="S5" s="13">
        <f t="shared" si="5"/>
        <v>-1.280611276339938E-2</v>
      </c>
      <c r="T5" s="12">
        <f>+Data_Analysis!T6</f>
        <v>271.36</v>
      </c>
      <c r="U5" s="12">
        <f t="shared" si="21"/>
        <v>276.58</v>
      </c>
      <c r="V5" s="13">
        <f t="shared" si="6"/>
        <v>-1.8873382023284258E-2</v>
      </c>
      <c r="W5" s="12">
        <f>+Data_Analysis!W6</f>
        <v>291.5</v>
      </c>
      <c r="X5" s="12">
        <f t="shared" si="22"/>
        <v>297.58</v>
      </c>
      <c r="Y5" s="13">
        <f t="shared" si="7"/>
        <v>-2.0431480610256014E-2</v>
      </c>
      <c r="Z5" s="12">
        <f>+Data_Analysis!Z6</f>
        <v>266.44</v>
      </c>
      <c r="AA5" s="12">
        <f t="shared" si="23"/>
        <v>271.39</v>
      </c>
      <c r="AB5" s="13">
        <f t="shared" si="8"/>
        <v>-1.8239434024835077E-2</v>
      </c>
      <c r="AC5" s="12">
        <f>+Data_Analysis!AC6</f>
        <v>1232.9100000000001</v>
      </c>
      <c r="AD5" s="12">
        <f t="shared" si="24"/>
        <v>1251.92</v>
      </c>
      <c r="AE5" s="13">
        <f t="shared" si="9"/>
        <v>-1.5184676337146152E-2</v>
      </c>
      <c r="AF5" s="12">
        <f>+Data_Analysis!AF6</f>
        <v>1008.99</v>
      </c>
      <c r="AG5" s="12">
        <f t="shared" si="25"/>
        <v>1026.3399999999999</v>
      </c>
      <c r="AH5" s="13">
        <f t="shared" si="10"/>
        <v>-1.6904729426895471E-2</v>
      </c>
      <c r="AI5" s="12">
        <f>+Data_Analysis!AI6</f>
        <v>5287.34</v>
      </c>
      <c r="AJ5" s="12">
        <f t="shared" si="26"/>
        <v>5387.19</v>
      </c>
      <c r="AK5" s="13">
        <f t="shared" si="11"/>
        <v>-1.8534709189763077E-2</v>
      </c>
      <c r="AL5" s="12">
        <f>+Data_Analysis!AL6</f>
        <v>974.27</v>
      </c>
      <c r="AM5" s="12">
        <f t="shared" si="27"/>
        <v>984.93</v>
      </c>
      <c r="AN5" s="13">
        <f t="shared" si="12"/>
        <v>-1.0823104179992438E-2</v>
      </c>
      <c r="AO5" s="12">
        <f>+Data_Analysis!AO6</f>
        <v>979.99</v>
      </c>
      <c r="AP5" s="12">
        <f t="shared" si="28"/>
        <v>995.46</v>
      </c>
      <c r="AQ5" s="13">
        <f t="shared" si="13"/>
        <v>-1.5540554115685223E-2</v>
      </c>
      <c r="AR5" s="12">
        <f>+Data_Analysis!AR6</f>
        <v>184.23</v>
      </c>
      <c r="AS5" s="12">
        <f t="shared" si="29"/>
        <v>186.47</v>
      </c>
      <c r="AT5" s="13">
        <f t="shared" si="14"/>
        <v>-1.2012656191344506E-2</v>
      </c>
    </row>
    <row r="6" spans="1:46" x14ac:dyDescent="0.25">
      <c r="A6" s="97">
        <v>46045</v>
      </c>
      <c r="B6" s="12">
        <f>+Data_Analysis!B7</f>
        <v>2352.91</v>
      </c>
      <c r="C6" s="12">
        <f t="shared" si="15"/>
        <v>2483.4499999999998</v>
      </c>
      <c r="D6" s="13">
        <f t="shared" si="0"/>
        <v>-5.2563973504600403E-2</v>
      </c>
      <c r="E6" s="12">
        <f>+Data_Analysis!E7</f>
        <v>8501.0400000000009</v>
      </c>
      <c r="F6" s="12">
        <f t="shared" si="16"/>
        <v>8971.5499999999993</v>
      </c>
      <c r="G6" s="13">
        <f t="shared" si="1"/>
        <v>-5.2444672325294817E-2</v>
      </c>
      <c r="H6" s="12">
        <f>+Data_Analysis!H7</f>
        <v>2950.52</v>
      </c>
      <c r="I6" s="12">
        <f t="shared" si="17"/>
        <v>3112.31</v>
      </c>
      <c r="J6" s="14">
        <f t="shared" si="2"/>
        <v>-5.1983896205712199E-2</v>
      </c>
      <c r="K6" s="12">
        <f>+Data_Analysis!K7</f>
        <v>10980.79</v>
      </c>
      <c r="L6" s="12">
        <f t="shared" si="18"/>
        <v>11617.75</v>
      </c>
      <c r="M6" s="13">
        <f t="shared" si="3"/>
        <v>-5.4826450904865376E-2</v>
      </c>
      <c r="N6" s="12">
        <f>+Data_Analysis!N7</f>
        <v>1512.09</v>
      </c>
      <c r="O6" s="12">
        <f t="shared" si="19"/>
        <v>1583.91</v>
      </c>
      <c r="P6" s="13">
        <f t="shared" si="4"/>
        <v>-4.5343485425308305E-2</v>
      </c>
      <c r="Q6" s="12">
        <f>+Data_Analysis!Q7</f>
        <v>1210.6400000000001</v>
      </c>
      <c r="R6" s="12">
        <f t="shared" si="20"/>
        <v>1264.24</v>
      </c>
      <c r="S6" s="13">
        <f t="shared" si="5"/>
        <v>-4.2397013225336844E-2</v>
      </c>
      <c r="T6" s="12">
        <f>+Data_Analysis!T7</f>
        <v>262.14</v>
      </c>
      <c r="U6" s="12">
        <f t="shared" si="21"/>
        <v>276.58</v>
      </c>
      <c r="V6" s="13">
        <f t="shared" si="6"/>
        <v>-5.2209125750235064E-2</v>
      </c>
      <c r="W6" s="12">
        <f>+Data_Analysis!W7</f>
        <v>281.92</v>
      </c>
      <c r="X6" s="12">
        <f t="shared" si="22"/>
        <v>297.58</v>
      </c>
      <c r="Y6" s="13">
        <f t="shared" si="7"/>
        <v>-5.262450433496868E-2</v>
      </c>
      <c r="Z6" s="12">
        <f>+Data_Analysis!Z7</f>
        <v>257.62</v>
      </c>
      <c r="AA6" s="12">
        <f t="shared" si="23"/>
        <v>271.39</v>
      </c>
      <c r="AB6" s="13">
        <f t="shared" si="8"/>
        <v>-5.0738789196359435E-2</v>
      </c>
      <c r="AC6" s="12">
        <f>+Data_Analysis!AC7</f>
        <v>1193.77</v>
      </c>
      <c r="AD6" s="12">
        <f t="shared" si="24"/>
        <v>1251.92</v>
      </c>
      <c r="AE6" s="13">
        <f t="shared" si="9"/>
        <v>-4.6448654866125705E-2</v>
      </c>
      <c r="AF6" s="12">
        <f>+Data_Analysis!AF7</f>
        <v>976.17</v>
      </c>
      <c r="AG6" s="12">
        <f t="shared" si="25"/>
        <v>1026.3399999999999</v>
      </c>
      <c r="AH6" s="13">
        <f t="shared" si="10"/>
        <v>-4.8882436619443803E-2</v>
      </c>
      <c r="AI6" s="12">
        <f>+Data_Analysis!AI7</f>
        <v>5132.82</v>
      </c>
      <c r="AJ6" s="12">
        <f t="shared" si="26"/>
        <v>5387.19</v>
      </c>
      <c r="AK6" s="13">
        <f t="shared" si="11"/>
        <v>-4.7217566115173248E-2</v>
      </c>
      <c r="AL6" s="12">
        <f>+Data_Analysis!AL7</f>
        <v>948.48</v>
      </c>
      <c r="AM6" s="12">
        <f t="shared" si="27"/>
        <v>984.93</v>
      </c>
      <c r="AN6" s="13">
        <f t="shared" si="12"/>
        <v>-3.7007706131400142E-2</v>
      </c>
      <c r="AO6" s="12">
        <f>+Data_Analysis!AO7</f>
        <v>947.69</v>
      </c>
      <c r="AP6" s="12">
        <f t="shared" si="28"/>
        <v>995.46</v>
      </c>
      <c r="AQ6" s="13">
        <f t="shared" si="13"/>
        <v>-4.7987864906676281E-2</v>
      </c>
      <c r="AR6" s="12">
        <f>+Data_Analysis!AR7</f>
        <v>177.86</v>
      </c>
      <c r="AS6" s="12">
        <f t="shared" si="29"/>
        <v>186.47</v>
      </c>
      <c r="AT6" s="13">
        <f t="shared" si="14"/>
        <v>-4.617364723548012E-2</v>
      </c>
    </row>
    <row r="7" spans="1:46" x14ac:dyDescent="0.25">
      <c r="A7" s="97">
        <v>46052</v>
      </c>
      <c r="B7" s="12">
        <f>+Data_Analysis!B8</f>
        <v>2341.56</v>
      </c>
      <c r="C7" s="12">
        <f t="shared" si="15"/>
        <v>2483.4499999999998</v>
      </c>
      <c r="D7" s="13">
        <f t="shared" si="0"/>
        <v>-5.7134228593287539E-2</v>
      </c>
      <c r="E7" s="12">
        <f>+Data_Analysis!E8</f>
        <v>8492.08</v>
      </c>
      <c r="F7" s="12">
        <f t="shared" si="16"/>
        <v>8971.5499999999993</v>
      </c>
      <c r="G7" s="13">
        <f t="shared" si="1"/>
        <v>-5.34433849223378E-2</v>
      </c>
      <c r="H7" s="12">
        <f>+Data_Analysis!H8</f>
        <v>2946.72</v>
      </c>
      <c r="I7" s="12">
        <f t="shared" si="17"/>
        <v>3112.31</v>
      </c>
      <c r="J7" s="14">
        <f t="shared" si="2"/>
        <v>-5.3204854272228763E-2</v>
      </c>
      <c r="K7" s="12">
        <f>+Data_Analysis!K8</f>
        <v>10881.05</v>
      </c>
      <c r="L7" s="12">
        <f t="shared" si="18"/>
        <v>11617.75</v>
      </c>
      <c r="M7" s="13">
        <f t="shared" si="3"/>
        <v>-6.3411590023885966E-2</v>
      </c>
      <c r="N7" s="12">
        <f>+Data_Analysis!N8</f>
        <v>1510.73</v>
      </c>
      <c r="O7" s="12">
        <f t="shared" si="19"/>
        <v>1583.91</v>
      </c>
      <c r="P7" s="13">
        <f t="shared" si="4"/>
        <v>-4.6202120069953501E-2</v>
      </c>
      <c r="Q7" s="12">
        <f>+Data_Analysis!Q8</f>
        <v>1210.93</v>
      </c>
      <c r="R7" s="12">
        <f t="shared" si="20"/>
        <v>1264.24</v>
      </c>
      <c r="S7" s="13">
        <f t="shared" si="5"/>
        <v>-4.2167626400050562E-2</v>
      </c>
      <c r="T7" s="12">
        <f>+Data_Analysis!T8</f>
        <v>261.45</v>
      </c>
      <c r="U7" s="12">
        <f t="shared" si="21"/>
        <v>276.58</v>
      </c>
      <c r="V7" s="13">
        <f t="shared" si="6"/>
        <v>-5.4703883144117449E-2</v>
      </c>
      <c r="W7" s="12">
        <f>+Data_Analysis!W8</f>
        <v>281.77</v>
      </c>
      <c r="X7" s="12">
        <f t="shared" si="22"/>
        <v>297.58</v>
      </c>
      <c r="Y7" s="13">
        <f t="shared" si="7"/>
        <v>-5.3128570468445435E-2</v>
      </c>
      <c r="Z7" s="12">
        <f>+Data_Analysis!Z8</f>
        <v>257.83</v>
      </c>
      <c r="AA7" s="12">
        <f t="shared" si="23"/>
        <v>271.39</v>
      </c>
      <c r="AB7" s="13">
        <f t="shared" si="8"/>
        <v>-4.9964995025608916E-2</v>
      </c>
      <c r="AC7" s="12">
        <f>+Data_Analysis!AC8</f>
        <v>1197.32</v>
      </c>
      <c r="AD7" s="12">
        <f t="shared" si="24"/>
        <v>1251.92</v>
      </c>
      <c r="AE7" s="13">
        <f t="shared" si="9"/>
        <v>-4.3613010416001075E-2</v>
      </c>
      <c r="AF7" s="12">
        <f>+Data_Analysis!AF8</f>
        <v>975.43</v>
      </c>
      <c r="AG7" s="12">
        <f t="shared" si="25"/>
        <v>1026.3399999999999</v>
      </c>
      <c r="AH7" s="13">
        <f t="shared" si="10"/>
        <v>-4.9603445252060729E-2</v>
      </c>
      <c r="AI7" s="12">
        <f>+Data_Analysis!AI8</f>
        <v>5109.8599999999997</v>
      </c>
      <c r="AJ7" s="12">
        <f t="shared" si="26"/>
        <v>5387.19</v>
      </c>
      <c r="AK7" s="13">
        <f t="shared" si="11"/>
        <v>-5.1479528288402632E-2</v>
      </c>
      <c r="AL7" s="12">
        <f>+Data_Analysis!AL8</f>
        <v>952.1</v>
      </c>
      <c r="AM7" s="12">
        <f t="shared" si="27"/>
        <v>984.93</v>
      </c>
      <c r="AN7" s="13">
        <f t="shared" si="12"/>
        <v>-3.3332318032753494E-2</v>
      </c>
      <c r="AO7" s="12">
        <f>+Data_Analysis!AO8</f>
        <v>947.13</v>
      </c>
      <c r="AP7" s="12">
        <f t="shared" si="28"/>
        <v>995.46</v>
      </c>
      <c r="AQ7" s="13">
        <f t="shared" si="13"/>
        <v>-4.855041890181433E-2</v>
      </c>
      <c r="AR7" s="12">
        <f>+Data_Analysis!AR8</f>
        <v>178.42</v>
      </c>
      <c r="AS7" s="12">
        <f t="shared" si="29"/>
        <v>186.47</v>
      </c>
      <c r="AT7" s="13">
        <f t="shared" si="14"/>
        <v>-4.317048318764416E-2</v>
      </c>
    </row>
    <row r="8" spans="1:46" x14ac:dyDescent="0.25">
      <c r="A8" s="97">
        <v>46059</v>
      </c>
      <c r="B8" s="12">
        <f>+Data_Analysis!B9</f>
        <v>2304.6799999999998</v>
      </c>
      <c r="C8" s="12">
        <f t="shared" si="15"/>
        <v>2483.4499999999998</v>
      </c>
      <c r="D8" s="13">
        <f t="shared" si="0"/>
        <v>-7.1984537639171342E-2</v>
      </c>
      <c r="E8" s="12">
        <f>+Data_Analysis!E9</f>
        <v>8312.24</v>
      </c>
      <c r="F8" s="12">
        <f t="shared" si="16"/>
        <v>8971.5499999999993</v>
      </c>
      <c r="G8" s="13">
        <f t="shared" si="1"/>
        <v>-7.3488973477269792E-2</v>
      </c>
      <c r="H8" s="12">
        <f>+Data_Analysis!H9</f>
        <v>2886.93</v>
      </c>
      <c r="I8" s="12">
        <f t="shared" si="17"/>
        <v>3112.31</v>
      </c>
      <c r="J8" s="14">
        <f t="shared" si="2"/>
        <v>-7.2415665534602991E-2</v>
      </c>
      <c r="K8" s="12">
        <f>+Data_Analysis!K9</f>
        <v>10598.01</v>
      </c>
      <c r="L8" s="12">
        <f t="shared" si="18"/>
        <v>11617.75</v>
      </c>
      <c r="M8" s="13">
        <f t="shared" si="3"/>
        <v>-8.7774310860536664E-2</v>
      </c>
      <c r="N8" s="12">
        <f>+Data_Analysis!N9</f>
        <v>1473.77</v>
      </c>
      <c r="O8" s="12">
        <f t="shared" si="19"/>
        <v>1583.91</v>
      </c>
      <c r="P8" s="13">
        <f t="shared" si="4"/>
        <v>-6.9536779236194057E-2</v>
      </c>
      <c r="Q8" s="12">
        <f>+Data_Analysis!Q9</f>
        <v>1181.48</v>
      </c>
      <c r="R8" s="12">
        <f t="shared" si="20"/>
        <v>1264.24</v>
      </c>
      <c r="S8" s="13">
        <f t="shared" si="5"/>
        <v>-6.5462254002404574E-2</v>
      </c>
      <c r="T8" s="12">
        <f>+Data_Analysis!T9</f>
        <v>256.5</v>
      </c>
      <c r="U8" s="12">
        <f t="shared" si="21"/>
        <v>276.58</v>
      </c>
      <c r="V8" s="13">
        <f t="shared" si="6"/>
        <v>-7.2601055752404275E-2</v>
      </c>
      <c r="W8" s="12">
        <f>+Data_Analysis!W9</f>
        <v>276.57</v>
      </c>
      <c r="X8" s="12">
        <f t="shared" si="22"/>
        <v>297.58</v>
      </c>
      <c r="Y8" s="13">
        <f t="shared" si="7"/>
        <v>-7.0602863095638124E-2</v>
      </c>
      <c r="Z8" s="12">
        <f>+Data_Analysis!Z9</f>
        <v>252.6</v>
      </c>
      <c r="AA8" s="12">
        <f t="shared" si="23"/>
        <v>271.39</v>
      </c>
      <c r="AB8" s="13">
        <f t="shared" si="8"/>
        <v>-6.9236154611444722E-2</v>
      </c>
      <c r="AC8" s="12">
        <f>+Data_Analysis!AC9</f>
        <v>1170.2</v>
      </c>
      <c r="AD8" s="12">
        <f t="shared" si="24"/>
        <v>1251.92</v>
      </c>
      <c r="AE8" s="13">
        <f t="shared" si="9"/>
        <v>-6.5275736468783929E-2</v>
      </c>
      <c r="AF8" s="12">
        <f>+Data_Analysis!AF9</f>
        <v>952.99</v>
      </c>
      <c r="AG8" s="12">
        <f t="shared" si="25"/>
        <v>1026.3399999999999</v>
      </c>
      <c r="AH8" s="13">
        <f t="shared" si="10"/>
        <v>-7.1467544868172306E-2</v>
      </c>
      <c r="AI8" s="12">
        <f>+Data_Analysis!AI9</f>
        <v>5077.26</v>
      </c>
      <c r="AJ8" s="12">
        <f t="shared" si="26"/>
        <v>5387.19</v>
      </c>
      <c r="AK8" s="13">
        <f t="shared" si="11"/>
        <v>-5.7530920572691824E-2</v>
      </c>
      <c r="AL8" s="12">
        <f>+Data_Analysis!AL9</f>
        <v>932.1</v>
      </c>
      <c r="AM8" s="12">
        <f t="shared" si="27"/>
        <v>984.93</v>
      </c>
      <c r="AN8" s="13">
        <f t="shared" si="12"/>
        <v>-5.3638329627486159E-2</v>
      </c>
      <c r="AO8" s="12">
        <f>+Data_Analysis!AO9</f>
        <v>933.13</v>
      </c>
      <c r="AP8" s="12">
        <f t="shared" si="28"/>
        <v>995.46</v>
      </c>
      <c r="AQ8" s="13">
        <f t="shared" si="13"/>
        <v>-6.2614268780262439E-2</v>
      </c>
      <c r="AR8" s="12">
        <f>+Data_Analysis!AR9</f>
        <v>175.72</v>
      </c>
      <c r="AS8" s="12">
        <f t="shared" si="29"/>
        <v>186.47</v>
      </c>
      <c r="AT8" s="13">
        <f t="shared" si="14"/>
        <v>-5.7650024132568256E-2</v>
      </c>
    </row>
    <row r="9" spans="1:46" x14ac:dyDescent="0.25">
      <c r="A9" s="97">
        <v>46066</v>
      </c>
      <c r="B9" s="12">
        <f>+Data_Analysis!B10</f>
        <v>2327.56</v>
      </c>
      <c r="C9" s="12">
        <f t="shared" si="15"/>
        <v>2483.4499999999998</v>
      </c>
      <c r="D9" s="13">
        <f t="shared" si="0"/>
        <v>-6.2771547645412595E-2</v>
      </c>
      <c r="E9" s="12">
        <f>+Data_Analysis!E10</f>
        <v>8436.74</v>
      </c>
      <c r="F9" s="12">
        <f t="shared" si="16"/>
        <v>8971.5499999999993</v>
      </c>
      <c r="G9" s="13">
        <f t="shared" si="1"/>
        <v>-5.9611772770591376E-2</v>
      </c>
      <c r="H9" s="12">
        <f>+Data_Analysis!H10</f>
        <v>2921.65</v>
      </c>
      <c r="I9" s="12">
        <f t="shared" si="17"/>
        <v>3112.31</v>
      </c>
      <c r="J9" s="14">
        <f t="shared" si="2"/>
        <v>-6.1259964463694083E-2</v>
      </c>
      <c r="K9" s="12">
        <f>+Data_Analysis!K10</f>
        <v>10669.58</v>
      </c>
      <c r="L9" s="12">
        <f t="shared" si="18"/>
        <v>11617.75</v>
      </c>
      <c r="M9" s="13">
        <f t="shared" si="3"/>
        <v>-8.1613909750166802E-2</v>
      </c>
      <c r="N9" s="12">
        <f>+Data_Analysis!N10</f>
        <v>1494.53</v>
      </c>
      <c r="O9" s="12">
        <f t="shared" si="19"/>
        <v>1583.91</v>
      </c>
      <c r="P9" s="13">
        <f t="shared" si="4"/>
        <v>-5.6429973925286259E-2</v>
      </c>
      <c r="Q9" s="12">
        <f>+Data_Analysis!Q10</f>
        <v>1204.6500000000001</v>
      </c>
      <c r="R9" s="12">
        <f t="shared" si="20"/>
        <v>1264.24</v>
      </c>
      <c r="S9" s="13">
        <f t="shared" si="5"/>
        <v>-4.7135037651078848E-2</v>
      </c>
      <c r="T9" s="12">
        <f>+Data_Analysis!T10</f>
        <v>259.93</v>
      </c>
      <c r="U9" s="12">
        <f t="shared" si="21"/>
        <v>276.58</v>
      </c>
      <c r="V9" s="13">
        <f t="shared" si="6"/>
        <v>-6.0199580591510538E-2</v>
      </c>
      <c r="W9" s="12">
        <f>+Data_Analysis!W10</f>
        <v>279.99</v>
      </c>
      <c r="X9" s="12">
        <f t="shared" si="22"/>
        <v>297.58</v>
      </c>
      <c r="Y9" s="13">
        <f t="shared" si="7"/>
        <v>-5.9110155252369068E-2</v>
      </c>
      <c r="Z9" s="12">
        <f>+Data_Analysis!Z10</f>
        <v>256.08999999999997</v>
      </c>
      <c r="AA9" s="12">
        <f t="shared" si="23"/>
        <v>271.39</v>
      </c>
      <c r="AB9" s="13">
        <f t="shared" si="8"/>
        <v>-5.6376432440399471E-2</v>
      </c>
      <c r="AC9" s="12">
        <f>+Data_Analysis!AC10</f>
        <v>1188.25</v>
      </c>
      <c r="AD9" s="12">
        <f t="shared" si="24"/>
        <v>1251.92</v>
      </c>
      <c r="AE9" s="13">
        <f t="shared" si="9"/>
        <v>-5.0857882292798307E-2</v>
      </c>
      <c r="AF9" s="12">
        <f>+Data_Analysis!AF10</f>
        <v>966.41</v>
      </c>
      <c r="AG9" s="12">
        <f t="shared" si="25"/>
        <v>1026.3399999999999</v>
      </c>
      <c r="AH9" s="13">
        <f t="shared" si="10"/>
        <v>-5.839195588206636E-2</v>
      </c>
      <c r="AI9" s="12">
        <f>+Data_Analysis!AI10</f>
        <v>5129.03</v>
      </c>
      <c r="AJ9" s="12">
        <f t="shared" si="26"/>
        <v>5387.19</v>
      </c>
      <c r="AK9" s="13">
        <f t="shared" si="11"/>
        <v>-4.7921086874604391E-2</v>
      </c>
      <c r="AL9" s="12">
        <f>+Data_Analysis!AL10</f>
        <v>944.64</v>
      </c>
      <c r="AM9" s="12">
        <f t="shared" si="27"/>
        <v>984.93</v>
      </c>
      <c r="AN9" s="13">
        <f t="shared" si="12"/>
        <v>-4.0906460357588825E-2</v>
      </c>
      <c r="AO9" s="12">
        <f>+Data_Analysis!AO10</f>
        <v>943.57</v>
      </c>
      <c r="AP9" s="12">
        <f t="shared" si="28"/>
        <v>995.46</v>
      </c>
      <c r="AQ9" s="13">
        <f t="shared" si="13"/>
        <v>-5.2126655013762457E-2</v>
      </c>
      <c r="AR9" s="12">
        <f>+Data_Analysis!AR10</f>
        <v>178.29</v>
      </c>
      <c r="AS9" s="12">
        <f t="shared" si="29"/>
        <v>186.47</v>
      </c>
      <c r="AT9" s="13">
        <f t="shared" si="14"/>
        <v>-4.3867646270177585E-2</v>
      </c>
    </row>
    <row r="10" spans="1:46" x14ac:dyDescent="0.25">
      <c r="A10" s="97">
        <v>46073</v>
      </c>
      <c r="B10" s="12">
        <f>+Data_Analysis!B11</f>
        <v>2347.75</v>
      </c>
      <c r="C10" s="12">
        <f t="shared" si="15"/>
        <v>2483.4499999999998</v>
      </c>
      <c r="D10" s="13">
        <f t="shared" si="0"/>
        <v>-5.4641728240955034E-2</v>
      </c>
      <c r="E10" s="12">
        <f>+Data_Analysis!E11</f>
        <v>8479.4599999999991</v>
      </c>
      <c r="F10" s="12">
        <f t="shared" si="16"/>
        <v>8971.5499999999993</v>
      </c>
      <c r="G10" s="13">
        <f t="shared" si="1"/>
        <v>-5.4850053781119179E-2</v>
      </c>
      <c r="H10" s="12">
        <f>+Data_Analysis!H11</f>
        <v>2934.75</v>
      </c>
      <c r="I10" s="12">
        <f t="shared" si="17"/>
        <v>3112.31</v>
      </c>
      <c r="J10" s="14">
        <f t="shared" si="2"/>
        <v>-5.7050872181755641E-2</v>
      </c>
      <c r="K10" s="12">
        <f>+Data_Analysis!K11</f>
        <v>10761.88</v>
      </c>
      <c r="L10" s="12">
        <f t="shared" si="18"/>
        <v>11617.75</v>
      </c>
      <c r="M10" s="13">
        <f t="shared" si="3"/>
        <v>-7.3669170020012498E-2</v>
      </c>
      <c r="N10" s="12">
        <f>+Data_Analysis!N11</f>
        <v>1503.38</v>
      </c>
      <c r="O10" s="12">
        <f t="shared" si="19"/>
        <v>1583.91</v>
      </c>
      <c r="P10" s="13">
        <f t="shared" si="4"/>
        <v>-5.0842535245058107E-2</v>
      </c>
      <c r="Q10" s="12">
        <f>+Data_Analysis!Q11</f>
        <v>1211.1600000000001</v>
      </c>
      <c r="R10" s="12">
        <f t="shared" si="20"/>
        <v>1264.24</v>
      </c>
      <c r="S10" s="13">
        <f t="shared" si="5"/>
        <v>-4.1985698917926917E-2</v>
      </c>
      <c r="T10" s="12">
        <f>+Data_Analysis!T11</f>
        <v>261.52999999999997</v>
      </c>
      <c r="U10" s="12">
        <f t="shared" si="21"/>
        <v>276.58</v>
      </c>
      <c r="V10" s="13">
        <f t="shared" si="6"/>
        <v>-5.441463591004414E-2</v>
      </c>
      <c r="W10" s="12">
        <f>+Data_Analysis!W11</f>
        <v>281.83999999999997</v>
      </c>
      <c r="X10" s="12">
        <f t="shared" si="22"/>
        <v>297.58</v>
      </c>
      <c r="Y10" s="13">
        <f t="shared" si="7"/>
        <v>-5.2893339606156387E-2</v>
      </c>
      <c r="Z10" s="12">
        <f>+Data_Analysis!Z11</f>
        <v>257.61</v>
      </c>
      <c r="AA10" s="12">
        <f t="shared" si="23"/>
        <v>271.39</v>
      </c>
      <c r="AB10" s="13">
        <f t="shared" si="8"/>
        <v>-5.0775636537823687E-2</v>
      </c>
      <c r="AC10" s="12">
        <f>+Data_Analysis!AC11</f>
        <v>1195.73</v>
      </c>
      <c r="AD10" s="12">
        <f t="shared" si="24"/>
        <v>1251.92</v>
      </c>
      <c r="AE10" s="13">
        <f t="shared" si="9"/>
        <v>-4.4883059620423049E-2</v>
      </c>
      <c r="AF10" s="12">
        <f>+Data_Analysis!AF11</f>
        <v>974.31</v>
      </c>
      <c r="AG10" s="12">
        <f t="shared" si="25"/>
        <v>1026.3399999999999</v>
      </c>
      <c r="AH10" s="13">
        <f t="shared" si="10"/>
        <v>-5.069470156088618E-2</v>
      </c>
      <c r="AI10" s="12">
        <f>+Data_Analysis!AI11</f>
        <v>5164.29</v>
      </c>
      <c r="AJ10" s="12">
        <f t="shared" si="26"/>
        <v>5387.19</v>
      </c>
      <c r="AK10" s="13">
        <f t="shared" si="11"/>
        <v>-4.1375930680001893E-2</v>
      </c>
      <c r="AL10" s="12">
        <f>+Data_Analysis!AL11</f>
        <v>948.39</v>
      </c>
      <c r="AM10" s="12">
        <f t="shared" si="27"/>
        <v>984.93</v>
      </c>
      <c r="AN10" s="13">
        <f t="shared" si="12"/>
        <v>-3.7099083183576465E-2</v>
      </c>
      <c r="AO10" s="12">
        <f>+Data_Analysis!AO11</f>
        <v>947.15</v>
      </c>
      <c r="AP10" s="12">
        <f t="shared" si="28"/>
        <v>995.46</v>
      </c>
      <c r="AQ10" s="13">
        <f t="shared" si="13"/>
        <v>-4.8530327687702268E-2</v>
      </c>
      <c r="AR10" s="12">
        <f>+Data_Analysis!AR11</f>
        <v>179.64</v>
      </c>
      <c r="AS10" s="12">
        <f t="shared" si="29"/>
        <v>186.47</v>
      </c>
      <c r="AT10" s="13">
        <f t="shared" si="14"/>
        <v>-3.6627875797715537E-2</v>
      </c>
    </row>
    <row r="11" spans="1:46" x14ac:dyDescent="0.25">
      <c r="A11" s="97">
        <v>46080</v>
      </c>
      <c r="B11" s="12">
        <f>+Data_Analysis!B12</f>
        <v>2262.37</v>
      </c>
      <c r="C11" s="12">
        <f t="shared" si="15"/>
        <v>2483.4499999999998</v>
      </c>
      <c r="D11" s="13">
        <f t="shared" si="0"/>
        <v>-8.9021321145986376E-2</v>
      </c>
      <c r="E11" s="12">
        <f>+Data_Analysis!E12</f>
        <v>8208.8700000000008</v>
      </c>
      <c r="F11" s="12">
        <f t="shared" si="16"/>
        <v>8971.5499999999993</v>
      </c>
      <c r="G11" s="13">
        <f t="shared" si="1"/>
        <v>-8.5010951284894887E-2</v>
      </c>
      <c r="H11" s="12">
        <f>+Data_Analysis!H12</f>
        <v>2829.67</v>
      </c>
      <c r="I11" s="12">
        <f t="shared" si="17"/>
        <v>3112.31</v>
      </c>
      <c r="J11" s="14">
        <f t="shared" si="2"/>
        <v>-9.0813575768480592E-2</v>
      </c>
      <c r="K11" s="12">
        <f>+Data_Analysis!K12</f>
        <v>10327.42</v>
      </c>
      <c r="L11" s="12">
        <f t="shared" si="18"/>
        <v>11617.75</v>
      </c>
      <c r="M11" s="13">
        <f t="shared" si="3"/>
        <v>-0.11106539562307671</v>
      </c>
      <c r="N11" s="12">
        <f>+Data_Analysis!N12</f>
        <v>1449.73</v>
      </c>
      <c r="O11" s="12">
        <f t="shared" si="19"/>
        <v>1583.91</v>
      </c>
      <c r="P11" s="13">
        <f t="shared" si="4"/>
        <v>-8.4714409278304981E-2</v>
      </c>
      <c r="Q11" s="12">
        <f>+Data_Analysis!Q12</f>
        <v>1172.99</v>
      </c>
      <c r="R11" s="12">
        <f t="shared" si="20"/>
        <v>1264.24</v>
      </c>
      <c r="S11" s="13">
        <f t="shared" si="5"/>
        <v>-7.2177751059925299E-2</v>
      </c>
      <c r="T11" s="12">
        <f>+Data_Analysis!T12</f>
        <v>252.83</v>
      </c>
      <c r="U11" s="12">
        <f t="shared" si="21"/>
        <v>276.58</v>
      </c>
      <c r="V11" s="13">
        <f t="shared" si="6"/>
        <v>-8.5870272615518051E-2</v>
      </c>
      <c r="W11" s="12">
        <f>+Data_Analysis!W12</f>
        <v>271.75</v>
      </c>
      <c r="X11" s="12">
        <f t="shared" si="22"/>
        <v>297.58</v>
      </c>
      <c r="Y11" s="13">
        <f t="shared" si="7"/>
        <v>-8.6800188184689819E-2</v>
      </c>
      <c r="Z11" s="12">
        <f>+Data_Analysis!Z12</f>
        <v>248.54</v>
      </c>
      <c r="AA11" s="12">
        <f t="shared" si="23"/>
        <v>271.39</v>
      </c>
      <c r="AB11" s="13">
        <f t="shared" si="8"/>
        <v>-8.4196175245956018E-2</v>
      </c>
      <c r="AC11" s="12">
        <f>+Data_Analysis!AC12</f>
        <v>1156.3</v>
      </c>
      <c r="AD11" s="12">
        <f t="shared" si="24"/>
        <v>1251.92</v>
      </c>
      <c r="AE11" s="13">
        <f t="shared" si="9"/>
        <v>-7.6378682343919868E-2</v>
      </c>
      <c r="AF11" s="12">
        <f>+Data_Analysis!AF12</f>
        <v>943.06</v>
      </c>
      <c r="AG11" s="12">
        <f t="shared" si="25"/>
        <v>1026.3399999999999</v>
      </c>
      <c r="AH11" s="13">
        <f t="shared" si="10"/>
        <v>-8.1142701249098725E-2</v>
      </c>
      <c r="AI11" s="12">
        <f>+Data_Analysis!AI12</f>
        <v>4951.62</v>
      </c>
      <c r="AJ11" s="12">
        <f t="shared" si="26"/>
        <v>5387.19</v>
      </c>
      <c r="AK11" s="13">
        <f t="shared" si="11"/>
        <v>-8.0852912186130332E-2</v>
      </c>
      <c r="AL11" s="12">
        <f>+Data_Analysis!AL12</f>
        <v>918.25</v>
      </c>
      <c r="AM11" s="12">
        <f t="shared" si="27"/>
        <v>984.93</v>
      </c>
      <c r="AN11" s="13">
        <f t="shared" si="12"/>
        <v>-6.7700242656838494E-2</v>
      </c>
      <c r="AO11" s="12">
        <f>+Data_Analysis!AO12</f>
        <v>914.11</v>
      </c>
      <c r="AP11" s="12">
        <f t="shared" si="28"/>
        <v>995.46</v>
      </c>
      <c r="AQ11" s="13">
        <f t="shared" si="13"/>
        <v>-8.1721013400839815E-2</v>
      </c>
      <c r="AR11" s="12">
        <f>+Data_Analysis!AR12</f>
        <v>174.33</v>
      </c>
      <c r="AS11" s="12">
        <f t="shared" si="29"/>
        <v>186.47</v>
      </c>
      <c r="AT11" s="13">
        <f t="shared" si="14"/>
        <v>-6.5104306322732786E-2</v>
      </c>
    </row>
    <row r="12" spans="1:46" x14ac:dyDescent="0.25">
      <c r="A12" s="97">
        <v>46087</v>
      </c>
      <c r="B12" s="12">
        <f>+Data_Analysis!B13</f>
        <v>2114.92</v>
      </c>
      <c r="C12" s="12">
        <f t="shared" si="15"/>
        <v>2483.4499999999998</v>
      </c>
      <c r="D12" s="13">
        <f t="shared" si="0"/>
        <v>-0.14839437073426076</v>
      </c>
      <c r="E12" s="12">
        <f>+Data_Analysis!E13</f>
        <v>7665.33</v>
      </c>
      <c r="F12" s="12">
        <f t="shared" si="16"/>
        <v>8971.5499999999993</v>
      </c>
      <c r="G12" s="13">
        <f t="shared" si="1"/>
        <v>-0.14559580005684636</v>
      </c>
      <c r="H12" s="12">
        <f>+Data_Analysis!H13</f>
        <v>2666.19</v>
      </c>
      <c r="I12" s="12">
        <f t="shared" si="17"/>
        <v>3112.31</v>
      </c>
      <c r="J12" s="14">
        <f t="shared" si="2"/>
        <v>-0.14334047700903829</v>
      </c>
      <c r="K12" s="12">
        <f>+Data_Analysis!K13</f>
        <v>9548.9599999999991</v>
      </c>
      <c r="L12" s="12">
        <f t="shared" si="18"/>
        <v>11617.75</v>
      </c>
      <c r="M12" s="13">
        <f t="shared" si="3"/>
        <v>-0.17807148544253415</v>
      </c>
      <c r="N12" s="12">
        <f>+Data_Analysis!N13</f>
        <v>1352.23</v>
      </c>
      <c r="O12" s="12">
        <f t="shared" si="19"/>
        <v>1583.91</v>
      </c>
      <c r="P12" s="13">
        <f t="shared" si="4"/>
        <v>-0.14627093711132577</v>
      </c>
      <c r="Q12" s="12">
        <f>+Data_Analysis!Q13</f>
        <v>1091.06</v>
      </c>
      <c r="R12" s="12">
        <f t="shared" si="20"/>
        <v>1264.24</v>
      </c>
      <c r="S12" s="13">
        <f t="shared" si="5"/>
        <v>-0.13698348414857942</v>
      </c>
      <c r="T12" s="12">
        <f>+Data_Analysis!T13</f>
        <v>237.86</v>
      </c>
      <c r="U12" s="12">
        <f t="shared" si="21"/>
        <v>276.58</v>
      </c>
      <c r="V12" s="13">
        <f t="shared" si="6"/>
        <v>-0.13999566129148877</v>
      </c>
      <c r="W12" s="12">
        <f>+Data_Analysis!W13</f>
        <v>254.98</v>
      </c>
      <c r="X12" s="12">
        <f t="shared" si="22"/>
        <v>297.58</v>
      </c>
      <c r="Y12" s="13">
        <f t="shared" si="7"/>
        <v>-0.14315478190738629</v>
      </c>
      <c r="Z12" s="12">
        <f>+Data_Analysis!Z13</f>
        <v>232.68</v>
      </c>
      <c r="AA12" s="12">
        <f t="shared" si="23"/>
        <v>271.39</v>
      </c>
      <c r="AB12" s="13">
        <f t="shared" si="8"/>
        <v>-0.14263605880835695</v>
      </c>
      <c r="AC12" s="12">
        <f>+Data_Analysis!AC13</f>
        <v>1081.76</v>
      </c>
      <c r="AD12" s="12">
        <f t="shared" si="24"/>
        <v>1251.92</v>
      </c>
      <c r="AE12" s="13">
        <f t="shared" si="9"/>
        <v>-0.13591922806569112</v>
      </c>
      <c r="AF12" s="12">
        <f>+Data_Analysis!AF13</f>
        <v>882.03</v>
      </c>
      <c r="AG12" s="12">
        <f t="shared" si="25"/>
        <v>1026.3399999999999</v>
      </c>
      <c r="AH12" s="13">
        <f t="shared" si="10"/>
        <v>-0.14060642672019019</v>
      </c>
      <c r="AI12" s="12">
        <f>+Data_Analysis!AI13</f>
        <v>4635.76</v>
      </c>
      <c r="AJ12" s="12">
        <f t="shared" si="26"/>
        <v>5387.19</v>
      </c>
      <c r="AK12" s="13">
        <f t="shared" si="11"/>
        <v>-0.13948459215286624</v>
      </c>
      <c r="AL12" s="12">
        <f>+Data_Analysis!AL13</f>
        <v>871.25</v>
      </c>
      <c r="AM12" s="12">
        <f t="shared" si="27"/>
        <v>984.93</v>
      </c>
      <c r="AN12" s="13">
        <f t="shared" si="12"/>
        <v>-0.11541936990446022</v>
      </c>
      <c r="AO12" s="12">
        <f>+Data_Analysis!AO13</f>
        <v>870.29</v>
      </c>
      <c r="AP12" s="12">
        <f t="shared" si="28"/>
        <v>995.46</v>
      </c>
      <c r="AQ12" s="13">
        <f t="shared" si="13"/>
        <v>-0.12574086352038261</v>
      </c>
      <c r="AR12" s="12">
        <f>+Data_Analysis!AR13</f>
        <v>164.83</v>
      </c>
      <c r="AS12" s="12">
        <f t="shared" si="29"/>
        <v>186.47</v>
      </c>
      <c r="AT12" s="13">
        <f t="shared" si="14"/>
        <v>-0.11605083927709547</v>
      </c>
    </row>
    <row r="13" spans="1:46" x14ac:dyDescent="0.25">
      <c r="A13" s="97">
        <v>46094</v>
      </c>
      <c r="B13" s="12">
        <f>+Data_Analysis!B14</f>
        <v>2053.86</v>
      </c>
      <c r="C13" s="12">
        <f t="shared" si="15"/>
        <v>2483.4499999999998</v>
      </c>
      <c r="D13" s="13">
        <f t="shared" si="0"/>
        <v>-0.17298113511445756</v>
      </c>
      <c r="E13" s="12">
        <f>+Data_Analysis!E14</f>
        <v>7535.75</v>
      </c>
      <c r="F13" s="12">
        <f t="shared" si="16"/>
        <v>8971.5499999999993</v>
      </c>
      <c r="G13" s="13">
        <f t="shared" si="1"/>
        <v>-0.16003923513774088</v>
      </c>
      <c r="H13" s="12">
        <f>+Data_Analysis!H14</f>
        <v>2611.6799999999998</v>
      </c>
      <c r="I13" s="12">
        <f t="shared" si="17"/>
        <v>3112.31</v>
      </c>
      <c r="J13" s="14">
        <f t="shared" si="2"/>
        <v>-0.16085479916846335</v>
      </c>
      <c r="K13" s="12">
        <f>+Data_Analysis!K14</f>
        <v>9344.9</v>
      </c>
      <c r="L13" s="12">
        <f t="shared" si="18"/>
        <v>11617.75</v>
      </c>
      <c r="M13" s="13">
        <f t="shared" si="3"/>
        <v>-0.19563598803554905</v>
      </c>
      <c r="N13" s="12">
        <f>+Data_Analysis!N14</f>
        <v>1330.78</v>
      </c>
      <c r="O13" s="12">
        <f t="shared" si="19"/>
        <v>1583.91</v>
      </c>
      <c r="P13" s="13">
        <f t="shared" si="4"/>
        <v>-0.15981337323459044</v>
      </c>
      <c r="Q13" s="12">
        <f>+Data_Analysis!Q14</f>
        <v>1069</v>
      </c>
      <c r="R13" s="12">
        <f t="shared" si="20"/>
        <v>1264.24</v>
      </c>
      <c r="S13" s="13">
        <f t="shared" si="5"/>
        <v>-0.1544327026513953</v>
      </c>
      <c r="T13" s="12">
        <f>+Data_Analysis!T14</f>
        <v>233.41</v>
      </c>
      <c r="U13" s="12">
        <f t="shared" si="21"/>
        <v>276.58</v>
      </c>
      <c r="V13" s="13">
        <f t="shared" si="6"/>
        <v>-0.15608503868681756</v>
      </c>
      <c r="W13" s="12">
        <f>+Data_Analysis!W14</f>
        <v>250.5</v>
      </c>
      <c r="X13" s="12">
        <f t="shared" si="22"/>
        <v>297.58</v>
      </c>
      <c r="Y13" s="13">
        <f t="shared" si="7"/>
        <v>-0.15820955709389062</v>
      </c>
      <c r="Z13" s="12">
        <f>+Data_Analysis!Z14</f>
        <v>228.38</v>
      </c>
      <c r="AA13" s="12">
        <f t="shared" si="23"/>
        <v>271.39</v>
      </c>
      <c r="AB13" s="13">
        <f t="shared" si="8"/>
        <v>-0.15848041563801174</v>
      </c>
      <c r="AC13" s="12">
        <f>+Data_Analysis!AC14</f>
        <v>1062.3399999999999</v>
      </c>
      <c r="AD13" s="12">
        <f t="shared" si="24"/>
        <v>1251.92</v>
      </c>
      <c r="AE13" s="13">
        <f t="shared" si="9"/>
        <v>-0.15143140136749966</v>
      </c>
      <c r="AF13" s="12">
        <f>+Data_Analysis!AF14</f>
        <v>867.17</v>
      </c>
      <c r="AG13" s="12">
        <f t="shared" si="25"/>
        <v>1026.3399999999999</v>
      </c>
      <c r="AH13" s="13">
        <f t="shared" si="10"/>
        <v>-0.15508505953192897</v>
      </c>
      <c r="AI13" s="12">
        <f>+Data_Analysis!AI14</f>
        <v>4502.45</v>
      </c>
      <c r="AJ13" s="12">
        <f t="shared" si="26"/>
        <v>5387.19</v>
      </c>
      <c r="AK13" s="13">
        <f t="shared" si="11"/>
        <v>-0.16423033158288458</v>
      </c>
      <c r="AL13" s="12">
        <f>+Data_Analysis!AL14</f>
        <v>858.88</v>
      </c>
      <c r="AM13" s="12">
        <f t="shared" si="27"/>
        <v>984.93</v>
      </c>
      <c r="AN13" s="13">
        <f t="shared" si="12"/>
        <v>-0.12797863807580234</v>
      </c>
      <c r="AO13" s="12">
        <f>+Data_Analysis!AO14</f>
        <v>858.67</v>
      </c>
      <c r="AP13" s="12">
        <f t="shared" si="28"/>
        <v>995.46</v>
      </c>
      <c r="AQ13" s="13">
        <f t="shared" si="13"/>
        <v>-0.13741385891949454</v>
      </c>
      <c r="AR13" s="12">
        <f>+Data_Analysis!AR14</f>
        <v>162.77000000000001</v>
      </c>
      <c r="AS13" s="12">
        <f t="shared" si="29"/>
        <v>186.47</v>
      </c>
      <c r="AT13" s="13">
        <f t="shared" si="14"/>
        <v>-0.12709819273877832</v>
      </c>
    </row>
    <row r="14" spans="1:46" x14ac:dyDescent="0.25">
      <c r="A14" s="97">
        <v>46105</v>
      </c>
      <c r="B14" s="12">
        <f>+Data_Analysis!B15</f>
        <v>2113.5500000000002</v>
      </c>
      <c r="C14" s="12">
        <f t="shared" si="15"/>
        <v>2483.4499999999998</v>
      </c>
      <c r="D14" s="13">
        <f t="shared" si="0"/>
        <v>-0.14894602267007573</v>
      </c>
      <c r="E14" s="12">
        <f>+Data_Analysis!E15</f>
        <v>7740.9</v>
      </c>
      <c r="F14" s="12">
        <f t="shared" si="16"/>
        <v>8971.5499999999993</v>
      </c>
      <c r="G14" s="13">
        <f t="shared" si="1"/>
        <v>-0.13717250642308187</v>
      </c>
      <c r="H14" s="12">
        <f>+Data_Analysis!H15</f>
        <v>2676.74</v>
      </c>
      <c r="I14" s="12">
        <f t="shared" si="17"/>
        <v>3112.31</v>
      </c>
      <c r="J14" s="14">
        <f t="shared" si="2"/>
        <v>-0.13995071185068331</v>
      </c>
      <c r="K14" s="12">
        <f>+Data_Analysis!K15</f>
        <v>9598.56</v>
      </c>
      <c r="L14" s="12">
        <f t="shared" si="18"/>
        <v>11617.75</v>
      </c>
      <c r="M14" s="13">
        <f t="shared" si="3"/>
        <v>-0.17380215618342632</v>
      </c>
      <c r="N14" s="12">
        <f>+Data_Analysis!N15</f>
        <v>1361.3</v>
      </c>
      <c r="O14" s="12">
        <f t="shared" si="19"/>
        <v>1583.91</v>
      </c>
      <c r="P14" s="13">
        <f t="shared" si="4"/>
        <v>-0.14054460165034632</v>
      </c>
      <c r="Q14" s="12">
        <f>+Data_Analysis!Q15</f>
        <v>1092.3800000000001</v>
      </c>
      <c r="R14" s="12">
        <f t="shared" si="20"/>
        <v>1264.24</v>
      </c>
      <c r="S14" s="13">
        <f t="shared" si="5"/>
        <v>-0.13593937859900007</v>
      </c>
      <c r="T14" s="12">
        <f>+Data_Analysis!T15</f>
        <v>238.99</v>
      </c>
      <c r="U14" s="12">
        <f t="shared" si="21"/>
        <v>276.58</v>
      </c>
      <c r="V14" s="13">
        <f t="shared" si="6"/>
        <v>-0.13591004411020313</v>
      </c>
      <c r="W14" s="12">
        <f>+Data_Analysis!W15</f>
        <v>256.85000000000002</v>
      </c>
      <c r="X14" s="12">
        <f t="shared" si="22"/>
        <v>297.58</v>
      </c>
      <c r="Y14" s="13">
        <f t="shared" si="7"/>
        <v>-0.1368707574433764</v>
      </c>
      <c r="Z14" s="12">
        <f>+Data_Analysis!Z15</f>
        <v>233.65</v>
      </c>
      <c r="AA14" s="12">
        <f t="shared" si="23"/>
        <v>271.39</v>
      </c>
      <c r="AB14" s="13">
        <f t="shared" si="8"/>
        <v>-0.13906186668631848</v>
      </c>
      <c r="AC14" s="12">
        <f>+Data_Analysis!AC15</f>
        <v>1085.6300000000001</v>
      </c>
      <c r="AD14" s="12">
        <f t="shared" si="24"/>
        <v>1251.92</v>
      </c>
      <c r="AE14" s="13">
        <f t="shared" si="9"/>
        <v>-0.13282797622851295</v>
      </c>
      <c r="AF14" s="12">
        <f>+Data_Analysis!AF15</f>
        <v>887.15</v>
      </c>
      <c r="AG14" s="12">
        <f t="shared" si="25"/>
        <v>1026.3399999999999</v>
      </c>
      <c r="AH14" s="13">
        <f t="shared" si="10"/>
        <v>-0.1356178264512734</v>
      </c>
      <c r="AI14" s="12">
        <f>+Data_Analysis!AI15</f>
        <v>4631.12</v>
      </c>
      <c r="AJ14" s="12">
        <f t="shared" si="26"/>
        <v>5387.19</v>
      </c>
      <c r="AK14" s="13">
        <f t="shared" si="11"/>
        <v>-0.14034589461296143</v>
      </c>
      <c r="AL14" s="12">
        <f>+Data_Analysis!AL15</f>
        <v>877.03</v>
      </c>
      <c r="AM14" s="12">
        <f t="shared" si="27"/>
        <v>984.93</v>
      </c>
      <c r="AN14" s="13">
        <f t="shared" si="12"/>
        <v>-0.1095509325535825</v>
      </c>
      <c r="AO14" s="12">
        <f>+Data_Analysis!AO15</f>
        <v>878.98</v>
      </c>
      <c r="AP14" s="12">
        <f t="shared" si="28"/>
        <v>995.46</v>
      </c>
      <c r="AQ14" s="13">
        <f t="shared" si="13"/>
        <v>-0.11701123098868871</v>
      </c>
      <c r="AR14" s="12">
        <f>+Data_Analysis!AR15</f>
        <v>166.38</v>
      </c>
      <c r="AS14" s="12">
        <f t="shared" si="29"/>
        <v>186.47</v>
      </c>
      <c r="AT14" s="13">
        <f t="shared" si="14"/>
        <v>-0.10773851021612058</v>
      </c>
    </row>
    <row r="15" spans="1:46" x14ac:dyDescent="0.25">
      <c r="A15" s="97">
        <v>46108</v>
      </c>
      <c r="B15" s="12">
        <f>+Data_Analysis!B16</f>
        <v>2113.19</v>
      </c>
      <c r="C15" s="12">
        <f t="shared" si="15"/>
        <v>2483.4499999999998</v>
      </c>
      <c r="D15" s="13">
        <f t="shared" si="0"/>
        <v>-0.14909098230284479</v>
      </c>
      <c r="E15" s="12">
        <f>+Data_Analysis!E16</f>
        <v>7774.55</v>
      </c>
      <c r="F15" s="12">
        <f t="shared" si="16"/>
        <v>8971.5499999999993</v>
      </c>
      <c r="G15" s="13">
        <f t="shared" si="1"/>
        <v>-0.1334217610111964</v>
      </c>
      <c r="H15" s="12">
        <f>+Data_Analysis!H16</f>
        <v>2671.61</v>
      </c>
      <c r="I15" s="12">
        <f t="shared" si="17"/>
        <v>3112.31</v>
      </c>
      <c r="J15" s="14">
        <f t="shared" si="2"/>
        <v>-0.14159900524048052</v>
      </c>
      <c r="K15" s="12">
        <f>+Data_Analysis!K16</f>
        <v>9611.07</v>
      </c>
      <c r="L15" s="12">
        <f t="shared" si="18"/>
        <v>11617.75</v>
      </c>
      <c r="M15" s="13">
        <f t="shared" si="3"/>
        <v>-0.17272535559811497</v>
      </c>
      <c r="N15" s="12">
        <f>+Data_Analysis!N16</f>
        <v>1360.11</v>
      </c>
      <c r="O15" s="12">
        <f t="shared" si="19"/>
        <v>1583.91</v>
      </c>
      <c r="P15" s="13">
        <f t="shared" si="4"/>
        <v>-0.14129590696441097</v>
      </c>
      <c r="Q15" s="12">
        <f>+Data_Analysis!Q16</f>
        <v>1094.3599999999999</v>
      </c>
      <c r="R15" s="12">
        <f t="shared" si="20"/>
        <v>1264.24</v>
      </c>
      <c r="S15" s="13">
        <f t="shared" si="5"/>
        <v>-0.1343732202746315</v>
      </c>
      <c r="T15" s="12">
        <f>+Data_Analysis!T16</f>
        <v>238.87</v>
      </c>
      <c r="U15" s="12">
        <f t="shared" si="21"/>
        <v>276.58</v>
      </c>
      <c r="V15" s="13">
        <f t="shared" si="6"/>
        <v>-0.13634391496131315</v>
      </c>
      <c r="W15" s="12">
        <f>+Data_Analysis!W16</f>
        <v>255.58</v>
      </c>
      <c r="X15" s="12">
        <f t="shared" si="22"/>
        <v>297.58</v>
      </c>
      <c r="Y15" s="13">
        <f t="shared" si="7"/>
        <v>-0.14113851737347927</v>
      </c>
      <c r="Z15" s="12">
        <f>+Data_Analysis!Z16</f>
        <v>233.75</v>
      </c>
      <c r="AA15" s="12">
        <f t="shared" si="23"/>
        <v>271.39</v>
      </c>
      <c r="AB15" s="13">
        <f t="shared" si="8"/>
        <v>-0.1386933932716754</v>
      </c>
      <c r="AC15" s="12">
        <f>+Data_Analysis!AC16</f>
        <v>1084.1500000000001</v>
      </c>
      <c r="AD15" s="12">
        <f t="shared" si="24"/>
        <v>1251.92</v>
      </c>
      <c r="AE15" s="13">
        <f t="shared" si="9"/>
        <v>-0.13401016039363534</v>
      </c>
      <c r="AF15" s="12">
        <f>+Data_Analysis!AF16</f>
        <v>887.42</v>
      </c>
      <c r="AG15" s="12">
        <f t="shared" si="25"/>
        <v>1026.3399999999999</v>
      </c>
      <c r="AH15" s="13">
        <f t="shared" si="10"/>
        <v>-0.13535475573396727</v>
      </c>
      <c r="AI15" s="12">
        <f>+Data_Analysis!AI16</f>
        <v>4622.93</v>
      </c>
      <c r="AJ15" s="12">
        <f t="shared" si="26"/>
        <v>5387.19</v>
      </c>
      <c r="AK15" s="13">
        <f t="shared" si="11"/>
        <v>-0.14186616770524141</v>
      </c>
      <c r="AL15" s="12">
        <f>+Data_Analysis!AL16</f>
        <v>875.35</v>
      </c>
      <c r="AM15" s="12">
        <f t="shared" si="27"/>
        <v>984.93</v>
      </c>
      <c r="AN15" s="13">
        <f t="shared" si="12"/>
        <v>-0.11125663752754</v>
      </c>
      <c r="AO15" s="12">
        <f>+Data_Analysis!AO16</f>
        <v>878.5</v>
      </c>
      <c r="AP15" s="12">
        <f t="shared" si="28"/>
        <v>995.46</v>
      </c>
      <c r="AQ15" s="13">
        <f t="shared" si="13"/>
        <v>-0.11749342012737829</v>
      </c>
      <c r="AR15" s="12">
        <f>+Data_Analysis!AR16</f>
        <v>165.84</v>
      </c>
      <c r="AS15" s="12">
        <f t="shared" si="29"/>
        <v>186.47</v>
      </c>
      <c r="AT15" s="13">
        <f t="shared" si="14"/>
        <v>-0.11063441840510535</v>
      </c>
    </row>
    <row r="16" spans="1:46" x14ac:dyDescent="0.25">
      <c r="A16" s="97">
        <v>46115</v>
      </c>
      <c r="B16" s="12">
        <f>+Data_Analysis!B17</f>
        <v>2140.8200000000002</v>
      </c>
      <c r="C16" s="12">
        <f t="shared" si="15"/>
        <v>2483.4499999999998</v>
      </c>
      <c r="D16" s="13">
        <f t="shared" si="0"/>
        <v>-0.13796533048782933</v>
      </c>
      <c r="E16" s="12">
        <f>+Data_Analysis!E17</f>
        <v>7926.18</v>
      </c>
      <c r="F16" s="12">
        <f t="shared" si="16"/>
        <v>8971.5499999999993</v>
      </c>
      <c r="G16" s="13">
        <f t="shared" si="1"/>
        <v>-0.11652055664851657</v>
      </c>
      <c r="H16" s="12">
        <f>+Data_Analysis!H17</f>
        <v>2710.38</v>
      </c>
      <c r="I16" s="12">
        <f t="shared" si="17"/>
        <v>3112.31</v>
      </c>
      <c r="J16" s="14">
        <f t="shared" si="2"/>
        <v>-0.12914201991446861</v>
      </c>
      <c r="K16" s="12">
        <f>+Data_Analysis!K17</f>
        <v>9641.8799999999992</v>
      </c>
      <c r="L16" s="12">
        <f t="shared" si="18"/>
        <v>11617.75</v>
      </c>
      <c r="M16" s="13">
        <f t="shared" si="3"/>
        <v>-0.170073379096641</v>
      </c>
      <c r="N16" s="12">
        <f>+Data_Analysis!N17</f>
        <v>1374.17</v>
      </c>
      <c r="O16" s="12">
        <f t="shared" si="19"/>
        <v>1583.91</v>
      </c>
      <c r="P16" s="13">
        <f t="shared" si="4"/>
        <v>-0.13241913997638755</v>
      </c>
      <c r="Q16" s="12">
        <f>+Data_Analysis!Q17</f>
        <v>1117.51</v>
      </c>
      <c r="R16" s="12">
        <f t="shared" si="20"/>
        <v>1264.24</v>
      </c>
      <c r="S16" s="13">
        <f t="shared" si="5"/>
        <v>-0.11606182370435991</v>
      </c>
      <c r="T16" s="12">
        <f>+Data_Analysis!T17</f>
        <v>242.67</v>
      </c>
      <c r="U16" s="12">
        <f t="shared" si="21"/>
        <v>276.58</v>
      </c>
      <c r="V16" s="13">
        <f t="shared" si="6"/>
        <v>-0.12260467134283026</v>
      </c>
      <c r="W16" s="12">
        <f>+Data_Analysis!W17</f>
        <v>259.11</v>
      </c>
      <c r="X16" s="12">
        <f t="shared" si="22"/>
        <v>297.58</v>
      </c>
      <c r="Y16" s="13">
        <f t="shared" si="7"/>
        <v>-0.12927616103232731</v>
      </c>
      <c r="Z16" s="12">
        <f>+Data_Analysis!Z17</f>
        <v>237.85</v>
      </c>
      <c r="AA16" s="12">
        <f t="shared" si="23"/>
        <v>271.39</v>
      </c>
      <c r="AB16" s="13">
        <f t="shared" si="8"/>
        <v>-0.12358598327130699</v>
      </c>
      <c r="AC16" s="12">
        <f>+Data_Analysis!AC17</f>
        <v>1105.24</v>
      </c>
      <c r="AD16" s="12">
        <f t="shared" si="24"/>
        <v>1251.92</v>
      </c>
      <c r="AE16" s="13">
        <f t="shared" si="9"/>
        <v>-0.11716403604064163</v>
      </c>
      <c r="AF16" s="12">
        <f>+Data_Analysis!AF17</f>
        <v>903.71</v>
      </c>
      <c r="AG16" s="12">
        <f t="shared" si="25"/>
        <v>1026.3399999999999</v>
      </c>
      <c r="AH16" s="13">
        <f t="shared" si="10"/>
        <v>-0.11948282245649577</v>
      </c>
      <c r="AI16" s="12">
        <f>+Data_Analysis!AI17</f>
        <v>4656.17</v>
      </c>
      <c r="AJ16" s="12">
        <f t="shared" si="26"/>
        <v>5387.19</v>
      </c>
      <c r="AK16" s="13">
        <f t="shared" si="11"/>
        <v>-0.13569597508162878</v>
      </c>
      <c r="AL16" s="12">
        <f>+Data_Analysis!AL17</f>
        <v>889.81</v>
      </c>
      <c r="AM16" s="12">
        <f t="shared" si="27"/>
        <v>984.93</v>
      </c>
      <c r="AN16" s="13">
        <f t="shared" si="12"/>
        <v>-9.6575391144548384E-2</v>
      </c>
      <c r="AO16" s="12">
        <f>+Data_Analysis!AO17</f>
        <v>892.66</v>
      </c>
      <c r="AP16" s="12">
        <f t="shared" si="28"/>
        <v>995.46</v>
      </c>
      <c r="AQ16" s="13">
        <f t="shared" si="13"/>
        <v>-0.10326884053603369</v>
      </c>
      <c r="AR16" s="12">
        <f>+Data_Analysis!AR17</f>
        <v>168.76</v>
      </c>
      <c r="AS16" s="12">
        <f t="shared" si="29"/>
        <v>186.47</v>
      </c>
      <c r="AT16" s="13">
        <f t="shared" si="14"/>
        <v>-9.4975063012817107E-2</v>
      </c>
    </row>
    <row r="17" spans="1:46" x14ac:dyDescent="0.25">
      <c r="A17" s="97">
        <v>46122</v>
      </c>
      <c r="B17" s="12">
        <f>+Data_Analysis!B18</f>
        <v>2224.31</v>
      </c>
      <c r="C17" s="12">
        <f t="shared" si="15"/>
        <v>2483.4499999999998</v>
      </c>
      <c r="D17" s="13">
        <f t="shared" si="0"/>
        <v>-0.10434677565483497</v>
      </c>
      <c r="E17" s="12">
        <f>+Data_Analysis!E18</f>
        <v>8378.9599999999991</v>
      </c>
      <c r="F17" s="12">
        <f t="shared" si="16"/>
        <v>8971.5499999999993</v>
      </c>
      <c r="G17" s="13">
        <f t="shared" si="1"/>
        <v>-6.6052131460004104E-2</v>
      </c>
      <c r="H17" s="12">
        <f>+Data_Analysis!H18</f>
        <v>2847.52</v>
      </c>
      <c r="I17" s="12">
        <f t="shared" si="17"/>
        <v>3112.31</v>
      </c>
      <c r="J17" s="14">
        <f t="shared" si="2"/>
        <v>-8.50782859033965E-2</v>
      </c>
      <c r="K17" s="12">
        <f>+Data_Analysis!K18</f>
        <v>10091.65</v>
      </c>
      <c r="L17" s="12">
        <f t="shared" si="18"/>
        <v>11617.75</v>
      </c>
      <c r="M17" s="13">
        <f t="shared" si="3"/>
        <v>-0.13135934238557379</v>
      </c>
      <c r="N17" s="12">
        <f>+Data_Analysis!N18</f>
        <v>1432.61</v>
      </c>
      <c r="O17" s="12">
        <f t="shared" si="19"/>
        <v>1583.91</v>
      </c>
      <c r="P17" s="13">
        <f t="shared" si="4"/>
        <v>-9.5523104216780119E-2</v>
      </c>
      <c r="Q17" s="12">
        <f>+Data_Analysis!Q18</f>
        <v>1185.29</v>
      </c>
      <c r="R17" s="12">
        <f t="shared" si="20"/>
        <v>1264.24</v>
      </c>
      <c r="S17" s="13">
        <f t="shared" si="5"/>
        <v>-6.2448585711573745E-2</v>
      </c>
      <c r="T17" s="12">
        <f>+Data_Analysis!T18</f>
        <v>254.78</v>
      </c>
      <c r="U17" s="12">
        <f t="shared" si="21"/>
        <v>276.58</v>
      </c>
      <c r="V17" s="13">
        <f t="shared" si="6"/>
        <v>-7.8819871284980803E-2</v>
      </c>
      <c r="W17" s="12">
        <f>+Data_Analysis!W18</f>
        <v>270.99</v>
      </c>
      <c r="X17" s="12">
        <f t="shared" si="22"/>
        <v>297.58</v>
      </c>
      <c r="Y17" s="13">
        <f t="shared" si="7"/>
        <v>-8.9354123260971807E-2</v>
      </c>
      <c r="Z17" s="12">
        <f>+Data_Analysis!Z18</f>
        <v>251.51</v>
      </c>
      <c r="AA17" s="12">
        <f t="shared" si="23"/>
        <v>271.39</v>
      </c>
      <c r="AB17" s="13">
        <f t="shared" si="8"/>
        <v>-7.3252514831054882E-2</v>
      </c>
      <c r="AC17" s="12">
        <f>+Data_Analysis!AC18</f>
        <v>1167.8900000000001</v>
      </c>
      <c r="AD17" s="12">
        <f t="shared" si="24"/>
        <v>1251.92</v>
      </c>
      <c r="AE17" s="13">
        <f t="shared" si="9"/>
        <v>-6.7120902294076301E-2</v>
      </c>
      <c r="AF17" s="12">
        <f>+Data_Analysis!AF18</f>
        <v>955.47</v>
      </c>
      <c r="AG17" s="12">
        <f t="shared" si="25"/>
        <v>1026.3399999999999</v>
      </c>
      <c r="AH17" s="13">
        <f t="shared" si="10"/>
        <v>-6.905119161291573E-2</v>
      </c>
      <c r="AI17" s="12">
        <f>+Data_Analysis!AI18</f>
        <v>4851.49</v>
      </c>
      <c r="AJ17" s="12">
        <f t="shared" si="26"/>
        <v>5387.19</v>
      </c>
      <c r="AK17" s="13">
        <f t="shared" si="11"/>
        <v>-9.9439596524347529E-2</v>
      </c>
      <c r="AL17" s="12">
        <f>+Data_Analysis!AL18</f>
        <v>932.77</v>
      </c>
      <c r="AM17" s="12">
        <f t="shared" si="27"/>
        <v>984.93</v>
      </c>
      <c r="AN17" s="13">
        <f t="shared" si="12"/>
        <v>-5.2958078239062623E-2</v>
      </c>
      <c r="AO17" s="12">
        <f>+Data_Analysis!AO18</f>
        <v>934.21</v>
      </c>
      <c r="AP17" s="12">
        <f t="shared" si="28"/>
        <v>995.46</v>
      </c>
      <c r="AQ17" s="13">
        <f t="shared" si="13"/>
        <v>-6.1529343218210686E-2</v>
      </c>
      <c r="AR17" s="12">
        <f>+Data_Analysis!AR18</f>
        <v>177.76</v>
      </c>
      <c r="AS17" s="12">
        <f t="shared" si="29"/>
        <v>186.47</v>
      </c>
      <c r="AT17" s="13">
        <f t="shared" si="14"/>
        <v>-4.6709926529736712E-2</v>
      </c>
    </row>
    <row r="18" spans="1:46" x14ac:dyDescent="0.25">
      <c r="A18" s="97">
        <v>46129</v>
      </c>
      <c r="B18" s="12">
        <f>+Data_Analysis!B19</f>
        <v>2321.14</v>
      </c>
      <c r="C18" s="12">
        <f t="shared" si="15"/>
        <v>2483.4499999999998</v>
      </c>
      <c r="D18" s="13">
        <f t="shared" si="0"/>
        <v>-6.5356661096458546E-2</v>
      </c>
      <c r="E18" s="12">
        <f>+Data_Analysis!E19</f>
        <v>8799.6299999999992</v>
      </c>
      <c r="F18" s="12">
        <f t="shared" si="16"/>
        <v>8971.5499999999993</v>
      </c>
      <c r="G18" s="13">
        <f t="shared" si="1"/>
        <v>-1.9162797955760147E-2</v>
      </c>
      <c r="H18" s="12">
        <f>+Data_Analysis!H19</f>
        <v>2981.78</v>
      </c>
      <c r="I18" s="12">
        <f t="shared" si="17"/>
        <v>3112.31</v>
      </c>
      <c r="J18" s="14">
        <f t="shared" si="2"/>
        <v>-4.1939909584842061E-2</v>
      </c>
      <c r="K18" s="12">
        <f>+Data_Analysis!K19</f>
        <v>10516.17</v>
      </c>
      <c r="L18" s="12">
        <f t="shared" si="18"/>
        <v>11617.75</v>
      </c>
      <c r="M18" s="13">
        <f t="shared" si="3"/>
        <v>-9.4818704138064591E-2</v>
      </c>
      <c r="N18" s="12">
        <f>+Data_Analysis!N19</f>
        <v>1483.89</v>
      </c>
      <c r="O18" s="12">
        <f t="shared" si="19"/>
        <v>1583.91</v>
      </c>
      <c r="P18" s="13">
        <f t="shared" si="4"/>
        <v>-6.3147527321628094E-2</v>
      </c>
      <c r="Q18" s="12">
        <f>+Data_Analysis!Q19</f>
        <v>1240.6099999999999</v>
      </c>
      <c r="R18" s="12">
        <f t="shared" si="20"/>
        <v>1264.24</v>
      </c>
      <c r="S18" s="13">
        <f t="shared" si="5"/>
        <v>-1.8691071315573127E-2</v>
      </c>
      <c r="T18" s="12">
        <f>+Data_Analysis!T19</f>
        <v>266.04000000000002</v>
      </c>
      <c r="U18" s="12">
        <f t="shared" si="21"/>
        <v>276.58</v>
      </c>
      <c r="V18" s="13">
        <f t="shared" si="6"/>
        <v>-3.8108323089160345E-2</v>
      </c>
      <c r="W18" s="12">
        <f>+Data_Analysis!W19</f>
        <v>282.24</v>
      </c>
      <c r="X18" s="12">
        <f t="shared" si="22"/>
        <v>297.58</v>
      </c>
      <c r="Y18" s="13">
        <f t="shared" si="7"/>
        <v>-5.1549163250218299E-2</v>
      </c>
      <c r="Z18" s="12">
        <f>+Data_Analysis!Z19</f>
        <v>263.56</v>
      </c>
      <c r="AA18" s="12">
        <f t="shared" si="23"/>
        <v>271.39</v>
      </c>
      <c r="AB18" s="13">
        <f t="shared" si="8"/>
        <v>-2.8851468366557276E-2</v>
      </c>
      <c r="AC18" s="12">
        <f>+Data_Analysis!AC19</f>
        <v>1217.77</v>
      </c>
      <c r="AD18" s="12">
        <f t="shared" si="24"/>
        <v>1251.92</v>
      </c>
      <c r="AE18" s="13">
        <f t="shared" si="9"/>
        <v>-2.7278100837114239E-2</v>
      </c>
      <c r="AF18" s="12">
        <f>+Data_Analysis!AF19</f>
        <v>1002.67</v>
      </c>
      <c r="AG18" s="12">
        <f t="shared" si="25"/>
        <v>1026.3399999999999</v>
      </c>
      <c r="AH18" s="13">
        <f t="shared" si="10"/>
        <v>-2.3062532883839637E-2</v>
      </c>
      <c r="AI18" s="12">
        <f>+Data_Analysis!AI19</f>
        <v>5078.29</v>
      </c>
      <c r="AJ18" s="12">
        <f t="shared" si="26"/>
        <v>5387.19</v>
      </c>
      <c r="AK18" s="13">
        <f t="shared" si="11"/>
        <v>-5.7339726276593117E-2</v>
      </c>
      <c r="AL18" s="12">
        <f>+Data_Analysis!AL19</f>
        <v>970.6</v>
      </c>
      <c r="AM18" s="12">
        <f t="shared" si="27"/>
        <v>984.93</v>
      </c>
      <c r="AN18" s="13">
        <f t="shared" si="12"/>
        <v>-1.4549257307625796E-2</v>
      </c>
      <c r="AO18" s="12">
        <f>+Data_Analysis!AO19</f>
        <v>969.09</v>
      </c>
      <c r="AP18" s="12">
        <f t="shared" si="28"/>
        <v>995.46</v>
      </c>
      <c r="AQ18" s="13">
        <f t="shared" si="13"/>
        <v>-2.6490265806762725E-2</v>
      </c>
      <c r="AR18" s="12">
        <f>+Data_Analysis!AR19</f>
        <v>186.67</v>
      </c>
      <c r="AS18" s="12">
        <f t="shared" si="29"/>
        <v>186.67</v>
      </c>
      <c r="AT18" s="13">
        <f t="shared" si="14"/>
        <v>0</v>
      </c>
    </row>
    <row r="19" spans="1:46" x14ac:dyDescent="0.25">
      <c r="A19" s="97">
        <v>46136</v>
      </c>
      <c r="B19" s="12">
        <f>+Data_Analysis!B20</f>
        <v>2247.0300000000002</v>
      </c>
      <c r="C19" s="12">
        <f t="shared" si="15"/>
        <v>2483.4499999999998</v>
      </c>
      <c r="D19" s="13">
        <f t="shared" si="0"/>
        <v>-9.5198212164529061E-2</v>
      </c>
      <c r="E19" s="12">
        <f>+Data_Analysis!E20</f>
        <v>8585.5</v>
      </c>
      <c r="F19" s="12">
        <f t="shared" si="16"/>
        <v>8971.5499999999993</v>
      </c>
      <c r="G19" s="13">
        <f t="shared" si="1"/>
        <v>-4.3030468536651933E-2</v>
      </c>
      <c r="H19" s="12">
        <f>+Data_Analysis!H20</f>
        <v>2899.7</v>
      </c>
      <c r="I19" s="12">
        <f t="shared" si="17"/>
        <v>3112.31</v>
      </c>
      <c r="J19" s="14">
        <f t="shared" si="2"/>
        <v>-6.8312603821598761E-2</v>
      </c>
      <c r="K19" s="12">
        <f>+Data_Analysis!K20</f>
        <v>10215.719999999999</v>
      </c>
      <c r="L19" s="12">
        <f t="shared" si="18"/>
        <v>11617.75</v>
      </c>
      <c r="M19" s="13">
        <f t="shared" si="3"/>
        <v>-0.12067999397473694</v>
      </c>
      <c r="N19" s="12">
        <f>+Data_Analysis!N20</f>
        <v>1447.99</v>
      </c>
      <c r="O19" s="12">
        <f t="shared" si="19"/>
        <v>1583.91</v>
      </c>
      <c r="P19" s="13">
        <f t="shared" si="4"/>
        <v>-8.5812956544248142E-2</v>
      </c>
      <c r="Q19" s="12">
        <f>+Data_Analysis!Q20</f>
        <v>1208.94</v>
      </c>
      <c r="R19" s="12">
        <f t="shared" si="20"/>
        <v>1264.24</v>
      </c>
      <c r="S19" s="13">
        <f t="shared" si="5"/>
        <v>-4.374169461494648E-2</v>
      </c>
      <c r="T19" s="12">
        <f>+Data_Analysis!T20</f>
        <v>259.27</v>
      </c>
      <c r="U19" s="12">
        <f t="shared" si="21"/>
        <v>276.58</v>
      </c>
      <c r="V19" s="13">
        <f t="shared" si="6"/>
        <v>-6.2585870272615529E-2</v>
      </c>
      <c r="W19" s="12">
        <f>+Data_Analysis!W20</f>
        <v>274.54000000000002</v>
      </c>
      <c r="X19" s="12">
        <f t="shared" si="22"/>
        <v>297.58</v>
      </c>
      <c r="Y19" s="13">
        <f t="shared" si="7"/>
        <v>-7.7424558102022867E-2</v>
      </c>
      <c r="Z19" s="12">
        <f>+Data_Analysis!Z20</f>
        <v>257.13</v>
      </c>
      <c r="AA19" s="12">
        <f t="shared" si="23"/>
        <v>271.39</v>
      </c>
      <c r="AB19" s="13">
        <f t="shared" si="8"/>
        <v>-5.2544308928110794E-2</v>
      </c>
      <c r="AC19" s="12">
        <f>+Data_Analysis!AC20</f>
        <v>1186.8800000000001</v>
      </c>
      <c r="AD19" s="12">
        <f t="shared" si="24"/>
        <v>1251.92</v>
      </c>
      <c r="AE19" s="13">
        <f t="shared" si="9"/>
        <v>-5.1952201418621002E-2</v>
      </c>
      <c r="AF19" s="12">
        <f>+Data_Analysis!AF20</f>
        <v>979.5</v>
      </c>
      <c r="AG19" s="12">
        <f t="shared" si="25"/>
        <v>1026.3399999999999</v>
      </c>
      <c r="AH19" s="13">
        <f t="shared" si="10"/>
        <v>-4.5637897772667801E-2</v>
      </c>
      <c r="AI19" s="12">
        <f>+Data_Analysis!AI20</f>
        <v>4893.3999999999996</v>
      </c>
      <c r="AJ19" s="12">
        <f t="shared" si="26"/>
        <v>5387.19</v>
      </c>
      <c r="AK19" s="13">
        <f t="shared" si="11"/>
        <v>-9.1660030553962324E-2</v>
      </c>
      <c r="AL19" s="12">
        <f>+Data_Analysis!AL20</f>
        <v>945.34</v>
      </c>
      <c r="AM19" s="12">
        <f t="shared" si="27"/>
        <v>984.93</v>
      </c>
      <c r="AN19" s="13">
        <f t="shared" si="12"/>
        <v>-4.0195749951773108E-2</v>
      </c>
      <c r="AO19" s="12">
        <f>+Data_Analysis!AO20</f>
        <v>940.87</v>
      </c>
      <c r="AP19" s="12">
        <f t="shared" si="28"/>
        <v>995.46</v>
      </c>
      <c r="AQ19" s="13">
        <f t="shared" si="13"/>
        <v>-5.4838968918891839E-2</v>
      </c>
      <c r="AR19" s="12">
        <f>+Data_Analysis!AR20</f>
        <v>182.06</v>
      </c>
      <c r="AS19" s="12">
        <f t="shared" si="29"/>
        <v>186.67</v>
      </c>
      <c r="AT19" s="13">
        <f t="shared" si="14"/>
        <v>-2.469598757165048E-2</v>
      </c>
    </row>
    <row r="20" spans="1:46" x14ac:dyDescent="0.25">
      <c r="A20" s="97">
        <v>46146</v>
      </c>
      <c r="B20" s="12">
        <f>+Data_Analysis!B21</f>
        <v>2227.1</v>
      </c>
      <c r="C20" s="12">
        <f t="shared" si="15"/>
        <v>2483.4499999999998</v>
      </c>
      <c r="D20" s="13">
        <f t="shared" si="0"/>
        <v>-0.10322333850087573</v>
      </c>
      <c r="E20" s="12">
        <f>+Data_Analysis!E21</f>
        <v>8483.86</v>
      </c>
      <c r="F20" s="12">
        <f t="shared" si="16"/>
        <v>8971.5499999999993</v>
      </c>
      <c r="G20" s="13">
        <f t="shared" si="1"/>
        <v>-5.4359614559356895E-2</v>
      </c>
      <c r="H20" s="12">
        <f>+Data_Analysis!H21</f>
        <v>2868.97</v>
      </c>
      <c r="I20" s="12">
        <f t="shared" si="17"/>
        <v>3112.31</v>
      </c>
      <c r="J20" s="14">
        <f t="shared" si="2"/>
        <v>-7.8186298922665154E-2</v>
      </c>
      <c r="K20" s="12">
        <f>+Data_Analysis!K21</f>
        <v>10101.74</v>
      </c>
      <c r="L20" s="12">
        <f t="shared" si="18"/>
        <v>11617.75</v>
      </c>
      <c r="M20" s="13">
        <f t="shared" si="3"/>
        <v>-0.13049084375201736</v>
      </c>
      <c r="N20" s="12">
        <f>+Data_Analysis!N21</f>
        <v>1436.32</v>
      </c>
      <c r="O20" s="12">
        <f t="shared" si="19"/>
        <v>1583.91</v>
      </c>
      <c r="P20" s="13">
        <f t="shared" si="4"/>
        <v>-9.3180799414108173E-2</v>
      </c>
      <c r="Q20" s="12">
        <f>+Data_Analysis!Q21</f>
        <v>1197.3800000000001</v>
      </c>
      <c r="R20" s="12">
        <f t="shared" si="20"/>
        <v>1264.24</v>
      </c>
      <c r="S20" s="13">
        <f t="shared" si="5"/>
        <v>-5.2885528064291476E-2</v>
      </c>
      <c r="T20" s="12">
        <f>+Data_Analysis!T21</f>
        <v>256.79000000000002</v>
      </c>
      <c r="U20" s="12">
        <f t="shared" si="21"/>
        <v>276.58</v>
      </c>
      <c r="V20" s="13">
        <f t="shared" si="6"/>
        <v>-7.1552534528888434E-2</v>
      </c>
      <c r="W20" s="12">
        <f>+Data_Analysis!W21</f>
        <v>272.08</v>
      </c>
      <c r="X20" s="12">
        <f t="shared" si="22"/>
        <v>297.58</v>
      </c>
      <c r="Y20" s="13">
        <f t="shared" si="7"/>
        <v>-8.5691242691041114E-2</v>
      </c>
      <c r="Z20" s="12">
        <f>+Data_Analysis!Z21</f>
        <v>254.68</v>
      </c>
      <c r="AA20" s="12">
        <f t="shared" si="23"/>
        <v>271.39</v>
      </c>
      <c r="AB20" s="13">
        <f t="shared" si="8"/>
        <v>-6.157190758686748E-2</v>
      </c>
      <c r="AC20" s="12">
        <f>+Data_Analysis!AC21</f>
        <v>1179.45</v>
      </c>
      <c r="AD20" s="12">
        <f t="shared" si="24"/>
        <v>1251.92</v>
      </c>
      <c r="AE20" s="13">
        <f t="shared" si="9"/>
        <v>-5.7887085436769126E-2</v>
      </c>
      <c r="AF20" s="12">
        <f>+Data_Analysis!AF21</f>
        <v>969.03</v>
      </c>
      <c r="AG20" s="12">
        <f t="shared" si="25"/>
        <v>1026.3399999999999</v>
      </c>
      <c r="AH20" s="13">
        <f t="shared" si="10"/>
        <v>-5.5839195588206603E-2</v>
      </c>
      <c r="AI20" s="12">
        <f>+Data_Analysis!AI21</f>
        <v>4836.09</v>
      </c>
      <c r="AJ20" s="12">
        <f t="shared" si="26"/>
        <v>5387.19</v>
      </c>
      <c r="AK20" s="13">
        <f t="shared" si="11"/>
        <v>-0.10229822968931845</v>
      </c>
      <c r="AL20" s="12">
        <f>+Data_Analysis!AL21</f>
        <v>938.55</v>
      </c>
      <c r="AM20" s="12">
        <f t="shared" si="27"/>
        <v>984.93</v>
      </c>
      <c r="AN20" s="13">
        <f t="shared" si="12"/>
        <v>-4.7089640888184903E-2</v>
      </c>
      <c r="AO20" s="12">
        <f>+Data_Analysis!AO21</f>
        <v>935.41</v>
      </c>
      <c r="AP20" s="12">
        <f t="shared" si="28"/>
        <v>995.46</v>
      </c>
      <c r="AQ20" s="13">
        <f t="shared" si="13"/>
        <v>-6.0323870371486565E-2</v>
      </c>
      <c r="AR20" s="12">
        <f>+Data_Analysis!AR21</f>
        <v>180.5</v>
      </c>
      <c r="AS20" s="12">
        <f t="shared" si="29"/>
        <v>186.67</v>
      </c>
      <c r="AT20" s="13">
        <f t="shared" si="14"/>
        <v>-3.3052981196764253E-2</v>
      </c>
    </row>
    <row r="21" spans="1:46" x14ac:dyDescent="0.25">
      <c r="A21" s="97">
        <v>46150</v>
      </c>
      <c r="B21" s="12">
        <f>+Data_Analysis!B22</f>
        <v>2279.13</v>
      </c>
      <c r="C21" s="12">
        <f t="shared" si="15"/>
        <v>2483.4499999999998</v>
      </c>
      <c r="D21" s="13">
        <f t="shared" si="0"/>
        <v>-8.2272644909299419E-2</v>
      </c>
      <c r="E21" s="12">
        <f>+Data_Analysis!E22</f>
        <v>8619.27</v>
      </c>
      <c r="F21" s="12">
        <f t="shared" si="16"/>
        <v>8971.5499999999993</v>
      </c>
      <c r="G21" s="13">
        <f t="shared" si="1"/>
        <v>-3.9266347509627542E-2</v>
      </c>
      <c r="H21" s="12">
        <f>+Data_Analysis!H22</f>
        <v>2914.18</v>
      </c>
      <c r="I21" s="12">
        <f t="shared" si="17"/>
        <v>3112.31</v>
      </c>
      <c r="J21" s="14">
        <f t="shared" si="2"/>
        <v>-6.3660110978662199E-2</v>
      </c>
      <c r="K21" s="12">
        <f>+Data_Analysis!K22</f>
        <v>10287.18</v>
      </c>
      <c r="L21" s="12">
        <f t="shared" si="18"/>
        <v>11617.75</v>
      </c>
      <c r="M21" s="13">
        <f t="shared" si="3"/>
        <v>-0.11452906113490136</v>
      </c>
      <c r="N21" s="12">
        <f>+Data_Analysis!N22</f>
        <v>1456.64</v>
      </c>
      <c r="O21" s="12">
        <f t="shared" si="19"/>
        <v>1583.91</v>
      </c>
      <c r="P21" s="13">
        <f t="shared" si="4"/>
        <v>-8.0351787664703189E-2</v>
      </c>
      <c r="Q21" s="12">
        <f>+Data_Analysis!Q22</f>
        <v>1217.96</v>
      </c>
      <c r="R21" s="12">
        <f t="shared" si="20"/>
        <v>1264.24</v>
      </c>
      <c r="S21" s="13">
        <f t="shared" si="5"/>
        <v>-3.6606973359488704E-2</v>
      </c>
      <c r="T21" s="12">
        <f>+Data_Analysis!T22</f>
        <v>260.68</v>
      </c>
      <c r="U21" s="12">
        <f t="shared" si="21"/>
        <v>276.58</v>
      </c>
      <c r="V21" s="13">
        <f t="shared" si="6"/>
        <v>-5.7487887772073143E-2</v>
      </c>
      <c r="W21" s="12">
        <f>+Data_Analysis!W22</f>
        <v>275.62</v>
      </c>
      <c r="X21" s="12">
        <f t="shared" si="22"/>
        <v>297.58</v>
      </c>
      <c r="Y21" s="13">
        <f t="shared" si="7"/>
        <v>-7.3795281940990609E-2</v>
      </c>
      <c r="Z21" s="12">
        <f>+Data_Analysis!Z22</f>
        <v>258.85000000000002</v>
      </c>
      <c r="AA21" s="12">
        <f t="shared" si="23"/>
        <v>271.39</v>
      </c>
      <c r="AB21" s="13">
        <f t="shared" si="8"/>
        <v>-4.6206566196248855E-2</v>
      </c>
      <c r="AC21" s="12">
        <f>+Data_Analysis!AC22</f>
        <v>1198.42</v>
      </c>
      <c r="AD21" s="12">
        <f t="shared" si="24"/>
        <v>1251.92</v>
      </c>
      <c r="AE21" s="13">
        <f t="shared" si="9"/>
        <v>-4.2734360023004681E-2</v>
      </c>
      <c r="AF21" s="12">
        <f>+Data_Analysis!AF22</f>
        <v>986.21</v>
      </c>
      <c r="AG21" s="12">
        <f t="shared" si="25"/>
        <v>1026.3399999999999</v>
      </c>
      <c r="AH21" s="13">
        <f t="shared" si="10"/>
        <v>-3.9100103279614884E-2</v>
      </c>
      <c r="AI21" s="12">
        <f>+Data_Analysis!AI22</f>
        <v>4914.8999999999996</v>
      </c>
      <c r="AJ21" s="12">
        <f t="shared" si="26"/>
        <v>5387.19</v>
      </c>
      <c r="AK21" s="13">
        <f t="shared" si="11"/>
        <v>-8.7669081654814462E-2</v>
      </c>
      <c r="AL21" s="12">
        <f>+Data_Analysis!AL22</f>
        <v>950.98</v>
      </c>
      <c r="AM21" s="12">
        <f t="shared" si="27"/>
        <v>984.93</v>
      </c>
      <c r="AN21" s="13">
        <f t="shared" si="12"/>
        <v>-3.4469454682058531E-2</v>
      </c>
      <c r="AO21" s="12">
        <f>+Data_Analysis!AO22</f>
        <v>944.35</v>
      </c>
      <c r="AP21" s="12">
        <f t="shared" si="28"/>
        <v>995.46</v>
      </c>
      <c r="AQ21" s="13">
        <f t="shared" si="13"/>
        <v>-5.1343097663391846E-2</v>
      </c>
      <c r="AR21" s="12">
        <f>+Data_Analysis!AR22</f>
        <v>183.24</v>
      </c>
      <c r="AS21" s="12">
        <f t="shared" si="29"/>
        <v>186.67</v>
      </c>
      <c r="AT21" s="13">
        <f t="shared" si="14"/>
        <v>-1.8374671880859172E-2</v>
      </c>
    </row>
    <row r="22" spans="1:46" x14ac:dyDescent="0.25">
      <c r="A22" s="97">
        <v>46157</v>
      </c>
      <c r="B22" s="12">
        <f>+Data_Analysis!B23</f>
        <v>2207.1</v>
      </c>
      <c r="C22" s="12">
        <f t="shared" si="15"/>
        <v>2483.4499999999998</v>
      </c>
      <c r="D22" s="13">
        <f t="shared" si="0"/>
        <v>-0.111276651432483</v>
      </c>
      <c r="E22" s="12">
        <f>+Data_Analysis!E23</f>
        <v>8344.84</v>
      </c>
      <c r="F22" s="12">
        <f t="shared" si="16"/>
        <v>8971.5499999999993</v>
      </c>
      <c r="G22" s="13">
        <f t="shared" si="1"/>
        <v>-6.9855264697850306E-2</v>
      </c>
      <c r="H22" s="12">
        <f>+Data_Analysis!H23</f>
        <v>2822.91</v>
      </c>
      <c r="I22" s="12">
        <f t="shared" si="17"/>
        <v>3112.31</v>
      </c>
      <c r="J22" s="14">
        <f t="shared" si="2"/>
        <v>-9.2985595907862706E-2</v>
      </c>
      <c r="K22" s="12">
        <f>+Data_Analysis!K23</f>
        <v>9913.1</v>
      </c>
      <c r="L22" s="12">
        <f t="shared" si="18"/>
        <v>11617.75</v>
      </c>
      <c r="M22" s="13">
        <f t="shared" si="3"/>
        <v>-0.14672806696649521</v>
      </c>
      <c r="N22" s="12">
        <f>+Data_Analysis!N23</f>
        <v>1406</v>
      </c>
      <c r="O22" s="12">
        <f t="shared" si="19"/>
        <v>1583.91</v>
      </c>
      <c r="P22" s="13">
        <f t="shared" si="4"/>
        <v>-0.11232330119766909</v>
      </c>
      <c r="Q22" s="12">
        <f>+Data_Analysis!Q23</f>
        <v>1177.33</v>
      </c>
      <c r="R22" s="12">
        <f t="shared" si="20"/>
        <v>1264.24</v>
      </c>
      <c r="S22" s="13">
        <f t="shared" si="5"/>
        <v>-6.8744858571157419E-2</v>
      </c>
      <c r="T22" s="12">
        <f>+Data_Analysis!T23</f>
        <v>256.79000000000002</v>
      </c>
      <c r="U22" s="12">
        <f t="shared" si="21"/>
        <v>276.58</v>
      </c>
      <c r="V22" s="13">
        <f t="shared" si="6"/>
        <v>-7.1552534528888434E-2</v>
      </c>
      <c r="W22" s="12">
        <f>+Data_Analysis!W23</f>
        <v>266.39999999999998</v>
      </c>
      <c r="X22" s="12">
        <f t="shared" si="22"/>
        <v>297.58</v>
      </c>
      <c r="Y22" s="13">
        <f t="shared" si="7"/>
        <v>-0.10477854694535926</v>
      </c>
      <c r="Z22" s="12">
        <f>+Data_Analysis!Z23</f>
        <v>251.37</v>
      </c>
      <c r="AA22" s="12">
        <f t="shared" si="23"/>
        <v>271.39</v>
      </c>
      <c r="AB22" s="13">
        <f t="shared" si="8"/>
        <v>-7.3768377611555302E-2</v>
      </c>
      <c r="AC22" s="12">
        <f>+Data_Analysis!AC23</f>
        <v>1162.44</v>
      </c>
      <c r="AD22" s="12">
        <f t="shared" si="24"/>
        <v>1251.92</v>
      </c>
      <c r="AE22" s="13">
        <f t="shared" si="9"/>
        <v>-7.1474215604831026E-2</v>
      </c>
      <c r="AF22" s="12">
        <f>+Data_Analysis!AF23</f>
        <v>955.33</v>
      </c>
      <c r="AG22" s="12">
        <f t="shared" si="25"/>
        <v>1026.3399999999999</v>
      </c>
      <c r="AH22" s="13">
        <f t="shared" si="10"/>
        <v>-6.9187598651518911E-2</v>
      </c>
      <c r="AI22" s="12">
        <f>+Data_Analysis!AI23</f>
        <v>4746.0200000000004</v>
      </c>
      <c r="AJ22" s="12">
        <f t="shared" si="26"/>
        <v>5387.19</v>
      </c>
      <c r="AK22" s="13">
        <f t="shared" si="11"/>
        <v>-0.11901752119379472</v>
      </c>
      <c r="AL22" s="12">
        <f>+Data_Analysis!AL23</f>
        <v>926.58</v>
      </c>
      <c r="AM22" s="12">
        <f t="shared" si="27"/>
        <v>984.93</v>
      </c>
      <c r="AN22" s="13">
        <f t="shared" si="12"/>
        <v>-5.9242788827632342E-2</v>
      </c>
      <c r="AO22" s="12">
        <f>+Data_Analysis!AO23</f>
        <v>918.39</v>
      </c>
      <c r="AP22" s="12">
        <f t="shared" si="28"/>
        <v>995.46</v>
      </c>
      <c r="AQ22" s="13">
        <f t="shared" si="13"/>
        <v>-7.7421493580857148E-2</v>
      </c>
      <c r="AR22" s="12">
        <f>+Data_Analysis!AR23</f>
        <v>178.18</v>
      </c>
      <c r="AS22" s="12">
        <f t="shared" si="29"/>
        <v>186.67</v>
      </c>
      <c r="AT22" s="13">
        <f t="shared" si="14"/>
        <v>-4.5481330690523292E-2</v>
      </c>
    </row>
    <row r="23" spans="1:46" x14ac:dyDescent="0.25">
      <c r="A23" s="97">
        <v>46164</v>
      </c>
      <c r="B23" s="12">
        <f>+Data_Analysis!B24</f>
        <v>2183.36</v>
      </c>
      <c r="C23" s="12">
        <f t="shared" si="15"/>
        <v>2483.4499999999998</v>
      </c>
      <c r="D23" s="13">
        <f t="shared" si="0"/>
        <v>-0.12083593388230074</v>
      </c>
      <c r="E23" s="12">
        <f>+Data_Analysis!E24</f>
        <v>8309.33</v>
      </c>
      <c r="F23" s="12">
        <f t="shared" si="16"/>
        <v>8971.5499999999993</v>
      </c>
      <c r="G23" s="13">
        <f t="shared" si="1"/>
        <v>-7.3813332144389676E-2</v>
      </c>
      <c r="H23" s="12">
        <f>+Data_Analysis!H24</f>
        <v>2816.39</v>
      </c>
      <c r="I23" s="12">
        <f t="shared" si="17"/>
        <v>3112.31</v>
      </c>
      <c r="J23" s="14">
        <f t="shared" si="2"/>
        <v>-9.5080502906201514E-2</v>
      </c>
      <c r="K23" s="12">
        <f>+Data_Analysis!K24</f>
        <v>9763.58</v>
      </c>
      <c r="L23" s="12">
        <f t="shared" si="18"/>
        <v>11617.75</v>
      </c>
      <c r="M23" s="13">
        <f t="shared" si="3"/>
        <v>-0.15959802887822516</v>
      </c>
      <c r="N23" s="12">
        <f>+Data_Analysis!N24</f>
        <v>1402.25</v>
      </c>
      <c r="O23" s="12">
        <f t="shared" si="19"/>
        <v>1583.91</v>
      </c>
      <c r="P23" s="13">
        <f t="shared" si="4"/>
        <v>-0.11469085996047756</v>
      </c>
      <c r="Q23" s="12">
        <f>+Data_Analysis!Q24</f>
        <v>1167.0999999999999</v>
      </c>
      <c r="R23" s="12">
        <f t="shared" si="20"/>
        <v>1264.24</v>
      </c>
      <c r="S23" s="13">
        <f t="shared" si="5"/>
        <v>-7.6836676580396168E-2</v>
      </c>
      <c r="T23" s="12">
        <f>+Data_Analysis!T24</f>
        <v>251.79</v>
      </c>
      <c r="U23" s="12">
        <f t="shared" si="21"/>
        <v>276.58</v>
      </c>
      <c r="V23" s="13">
        <f t="shared" si="6"/>
        <v>-8.9630486658471287E-2</v>
      </c>
      <c r="W23" s="12">
        <f>+Data_Analysis!W24</f>
        <v>264.89999999999998</v>
      </c>
      <c r="X23" s="12">
        <f t="shared" si="22"/>
        <v>297.58</v>
      </c>
      <c r="Y23" s="13">
        <f t="shared" si="7"/>
        <v>-0.10981920828012637</v>
      </c>
      <c r="Z23" s="12">
        <f>+Data_Analysis!Z24</f>
        <v>250.44</v>
      </c>
      <c r="AA23" s="12">
        <f t="shared" si="23"/>
        <v>271.39</v>
      </c>
      <c r="AB23" s="13">
        <f t="shared" si="8"/>
        <v>-7.7195180367736427E-2</v>
      </c>
      <c r="AC23" s="12">
        <f>+Data_Analysis!AC24</f>
        <v>1155.07</v>
      </c>
      <c r="AD23" s="12">
        <f t="shared" si="24"/>
        <v>1251.92</v>
      </c>
      <c r="AE23" s="13">
        <f t="shared" si="9"/>
        <v>-7.73611732379067E-2</v>
      </c>
      <c r="AF23" s="12">
        <f>+Data_Analysis!AF24</f>
        <v>949.99</v>
      </c>
      <c r="AG23" s="12">
        <f t="shared" si="25"/>
        <v>1026.3399999999999</v>
      </c>
      <c r="AH23" s="13">
        <f t="shared" si="10"/>
        <v>-7.4390552838240698E-2</v>
      </c>
      <c r="AI23" s="12">
        <f>+Data_Analysis!AI24</f>
        <v>4685.25</v>
      </c>
      <c r="AJ23" s="12">
        <f t="shared" si="26"/>
        <v>5387.19</v>
      </c>
      <c r="AK23" s="13">
        <f t="shared" si="11"/>
        <v>-0.13029798466361864</v>
      </c>
      <c r="AL23" s="12">
        <f>+Data_Analysis!AL24</f>
        <v>924.48</v>
      </c>
      <c r="AM23" s="12">
        <f t="shared" si="27"/>
        <v>984.93</v>
      </c>
      <c r="AN23" s="13">
        <f t="shared" si="12"/>
        <v>-6.1374920045079273E-2</v>
      </c>
      <c r="AO23" s="12">
        <f>+Data_Analysis!AO24</f>
        <v>917.2</v>
      </c>
      <c r="AP23" s="12">
        <f t="shared" si="28"/>
        <v>995.46</v>
      </c>
      <c r="AQ23" s="13">
        <f t="shared" si="13"/>
        <v>-7.8616920820525182E-2</v>
      </c>
      <c r="AR23" s="12">
        <f>+Data_Analysis!AR24</f>
        <v>178.04</v>
      </c>
      <c r="AS23" s="12">
        <f t="shared" si="29"/>
        <v>186.67</v>
      </c>
      <c r="AT23" s="13">
        <f t="shared" si="14"/>
        <v>-4.6231317297905417E-2</v>
      </c>
    </row>
    <row r="24" spans="1:46" x14ac:dyDescent="0.25">
      <c r="A24" s="97">
        <v>46174</v>
      </c>
      <c r="B24" s="12">
        <f>+Data_Analysis!B25</f>
        <v>2203.1</v>
      </c>
      <c r="C24" s="12">
        <f t="shared" si="15"/>
        <v>2483.4499999999998</v>
      </c>
      <c r="D24" s="13">
        <f t="shared" si="0"/>
        <v>-0.11288731401880447</v>
      </c>
      <c r="E24" s="12">
        <f>+Data_Analysis!E25</f>
        <v>8526.75</v>
      </c>
      <c r="F24" s="12">
        <f t="shared" si="16"/>
        <v>8971.5499999999993</v>
      </c>
      <c r="G24" s="13">
        <f t="shared" si="1"/>
        <v>-4.9578946781771216E-2</v>
      </c>
      <c r="H24" s="12">
        <f>+Data_Analysis!H25</f>
        <v>2887.34</v>
      </c>
      <c r="I24" s="12">
        <f t="shared" si="17"/>
        <v>3112.31</v>
      </c>
      <c r="J24" s="14">
        <f t="shared" si="2"/>
        <v>-7.2283930585320788E-2</v>
      </c>
      <c r="K24" s="12">
        <f>+Data_Analysis!K25</f>
        <v>9769.4599999999991</v>
      </c>
      <c r="L24" s="12">
        <f t="shared" si="18"/>
        <v>11617.75</v>
      </c>
      <c r="M24" s="13">
        <f t="shared" si="3"/>
        <v>-0.15909190678057294</v>
      </c>
      <c r="N24" s="12">
        <f>+Data_Analysis!N25</f>
        <v>1446.35</v>
      </c>
      <c r="O24" s="12">
        <f t="shared" si="19"/>
        <v>1583.91</v>
      </c>
      <c r="P24" s="13">
        <f t="shared" si="4"/>
        <v>-8.6848368909849816E-2</v>
      </c>
      <c r="Q24" s="12">
        <f>+Data_Analysis!Q25</f>
        <v>1202.96</v>
      </c>
      <c r="R24" s="12">
        <f t="shared" si="20"/>
        <v>1264.24</v>
      </c>
      <c r="S24" s="13">
        <f t="shared" si="5"/>
        <v>-4.847180915016136E-2</v>
      </c>
      <c r="T24" s="12">
        <f>+Data_Analysis!T25</f>
        <v>258.31</v>
      </c>
      <c r="U24" s="12">
        <f t="shared" si="21"/>
        <v>276.58</v>
      </c>
      <c r="V24" s="13">
        <f t="shared" si="6"/>
        <v>-6.6056837081495345E-2</v>
      </c>
      <c r="W24" s="12">
        <f>+Data_Analysis!W25</f>
        <v>271.48</v>
      </c>
      <c r="X24" s="12">
        <f t="shared" si="22"/>
        <v>297.58</v>
      </c>
      <c r="Y24" s="13">
        <f t="shared" si="7"/>
        <v>-8.77075072249478E-2</v>
      </c>
      <c r="Z24" s="12">
        <f>+Data_Analysis!Z25</f>
        <v>257.42</v>
      </c>
      <c r="AA24" s="12">
        <f t="shared" si="23"/>
        <v>271.39</v>
      </c>
      <c r="AB24" s="13">
        <f t="shared" si="8"/>
        <v>-5.1475736025645591E-2</v>
      </c>
      <c r="AC24" s="12">
        <f>+Data_Analysis!AC25</f>
        <v>1192.6199999999999</v>
      </c>
      <c r="AD24" s="12">
        <f t="shared" si="24"/>
        <v>1251.92</v>
      </c>
      <c r="AE24" s="13">
        <f t="shared" si="9"/>
        <v>-4.7367243913349233E-2</v>
      </c>
      <c r="AF24" s="12">
        <f>+Data_Analysis!AF25</f>
        <v>975.34</v>
      </c>
      <c r="AG24" s="12">
        <f t="shared" si="25"/>
        <v>1026.3399999999999</v>
      </c>
      <c r="AH24" s="13">
        <f t="shared" si="10"/>
        <v>-4.9691135491162663E-2</v>
      </c>
      <c r="AI24" s="12">
        <f>+Data_Analysis!AI25</f>
        <v>4700.43</v>
      </c>
      <c r="AJ24" s="12">
        <f t="shared" si="26"/>
        <v>5387.19</v>
      </c>
      <c r="AK24" s="13">
        <f t="shared" si="11"/>
        <v>-0.12748018911529002</v>
      </c>
      <c r="AL24" s="12">
        <f>+Data_Analysis!AL25</f>
        <v>943.9</v>
      </c>
      <c r="AM24" s="12">
        <f t="shared" si="27"/>
        <v>984.93</v>
      </c>
      <c r="AN24" s="13">
        <f t="shared" si="12"/>
        <v>-4.1657782786593933E-2</v>
      </c>
      <c r="AO24" s="12">
        <f>+Data_Analysis!AO25</f>
        <v>941.48</v>
      </c>
      <c r="AP24" s="12">
        <f t="shared" si="28"/>
        <v>995.46</v>
      </c>
      <c r="AQ24" s="13">
        <f t="shared" si="13"/>
        <v>-5.4226186888473693E-2</v>
      </c>
      <c r="AR24" s="12">
        <f>+Data_Analysis!AR25</f>
        <v>183.19</v>
      </c>
      <c r="AS24" s="12">
        <f t="shared" si="29"/>
        <v>186.67</v>
      </c>
      <c r="AT24" s="13">
        <f t="shared" si="14"/>
        <v>-1.8642524240638503E-2</v>
      </c>
    </row>
    <row r="25" spans="1:46" x14ac:dyDescent="0.25">
      <c r="A25" s="97">
        <v>46178</v>
      </c>
      <c r="B25" s="12">
        <f>+Data_Analysis!B26</f>
        <v>2183.1999999999998</v>
      </c>
      <c r="C25" s="12">
        <f t="shared" si="15"/>
        <v>2483.4499999999998</v>
      </c>
      <c r="D25" s="13">
        <f t="shared" si="0"/>
        <v>-0.12090036038575369</v>
      </c>
      <c r="E25" s="12">
        <f>+Data_Analysis!E26</f>
        <v>8340.24</v>
      </c>
      <c r="F25" s="12">
        <f t="shared" si="16"/>
        <v>8971.5499999999993</v>
      </c>
      <c r="G25" s="13">
        <f t="shared" si="1"/>
        <v>-7.036799661151083E-2</v>
      </c>
      <c r="H25" s="12">
        <f>+Data_Analysis!H26</f>
        <v>2838.9</v>
      </c>
      <c r="I25" s="12">
        <f t="shared" si="17"/>
        <v>3112.31</v>
      </c>
      <c r="J25" s="14">
        <f t="shared" si="2"/>
        <v>-8.78479328858629E-2</v>
      </c>
      <c r="K25" s="12">
        <f>+Data_Analysis!K26</f>
        <v>9643.9500000000007</v>
      </c>
      <c r="L25" s="12">
        <f t="shared" si="18"/>
        <v>11617.75</v>
      </c>
      <c r="M25" s="13">
        <f t="shared" si="3"/>
        <v>-0.16989520346022247</v>
      </c>
      <c r="N25" s="12">
        <f>+Data_Analysis!N26</f>
        <v>1416.49</v>
      </c>
      <c r="O25" s="12">
        <f t="shared" si="19"/>
        <v>1583.91</v>
      </c>
      <c r="P25" s="13">
        <f t="shared" si="4"/>
        <v>-0.10570045015183949</v>
      </c>
      <c r="Q25" s="12">
        <f>+Data_Analysis!Q26</f>
        <v>1173.7</v>
      </c>
      <c r="R25" s="12">
        <f t="shared" si="20"/>
        <v>1264.24</v>
      </c>
      <c r="S25" s="13">
        <f t="shared" si="5"/>
        <v>-7.1616148832500115E-2</v>
      </c>
      <c r="T25" s="12">
        <f>+Data_Analysis!T26</f>
        <v>253.36</v>
      </c>
      <c r="U25" s="12">
        <f t="shared" si="21"/>
        <v>276.58</v>
      </c>
      <c r="V25" s="13">
        <f t="shared" si="6"/>
        <v>-8.3954009689782283E-2</v>
      </c>
      <c r="W25" s="12">
        <f>+Data_Analysis!W26</f>
        <v>266.01</v>
      </c>
      <c r="X25" s="12">
        <f t="shared" si="22"/>
        <v>297.58</v>
      </c>
      <c r="Y25" s="13">
        <f t="shared" si="7"/>
        <v>-0.10608911889239869</v>
      </c>
      <c r="Z25" s="12">
        <f>+Data_Analysis!Z26</f>
        <v>251.49</v>
      </c>
      <c r="AA25" s="12">
        <f t="shared" si="23"/>
        <v>271.39</v>
      </c>
      <c r="AB25" s="13">
        <f t="shared" si="8"/>
        <v>-7.3326209513983498E-2</v>
      </c>
      <c r="AC25" s="12">
        <f>+Data_Analysis!AC26</f>
        <v>1166.1600000000001</v>
      </c>
      <c r="AD25" s="12">
        <f t="shared" si="24"/>
        <v>1251.92</v>
      </c>
      <c r="AE25" s="13">
        <f t="shared" si="9"/>
        <v>-6.850277973033414E-2</v>
      </c>
      <c r="AF25" s="12">
        <f>+Data_Analysis!AF26</f>
        <v>954.16</v>
      </c>
      <c r="AG25" s="12">
        <f t="shared" si="25"/>
        <v>1026.3399999999999</v>
      </c>
      <c r="AH25" s="13">
        <f t="shared" si="10"/>
        <v>-7.0327571759845608E-2</v>
      </c>
      <c r="AI25" s="12">
        <f>+Data_Analysis!AI26</f>
        <v>4651.8</v>
      </c>
      <c r="AJ25" s="12">
        <f t="shared" si="26"/>
        <v>5387.19</v>
      </c>
      <c r="AK25" s="13">
        <f t="shared" si="11"/>
        <v>-0.13650715864857177</v>
      </c>
      <c r="AL25" s="12">
        <f>+Data_Analysis!AL26</f>
        <v>933.57</v>
      </c>
      <c r="AM25" s="12">
        <f t="shared" si="27"/>
        <v>984.93</v>
      </c>
      <c r="AN25" s="13">
        <f t="shared" si="12"/>
        <v>-5.2145837775273263E-2</v>
      </c>
      <c r="AO25" s="12">
        <f>+Data_Analysis!AO26</f>
        <v>924.89</v>
      </c>
      <c r="AP25" s="12">
        <f t="shared" si="28"/>
        <v>995.46</v>
      </c>
      <c r="AQ25" s="13">
        <f t="shared" si="13"/>
        <v>-7.0891848994434792E-2</v>
      </c>
      <c r="AR25" s="12">
        <f>+Data_Analysis!AR26</f>
        <v>179.93</v>
      </c>
      <c r="AS25" s="12">
        <f t="shared" si="29"/>
        <v>186.67</v>
      </c>
      <c r="AT25" s="13">
        <f t="shared" si="14"/>
        <v>-3.6106498098248174E-2</v>
      </c>
    </row>
    <row r="26" spans="1:46" x14ac:dyDescent="0.25">
      <c r="A26" s="97">
        <v>46185</v>
      </c>
      <c r="B26" s="12">
        <f>+Data_Analysis!B27</f>
        <v>2148.2800000000002</v>
      </c>
      <c r="C26" s="12">
        <f t="shared" si="15"/>
        <v>2483.4499999999998</v>
      </c>
      <c r="D26" s="13">
        <f t="shared" si="0"/>
        <v>-0.1349614447643398</v>
      </c>
      <c r="E26" s="12">
        <f>+Data_Analysis!E27</f>
        <v>8109.41</v>
      </c>
      <c r="F26" s="12">
        <f t="shared" si="16"/>
        <v>8971.5499999999993</v>
      </c>
      <c r="G26" s="13">
        <f t="shared" si="1"/>
        <v>-9.6097106965908896E-2</v>
      </c>
      <c r="H26" s="12">
        <f>+Data_Analysis!H27</f>
        <v>2764.09</v>
      </c>
      <c r="I26" s="12">
        <f t="shared" si="17"/>
        <v>3112.31</v>
      </c>
      <c r="J26" s="14">
        <f t="shared" si="2"/>
        <v>-0.11188474155852079</v>
      </c>
      <c r="K26" s="12">
        <f>+Data_Analysis!K27</f>
        <v>9592.48</v>
      </c>
      <c r="L26" s="12">
        <f t="shared" si="18"/>
        <v>11617.75</v>
      </c>
      <c r="M26" s="13">
        <f t="shared" si="3"/>
        <v>-0.17432549331841363</v>
      </c>
      <c r="N26" s="12">
        <f>+Data_Analysis!N27</f>
        <v>1375.87</v>
      </c>
      <c r="O26" s="12">
        <f t="shared" si="19"/>
        <v>1583.91</v>
      </c>
      <c r="P26" s="13">
        <f t="shared" si="4"/>
        <v>-0.13134584667058113</v>
      </c>
      <c r="Q26" s="12">
        <f>+Data_Analysis!Q27</f>
        <v>1136.3599999999999</v>
      </c>
      <c r="R26" s="12">
        <f t="shared" si="20"/>
        <v>1264.24</v>
      </c>
      <c r="S26" s="13">
        <f t="shared" si="5"/>
        <v>-0.10115168006074804</v>
      </c>
      <c r="T26" s="12">
        <f>+Data_Analysis!T27</f>
        <v>246.69</v>
      </c>
      <c r="U26" s="12">
        <f t="shared" si="21"/>
        <v>276.58</v>
      </c>
      <c r="V26" s="13">
        <f t="shared" si="6"/>
        <v>-0.10806999783064575</v>
      </c>
      <c r="W26" s="12">
        <f>+Data_Analysis!W27</f>
        <v>259.58</v>
      </c>
      <c r="X26" s="12">
        <f t="shared" si="22"/>
        <v>297.58</v>
      </c>
      <c r="Y26" s="13">
        <f t="shared" si="7"/>
        <v>-0.12769675381410039</v>
      </c>
      <c r="Z26" s="12">
        <f>+Data_Analysis!Z27</f>
        <v>243.77</v>
      </c>
      <c r="AA26" s="12">
        <f t="shared" si="23"/>
        <v>271.39</v>
      </c>
      <c r="AB26" s="13">
        <f t="shared" si="8"/>
        <v>-0.10177235712443344</v>
      </c>
      <c r="AC26" s="12">
        <f>+Data_Analysis!AC27</f>
        <v>1131.51</v>
      </c>
      <c r="AD26" s="12">
        <f t="shared" si="24"/>
        <v>1251.92</v>
      </c>
      <c r="AE26" s="13">
        <f t="shared" si="9"/>
        <v>-9.6180267109719497E-2</v>
      </c>
      <c r="AF26" s="12">
        <f>+Data_Analysis!AF27</f>
        <v>926.09</v>
      </c>
      <c r="AG26" s="12">
        <f t="shared" si="25"/>
        <v>1026.3399999999999</v>
      </c>
      <c r="AH26" s="13">
        <f t="shared" si="10"/>
        <v>-9.7677182999785561E-2</v>
      </c>
      <c r="AI26" s="12">
        <f>+Data_Analysis!AI27</f>
        <v>4607.28</v>
      </c>
      <c r="AJ26" s="12">
        <f t="shared" si="26"/>
        <v>5387.19</v>
      </c>
      <c r="AK26" s="13">
        <f t="shared" si="11"/>
        <v>-0.14477120725276071</v>
      </c>
      <c r="AL26" s="12">
        <f>+Data_Analysis!AL27</f>
        <v>913.24</v>
      </c>
      <c r="AM26" s="12">
        <f t="shared" si="27"/>
        <v>984.93</v>
      </c>
      <c r="AN26" s="13">
        <f t="shared" si="12"/>
        <v>-7.2786898561319036E-2</v>
      </c>
      <c r="AO26" s="12">
        <f>+Data_Analysis!AO27</f>
        <v>902.63</v>
      </c>
      <c r="AP26" s="12">
        <f t="shared" si="28"/>
        <v>995.46</v>
      </c>
      <c r="AQ26" s="13">
        <f t="shared" si="13"/>
        <v>-9.3253370301167315E-2</v>
      </c>
      <c r="AR26" s="12">
        <f>+Data_Analysis!AR27</f>
        <v>175.17</v>
      </c>
      <c r="AS26" s="12">
        <f t="shared" si="29"/>
        <v>186.67</v>
      </c>
      <c r="AT26" s="13">
        <f t="shared" si="14"/>
        <v>-6.1606042749236645E-2</v>
      </c>
    </row>
    <row r="27" spans="1:46" x14ac:dyDescent="0.25">
      <c r="A27" s="97">
        <v>46192</v>
      </c>
      <c r="B27" s="12">
        <f>+Data_Analysis!B28</f>
        <v>2203.27</v>
      </c>
      <c r="C27" s="12">
        <f t="shared" si="15"/>
        <v>2483.4499999999998</v>
      </c>
      <c r="D27" s="13">
        <f t="shared" si="0"/>
        <v>-0.11281886085888582</v>
      </c>
      <c r="E27" s="12">
        <f>+Data_Analysis!E28</f>
        <v>8337.65</v>
      </c>
      <c r="F27" s="12">
        <f t="shared" si="16"/>
        <v>8971.5499999999993</v>
      </c>
      <c r="G27" s="13">
        <f t="shared" si="1"/>
        <v>-7.0656686971593552E-2</v>
      </c>
      <c r="H27" s="12">
        <f>+Data_Analysis!H28</f>
        <v>2838.43</v>
      </c>
      <c r="I27" s="12">
        <f t="shared" si="17"/>
        <v>3112.31</v>
      </c>
      <c r="J27" s="14">
        <f t="shared" si="2"/>
        <v>-8.7998946120405819E-2</v>
      </c>
      <c r="K27" s="12">
        <f>+Data_Analysis!K28</f>
        <v>9879.9</v>
      </c>
      <c r="L27" s="12">
        <f t="shared" si="18"/>
        <v>11617.75</v>
      </c>
      <c r="M27" s="13">
        <f t="shared" si="3"/>
        <v>-0.14958576316412386</v>
      </c>
      <c r="N27" s="12">
        <f>+Data_Analysis!N28</f>
        <v>1416.45</v>
      </c>
      <c r="O27" s="12">
        <f t="shared" si="19"/>
        <v>1583.91</v>
      </c>
      <c r="P27" s="13">
        <f t="shared" si="4"/>
        <v>-0.10572570411197613</v>
      </c>
      <c r="Q27" s="12">
        <f>+Data_Analysis!Q28</f>
        <v>1166.33</v>
      </c>
      <c r="R27" s="12">
        <f t="shared" si="20"/>
        <v>1264.24</v>
      </c>
      <c r="S27" s="13">
        <f t="shared" si="5"/>
        <v>-7.74457381509841E-2</v>
      </c>
      <c r="T27" s="12">
        <f>+Data_Analysis!T28</f>
        <v>252.95</v>
      </c>
      <c r="U27" s="12">
        <f t="shared" si="21"/>
        <v>276.58</v>
      </c>
      <c r="V27" s="13">
        <f t="shared" si="6"/>
        <v>-8.5436401764408143E-2</v>
      </c>
      <c r="W27" s="12">
        <f>+Data_Analysis!W28</f>
        <v>265.75</v>
      </c>
      <c r="X27" s="12">
        <f t="shared" si="22"/>
        <v>297.58</v>
      </c>
      <c r="Y27" s="13">
        <f t="shared" si="7"/>
        <v>-0.10696283352375824</v>
      </c>
      <c r="Z27" s="12">
        <f>+Data_Analysis!Z28</f>
        <v>249.67</v>
      </c>
      <c r="AA27" s="12">
        <f t="shared" si="23"/>
        <v>271.39</v>
      </c>
      <c r="AB27" s="13">
        <f t="shared" si="8"/>
        <v>-8.0032425660488626E-2</v>
      </c>
      <c r="AC27" s="12">
        <f>+Data_Analysis!AC28</f>
        <v>1161.06</v>
      </c>
      <c r="AD27" s="12">
        <f t="shared" si="24"/>
        <v>1251.92</v>
      </c>
      <c r="AE27" s="13">
        <f t="shared" si="9"/>
        <v>-7.257652246149926E-2</v>
      </c>
      <c r="AF27" s="12">
        <f>+Data_Analysis!AF28</f>
        <v>952.66</v>
      </c>
      <c r="AG27" s="12">
        <f t="shared" si="25"/>
        <v>1026.3399999999999</v>
      </c>
      <c r="AH27" s="13">
        <f t="shared" si="10"/>
        <v>-7.1789075744879804E-2</v>
      </c>
      <c r="AI27" s="12">
        <f>+Data_Analysis!AI28</f>
        <v>4732.8599999999997</v>
      </c>
      <c r="AJ27" s="12">
        <f t="shared" si="26"/>
        <v>5387.19</v>
      </c>
      <c r="AK27" s="13">
        <f t="shared" si="11"/>
        <v>-0.12146035317113379</v>
      </c>
      <c r="AL27" s="12">
        <f>+Data_Analysis!AL28</f>
        <v>935.43</v>
      </c>
      <c r="AM27" s="12">
        <f t="shared" si="27"/>
        <v>984.93</v>
      </c>
      <c r="AN27" s="13">
        <f t="shared" si="12"/>
        <v>-5.0257378696963229E-2</v>
      </c>
      <c r="AO27" s="12">
        <f>+Data_Analysis!AO28</f>
        <v>923.1</v>
      </c>
      <c r="AP27" s="12">
        <f t="shared" si="28"/>
        <v>995.46</v>
      </c>
      <c r="AQ27" s="13">
        <f t="shared" si="13"/>
        <v>-7.2690012657464886E-2</v>
      </c>
      <c r="AR27" s="12">
        <f>+Data_Analysis!AR28</f>
        <v>179.25</v>
      </c>
      <c r="AS27" s="12">
        <f t="shared" si="29"/>
        <v>186.67</v>
      </c>
      <c r="AT27" s="13">
        <f t="shared" si="14"/>
        <v>-3.9749290191246511E-2</v>
      </c>
    </row>
    <row r="28" spans="1:46" x14ac:dyDescent="0.25">
      <c r="A28" s="97">
        <v>46199</v>
      </c>
      <c r="B28" s="12">
        <f>+Data_Analysis!B29</f>
        <v>2190.36</v>
      </c>
      <c r="C28" s="12">
        <f t="shared" si="15"/>
        <v>2483.4499999999998</v>
      </c>
      <c r="D28" s="13">
        <f t="shared" si="0"/>
        <v>-0.11801727435623821</v>
      </c>
      <c r="E28" s="12">
        <f>+Data_Analysis!E29</f>
        <v>8176.86</v>
      </c>
      <c r="F28" s="12">
        <f t="shared" si="16"/>
        <v>8971.5499999999993</v>
      </c>
      <c r="G28" s="13">
        <f t="shared" si="1"/>
        <v>-8.8578896623214498E-2</v>
      </c>
      <c r="H28" s="12">
        <f>+Data_Analysis!H29</f>
        <v>2793.4</v>
      </c>
      <c r="I28" s="12">
        <f t="shared" si="17"/>
        <v>3112.31</v>
      </c>
      <c r="J28" s="14">
        <f t="shared" si="2"/>
        <v>-0.10246729920862629</v>
      </c>
      <c r="K28" s="12">
        <f>+Data_Analysis!K29</f>
        <v>9812.0400000000009</v>
      </c>
      <c r="L28" s="12">
        <f t="shared" si="18"/>
        <v>11617.75</v>
      </c>
      <c r="M28" s="13">
        <f t="shared" si="3"/>
        <v>-0.15542682533192731</v>
      </c>
      <c r="N28" s="12">
        <f>+Data_Analysis!N29</f>
        <v>1388.35</v>
      </c>
      <c r="O28" s="12">
        <f t="shared" si="19"/>
        <v>1583.91</v>
      </c>
      <c r="P28" s="13">
        <f t="shared" si="4"/>
        <v>-0.12346661110795443</v>
      </c>
      <c r="Q28" s="12">
        <f>+Data_Analysis!Q29</f>
        <v>1143.03</v>
      </c>
      <c r="R28" s="12">
        <f t="shared" si="20"/>
        <v>1264.24</v>
      </c>
      <c r="S28" s="13">
        <f t="shared" si="5"/>
        <v>-9.5875783079162225E-2</v>
      </c>
      <c r="T28" s="12">
        <f>+Data_Analysis!T29</f>
        <v>248.67</v>
      </c>
      <c r="U28" s="12">
        <f t="shared" si="21"/>
        <v>276.58</v>
      </c>
      <c r="V28" s="13">
        <f t="shared" si="6"/>
        <v>-0.10091112878733099</v>
      </c>
      <c r="W28" s="12">
        <f>+Data_Analysis!W29</f>
        <v>261.77</v>
      </c>
      <c r="X28" s="12">
        <f t="shared" si="22"/>
        <v>297.58</v>
      </c>
      <c r="Y28" s="13">
        <f t="shared" si="7"/>
        <v>-0.12033738826534046</v>
      </c>
      <c r="Z28" s="12">
        <f>+Data_Analysis!Z29</f>
        <v>244.82</v>
      </c>
      <c r="AA28" s="12">
        <f t="shared" si="23"/>
        <v>271.39</v>
      </c>
      <c r="AB28" s="13">
        <f t="shared" si="8"/>
        <v>-9.7903386270680515E-2</v>
      </c>
      <c r="AC28" s="12">
        <f>+Data_Analysis!AC29</f>
        <v>1140.6500000000001</v>
      </c>
      <c r="AD28" s="12">
        <f t="shared" si="24"/>
        <v>1251.92</v>
      </c>
      <c r="AE28" s="13">
        <f t="shared" si="9"/>
        <v>-8.8879481117004278E-2</v>
      </c>
      <c r="AF28" s="12">
        <f>+Data_Analysis!AF29</f>
        <v>935.77</v>
      </c>
      <c r="AG28" s="12">
        <f t="shared" si="25"/>
        <v>1026.3399999999999</v>
      </c>
      <c r="AH28" s="13">
        <f t="shared" si="10"/>
        <v>-8.8245610616364933E-2</v>
      </c>
      <c r="AI28" s="12">
        <f>+Data_Analysis!AI29</f>
        <v>4695</v>
      </c>
      <c r="AJ28" s="12">
        <f t="shared" si="26"/>
        <v>5387.19</v>
      </c>
      <c r="AK28" s="13">
        <f t="shared" si="11"/>
        <v>-0.12848813574423767</v>
      </c>
      <c r="AL28" s="12">
        <f>+Data_Analysis!AL29</f>
        <v>920.81</v>
      </c>
      <c r="AM28" s="12">
        <f t="shared" si="27"/>
        <v>984.93</v>
      </c>
      <c r="AN28" s="13">
        <f t="shared" si="12"/>
        <v>-6.5101073172712742E-2</v>
      </c>
      <c r="AO28" s="12">
        <f>+Data_Analysis!AO29</f>
        <v>909.54</v>
      </c>
      <c r="AP28" s="12">
        <f t="shared" si="28"/>
        <v>995.46</v>
      </c>
      <c r="AQ28" s="13">
        <f t="shared" si="13"/>
        <v>-8.6311855825447648E-2</v>
      </c>
      <c r="AR28" s="12">
        <f>+Data_Analysis!AR29</f>
        <v>176.15</v>
      </c>
      <c r="AS28" s="12">
        <f t="shared" si="29"/>
        <v>186.67</v>
      </c>
      <c r="AT28" s="13">
        <f t="shared" si="14"/>
        <v>-5.6356136497562437E-2</v>
      </c>
    </row>
    <row r="29" spans="1:46" x14ac:dyDescent="0.25">
      <c r="A29" s="97">
        <v>46206</v>
      </c>
      <c r="B29" s="12">
        <f>+Data_Analysis!B30</f>
        <v>2225.14</v>
      </c>
      <c r="C29" s="12">
        <f t="shared" si="15"/>
        <v>2483.4499999999998</v>
      </c>
      <c r="D29" s="13">
        <f t="shared" si="0"/>
        <v>-0.10401256316817331</v>
      </c>
      <c r="E29" s="12">
        <f>+Data_Analysis!E30</f>
        <v>8385.7999999999993</v>
      </c>
      <c r="F29" s="12">
        <f t="shared" si="16"/>
        <v>8971.5499999999993</v>
      </c>
      <c r="G29" s="13">
        <f t="shared" si="1"/>
        <v>-6.5289721397083E-2</v>
      </c>
      <c r="H29" s="12">
        <f>+Data_Analysis!H30</f>
        <v>2865.27</v>
      </c>
      <c r="I29" s="12">
        <f t="shared" si="17"/>
        <v>3112.31</v>
      </c>
      <c r="J29" s="14">
        <f t="shared" si="2"/>
        <v>-7.9375126513747007E-2</v>
      </c>
      <c r="K29" s="12">
        <f>+Data_Analysis!K30</f>
        <v>9871.81</v>
      </c>
      <c r="L29" s="12">
        <f t="shared" si="18"/>
        <v>11617.75</v>
      </c>
      <c r="M29" s="13">
        <f t="shared" si="3"/>
        <v>-0.15028211142432923</v>
      </c>
      <c r="N29" s="12">
        <f>+Data_Analysis!N30</f>
        <v>1420.13</v>
      </c>
      <c r="O29" s="12">
        <f t="shared" si="19"/>
        <v>1583.91</v>
      </c>
      <c r="P29" s="13">
        <f t="shared" si="4"/>
        <v>-0.1034023397794066</v>
      </c>
      <c r="Q29" s="12">
        <f>+Data_Analysis!Q30</f>
        <v>1173.2</v>
      </c>
      <c r="R29" s="12">
        <f t="shared" si="20"/>
        <v>1264.24</v>
      </c>
      <c r="S29" s="13">
        <f t="shared" si="5"/>
        <v>-7.2011643358855904E-2</v>
      </c>
      <c r="T29" s="12">
        <f>+Data_Analysis!T30</f>
        <v>255.05</v>
      </c>
      <c r="U29" s="12">
        <f t="shared" si="21"/>
        <v>276.58</v>
      </c>
      <c r="V29" s="13">
        <f t="shared" si="6"/>
        <v>-7.7843661869983261E-2</v>
      </c>
      <c r="W29" s="12">
        <f>+Data_Analysis!W30</f>
        <v>267.89</v>
      </c>
      <c r="X29" s="12">
        <f t="shared" si="22"/>
        <v>297.58</v>
      </c>
      <c r="Y29" s="13">
        <f t="shared" si="7"/>
        <v>-9.9771490019490594E-2</v>
      </c>
      <c r="Z29" s="12">
        <f>+Data_Analysis!Z30</f>
        <v>251.35</v>
      </c>
      <c r="AA29" s="12">
        <f t="shared" si="23"/>
        <v>271.39</v>
      </c>
      <c r="AB29" s="13">
        <f t="shared" si="8"/>
        <v>-7.3842072294483918E-2</v>
      </c>
      <c r="AC29" s="12">
        <f>+Data_Analysis!AC30</f>
        <v>1170.01</v>
      </c>
      <c r="AD29" s="12">
        <f t="shared" si="24"/>
        <v>1251.92</v>
      </c>
      <c r="AE29" s="13">
        <f t="shared" si="9"/>
        <v>-6.5427503354847039E-2</v>
      </c>
      <c r="AF29" s="12">
        <f>+Data_Analysis!AF30</f>
        <v>958.81</v>
      </c>
      <c r="AG29" s="12">
        <f t="shared" si="25"/>
        <v>1026.3399999999999</v>
      </c>
      <c r="AH29" s="13">
        <f t="shared" si="10"/>
        <v>-6.5796909406239612E-2</v>
      </c>
      <c r="AI29" s="12">
        <f>+Data_Analysis!AI30</f>
        <v>4774.2299999999996</v>
      </c>
      <c r="AJ29" s="12">
        <f t="shared" si="26"/>
        <v>5387.19</v>
      </c>
      <c r="AK29" s="13">
        <f t="shared" si="11"/>
        <v>-0.11378102498705267</v>
      </c>
      <c r="AL29" s="12">
        <f>+Data_Analysis!AL30</f>
        <v>942.3</v>
      </c>
      <c r="AM29" s="12">
        <f t="shared" si="27"/>
        <v>984.93</v>
      </c>
      <c r="AN29" s="13">
        <f t="shared" si="12"/>
        <v>-4.3282263714172542E-2</v>
      </c>
      <c r="AO29" s="12">
        <f>+Data_Analysis!AO30</f>
        <v>931.38</v>
      </c>
      <c r="AP29" s="12">
        <f t="shared" si="28"/>
        <v>995.46</v>
      </c>
      <c r="AQ29" s="13">
        <f t="shared" si="13"/>
        <v>-6.4372250015068411E-2</v>
      </c>
      <c r="AR29" s="12">
        <f>+Data_Analysis!AR30</f>
        <v>181.07</v>
      </c>
      <c r="AS29" s="12">
        <f t="shared" si="29"/>
        <v>186.67</v>
      </c>
      <c r="AT29" s="13">
        <f t="shared" si="14"/>
        <v>-2.9999464295280442E-2</v>
      </c>
    </row>
    <row r="30" spans="1:46" x14ac:dyDescent="0.25">
      <c r="A30" s="97">
        <v>46213</v>
      </c>
      <c r="B30" s="12">
        <f>+Data_Analysis!B31</f>
        <v>2186.2199999999998</v>
      </c>
      <c r="C30" s="12">
        <f t="shared" si="15"/>
        <v>2483.4499999999998</v>
      </c>
      <c r="D30" s="13">
        <f t="shared" si="0"/>
        <v>-0.11968431013308101</v>
      </c>
      <c r="E30" s="12">
        <f>+Data_Analysis!E31</f>
        <v>8220.91</v>
      </c>
      <c r="F30" s="12">
        <f t="shared" si="16"/>
        <v>8971.5499999999993</v>
      </c>
      <c r="G30" s="13">
        <f t="shared" si="1"/>
        <v>-8.3668931232618649E-2</v>
      </c>
      <c r="H30" s="12">
        <f>+Data_Analysis!H31</f>
        <v>2805.77</v>
      </c>
      <c r="I30" s="12">
        <f t="shared" si="17"/>
        <v>3112.31</v>
      </c>
      <c r="J30" s="14">
        <f t="shared" si="2"/>
        <v>-9.8492759397360796E-2</v>
      </c>
      <c r="K30" s="12">
        <f>+Data_Analysis!K31</f>
        <v>9675.59</v>
      </c>
      <c r="L30" s="12">
        <f t="shared" si="18"/>
        <v>11617.75</v>
      </c>
      <c r="M30" s="13">
        <f t="shared" si="3"/>
        <v>-0.16717178455380777</v>
      </c>
      <c r="N30" s="12">
        <f>+Data_Analysis!N31</f>
        <v>1394.03</v>
      </c>
      <c r="O30" s="12">
        <f t="shared" si="19"/>
        <v>1583.91</v>
      </c>
      <c r="P30" s="13">
        <f t="shared" si="4"/>
        <v>-0.11988054876855381</v>
      </c>
      <c r="Q30" s="12">
        <f>+Data_Analysis!Q31</f>
        <v>1148.53</v>
      </c>
      <c r="R30" s="12">
        <f t="shared" si="20"/>
        <v>1264.24</v>
      </c>
      <c r="S30" s="13">
        <f t="shared" si="5"/>
        <v>-9.1525343289248884E-2</v>
      </c>
      <c r="T30" s="12">
        <f>+Data_Analysis!T31</f>
        <v>249.88</v>
      </c>
      <c r="U30" s="12">
        <f t="shared" si="21"/>
        <v>276.58</v>
      </c>
      <c r="V30" s="13">
        <f t="shared" si="6"/>
        <v>-9.6536264371971936E-2</v>
      </c>
      <c r="W30" s="12">
        <f>+Data_Analysis!W31</f>
        <v>262.83999999999997</v>
      </c>
      <c r="X30" s="12">
        <f t="shared" si="22"/>
        <v>297.58</v>
      </c>
      <c r="Y30" s="13">
        <f t="shared" si="7"/>
        <v>-0.11674171651320653</v>
      </c>
      <c r="Z30" s="12">
        <f>+Data_Analysis!Z31</f>
        <v>246.1</v>
      </c>
      <c r="AA30" s="12">
        <f t="shared" si="23"/>
        <v>271.39</v>
      </c>
      <c r="AB30" s="13">
        <f t="shared" si="8"/>
        <v>-9.3186926563248451E-2</v>
      </c>
      <c r="AC30" s="12">
        <f>+Data_Analysis!AC31</f>
        <v>1147.0999999999999</v>
      </c>
      <c r="AD30" s="12">
        <f t="shared" si="24"/>
        <v>1251.92</v>
      </c>
      <c r="AE30" s="13">
        <f t="shared" si="9"/>
        <v>-8.3727394721707538E-2</v>
      </c>
      <c r="AF30" s="12">
        <f>+Data_Analysis!AF31</f>
        <v>938.68</v>
      </c>
      <c r="AG30" s="12">
        <f t="shared" si="25"/>
        <v>1026.3399999999999</v>
      </c>
      <c r="AH30" s="13">
        <f t="shared" si="10"/>
        <v>-8.5410292885398587E-2</v>
      </c>
      <c r="AI30" s="12">
        <f>+Data_Analysis!AI31</f>
        <v>4693.1000000000004</v>
      </c>
      <c r="AJ30" s="12">
        <f t="shared" si="26"/>
        <v>5387.19</v>
      </c>
      <c r="AK30" s="13">
        <f t="shared" si="11"/>
        <v>-0.12884082425160415</v>
      </c>
      <c r="AL30" s="12">
        <f>+Data_Analysis!AL31</f>
        <v>928.45</v>
      </c>
      <c r="AM30" s="12">
        <f t="shared" si="27"/>
        <v>984.93</v>
      </c>
      <c r="AN30" s="13">
        <f t="shared" si="12"/>
        <v>-5.7344176743524877E-2</v>
      </c>
      <c r="AO30" s="12">
        <f>+Data_Analysis!AO31</f>
        <v>913.85</v>
      </c>
      <c r="AP30" s="12">
        <f t="shared" si="28"/>
        <v>995.46</v>
      </c>
      <c r="AQ30" s="13">
        <f t="shared" si="13"/>
        <v>-8.1982199184296722E-2</v>
      </c>
      <c r="AR30" s="12">
        <f>+Data_Analysis!AR31</f>
        <v>178.04</v>
      </c>
      <c r="AS30" s="12">
        <f t="shared" si="29"/>
        <v>186.67</v>
      </c>
      <c r="AT30" s="13">
        <f t="shared" si="14"/>
        <v>-4.6231317297905417E-2</v>
      </c>
    </row>
    <row r="31" spans="1:46" x14ac:dyDescent="0.25">
      <c r="A31" s="97">
        <v>46220</v>
      </c>
      <c r="B31" s="12">
        <f>+Data_Analysis!B32</f>
        <v>2152.04</v>
      </c>
      <c r="C31" s="12">
        <f t="shared" si="15"/>
        <v>2483.4499999999998</v>
      </c>
      <c r="D31" s="13">
        <f t="shared" si="0"/>
        <v>-0.1334474219331977</v>
      </c>
      <c r="E31" s="12">
        <f>+Data_Analysis!E32</f>
        <v>8046.51</v>
      </c>
      <c r="F31" s="12">
        <f t="shared" si="16"/>
        <v>8971.5499999999993</v>
      </c>
      <c r="G31" s="13">
        <f t="shared" si="1"/>
        <v>-0.10310815856791733</v>
      </c>
      <c r="H31" s="12">
        <f>+Data_Analysis!H32</f>
        <v>2754.23</v>
      </c>
      <c r="I31" s="12">
        <f t="shared" si="17"/>
        <v>3112.31</v>
      </c>
      <c r="J31" s="14">
        <f t="shared" si="2"/>
        <v>-0.11505280643637683</v>
      </c>
      <c r="K31" s="12">
        <f>+Data_Analysis!K32</f>
        <v>9488.4</v>
      </c>
      <c r="L31" s="12">
        <f t="shared" si="18"/>
        <v>11617.75</v>
      </c>
      <c r="M31" s="13">
        <f t="shared" si="3"/>
        <v>-0.18328419874760604</v>
      </c>
      <c r="N31" s="12">
        <f>+Data_Analysis!N32</f>
        <v>1363.66</v>
      </c>
      <c r="O31" s="12">
        <f t="shared" si="19"/>
        <v>1583.91</v>
      </c>
      <c r="P31" s="13">
        <f t="shared" si="4"/>
        <v>-0.13905461800228547</v>
      </c>
      <c r="Q31" s="12">
        <f>+Data_Analysis!Q32</f>
        <v>1121.94</v>
      </c>
      <c r="R31" s="12">
        <f t="shared" si="20"/>
        <v>1264.24</v>
      </c>
      <c r="S31" s="13">
        <f t="shared" si="5"/>
        <v>-0.11255774220084791</v>
      </c>
      <c r="T31" s="12">
        <f>+Data_Analysis!T32</f>
        <v>244.86</v>
      </c>
      <c r="U31" s="12">
        <f t="shared" si="21"/>
        <v>276.58</v>
      </c>
      <c r="V31" s="13">
        <f t="shared" si="6"/>
        <v>-0.11468652831007298</v>
      </c>
      <c r="W31" s="12">
        <f>+Data_Analysis!W32</f>
        <v>258.10000000000002</v>
      </c>
      <c r="X31" s="12">
        <f t="shared" si="22"/>
        <v>297.58</v>
      </c>
      <c r="Y31" s="13">
        <f t="shared" si="7"/>
        <v>-0.13267020633107052</v>
      </c>
      <c r="Z31" s="12">
        <f>+Data_Analysis!Z32</f>
        <v>240.99</v>
      </c>
      <c r="AA31" s="12">
        <f t="shared" si="23"/>
        <v>271.39</v>
      </c>
      <c r="AB31" s="13">
        <f t="shared" si="8"/>
        <v>-0.11201591805151245</v>
      </c>
      <c r="AC31" s="12">
        <f>+Data_Analysis!AC32</f>
        <v>1126.6099999999999</v>
      </c>
      <c r="AD31" s="12">
        <f t="shared" si="24"/>
        <v>1251.92</v>
      </c>
      <c r="AE31" s="13">
        <f t="shared" si="9"/>
        <v>-0.10009425522397608</v>
      </c>
      <c r="AF31" s="12">
        <f>+Data_Analysis!AF32</f>
        <v>920.18</v>
      </c>
      <c r="AG31" s="12">
        <f t="shared" si="25"/>
        <v>1026.3399999999999</v>
      </c>
      <c r="AH31" s="13">
        <f t="shared" si="10"/>
        <v>-0.10343550870082041</v>
      </c>
      <c r="AI31" s="12">
        <f>+Data_Analysis!AI32</f>
        <v>4594.6000000000004</v>
      </c>
      <c r="AJ31" s="12">
        <f t="shared" si="26"/>
        <v>5387.19</v>
      </c>
      <c r="AK31" s="13">
        <f t="shared" si="11"/>
        <v>-0.14712493897560686</v>
      </c>
      <c r="AL31" s="12">
        <f>+Data_Analysis!AL32</f>
        <v>913.79</v>
      </c>
      <c r="AM31" s="12">
        <f t="shared" si="27"/>
        <v>984.93</v>
      </c>
      <c r="AN31" s="13">
        <f t="shared" si="12"/>
        <v>-7.2228483242463892E-2</v>
      </c>
      <c r="AO31" s="12">
        <f>+Data_Analysis!AO32</f>
        <v>899.37</v>
      </c>
      <c r="AP31" s="12">
        <f t="shared" si="28"/>
        <v>995.46</v>
      </c>
      <c r="AQ31" s="13">
        <f t="shared" si="13"/>
        <v>-9.6528238201434524E-2</v>
      </c>
      <c r="AR31" s="12">
        <f>+Data_Analysis!AR32</f>
        <v>175.28</v>
      </c>
      <c r="AS31" s="12">
        <f t="shared" si="29"/>
        <v>186.67</v>
      </c>
      <c r="AT31" s="13">
        <f t="shared" si="14"/>
        <v>-6.1016767557722118E-2</v>
      </c>
    </row>
    <row r="32" spans="1:46" x14ac:dyDescent="0.25">
      <c r="A32" s="97">
        <v>46227</v>
      </c>
      <c r="B32" s="12">
        <f>+Data_Analysis!B33</f>
        <v>2171.1</v>
      </c>
      <c r="C32" s="12">
        <f t="shared" si="15"/>
        <v>2483.4499999999998</v>
      </c>
      <c r="D32" s="13">
        <f t="shared" si="0"/>
        <v>-0.12577261470937606</v>
      </c>
      <c r="E32" s="12">
        <f>+Data_Analysis!E33</f>
        <v>8138.16</v>
      </c>
      <c r="F32" s="12">
        <f t="shared" si="16"/>
        <v>8971.5499999999993</v>
      </c>
      <c r="G32" s="13">
        <f t="shared" si="1"/>
        <v>-9.2892532505531311E-2</v>
      </c>
      <c r="H32" s="12">
        <f>+Data_Analysis!H33</f>
        <v>2782.76</v>
      </c>
      <c r="I32" s="12">
        <f t="shared" si="17"/>
        <v>3112.31</v>
      </c>
      <c r="J32" s="14">
        <f t="shared" si="2"/>
        <v>-0.10588598179487252</v>
      </c>
      <c r="K32" s="12">
        <f>+Data_Analysis!K33</f>
        <v>9535.24</v>
      </c>
      <c r="L32" s="12">
        <f t="shared" si="18"/>
        <v>11617.75</v>
      </c>
      <c r="M32" s="13">
        <f t="shared" si="3"/>
        <v>-0.17925243700372273</v>
      </c>
      <c r="N32" s="12">
        <f>+Data_Analysis!N33</f>
        <v>1379.48</v>
      </c>
      <c r="O32" s="12">
        <f t="shared" si="19"/>
        <v>1583.91</v>
      </c>
      <c r="P32" s="13">
        <f t="shared" si="4"/>
        <v>-0.12906667676825079</v>
      </c>
      <c r="Q32" s="12">
        <f>+Data_Analysis!Q33</f>
        <v>1133.79</v>
      </c>
      <c r="R32" s="12">
        <f t="shared" si="20"/>
        <v>1264.24</v>
      </c>
      <c r="S32" s="13">
        <f t="shared" si="5"/>
        <v>-0.10318452192621652</v>
      </c>
      <c r="T32" s="12">
        <f>+Data_Analysis!T33</f>
        <v>247.44</v>
      </c>
      <c r="U32" s="12">
        <f t="shared" si="21"/>
        <v>276.58</v>
      </c>
      <c r="V32" s="13">
        <f t="shared" si="6"/>
        <v>-0.10535830501120824</v>
      </c>
      <c r="W32" s="12">
        <f>+Data_Analysis!W33</f>
        <v>261.36</v>
      </c>
      <c r="X32" s="12">
        <f t="shared" si="22"/>
        <v>297.58</v>
      </c>
      <c r="Y32" s="13">
        <f t="shared" si="7"/>
        <v>-0.12171516903017665</v>
      </c>
      <c r="Z32" s="12">
        <f>+Data_Analysis!Z33</f>
        <v>243.65</v>
      </c>
      <c r="AA32" s="12">
        <f t="shared" si="23"/>
        <v>271.39</v>
      </c>
      <c r="AB32" s="13">
        <f t="shared" si="8"/>
        <v>-0.10221452522200514</v>
      </c>
      <c r="AC32" s="12">
        <f>+Data_Analysis!AC33</f>
        <v>1137.08</v>
      </c>
      <c r="AD32" s="12">
        <f t="shared" si="24"/>
        <v>1251.92</v>
      </c>
      <c r="AE32" s="13">
        <f t="shared" si="9"/>
        <v>-9.1731101028819872E-2</v>
      </c>
      <c r="AF32" s="12">
        <f>+Data_Analysis!AF33</f>
        <v>930.31</v>
      </c>
      <c r="AG32" s="12">
        <f t="shared" si="25"/>
        <v>1026.3399999999999</v>
      </c>
      <c r="AH32" s="13">
        <f t="shared" si="10"/>
        <v>-9.3565485121889447E-2</v>
      </c>
      <c r="AI32" s="12">
        <f>+Data_Analysis!AI33</f>
        <v>4640.21</v>
      </c>
      <c r="AJ32" s="12">
        <f t="shared" si="26"/>
        <v>5387.19</v>
      </c>
      <c r="AK32" s="13">
        <f t="shared" si="11"/>
        <v>-0.13865855854350773</v>
      </c>
      <c r="AL32" s="12">
        <f>+Data_Analysis!AL33</f>
        <v>926.86</v>
      </c>
      <c r="AM32" s="12">
        <f t="shared" si="27"/>
        <v>984.93</v>
      </c>
      <c r="AN32" s="13">
        <f t="shared" si="12"/>
        <v>-5.8958504665306055E-2</v>
      </c>
      <c r="AO32" s="12">
        <f>+Data_Analysis!AO33</f>
        <v>911.24</v>
      </c>
      <c r="AP32" s="12">
        <f t="shared" si="28"/>
        <v>995.46</v>
      </c>
      <c r="AQ32" s="13">
        <f t="shared" si="13"/>
        <v>-8.4604102625921662E-2</v>
      </c>
      <c r="AR32" s="12">
        <f>+Data_Analysis!AR33</f>
        <v>177.54</v>
      </c>
      <c r="AS32" s="12">
        <f t="shared" si="29"/>
        <v>186.67</v>
      </c>
      <c r="AT32" s="13">
        <f t="shared" si="14"/>
        <v>-4.8909840895698276E-2</v>
      </c>
    </row>
    <row r="33" spans="1:46" x14ac:dyDescent="0.25">
      <c r="A33" s="97">
        <v>46234</v>
      </c>
      <c r="B33" s="12">
        <f>+Data_Analysis!B34</f>
        <v>2179.9</v>
      </c>
      <c r="C33" s="12">
        <f t="shared" si="15"/>
        <v>2483.4499999999998</v>
      </c>
      <c r="D33" s="13">
        <f t="shared" si="0"/>
        <v>-0.12222915701946879</v>
      </c>
      <c r="E33" s="12">
        <f>+Data_Analysis!E34</f>
        <v>8163.32</v>
      </c>
      <c r="F33" s="12">
        <f t="shared" si="16"/>
        <v>8971.5499999999993</v>
      </c>
      <c r="G33" s="13">
        <f t="shared" si="1"/>
        <v>-9.0088111864727871E-2</v>
      </c>
      <c r="H33" s="12">
        <f>+Data_Analysis!H34</f>
        <v>2800.7</v>
      </c>
      <c r="I33" s="12">
        <f t="shared" si="17"/>
        <v>3112.31</v>
      </c>
      <c r="J33" s="14">
        <f t="shared" si="2"/>
        <v>-0.1001217745018973</v>
      </c>
      <c r="K33" s="12">
        <f>+Data_Analysis!K34</f>
        <v>9582.11</v>
      </c>
      <c r="L33" s="12">
        <f t="shared" si="18"/>
        <v>11617.75</v>
      </c>
      <c r="M33" s="13">
        <f t="shared" si="3"/>
        <v>-0.17521809300423918</v>
      </c>
      <c r="N33" s="12">
        <f>+Data_Analysis!N34</f>
        <v>1386.11</v>
      </c>
      <c r="O33" s="12">
        <f t="shared" si="19"/>
        <v>1583.91</v>
      </c>
      <c r="P33" s="13">
        <f t="shared" si="4"/>
        <v>-0.12488083287560536</v>
      </c>
      <c r="Q33" s="12">
        <f>+Data_Analysis!Q34</f>
        <v>1137.6300000000001</v>
      </c>
      <c r="R33" s="12">
        <f t="shared" si="20"/>
        <v>1264.24</v>
      </c>
      <c r="S33" s="13">
        <f t="shared" si="5"/>
        <v>-0.10014712396380421</v>
      </c>
      <c r="T33" s="12">
        <f>+Data_Analysis!T34</f>
        <v>248.64</v>
      </c>
      <c r="U33" s="12">
        <f t="shared" si="21"/>
        <v>276.58</v>
      </c>
      <c r="V33" s="13">
        <f t="shared" si="6"/>
        <v>-0.1010195965001085</v>
      </c>
      <c r="W33" s="12">
        <f>+Data_Analysis!W34</f>
        <v>262.10000000000002</v>
      </c>
      <c r="X33" s="12">
        <f t="shared" si="22"/>
        <v>297.58</v>
      </c>
      <c r="Y33" s="13">
        <f t="shared" si="7"/>
        <v>-0.11922844277169153</v>
      </c>
      <c r="Z33" s="12">
        <f>+Data_Analysis!Z34</f>
        <v>245.07</v>
      </c>
      <c r="AA33" s="12">
        <f t="shared" si="23"/>
        <v>271.39</v>
      </c>
      <c r="AB33" s="13">
        <f t="shared" si="8"/>
        <v>-9.6982202734072764E-2</v>
      </c>
      <c r="AC33" s="12">
        <f>+Data_Analysis!AC34</f>
        <v>1144.6300000000001</v>
      </c>
      <c r="AD33" s="12">
        <f t="shared" si="24"/>
        <v>1251.92</v>
      </c>
      <c r="AE33" s="13">
        <f t="shared" si="9"/>
        <v>-8.5700364240526516E-2</v>
      </c>
      <c r="AF33" s="12">
        <f>+Data_Analysis!AF34</f>
        <v>934.4</v>
      </c>
      <c r="AG33" s="12">
        <f t="shared" si="25"/>
        <v>1026.3399999999999</v>
      </c>
      <c r="AH33" s="13">
        <f t="shared" si="10"/>
        <v>-8.9580450922696175E-2</v>
      </c>
      <c r="AI33" s="12">
        <f>+Data_Analysis!AI34</f>
        <v>4651.83</v>
      </c>
      <c r="AJ33" s="12">
        <f t="shared" si="26"/>
        <v>5387.19</v>
      </c>
      <c r="AK33" s="13">
        <f t="shared" si="11"/>
        <v>-0.13650158988266603</v>
      </c>
      <c r="AL33" s="12">
        <f>+Data_Analysis!AL34</f>
        <v>929.7</v>
      </c>
      <c r="AM33" s="12">
        <f t="shared" si="27"/>
        <v>984.93</v>
      </c>
      <c r="AN33" s="13">
        <f t="shared" si="12"/>
        <v>-5.6075051018854016E-2</v>
      </c>
      <c r="AO33" s="12">
        <f>+Data_Analysis!AO34</f>
        <v>911.52</v>
      </c>
      <c r="AP33" s="12">
        <f t="shared" si="28"/>
        <v>995.46</v>
      </c>
      <c r="AQ33" s="13">
        <f t="shared" si="13"/>
        <v>-8.4322825628352804E-2</v>
      </c>
      <c r="AR33" s="12">
        <f>+Data_Analysis!AR34</f>
        <v>177.84</v>
      </c>
      <c r="AS33" s="12">
        <f t="shared" si="29"/>
        <v>186.67</v>
      </c>
      <c r="AT33" s="13">
        <f t="shared" si="14"/>
        <v>-4.7302726737022516E-2</v>
      </c>
    </row>
    <row r="34" spans="1:46" x14ac:dyDescent="0.25">
      <c r="A34" s="97">
        <v>46241</v>
      </c>
      <c r="B34" s="12">
        <f>+Data_Analysis!B35</f>
        <v>2265.42</v>
      </c>
      <c r="C34" s="12">
        <f t="shared" si="15"/>
        <v>2483.4499999999998</v>
      </c>
      <c r="D34" s="13">
        <f t="shared" si="0"/>
        <v>-8.7793190923916242E-2</v>
      </c>
      <c r="E34" s="12">
        <f>+Data_Analysis!E35</f>
        <v>8667.56</v>
      </c>
      <c r="F34" s="12">
        <f t="shared" si="16"/>
        <v>8971.5499999999993</v>
      </c>
      <c r="G34" s="13">
        <f t="shared" si="1"/>
        <v>-3.3883777050788266E-2</v>
      </c>
      <c r="H34" s="12">
        <f>+Data_Analysis!H35</f>
        <v>2969.53</v>
      </c>
      <c r="I34" s="12">
        <f t="shared" si="17"/>
        <v>3112.31</v>
      </c>
      <c r="J34" s="14">
        <f t="shared" si="2"/>
        <v>-4.5875892825586018E-2</v>
      </c>
      <c r="K34" s="12">
        <f>+Data_Analysis!K35</f>
        <v>10063.81</v>
      </c>
      <c r="L34" s="12">
        <f t="shared" si="18"/>
        <v>11617.75</v>
      </c>
      <c r="M34" s="13">
        <f t="shared" si="3"/>
        <v>-0.13375567558262147</v>
      </c>
      <c r="N34" s="12">
        <f>+Data_Analysis!N35</f>
        <v>1465.25</v>
      </c>
      <c r="O34" s="12">
        <f t="shared" si="19"/>
        <v>1583.91</v>
      </c>
      <c r="P34" s="13">
        <f t="shared" si="4"/>
        <v>-7.4915872745294876E-2</v>
      </c>
      <c r="Q34" s="12">
        <f>+Data_Analysis!Q35</f>
        <v>1204.26</v>
      </c>
      <c r="R34" s="12">
        <f t="shared" si="20"/>
        <v>1264.24</v>
      </c>
      <c r="S34" s="13">
        <f t="shared" si="5"/>
        <v>-4.7443523381636377E-2</v>
      </c>
      <c r="T34" s="12">
        <f>+Data_Analysis!T35</f>
        <v>262.91000000000003</v>
      </c>
      <c r="U34" s="12">
        <f t="shared" si="21"/>
        <v>276.58</v>
      </c>
      <c r="V34" s="13">
        <f t="shared" si="6"/>
        <v>-4.9425121122279148E-2</v>
      </c>
      <c r="W34" s="12">
        <f>+Data_Analysis!W35</f>
        <v>275.66000000000003</v>
      </c>
      <c r="X34" s="12">
        <f t="shared" si="22"/>
        <v>297.58</v>
      </c>
      <c r="Y34" s="13">
        <f t="shared" si="7"/>
        <v>-7.3660864305396756E-2</v>
      </c>
      <c r="Z34" s="12">
        <f>+Data_Analysis!Z35</f>
        <v>259.35000000000002</v>
      </c>
      <c r="AA34" s="12">
        <f t="shared" si="23"/>
        <v>271.39</v>
      </c>
      <c r="AB34" s="13">
        <f t="shared" si="8"/>
        <v>-4.4364199123033132E-2</v>
      </c>
      <c r="AC34" s="12">
        <f>+Data_Analysis!AC35</f>
        <v>1206.57</v>
      </c>
      <c r="AD34" s="12">
        <f t="shared" si="24"/>
        <v>1251.92</v>
      </c>
      <c r="AE34" s="13">
        <f t="shared" si="9"/>
        <v>-3.6224359383986271E-2</v>
      </c>
      <c r="AF34" s="12">
        <f>+Data_Analysis!AF35</f>
        <v>990.37</v>
      </c>
      <c r="AG34" s="12">
        <f t="shared" si="25"/>
        <v>1026.3399999999999</v>
      </c>
      <c r="AH34" s="13">
        <f t="shared" si="10"/>
        <v>-3.5046865561120022E-2</v>
      </c>
      <c r="AI34" s="12">
        <f>+Data_Analysis!AI35</f>
        <v>4888.87</v>
      </c>
      <c r="AJ34" s="12">
        <f t="shared" si="26"/>
        <v>5387.19</v>
      </c>
      <c r="AK34" s="13">
        <f t="shared" si="11"/>
        <v>-9.250091420573614E-2</v>
      </c>
      <c r="AL34" s="12">
        <f>+Data_Analysis!AL35</f>
        <v>971.58</v>
      </c>
      <c r="AM34" s="12">
        <f t="shared" si="27"/>
        <v>984.93</v>
      </c>
      <c r="AN34" s="13">
        <f t="shared" si="12"/>
        <v>-1.3554262739483902E-2</v>
      </c>
      <c r="AO34" s="12">
        <f>+Data_Analysis!AO35</f>
        <v>958.25</v>
      </c>
      <c r="AP34" s="12">
        <f t="shared" si="28"/>
        <v>995.46</v>
      </c>
      <c r="AQ34" s="13">
        <f t="shared" si="13"/>
        <v>-3.7379703855504043E-2</v>
      </c>
      <c r="AR34" s="12">
        <f>+Data_Analysis!AR35</f>
        <v>187.42</v>
      </c>
      <c r="AS34" s="12">
        <f t="shared" si="29"/>
        <v>187.42</v>
      </c>
      <c r="AT34" s="13">
        <f t="shared" si="14"/>
        <v>0</v>
      </c>
    </row>
    <row r="35" spans="1:46" x14ac:dyDescent="0.25">
      <c r="A35" s="97">
        <v>46251</v>
      </c>
      <c r="B35" s="12">
        <f>+Data_Analysis!B36</f>
        <v>2255.4699999999998</v>
      </c>
      <c r="C35" s="12">
        <f t="shared" si="15"/>
        <v>2483.4499999999998</v>
      </c>
      <c r="D35" s="13">
        <f t="shared" si="0"/>
        <v>-9.1799714107390962E-2</v>
      </c>
      <c r="E35" s="12">
        <f>+Data_Analysis!E36</f>
        <v>8632.2900000000009</v>
      </c>
      <c r="F35" s="12">
        <f t="shared" si="16"/>
        <v>8971.5499999999993</v>
      </c>
      <c r="G35" s="13">
        <f t="shared" si="1"/>
        <v>-3.7815093267049571E-2</v>
      </c>
      <c r="H35" s="12">
        <f>+Data_Analysis!H36</f>
        <v>2962.24</v>
      </c>
      <c r="I35" s="12">
        <f t="shared" si="17"/>
        <v>3112.31</v>
      </c>
      <c r="J35" s="14">
        <f t="shared" si="2"/>
        <v>-4.8218204484771765E-2</v>
      </c>
      <c r="K35" s="12">
        <f>+Data_Analysis!K36</f>
        <v>9990.7099999999991</v>
      </c>
      <c r="L35" s="12">
        <f t="shared" si="18"/>
        <v>11617.75</v>
      </c>
      <c r="M35" s="13">
        <f t="shared" si="3"/>
        <v>-0.14004777172860505</v>
      </c>
      <c r="N35" s="12">
        <f>+Data_Analysis!N36</f>
        <v>1461.35</v>
      </c>
      <c r="O35" s="12">
        <f t="shared" si="19"/>
        <v>1583.91</v>
      </c>
      <c r="P35" s="13">
        <f t="shared" si="4"/>
        <v>-7.7378133858615805E-2</v>
      </c>
      <c r="Q35" s="12">
        <f>+Data_Analysis!Q36</f>
        <v>1201</v>
      </c>
      <c r="R35" s="12">
        <f t="shared" ref="R35:R38" si="30">MAX(R34,Q35)</f>
        <v>1264.24</v>
      </c>
      <c r="S35" s="13">
        <f t="shared" ref="S35:S38" si="31">Q35/R35-1</f>
        <v>-5.0022147693475905E-2</v>
      </c>
      <c r="T35" s="12">
        <f>+Data_Analysis!T36</f>
        <v>262.24</v>
      </c>
      <c r="U35" s="12">
        <f t="shared" ref="U35:U38" si="32">MAX(U34,T35)</f>
        <v>276.58</v>
      </c>
      <c r="V35" s="13">
        <f t="shared" ref="V35:V38" si="33">T35/U35-1</f>
        <v>-5.1847566707643233E-2</v>
      </c>
      <c r="W35" s="12">
        <f>+Data_Analysis!W36</f>
        <v>275.27</v>
      </c>
      <c r="X35" s="12">
        <f t="shared" ref="X35:X38" si="34">MAX(X34,W35)</f>
        <v>297.58</v>
      </c>
      <c r="Y35" s="13">
        <f t="shared" ref="Y35:Y38" si="35">W35/X35-1</f>
        <v>-7.4971436252436296E-2</v>
      </c>
      <c r="Z35" s="12">
        <f>+Data_Analysis!Z36</f>
        <v>258.61</v>
      </c>
      <c r="AA35" s="12">
        <f t="shared" ref="AA35:AA38" si="36">MAX(AA34,Z35)</f>
        <v>271.39</v>
      </c>
      <c r="AB35" s="13">
        <f t="shared" ref="AB35:AB38" si="37">Z35/AA35-1</f>
        <v>-4.7090902391392353E-2</v>
      </c>
      <c r="AC35" s="12">
        <f>+Data_Analysis!AC36</f>
        <v>1203.8699999999999</v>
      </c>
      <c r="AD35" s="12">
        <f t="shared" ref="AD35:AD38" si="38">MAX(AD34,AC35)</f>
        <v>1251.92</v>
      </c>
      <c r="AE35" s="13">
        <f t="shared" ref="AE35:AE38" si="39">AC35/AD35-1</f>
        <v>-3.8381046712250177E-2</v>
      </c>
      <c r="AF35" s="12">
        <f>+Data_Analysis!AF36</f>
        <v>988.25</v>
      </c>
      <c r="AG35" s="12">
        <f t="shared" ref="AG35:AG38" si="40">MAX(AG34,AF35)</f>
        <v>1026.3399999999999</v>
      </c>
      <c r="AH35" s="13">
        <f t="shared" si="10"/>
        <v>-3.7112457859968306E-2</v>
      </c>
      <c r="AI35" s="12">
        <f>+Data_Analysis!AI36</f>
        <v>4857.0200000000004</v>
      </c>
      <c r="AJ35" s="12">
        <f t="shared" ref="AJ35:AJ38" si="41">MAX(AJ34,AI35)</f>
        <v>5387.19</v>
      </c>
      <c r="AK35" s="13">
        <f t="shared" ref="AK35:AK38" si="42">AI35/AJ35-1</f>
        <v>-9.8413087342380523E-2</v>
      </c>
      <c r="AL35" s="12">
        <f>+Data_Analysis!AL36</f>
        <v>972.17</v>
      </c>
      <c r="AM35" s="12">
        <f t="shared" ref="AM35:AM38" si="43">MAX(AM34,AL35)</f>
        <v>984.93</v>
      </c>
      <c r="AN35" s="13">
        <f t="shared" ref="AN35:AN38" si="44">AL35/AM35-1</f>
        <v>-1.2955235397439369E-2</v>
      </c>
      <c r="AO35" s="12">
        <f>+Data_Analysis!AO36</f>
        <v>958.85</v>
      </c>
      <c r="AP35" s="12">
        <f t="shared" ref="AP35:AP38" si="45">MAX(AP34,AO35)</f>
        <v>995.46</v>
      </c>
      <c r="AQ35" s="13">
        <f t="shared" ref="AQ35:AQ38" si="46">AO35/AP35-1</f>
        <v>-3.6776967432141983E-2</v>
      </c>
      <c r="AR35" s="12">
        <f>+Data_Analysis!AR36</f>
        <v>187.65</v>
      </c>
      <c r="AS35" s="12">
        <f t="shared" ref="AS35:AS38" si="47">MAX(AS34,AR35)</f>
        <v>187.65</v>
      </c>
      <c r="AT35" s="13">
        <f t="shared" ref="AT35:AT38" si="48">AR35/AS35-1</f>
        <v>0</v>
      </c>
    </row>
    <row r="36" spans="1:46" x14ac:dyDescent="0.25">
      <c r="A36" s="97">
        <v>46258</v>
      </c>
      <c r="B36" s="12">
        <f>+Data_Analysis!B37</f>
        <v>2271.62</v>
      </c>
      <c r="C36" s="12">
        <f t="shared" si="15"/>
        <v>2483.4499999999998</v>
      </c>
      <c r="D36" s="13">
        <f t="shared" si="0"/>
        <v>-8.5296663915118032E-2</v>
      </c>
      <c r="E36" s="12">
        <f>+Data_Analysis!E37</f>
        <v>8743.67</v>
      </c>
      <c r="F36" s="12">
        <f t="shared" si="16"/>
        <v>8971.5499999999993</v>
      </c>
      <c r="G36" s="13">
        <f t="shared" si="1"/>
        <v>-2.5400293148898356E-2</v>
      </c>
      <c r="H36" s="12">
        <f>+Data_Analysis!H37</f>
        <v>3008.6</v>
      </c>
      <c r="I36" s="12">
        <f t="shared" si="17"/>
        <v>3112.31</v>
      </c>
      <c r="J36" s="14">
        <f t="shared" si="2"/>
        <v>-3.3322516073270303E-2</v>
      </c>
      <c r="K36" s="12">
        <f>+Data_Analysis!K37</f>
        <v>9988.1200000000008</v>
      </c>
      <c r="L36" s="12">
        <f t="shared" si="18"/>
        <v>11617.75</v>
      </c>
      <c r="M36" s="13">
        <f t="shared" si="3"/>
        <v>-0.14027070646209461</v>
      </c>
      <c r="N36" s="12">
        <f>+Data_Analysis!N37</f>
        <v>1482.37</v>
      </c>
      <c r="O36" s="12">
        <f t="shared" si="19"/>
        <v>1583.91</v>
      </c>
      <c r="P36" s="13">
        <f t="shared" si="4"/>
        <v>-6.4107177806819959E-2</v>
      </c>
      <c r="Q36" s="12">
        <f>+Data_Analysis!Q37</f>
        <v>1216.49</v>
      </c>
      <c r="R36" s="12">
        <f t="shared" si="30"/>
        <v>1264.24</v>
      </c>
      <c r="S36" s="13">
        <f t="shared" si="31"/>
        <v>-3.7769727266974584E-2</v>
      </c>
      <c r="T36" s="12">
        <f>+Data_Analysis!T37</f>
        <v>278.88</v>
      </c>
      <c r="U36" s="12">
        <f t="shared" si="32"/>
        <v>278.88</v>
      </c>
      <c r="V36" s="13">
        <f t="shared" si="33"/>
        <v>0</v>
      </c>
      <c r="W36" s="12">
        <f>+Data_Analysis!W37</f>
        <v>278.88</v>
      </c>
      <c r="X36" s="12">
        <f t="shared" si="34"/>
        <v>297.58</v>
      </c>
      <c r="Y36" s="13">
        <f t="shared" si="35"/>
        <v>-6.2840244640096743E-2</v>
      </c>
      <c r="Z36" s="12">
        <f>+Data_Analysis!Z37</f>
        <v>262.60000000000002</v>
      </c>
      <c r="AA36" s="12">
        <f t="shared" si="36"/>
        <v>271.39</v>
      </c>
      <c r="AB36" s="13">
        <f t="shared" si="37"/>
        <v>-3.2388813147131268E-2</v>
      </c>
      <c r="AC36" s="12">
        <f>+Data_Analysis!AC37</f>
        <v>1219.33</v>
      </c>
      <c r="AD36" s="12">
        <f t="shared" si="38"/>
        <v>1251.92</v>
      </c>
      <c r="AE36" s="13">
        <f t="shared" si="39"/>
        <v>-2.6032014825228544E-2</v>
      </c>
      <c r="AF36" s="12">
        <f>+Data_Analysis!AF37</f>
        <v>977.96</v>
      </c>
      <c r="AG36" s="12">
        <f t="shared" si="40"/>
        <v>1026.3399999999999</v>
      </c>
      <c r="AH36" s="13">
        <f t="shared" si="10"/>
        <v>-4.7138375197302906E-2</v>
      </c>
      <c r="AI36" s="12">
        <f>+Data_Analysis!AI37</f>
        <v>4891.8</v>
      </c>
      <c r="AJ36" s="12">
        <f t="shared" si="41"/>
        <v>5387.19</v>
      </c>
      <c r="AK36" s="13">
        <f t="shared" si="42"/>
        <v>-9.195703140227085E-2</v>
      </c>
      <c r="AL36" s="12">
        <f>+Data_Analysis!AL37</f>
        <v>977.96</v>
      </c>
      <c r="AM36" s="12">
        <f t="shared" si="43"/>
        <v>984.93</v>
      </c>
      <c r="AN36" s="13">
        <f t="shared" si="44"/>
        <v>-7.0766450407642179E-3</v>
      </c>
      <c r="AO36" s="12">
        <f>+Data_Analysis!AO37</f>
        <v>973.26</v>
      </c>
      <c r="AP36" s="12">
        <f t="shared" si="45"/>
        <v>995.46</v>
      </c>
      <c r="AQ36" s="13">
        <f t="shared" si="46"/>
        <v>-2.2301247664396451E-2</v>
      </c>
      <c r="AR36" s="12">
        <f>+Data_Analysis!AR37</f>
        <v>190.34</v>
      </c>
      <c r="AS36" s="12">
        <f t="shared" si="47"/>
        <v>190.34</v>
      </c>
      <c r="AT36" s="13">
        <f t="shared" si="48"/>
        <v>0</v>
      </c>
    </row>
    <row r="37" spans="1:46" x14ac:dyDescent="0.25">
      <c r="A37" s="97">
        <v>46262</v>
      </c>
      <c r="B37" s="12">
        <f>+Data_Analysis!B38</f>
        <v>2255.0500000000002</v>
      </c>
      <c r="C37" s="12">
        <f t="shared" si="15"/>
        <v>2483.4499999999998</v>
      </c>
      <c r="D37" s="13">
        <f t="shared" si="0"/>
        <v>-9.1968833678954587E-2</v>
      </c>
      <c r="E37" s="12">
        <f>+Data_Analysis!E38</f>
        <v>8656.5300000000007</v>
      </c>
      <c r="F37" s="12">
        <f t="shared" si="16"/>
        <v>8971.5499999999993</v>
      </c>
      <c r="G37" s="13">
        <f t="shared" si="1"/>
        <v>-3.5113219008978236E-2</v>
      </c>
      <c r="H37" s="12">
        <f>+Data_Analysis!H38</f>
        <v>2976.25</v>
      </c>
      <c r="I37" s="12">
        <f t="shared" si="17"/>
        <v>3112.31</v>
      </c>
      <c r="J37" s="14">
        <f t="shared" si="2"/>
        <v>-4.371672487637801E-2</v>
      </c>
      <c r="K37" s="12">
        <f>+Data_Analysis!K38</f>
        <v>9927.86</v>
      </c>
      <c r="L37" s="12">
        <f t="shared" si="18"/>
        <v>11617.75</v>
      </c>
      <c r="M37" s="13">
        <f t="shared" si="3"/>
        <v>-0.14545759721116391</v>
      </c>
      <c r="N37" s="12">
        <f>+Data_Analysis!N38</f>
        <v>1467.89</v>
      </c>
      <c r="O37" s="12">
        <f t="shared" si="19"/>
        <v>1583.91</v>
      </c>
      <c r="P37" s="13">
        <f t="shared" si="4"/>
        <v>-7.3249111376277654E-2</v>
      </c>
      <c r="Q37" s="12">
        <f>+Data_Analysis!Q38</f>
        <v>1204.06</v>
      </c>
      <c r="R37" s="12">
        <f t="shared" si="30"/>
        <v>1264.24</v>
      </c>
      <c r="S37" s="13">
        <f t="shared" si="31"/>
        <v>-4.7601721192178759E-2</v>
      </c>
      <c r="T37" s="12">
        <f>+Data_Analysis!T38</f>
        <v>276.18</v>
      </c>
      <c r="U37" s="12">
        <f t="shared" si="32"/>
        <v>278.88</v>
      </c>
      <c r="V37" s="13">
        <f t="shared" si="33"/>
        <v>-9.6815834767641773E-3</v>
      </c>
      <c r="W37" s="12">
        <f>+Data_Analysis!W38</f>
        <v>276.18</v>
      </c>
      <c r="X37" s="12">
        <f t="shared" si="34"/>
        <v>297.58</v>
      </c>
      <c r="Y37" s="13">
        <f t="shared" si="35"/>
        <v>-7.1913435042677554E-2</v>
      </c>
      <c r="Z37" s="12">
        <f>+Data_Analysis!Z38</f>
        <v>259.75</v>
      </c>
      <c r="AA37" s="12">
        <f t="shared" si="36"/>
        <v>271.39</v>
      </c>
      <c r="AB37" s="13">
        <f t="shared" si="37"/>
        <v>-4.289030546446071E-2</v>
      </c>
      <c r="AC37" s="12">
        <f>+Data_Analysis!AC38</f>
        <v>1207.72</v>
      </c>
      <c r="AD37" s="12">
        <f t="shared" si="38"/>
        <v>1251.92</v>
      </c>
      <c r="AE37" s="13">
        <f t="shared" si="39"/>
        <v>-3.5305770336762743E-2</v>
      </c>
      <c r="AF37" s="12">
        <f>+Data_Analysis!AF38</f>
        <v>967.96</v>
      </c>
      <c r="AG37" s="12">
        <f t="shared" si="40"/>
        <v>1026.3399999999999</v>
      </c>
      <c r="AH37" s="13">
        <f t="shared" si="10"/>
        <v>-5.6881735097530917E-2</v>
      </c>
      <c r="AI37" s="12">
        <f>+Data_Analysis!AI38</f>
        <v>4857.3599999999997</v>
      </c>
      <c r="AJ37" s="12">
        <f t="shared" si="41"/>
        <v>5387.19</v>
      </c>
      <c r="AK37" s="13">
        <f t="shared" si="42"/>
        <v>-9.8349974662115147E-2</v>
      </c>
      <c r="AL37" s="12">
        <f>+Data_Analysis!AL38</f>
        <v>967.96</v>
      </c>
      <c r="AM37" s="12">
        <f t="shared" si="43"/>
        <v>984.93</v>
      </c>
      <c r="AN37" s="13">
        <f t="shared" si="44"/>
        <v>-1.722965083813055E-2</v>
      </c>
      <c r="AO37" s="12">
        <f>+Data_Analysis!AO38</f>
        <v>962.54</v>
      </c>
      <c r="AP37" s="12">
        <f t="shared" si="45"/>
        <v>995.46</v>
      </c>
      <c r="AQ37" s="13">
        <f t="shared" si="46"/>
        <v>-3.307013842846529E-2</v>
      </c>
      <c r="AR37" s="12">
        <f>+Data_Analysis!AR38</f>
        <v>188.32</v>
      </c>
      <c r="AS37" s="12">
        <f t="shared" si="47"/>
        <v>190.34</v>
      </c>
      <c r="AT37" s="13">
        <f t="shared" si="48"/>
        <v>-1.0612588000420309E-2</v>
      </c>
    </row>
    <row r="38" spans="1:46" x14ac:dyDescent="0.25">
      <c r="A38" s="97">
        <v>46269</v>
      </c>
      <c r="B38" s="12">
        <f>+Data_Analysis!B39</f>
        <v>2238.9499999999998</v>
      </c>
      <c r="C38" s="12">
        <f t="shared" si="15"/>
        <v>2483.4499999999998</v>
      </c>
      <c r="D38" s="13">
        <f t="shared" si="0"/>
        <v>-9.8451750588898546E-2</v>
      </c>
      <c r="E38" s="12">
        <f>+Data_Analysis!E39</f>
        <v>8615.82</v>
      </c>
      <c r="F38" s="12">
        <f t="shared" si="16"/>
        <v>8971.5499999999993</v>
      </c>
      <c r="G38" s="13">
        <f t="shared" si="1"/>
        <v>-3.9650896444872963E-2</v>
      </c>
      <c r="H38" s="12">
        <f>+Data_Analysis!H39</f>
        <v>2953.19</v>
      </c>
      <c r="I38" s="12">
        <f t="shared" si="17"/>
        <v>3112.31</v>
      </c>
      <c r="J38" s="14">
        <f t="shared" si="2"/>
        <v>-5.1126012511607088E-2</v>
      </c>
      <c r="K38" s="12">
        <f>+Data_Analysis!K39</f>
        <v>9801.58</v>
      </c>
      <c r="L38" s="12">
        <f t="shared" si="18"/>
        <v>11617.75</v>
      </c>
      <c r="M38" s="13">
        <f t="shared" si="3"/>
        <v>-0.1563271717845538</v>
      </c>
      <c r="N38" s="12">
        <f>+Data_Analysis!N39</f>
        <v>1454.6</v>
      </c>
      <c r="O38" s="12">
        <f t="shared" si="19"/>
        <v>1583.91</v>
      </c>
      <c r="P38" s="13">
        <f t="shared" si="4"/>
        <v>-8.1639739631671149E-2</v>
      </c>
      <c r="Q38" s="12">
        <f>+Data_Analysis!Q39</f>
        <v>1194.83</v>
      </c>
      <c r="R38" s="12">
        <f t="shared" si="30"/>
        <v>1264.24</v>
      </c>
      <c r="S38" s="13">
        <f t="shared" si="31"/>
        <v>-5.4902550148706042E-2</v>
      </c>
      <c r="T38" s="12">
        <f>+Data_Analysis!T39</f>
        <v>274.97000000000003</v>
      </c>
      <c r="U38" s="12">
        <f t="shared" si="32"/>
        <v>278.88</v>
      </c>
      <c r="V38" s="13">
        <f t="shared" si="33"/>
        <v>-1.402036718301769E-2</v>
      </c>
      <c r="W38" s="12">
        <f>+Data_Analysis!W39</f>
        <v>274.97000000000003</v>
      </c>
      <c r="X38" s="12">
        <f t="shared" si="34"/>
        <v>297.58</v>
      </c>
      <c r="Y38" s="13">
        <f t="shared" si="35"/>
        <v>-7.5979568519389584E-2</v>
      </c>
      <c r="Z38" s="12">
        <f>+Data_Analysis!Z39</f>
        <v>257.82</v>
      </c>
      <c r="AA38" s="12">
        <f t="shared" si="36"/>
        <v>271.39</v>
      </c>
      <c r="AB38" s="13">
        <f t="shared" si="37"/>
        <v>-5.0001842367073168E-2</v>
      </c>
      <c r="AC38" s="12">
        <f>+Data_Analysis!AC39</f>
        <v>1200.6600000000001</v>
      </c>
      <c r="AD38" s="12">
        <f t="shared" si="38"/>
        <v>1251.92</v>
      </c>
      <c r="AE38" s="13">
        <f t="shared" si="39"/>
        <v>-4.0945108313630296E-2</v>
      </c>
      <c r="AF38" s="12">
        <f>+Data_Analysis!AF39</f>
        <v>969.81</v>
      </c>
      <c r="AG38" s="12">
        <f t="shared" si="40"/>
        <v>1026.3399999999999</v>
      </c>
      <c r="AH38" s="13">
        <f t="shared" si="10"/>
        <v>-5.5079213515988878E-2</v>
      </c>
      <c r="AI38" s="12">
        <f>+Data_Analysis!AI39</f>
        <v>4814.75</v>
      </c>
      <c r="AJ38" s="12">
        <f t="shared" si="41"/>
        <v>5387.19</v>
      </c>
      <c r="AK38" s="13">
        <f t="shared" si="42"/>
        <v>-0.10625947850363537</v>
      </c>
      <c r="AL38" s="12">
        <f>+Data_Analysis!AL39</f>
        <v>969.81</v>
      </c>
      <c r="AM38" s="12">
        <f t="shared" si="43"/>
        <v>984.93</v>
      </c>
      <c r="AN38" s="13">
        <f t="shared" si="44"/>
        <v>-1.5351344765617836E-2</v>
      </c>
      <c r="AO38" s="12">
        <f>+Data_Analysis!AO39</f>
        <v>962.8</v>
      </c>
      <c r="AP38" s="12">
        <f t="shared" si="45"/>
        <v>995.46</v>
      </c>
      <c r="AQ38" s="13">
        <f t="shared" si="46"/>
        <v>-3.2808952645008382E-2</v>
      </c>
      <c r="AR38" s="12">
        <f>+Data_Analysis!AR39</f>
        <v>188.7</v>
      </c>
      <c r="AS38" s="12">
        <f t="shared" si="47"/>
        <v>190.34</v>
      </c>
      <c r="AT38" s="13">
        <f t="shared" si="48"/>
        <v>-8.6161605547967479E-3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A01D-7EF9-470B-A443-E23F3D43CF23}">
  <sheetPr>
    <tabColor rgb="FFFFC000"/>
  </sheetPr>
  <dimension ref="A1:L17"/>
  <sheetViews>
    <sheetView workbookViewId="0">
      <selection sqref="A1:B17"/>
    </sheetView>
  </sheetViews>
  <sheetFormatPr baseColWidth="10" defaultColWidth="31.140625" defaultRowHeight="15" x14ac:dyDescent="0.25"/>
  <cols>
    <col min="1" max="1" width="31.140625" style="1"/>
    <col min="2" max="2" width="12.28515625" style="1" bestFit="1" customWidth="1"/>
    <col min="3" max="3" width="15.140625" style="1" bestFit="1" customWidth="1"/>
    <col min="4" max="4" width="15.140625" style="1" customWidth="1"/>
    <col min="5" max="5" width="11.5703125" style="1" bestFit="1" customWidth="1"/>
    <col min="6" max="6" width="13" style="1" bestFit="1" customWidth="1"/>
    <col min="7" max="7" width="12.28515625" style="1" bestFit="1" customWidth="1"/>
    <col min="8" max="8" width="11.5703125" style="1" bestFit="1" customWidth="1"/>
    <col min="9" max="11" width="12.28515625" style="1" bestFit="1" customWidth="1"/>
    <col min="12" max="12" width="7.85546875" style="1" customWidth="1"/>
    <col min="13" max="16384" width="31.140625" style="1"/>
  </cols>
  <sheetData>
    <row r="1" spans="1:12" ht="30" x14ac:dyDescent="0.25">
      <c r="A1" s="98" t="s">
        <v>49</v>
      </c>
      <c r="B1" s="98" t="s">
        <v>24</v>
      </c>
      <c r="C1" s="98" t="s">
        <v>1715</v>
      </c>
      <c r="D1" s="98" t="s">
        <v>1733</v>
      </c>
      <c r="E1" s="98" t="s">
        <v>50</v>
      </c>
      <c r="F1" s="98" t="s">
        <v>1716</v>
      </c>
      <c r="G1" s="98" t="s">
        <v>51</v>
      </c>
      <c r="H1" s="98" t="s">
        <v>52</v>
      </c>
      <c r="I1" s="98" t="s">
        <v>26</v>
      </c>
      <c r="J1" s="98" t="s">
        <v>53</v>
      </c>
      <c r="K1" s="98" t="s">
        <v>54</v>
      </c>
      <c r="L1" s="98" t="s">
        <v>55</v>
      </c>
    </row>
    <row r="2" spans="1:12" x14ac:dyDescent="0.25">
      <c r="A2" s="99" t="s">
        <v>12</v>
      </c>
      <c r="B2" s="100">
        <v>7.9025617566331086E-2</v>
      </c>
      <c r="C2" s="100">
        <v>0.119980792394075</v>
      </c>
      <c r="D2" s="100">
        <f>+B2-$B$17</f>
        <v>3.493047488090717E-2</v>
      </c>
      <c r="E2" s="101">
        <v>0.18698189048311409</v>
      </c>
      <c r="F2" s="101">
        <v>2.2096896630559509E-2</v>
      </c>
      <c r="G2" s="102">
        <v>0.52133814746556051</v>
      </c>
      <c r="H2" s="102">
        <v>1.0045010744838241</v>
      </c>
      <c r="I2" s="103">
        <v>9.7043990166129801E-2</v>
      </c>
      <c r="J2" s="102">
        <v>2.4249494977110642</v>
      </c>
      <c r="K2" s="101">
        <v>-3.7564045537901408E-2</v>
      </c>
      <c r="L2" s="99">
        <v>1</v>
      </c>
    </row>
    <row r="3" spans="1:12" x14ac:dyDescent="0.25">
      <c r="A3" s="99" t="s">
        <v>4</v>
      </c>
      <c r="B3" s="100">
        <v>4.7345166450826648E-2</v>
      </c>
      <c r="C3" s="100">
        <v>7.1345996016689783E-2</v>
      </c>
      <c r="D3" s="100">
        <f t="shared" ref="D3:D16" si="0">+B3-$B$17</f>
        <v>3.250023765402732E-3</v>
      </c>
      <c r="E3" s="101">
        <v>0.2014504246520622</v>
      </c>
      <c r="F3" s="101">
        <v>6.5895862618315634E-2</v>
      </c>
      <c r="G3" s="102">
        <v>0.24247154654081671</v>
      </c>
      <c r="H3" s="102">
        <v>1.030345986434458</v>
      </c>
      <c r="I3" s="103">
        <v>4.7407372532912738E-2</v>
      </c>
      <c r="J3" s="102">
        <v>7.510429048526937E-2</v>
      </c>
      <c r="K3" s="101">
        <v>-3.7761915861271297E-2</v>
      </c>
      <c r="L3" s="99">
        <v>2</v>
      </c>
    </row>
    <row r="4" spans="1:12" x14ac:dyDescent="0.25">
      <c r="A4" s="99" t="s">
        <v>10</v>
      </c>
      <c r="B4" s="100">
        <v>4.389524557872182E-2</v>
      </c>
      <c r="C4" s="100">
        <v>6.6092781266276601E-2</v>
      </c>
      <c r="D4" s="100">
        <f t="shared" si="0"/>
        <v>-1.9989710670209604E-4</v>
      </c>
      <c r="E4" s="101">
        <v>0.16769494648216651</v>
      </c>
      <c r="F4" s="101">
        <v>3.2886061411234957E-2</v>
      </c>
      <c r="G4" s="102">
        <v>0.25995286191234429</v>
      </c>
      <c r="H4" s="102">
        <v>0.89571208816603476</v>
      </c>
      <c r="I4" s="103">
        <v>4.8668296255253811E-2</v>
      </c>
      <c r="J4" s="102">
        <v>-9.2486825572214264E-3</v>
      </c>
      <c r="K4" s="101">
        <v>-3.4690796298633239E-2</v>
      </c>
      <c r="L4" s="99">
        <v>3</v>
      </c>
    </row>
    <row r="5" spans="1:12" x14ac:dyDescent="0.25">
      <c r="A5" s="99" t="s">
        <v>11</v>
      </c>
      <c r="B5" s="100">
        <v>1.8318737572449839E-2</v>
      </c>
      <c r="C5" s="100">
        <v>2.7413235922661091E-2</v>
      </c>
      <c r="D5" s="100">
        <f t="shared" si="0"/>
        <v>-2.5776405112974077E-2</v>
      </c>
      <c r="E5" s="101">
        <v>0.17204863995438249</v>
      </c>
      <c r="F5" s="101">
        <v>2.668732566700437E-2</v>
      </c>
      <c r="G5" s="102">
        <v>2.8557249414838771E-2</v>
      </c>
      <c r="H5" s="102">
        <v>0.92276234811125957</v>
      </c>
      <c r="I5" s="103">
        <v>5.3244867789823333E-3</v>
      </c>
      <c r="J5" s="102">
        <v>-1.460757011496431</v>
      </c>
      <c r="K5" s="101">
        <v>-3.6841659132044097E-2</v>
      </c>
      <c r="L5" s="99">
        <v>4</v>
      </c>
    </row>
    <row r="6" spans="1:12" x14ac:dyDescent="0.25">
      <c r="A6" s="99" t="s">
        <v>14</v>
      </c>
      <c r="B6" s="100">
        <v>1.332426936453013E-2</v>
      </c>
      <c r="C6" s="100">
        <v>1.9915069775884531E-2</v>
      </c>
      <c r="D6" s="100">
        <f t="shared" si="0"/>
        <v>-3.0770873320893788E-2</v>
      </c>
      <c r="E6" s="101">
        <v>0.20237550947067409</v>
      </c>
      <c r="F6" s="101">
        <v>2.4147724826915559E-2</v>
      </c>
      <c r="G6" s="102">
        <v>-1.277293992181423E-2</v>
      </c>
      <c r="H6" s="102">
        <v>1.0908253947753279</v>
      </c>
      <c r="I6" s="103">
        <v>-2.369701179030465E-3</v>
      </c>
      <c r="J6" s="102">
        <v>-1.924896219669201</v>
      </c>
      <c r="K6" s="101">
        <v>-3.8654890006874443E-2</v>
      </c>
      <c r="L6" s="99">
        <v>5</v>
      </c>
    </row>
    <row r="7" spans="1:12" x14ac:dyDescent="0.25">
      <c r="A7" s="99" t="s">
        <v>7</v>
      </c>
      <c r="B7" s="100">
        <v>8.771487624136709E-3</v>
      </c>
      <c r="C7" s="100">
        <v>1.309575576052047E-2</v>
      </c>
      <c r="D7" s="100">
        <f t="shared" si="0"/>
        <v>-3.5323655061287207E-2</v>
      </c>
      <c r="E7" s="101">
        <v>0.19346964339736181</v>
      </c>
      <c r="F7" s="101">
        <v>1.6012671463649909E-2</v>
      </c>
      <c r="G7" s="102">
        <v>-4.8608371185987147E-2</v>
      </c>
      <c r="H7" s="102">
        <v>1.044015685810791</v>
      </c>
      <c r="I7" s="103">
        <v>-9.0077614419903328E-3</v>
      </c>
      <c r="J7" s="102">
        <v>-3.3286874316571118</v>
      </c>
      <c r="K7" s="101">
        <v>-3.7698956908196753E-2</v>
      </c>
      <c r="L7" s="99">
        <v>6</v>
      </c>
    </row>
    <row r="8" spans="1:12" x14ac:dyDescent="0.25">
      <c r="A8" s="99" t="s">
        <v>6</v>
      </c>
      <c r="B8" s="100">
        <v>3.2296976536050348E-3</v>
      </c>
      <c r="C8" s="100">
        <v>4.8153940040087662E-3</v>
      </c>
      <c r="D8" s="100">
        <f t="shared" si="0"/>
        <v>-4.0865445031818881E-2</v>
      </c>
      <c r="E8" s="101">
        <v>0.19922148435275491</v>
      </c>
      <c r="F8" s="101">
        <v>1.7834843289328599E-2</v>
      </c>
      <c r="G8" s="102">
        <v>-8.8768568578064005E-2</v>
      </c>
      <c r="H8" s="102">
        <v>1.0761674778470629</v>
      </c>
      <c r="I8" s="103">
        <v>-1.6432949666319901E-2</v>
      </c>
      <c r="J8" s="102">
        <v>-3.4528781108867199</v>
      </c>
      <c r="K8" s="101">
        <v>-3.9498921361947097E-2</v>
      </c>
      <c r="L8" s="99">
        <v>7</v>
      </c>
    </row>
    <row r="9" spans="1:12" x14ac:dyDescent="0.25">
      <c r="A9" s="99" t="s">
        <v>0</v>
      </c>
      <c r="B9" s="100">
        <v>2.1276451345810798E-3</v>
      </c>
      <c r="C9" s="100">
        <v>3.1714080608513662E-3</v>
      </c>
      <c r="D9" s="100">
        <f t="shared" si="0"/>
        <v>-4.1967497550842836E-2</v>
      </c>
      <c r="E9" s="101">
        <v>0.19292662582550871</v>
      </c>
      <c r="F9" s="101">
        <v>2.0634817797171131E-2</v>
      </c>
      <c r="G9" s="102">
        <v>-0.10018623327103771</v>
      </c>
      <c r="H9" s="102">
        <v>1.0384662248865411</v>
      </c>
      <c r="I9" s="103">
        <v>-1.8612634167529521E-2</v>
      </c>
      <c r="J9" s="102">
        <v>-3.064021527567971</v>
      </c>
      <c r="K9" s="101">
        <v>-3.91006478380223E-2</v>
      </c>
      <c r="L9" s="99">
        <v>8</v>
      </c>
    </row>
    <row r="10" spans="1:12" x14ac:dyDescent="0.25">
      <c r="A10" s="99" t="s">
        <v>8</v>
      </c>
      <c r="B10" s="100">
        <v>-1.6881980544547479E-3</v>
      </c>
      <c r="C10" s="100">
        <v>-2.5140304508243232E-3</v>
      </c>
      <c r="D10" s="100">
        <f t="shared" si="0"/>
        <v>-4.5783340739878664E-2</v>
      </c>
      <c r="E10" s="101">
        <v>0.19909760942338731</v>
      </c>
      <c r="F10" s="101">
        <v>3.7588960495778173E-2</v>
      </c>
      <c r="G10" s="102">
        <v>-0.12563702057130791</v>
      </c>
      <c r="H10" s="102">
        <v>1.0594230942851499</v>
      </c>
      <c r="I10" s="103">
        <v>-2.361099223318577E-2</v>
      </c>
      <c r="J10" s="102">
        <v>-1.8332766735432999</v>
      </c>
      <c r="K10" s="101">
        <v>-3.7355670176377309E-2</v>
      </c>
      <c r="L10" s="99">
        <v>9</v>
      </c>
    </row>
    <row r="11" spans="1:12" x14ac:dyDescent="0.25">
      <c r="A11" s="99" t="s">
        <v>3</v>
      </c>
      <c r="B11" s="100">
        <v>-3.7022522034237948E-3</v>
      </c>
      <c r="C11" s="100">
        <v>-5.5105962169433864E-3</v>
      </c>
      <c r="D11" s="100">
        <f t="shared" si="0"/>
        <v>-4.7797394888847711E-2</v>
      </c>
      <c r="E11" s="101">
        <v>0.20596445711015471</v>
      </c>
      <c r="F11" s="101">
        <v>2.751293032693905E-2</v>
      </c>
      <c r="G11" s="102">
        <v>-0.13599723277479209</v>
      </c>
      <c r="H11" s="102">
        <v>1.1097279226436609</v>
      </c>
      <c r="I11" s="103">
        <v>-2.5240958297431011E-2</v>
      </c>
      <c r="J11" s="102">
        <v>-2.6135903871846811</v>
      </c>
      <c r="K11" s="101">
        <v>-3.8832271914979073E-2</v>
      </c>
      <c r="L11" s="99">
        <v>10</v>
      </c>
    </row>
    <row r="12" spans="1:12" x14ac:dyDescent="0.25">
      <c r="A12" s="99" t="s">
        <v>5</v>
      </c>
      <c r="B12" s="100">
        <v>-2.9780177128541641E-2</v>
      </c>
      <c r="C12" s="100">
        <v>-4.4041160167962563E-2</v>
      </c>
      <c r="D12" s="100">
        <f t="shared" si="0"/>
        <v>-7.3875319813965556E-2</v>
      </c>
      <c r="E12" s="101">
        <v>0.18333330498602959</v>
      </c>
      <c r="F12" s="101">
        <v>1.9696469891294751E-2</v>
      </c>
      <c r="G12" s="102">
        <v>-0.36295183885455579</v>
      </c>
      <c r="H12" s="102">
        <v>0.98619646329445398</v>
      </c>
      <c r="I12" s="103">
        <v>-6.7472519568441192E-2</v>
      </c>
      <c r="J12" s="102">
        <v>-5.6069993651806254</v>
      </c>
      <c r="K12" s="101">
        <v>-3.9687055767840151E-2</v>
      </c>
      <c r="L12" s="99">
        <v>11</v>
      </c>
    </row>
    <row r="13" spans="1:12" x14ac:dyDescent="0.25">
      <c r="A13" s="99" t="s">
        <v>2</v>
      </c>
      <c r="B13" s="100">
        <v>-3.5366363160093783E-2</v>
      </c>
      <c r="C13" s="100">
        <v>-5.2229536973659063E-2</v>
      </c>
      <c r="D13" s="100">
        <f t="shared" si="0"/>
        <v>-7.9461505845517699E-2</v>
      </c>
      <c r="E13" s="101">
        <v>0.1891307452159707</v>
      </c>
      <c r="F13" s="101">
        <v>2.2958047212072789E-2</v>
      </c>
      <c r="G13" s="102">
        <v>-0.39512104120524921</v>
      </c>
      <c r="H13" s="102">
        <v>1.0157608603312529</v>
      </c>
      <c r="I13" s="103">
        <v>-7.3570010316491963E-2</v>
      </c>
      <c r="J13" s="102">
        <v>-5.1670976144741161</v>
      </c>
      <c r="K13" s="101">
        <v>-4.0421400963144991E-2</v>
      </c>
      <c r="L13" s="99">
        <v>12</v>
      </c>
    </row>
    <row r="14" spans="1:12" x14ac:dyDescent="0.25">
      <c r="A14" s="99" t="s">
        <v>13</v>
      </c>
      <c r="B14" s="100">
        <v>-4.9201421770758591E-2</v>
      </c>
      <c r="C14" s="100">
        <v>-7.2409329503879016E-2</v>
      </c>
      <c r="D14" s="100">
        <f t="shared" si="0"/>
        <v>-9.3296564456182507E-2</v>
      </c>
      <c r="E14" s="101">
        <v>0.1780325212292988</v>
      </c>
      <c r="F14" s="101">
        <v>5.6994406260949967E-2</v>
      </c>
      <c r="G14" s="102">
        <v>-0.53310108090667085</v>
      </c>
      <c r="H14" s="102">
        <v>0.91630417429397015</v>
      </c>
      <c r="I14" s="103">
        <v>-0.1035784100590925</v>
      </c>
      <c r="J14" s="102">
        <v>-2.4354366089398019</v>
      </c>
      <c r="K14" s="101">
        <v>-4.0687976328206137E-2</v>
      </c>
      <c r="L14" s="99">
        <v>13</v>
      </c>
    </row>
    <row r="15" spans="1:12" x14ac:dyDescent="0.25">
      <c r="A15" s="99" t="s">
        <v>9</v>
      </c>
      <c r="B15" s="100">
        <v>-5.6924375706364112E-2</v>
      </c>
      <c r="C15" s="100">
        <v>-8.3611756210975274E-2</v>
      </c>
      <c r="D15" s="100">
        <f t="shared" si="0"/>
        <v>-0.10101951839178802</v>
      </c>
      <c r="E15" s="101">
        <v>0.18228575344381279</v>
      </c>
      <c r="F15" s="101">
        <v>6.1854522295556158E-2</v>
      </c>
      <c r="G15" s="102">
        <v>-0.58211765980758789</v>
      </c>
      <c r="H15" s="102">
        <v>0.93027840287568886</v>
      </c>
      <c r="I15" s="103">
        <v>-0.1140645164748114</v>
      </c>
      <c r="J15" s="102">
        <v>-2.4251854941668318</v>
      </c>
      <c r="K15" s="101">
        <v>-4.4572130565349838E-2</v>
      </c>
      <c r="L15" s="99">
        <v>14</v>
      </c>
    </row>
    <row r="16" spans="1:12" x14ac:dyDescent="0.25">
      <c r="A16" s="99" t="s">
        <v>1</v>
      </c>
      <c r="B16" s="100">
        <v>-0.1211205520625231</v>
      </c>
      <c r="C16" s="100">
        <v>-0.17497689125894181</v>
      </c>
      <c r="D16" s="100">
        <f t="shared" si="0"/>
        <v>-0.16521569474794701</v>
      </c>
      <c r="E16" s="101">
        <v>0.1849244446888732</v>
      </c>
      <c r="F16" s="101">
        <v>6.9103995562133952E-2</v>
      </c>
      <c r="G16" s="102">
        <v>-1.0678787847176581</v>
      </c>
      <c r="H16" s="102">
        <v>0.93056485491680441</v>
      </c>
      <c r="I16" s="103">
        <v>-0.21221185199025899</v>
      </c>
      <c r="J16" s="102">
        <v>-3.4929069340243881</v>
      </c>
      <c r="K16" s="101">
        <v>-4.562142555123154E-2</v>
      </c>
      <c r="L16" s="99">
        <v>15</v>
      </c>
    </row>
    <row r="17" spans="1:12" x14ac:dyDescent="0.25">
      <c r="A17" s="104" t="s">
        <v>15</v>
      </c>
      <c r="B17" s="105">
        <v>4.4095142685423916E-2</v>
      </c>
      <c r="C17" s="105">
        <v>6.6396934008826403E-2</v>
      </c>
      <c r="D17" s="105"/>
      <c r="E17" s="105">
        <v>0.18484150954969786</v>
      </c>
      <c r="F17" s="104"/>
      <c r="G17" s="104"/>
      <c r="H17" s="106">
        <v>1</v>
      </c>
      <c r="I17" s="104"/>
      <c r="J17" s="104"/>
      <c r="K17" s="107">
        <v>-3.4099932800392967E-2</v>
      </c>
      <c r="L17" s="104"/>
    </row>
  </sheetData>
  <conditionalFormatting sqref="D2:D16">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84D0-E0D6-478C-9D8C-35903E3F4168}">
  <dimension ref="B3:D19"/>
  <sheetViews>
    <sheetView workbookViewId="0">
      <selection activeCell="G5" sqref="G5"/>
    </sheetView>
  </sheetViews>
  <sheetFormatPr baseColWidth="10" defaultRowHeight="15" x14ac:dyDescent="0.25"/>
  <cols>
    <col min="1" max="1" width="11.42578125" style="115"/>
    <col min="2" max="2" width="30.5703125" style="115" customWidth="1"/>
    <col min="3" max="3" width="63.5703125" style="115" customWidth="1"/>
    <col min="4" max="4" width="51.42578125" style="115" customWidth="1"/>
    <col min="5" max="16384" width="11.42578125" style="115"/>
  </cols>
  <sheetData>
    <row r="3" spans="2:4" ht="18" thickBot="1" x14ac:dyDescent="0.3">
      <c r="B3" s="111" t="s">
        <v>1734</v>
      </c>
      <c r="C3" s="111"/>
      <c r="D3" s="111"/>
    </row>
    <row r="4" spans="2:4" ht="24.75" customHeight="1" thickBot="1" x14ac:dyDescent="0.3">
      <c r="B4" s="114" t="s">
        <v>1735</v>
      </c>
      <c r="C4" s="114" t="s">
        <v>1736</v>
      </c>
      <c r="D4" s="114" t="s">
        <v>1737</v>
      </c>
    </row>
    <row r="5" spans="2:4" s="116" customFormat="1" ht="129.75" customHeight="1" thickBot="1" x14ac:dyDescent="0.3">
      <c r="B5" s="108" t="s">
        <v>1738</v>
      </c>
      <c r="C5" s="109" t="s">
        <v>1767</v>
      </c>
      <c r="D5" s="110" t="s">
        <v>1768</v>
      </c>
    </row>
    <row r="6" spans="2:4" s="116" customFormat="1" ht="57.75" thickBot="1" x14ac:dyDescent="0.3">
      <c r="B6" s="108" t="s">
        <v>1739</v>
      </c>
      <c r="C6" s="109" t="s">
        <v>1740</v>
      </c>
      <c r="D6" s="110" t="s">
        <v>1756</v>
      </c>
    </row>
    <row r="7" spans="2:4" s="116" customFormat="1" ht="43.5" thickBot="1" x14ac:dyDescent="0.3">
      <c r="B7" s="108" t="s">
        <v>12</v>
      </c>
      <c r="C7" s="109" t="s">
        <v>1741</v>
      </c>
      <c r="D7" s="110" t="s">
        <v>1757</v>
      </c>
    </row>
    <row r="8" spans="2:4" s="116" customFormat="1" ht="43.5" thickBot="1" x14ac:dyDescent="0.3">
      <c r="B8" s="108" t="s">
        <v>329</v>
      </c>
      <c r="C8" s="109" t="s">
        <v>1742</v>
      </c>
      <c r="D8" s="110" t="s">
        <v>1758</v>
      </c>
    </row>
    <row r="9" spans="2:4" s="116" customFormat="1" ht="43.5" thickBot="1" x14ac:dyDescent="0.3">
      <c r="B9" s="108" t="s">
        <v>10</v>
      </c>
      <c r="C9" s="109" t="s">
        <v>1743</v>
      </c>
      <c r="D9" s="110" t="s">
        <v>1759</v>
      </c>
    </row>
    <row r="10" spans="2:4" s="116" customFormat="1" ht="43.5" thickBot="1" x14ac:dyDescent="0.3">
      <c r="B10" s="108" t="s">
        <v>1744</v>
      </c>
      <c r="C10" s="109" t="s">
        <v>1745</v>
      </c>
      <c r="D10" s="110" t="s">
        <v>1760</v>
      </c>
    </row>
    <row r="11" spans="2:4" s="116" customFormat="1" ht="43.5" thickBot="1" x14ac:dyDescent="0.3">
      <c r="B11" s="108" t="s">
        <v>1746</v>
      </c>
      <c r="C11" s="109" t="s">
        <v>1747</v>
      </c>
      <c r="D11" s="110" t="s">
        <v>1765</v>
      </c>
    </row>
    <row r="12" spans="2:4" s="116" customFormat="1" ht="57.75" thickBot="1" x14ac:dyDescent="0.3">
      <c r="B12" s="108" t="s">
        <v>1716</v>
      </c>
      <c r="C12" s="109" t="s">
        <v>1748</v>
      </c>
      <c r="D12" s="110" t="s">
        <v>1764</v>
      </c>
    </row>
    <row r="13" spans="2:4" s="116" customFormat="1" ht="57.75" thickBot="1" x14ac:dyDescent="0.3">
      <c r="B13" s="108" t="s">
        <v>1749</v>
      </c>
      <c r="C13" s="109" t="s">
        <v>1750</v>
      </c>
      <c r="D13" s="110" t="s">
        <v>1763</v>
      </c>
    </row>
    <row r="14" spans="2:4" s="116" customFormat="1" ht="43.5" thickBot="1" x14ac:dyDescent="0.3">
      <c r="B14" s="108" t="s">
        <v>1766</v>
      </c>
      <c r="C14" s="109" t="s">
        <v>1751</v>
      </c>
      <c r="D14" s="110" t="s">
        <v>1762</v>
      </c>
    </row>
    <row r="15" spans="2:4" s="116" customFormat="1" ht="43.5" thickBot="1" x14ac:dyDescent="0.3">
      <c r="B15" s="108" t="s">
        <v>1752</v>
      </c>
      <c r="C15" s="109" t="s">
        <v>1753</v>
      </c>
      <c r="D15" s="109" t="s">
        <v>1761</v>
      </c>
    </row>
    <row r="16" spans="2:4" s="116" customFormat="1" ht="14.25" x14ac:dyDescent="0.25">
      <c r="B16" s="59"/>
      <c r="C16" s="59"/>
      <c r="D16" s="59"/>
    </row>
    <row r="17" spans="2:4" s="116" customFormat="1" ht="17.25" x14ac:dyDescent="0.25">
      <c r="B17" s="112" t="s">
        <v>1754</v>
      </c>
      <c r="C17" s="112"/>
      <c r="D17" s="112"/>
    </row>
    <row r="18" spans="2:4" s="116" customFormat="1" ht="133.5" customHeight="1" x14ac:dyDescent="0.25">
      <c r="B18" s="113" t="s">
        <v>1755</v>
      </c>
      <c r="C18" s="113"/>
      <c r="D18" s="113"/>
    </row>
    <row r="19" spans="2:4" s="116" customFormat="1" ht="14.25" x14ac:dyDescent="0.25"/>
  </sheetData>
  <mergeCells count="3">
    <mergeCell ref="B3:D3"/>
    <mergeCell ref="B18:D18"/>
    <mergeCell ref="B17:D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6976-AC65-46D2-A626-235C95C2C6A9}">
  <dimension ref="B2:K19"/>
  <sheetViews>
    <sheetView workbookViewId="0">
      <selection activeCell="F35" sqref="F35"/>
    </sheetView>
  </sheetViews>
  <sheetFormatPr baseColWidth="10" defaultRowHeight="15" x14ac:dyDescent="0.25"/>
  <cols>
    <col min="2" max="2" width="36.140625" customWidth="1"/>
    <col min="6" max="6" width="27.28515625" customWidth="1"/>
    <col min="7" max="7" width="8.5703125" bestFit="1" customWidth="1"/>
    <col min="10" max="10" width="39.140625" customWidth="1"/>
  </cols>
  <sheetData>
    <row r="2" spans="2:11" ht="15.75" thickBot="1" x14ac:dyDescent="0.3"/>
    <row r="3" spans="2:11" ht="15.75" thickTop="1" x14ac:dyDescent="0.25">
      <c r="B3" s="117" t="s">
        <v>1722</v>
      </c>
      <c r="C3" s="117" t="s">
        <v>24</v>
      </c>
      <c r="F3" s="98" t="s">
        <v>49</v>
      </c>
      <c r="G3" s="98" t="s">
        <v>24</v>
      </c>
    </row>
    <row r="4" spans="2:11" ht="30" x14ac:dyDescent="0.25">
      <c r="B4" s="118" t="s">
        <v>1</v>
      </c>
      <c r="C4" s="119">
        <v>-0.1211</v>
      </c>
      <c r="F4" s="99" t="s">
        <v>1</v>
      </c>
      <c r="G4" s="101">
        <v>-0.1211205520625231</v>
      </c>
    </row>
    <row r="5" spans="2:11" x14ac:dyDescent="0.25">
      <c r="B5" s="118" t="s">
        <v>9</v>
      </c>
      <c r="C5" s="119">
        <v>-5.6899999999999999E-2</v>
      </c>
      <c r="F5" s="99" t="s">
        <v>9</v>
      </c>
      <c r="G5" s="101">
        <v>-5.6924375706364112E-2</v>
      </c>
    </row>
    <row r="6" spans="2:11" ht="30" x14ac:dyDescent="0.25">
      <c r="B6" s="118" t="s">
        <v>13</v>
      </c>
      <c r="C6" s="119">
        <v>-4.9200000000000001E-2</v>
      </c>
      <c r="F6" s="99" t="s">
        <v>13</v>
      </c>
      <c r="G6" s="101">
        <v>-4.9201421770758591E-2</v>
      </c>
    </row>
    <row r="7" spans="2:11" x14ac:dyDescent="0.25">
      <c r="B7" s="118" t="s">
        <v>2</v>
      </c>
      <c r="C7" s="119">
        <v>-3.5400000000000001E-2</v>
      </c>
      <c r="F7" s="99" t="s">
        <v>2</v>
      </c>
      <c r="G7" s="101">
        <v>-3.5366363160093783E-2</v>
      </c>
    </row>
    <row r="8" spans="2:11" x14ac:dyDescent="0.25">
      <c r="B8" s="118" t="s">
        <v>5</v>
      </c>
      <c r="C8" s="119">
        <v>-2.98E-2</v>
      </c>
      <c r="F8" s="99" t="s">
        <v>5</v>
      </c>
      <c r="G8" s="101">
        <v>-2.9780177128541641E-2</v>
      </c>
    </row>
    <row r="9" spans="2:11" x14ac:dyDescent="0.25">
      <c r="B9" s="118" t="s">
        <v>3</v>
      </c>
      <c r="C9" s="119">
        <v>-3.7000000000000002E-3</v>
      </c>
      <c r="F9" s="99" t="s">
        <v>3</v>
      </c>
      <c r="G9" s="101">
        <v>-3.7022522034237948E-3</v>
      </c>
    </row>
    <row r="10" spans="2:11" x14ac:dyDescent="0.25">
      <c r="B10" s="124" t="s">
        <v>4</v>
      </c>
      <c r="C10" s="125">
        <v>-3.5999999999999999E-3</v>
      </c>
      <c r="F10" s="99" t="s">
        <v>0</v>
      </c>
      <c r="G10" s="101">
        <v>2.1276451345810798E-3</v>
      </c>
      <c r="J10" s="99" t="s">
        <v>8</v>
      </c>
      <c r="K10" s="101">
        <v>-1.6881980544547479E-3</v>
      </c>
    </row>
    <row r="11" spans="2:11" x14ac:dyDescent="0.25">
      <c r="B11" s="118" t="s">
        <v>0</v>
      </c>
      <c r="C11" s="119">
        <v>2.0999999999999999E-3</v>
      </c>
      <c r="F11" s="99" t="s">
        <v>6</v>
      </c>
      <c r="G11" s="101">
        <v>3.2296976536050348E-3</v>
      </c>
    </row>
    <row r="12" spans="2:11" x14ac:dyDescent="0.25">
      <c r="B12" s="118" t="s">
        <v>6</v>
      </c>
      <c r="C12" s="119">
        <v>3.2000000000000002E-3</v>
      </c>
      <c r="F12" s="99" t="s">
        <v>7</v>
      </c>
      <c r="G12" s="101">
        <v>8.771487624136709E-3</v>
      </c>
    </row>
    <row r="13" spans="2:11" x14ac:dyDescent="0.25">
      <c r="B13" s="118" t="s">
        <v>7</v>
      </c>
      <c r="C13" s="119">
        <v>8.8000000000000005E-3</v>
      </c>
      <c r="F13" s="99" t="s">
        <v>14</v>
      </c>
      <c r="G13" s="101">
        <v>1.332426936453013E-2</v>
      </c>
    </row>
    <row r="14" spans="2:11" x14ac:dyDescent="0.25">
      <c r="B14" s="118" t="s">
        <v>14</v>
      </c>
      <c r="C14" s="119">
        <v>1.3299999999999999E-2</v>
      </c>
      <c r="F14" s="99" t="s">
        <v>11</v>
      </c>
      <c r="G14" s="101">
        <v>1.8318737572449839E-2</v>
      </c>
    </row>
    <row r="15" spans="2:11" x14ac:dyDescent="0.25">
      <c r="B15" s="118" t="s">
        <v>8</v>
      </c>
      <c r="C15" s="119">
        <v>1.4500000000000001E-2</v>
      </c>
      <c r="F15" s="99" t="s">
        <v>10</v>
      </c>
      <c r="G15" s="101">
        <v>4.389524557872182E-2</v>
      </c>
    </row>
    <row r="16" spans="2:11" x14ac:dyDescent="0.25">
      <c r="B16" s="118" t="s">
        <v>69</v>
      </c>
      <c r="C16" s="119">
        <v>2.63E-2</v>
      </c>
      <c r="F16" s="104" t="s">
        <v>15</v>
      </c>
      <c r="G16" s="105">
        <v>4.4095142685423916E-2</v>
      </c>
    </row>
    <row r="17" spans="2:7" x14ac:dyDescent="0.25">
      <c r="B17" s="118" t="s">
        <v>68</v>
      </c>
      <c r="C17" s="119">
        <v>3.2399999999999998E-2</v>
      </c>
      <c r="F17" s="99" t="s">
        <v>4</v>
      </c>
      <c r="G17" s="101">
        <v>4.7345166450826648E-2</v>
      </c>
    </row>
    <row r="18" spans="2:7" ht="15.75" thickBot="1" x14ac:dyDescent="0.3">
      <c r="B18" s="120" t="s">
        <v>10</v>
      </c>
      <c r="C18" s="121">
        <v>4.3900000000000002E-2</v>
      </c>
      <c r="F18" s="99" t="s">
        <v>12</v>
      </c>
      <c r="G18" s="101">
        <v>7.9025617566331086E-2</v>
      </c>
    </row>
    <row r="19" spans="2:7" ht="15.75" thickTop="1" x14ac:dyDescent="0.25">
      <c r="B19" s="122" t="s">
        <v>71</v>
      </c>
      <c r="C19" s="123">
        <v>5.5500000000000001E-2</v>
      </c>
    </row>
  </sheetData>
  <sortState xmlns:xlrd2="http://schemas.microsoft.com/office/spreadsheetml/2017/richdata2" ref="F4:G19">
    <sortCondition ref="G3:G19"/>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04_09</vt:lpstr>
      <vt:lpstr>28_08</vt:lpstr>
      <vt:lpstr>24_08</vt:lpstr>
      <vt:lpstr>31_12_25</vt:lpstr>
      <vt:lpstr>Data_Analysis_2</vt:lpstr>
      <vt:lpstr>Data_base</vt:lpstr>
      <vt:lpstr>Comitie_Portfolio</vt:lpstr>
      <vt:lpstr>Data_Analysis</vt:lpstr>
      <vt:lpstr>Metrics</vt:lpstr>
      <vt:lpstr>Calcul_MaxDD</vt:lpstr>
      <vt:lpstr>Ranking</vt: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BOUKHNIF Fouad</dc:creator>
  <cp:lastModifiedBy>BOUKHNIF Fouad</cp:lastModifiedBy>
  <dcterms:created xsi:type="dcterms:W3CDTF">2026-09-03T12:49:43Z</dcterms:created>
  <dcterms:modified xsi:type="dcterms:W3CDTF">2026-09-09T10:56:16Z</dcterms:modified>
</cp:coreProperties>
</file>